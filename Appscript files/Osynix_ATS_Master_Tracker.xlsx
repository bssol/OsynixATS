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s &amp; Settings" sheetId="1" r:id="rId5"/>
    <sheet state="visible" name="Positions Master" sheetId="2" r:id="rId6"/>
    <sheet state="visible" name="Candidates" sheetId="3" r:id="rId7"/>
    <sheet state="visible" name="JD Criteria" sheetId="4" r:id="rId8"/>
    <sheet state="visible" name="Recruitment Pipeline" sheetId="5" r:id="rId9"/>
    <sheet state="visible" name="Dashboard" sheetId="6" r:id="rId10"/>
    <sheet state="visible" name="Talent Pool Master" sheetId="7" r:id="rId11"/>
    <sheet state="visible" name="Users &amp; Access" sheetId="8" r:id="rId12"/>
    <sheet state="visible" name="Activity Log" sheetId="9" r:id="rId13"/>
    <sheet state="visible" name="User Sessions" sheetId="10" r:id="rId14"/>
    <sheet state="visible" name="Trusted Devices" sheetId="11" r:id="rId15"/>
    <sheet state="visible" name="New Dashboard" sheetId="12" r:id="rId16"/>
    <sheet state="hidden" name="Dashboard Data" sheetId="13" r:id="rId17"/>
  </sheets>
  <definedNames>
    <definedName hidden="1" localSheetId="2" name="_xlnm._FilterDatabase">Candidates!$A$1:$AB$2001</definedName>
    <definedName hidden="1" localSheetId="3" name="_xlnm._FilterDatabase">'JD Criteria'!$A$1:$G$500</definedName>
    <definedName hidden="1" localSheetId="6" name="_xlnm._FilterDatabase">'Talent Pool Master'!$A$1:$Z$2001</definedName>
  </definedNames>
  <calcPr/>
</workbook>
</file>

<file path=xl/sharedStrings.xml><?xml version="1.0" encoding="utf-8"?>
<sst xmlns="http://schemas.openxmlformats.org/spreadsheetml/2006/main" count="2877" uniqueCount="1271">
  <si>
    <t>Position Status</t>
  </si>
  <si>
    <t>Recruitment Stage</t>
  </si>
  <si>
    <t>Interview Status</t>
  </si>
  <si>
    <t>Client Status</t>
  </si>
  <si>
    <t>Decision</t>
  </si>
  <si>
    <t>Priority</t>
  </si>
  <si>
    <t>Yes / No</t>
  </si>
  <si>
    <t>Ref Numbers</t>
  </si>
  <si>
    <t>Must-Have Fit</t>
  </si>
  <si>
    <t>Definition</t>
  </si>
  <si>
    <t>Min ATS Match</t>
  </si>
  <si>
    <t>Calculated Decision</t>
  </si>
  <si>
    <t>Decision Rules</t>
  </si>
  <si>
    <t>Talent Pool Status</t>
  </si>
  <si>
    <t>Seniority Level</t>
  </si>
  <si>
    <t>Filled Source</t>
  </si>
  <si>
    <t>Active</t>
  </si>
  <si>
    <t>Applied</t>
  </si>
  <si>
    <t>Not Scheduled</t>
  </si>
  <si>
    <t>Not Submitted</t>
  </si>
  <si>
    <t>Priority Shortlist</t>
  </si>
  <si>
    <t>High</t>
  </si>
  <si>
    <t>Yes</t>
  </si>
  <si>
    <t>001</t>
  </si>
  <si>
    <t>Pass</t>
  </si>
  <si>
    <t>All knockout / mandatory requirements are clearly evidenced.</t>
  </si>
  <si>
    <t>Must-Have Fail overrides ATS Match and results in Reject.</t>
  </si>
  <si>
    <t>Individual Contributor</t>
  </si>
  <si>
    <t>Osynix Recruiter</t>
  </si>
  <si>
    <t>On Hold</t>
  </si>
  <si>
    <t>HR Screening</t>
  </si>
  <si>
    <t>Scheduled</t>
  </si>
  <si>
    <t>Submitted</t>
  </si>
  <si>
    <t>Shortlist</t>
  </si>
  <si>
    <t>Medium</t>
  </si>
  <si>
    <t>No</t>
  </si>
  <si>
    <t>Partial</t>
  </si>
  <si>
    <t>Core must-have fit is plausible, but at least one knockout requirement needs validation; no confirmed hard failure.</t>
  </si>
  <si>
    <t>ATS thresholds apply only after the Must-Have gate.</t>
  </si>
  <si>
    <t>Priority Talent</t>
  </si>
  <si>
    <t>Senior Professional</t>
  </si>
  <si>
    <t>Client Direct Hire</t>
  </si>
  <si>
    <t>Closed</t>
  </si>
  <si>
    <t>Background Check</t>
  </si>
  <si>
    <t>Completed</t>
  </si>
  <si>
    <t>Under Review</t>
  </si>
  <si>
    <t>Hold</t>
  </si>
  <si>
    <t>Low</t>
  </si>
  <si>
    <t>Fail</t>
  </si>
  <si>
    <t>One or more knockout / mandatory requirements are clearly not met.</t>
  </si>
  <si>
    <t>Partial can Shortlist / Hold / Reject, but cannot Priority Shortlist.</t>
  </si>
  <si>
    <t>Passive</t>
  </si>
  <si>
    <t>Team Lead / Supervisor</t>
  </si>
  <si>
    <t>Other</t>
  </si>
  <si>
    <t>Consider</t>
  </si>
  <si>
    <t>Filled</t>
  </si>
  <si>
    <t>Shortlisted</t>
  </si>
  <si>
    <t>No Show</t>
  </si>
  <si>
    <t>Client Shortlisted</t>
  </si>
  <si>
    <t>Reject</t>
  </si>
  <si>
    <t>Insufficient Evidence</t>
  </si>
  <si>
    <t>The CV / ATS record does not provide enough evidence to determine must-have fit.</t>
  </si>
  <si>
    <t>Insufficient Evidence never auto-shortlists.</t>
  </si>
  <si>
    <t>Placed</t>
  </si>
  <si>
    <t>Manager</t>
  </si>
  <si>
    <t>Cancelled</t>
  </si>
  <si>
    <t>Technical Interview</t>
  </si>
  <si>
    <t>Reschedule Required</t>
  </si>
  <si>
    <t>Client Rejected</t>
  </si>
  <si>
    <t>Recruitment Stage is an operational status; it is synchronized at screening but remains manually moveable afterward.</t>
  </si>
  <si>
    <t>Archived</t>
  </si>
  <si>
    <t>Senior Manager</t>
  </si>
  <si>
    <t>Final Interview</t>
  </si>
  <si>
    <t>Not Required</t>
  </si>
  <si>
    <t>Client Interview</t>
  </si>
  <si>
    <t>Do Not Contact</t>
  </si>
  <si>
    <t>Head / Director</t>
  </si>
  <si>
    <t>Offer</t>
  </si>
  <si>
    <t>Executive / GM</t>
  </si>
  <si>
    <t>Offer Sent</t>
  </si>
  <si>
    <t>Hired</t>
  </si>
  <si>
    <t>Founder / Owner</t>
  </si>
  <si>
    <t>Officer / Command</t>
  </si>
  <si>
    <t>Rejected</t>
  </si>
  <si>
    <t>Ref #</t>
  </si>
  <si>
    <t>Criterion</t>
  </si>
  <si>
    <t>Weight %</t>
  </si>
  <si>
    <t>Client</t>
  </si>
  <si>
    <t>Knockout?</t>
  </si>
  <si>
    <t>Evidence Expected</t>
  </si>
  <si>
    <t>Position</t>
  </si>
  <si>
    <t>Scoring Guidance</t>
  </si>
  <si>
    <t>Notes</t>
  </si>
  <si>
    <t>Location</t>
  </si>
  <si>
    <t>Open Date</t>
  </si>
  <si>
    <t>Direct LIMO / Chauffeur Service Management</t>
  </si>
  <si>
    <t>Status</t>
  </si>
  <si>
    <t>Candidate ID</t>
  </si>
  <si>
    <t>Hiring Target</t>
  </si>
  <si>
    <t>Profiles Screened</t>
  </si>
  <si>
    <t>Client Interviews</t>
  </si>
  <si>
    <t>Direct management of limo, executive chauffeur, black-car or similar premium passenger transport operations</t>
  </si>
  <si>
    <t>Score highly only where direct chauffeur/limo operations are clearly evidenced.</t>
  </si>
  <si>
    <t>Offers</t>
  </si>
  <si>
    <t>Generic fleet/logistics alone is transferable, not equivalent. Knockout gate: if clearly absent, Must-Have Fit = Fail and Decision = Reject; if direct fit is plausible but needs validation, use Partial.</t>
  </si>
  <si>
    <t>Candidate Name</t>
  </si>
  <si>
    <t>Mobile / Phone Number</t>
  </si>
  <si>
    <t>Email ID</t>
  </si>
  <si>
    <t>US Market / US Customer Exposure</t>
  </si>
  <si>
    <t>Average ATS Match</t>
  </si>
  <si>
    <t>Current Designation</t>
  </si>
  <si>
    <t>Current Company</t>
  </si>
  <si>
    <t>Hiring Manager / Contact</t>
  </si>
  <si>
    <t>JD / File Link</t>
  </si>
  <si>
    <t>Total Experience (Yrs)</t>
  </si>
  <si>
    <t>Last Updated</t>
  </si>
  <si>
    <t>Relevant Industry Experience (Yrs)</t>
  </si>
  <si>
    <t>Date Screened</t>
  </si>
  <si>
    <t>JD File Hash</t>
  </si>
  <si>
    <t>Evidence Strength /10</t>
  </si>
  <si>
    <t>ATS Match %</t>
  </si>
  <si>
    <t>Assigned Recruiter</t>
  </si>
  <si>
    <t>Core Role Fit /10</t>
  </si>
  <si>
    <t>Created By</t>
  </si>
  <si>
    <t>Created Date</t>
  </si>
  <si>
    <t>Key Strengths</t>
  </si>
  <si>
    <t>Position Closed By</t>
  </si>
  <si>
    <t>Position Closed Date</t>
  </si>
  <si>
    <t>Closure Status</t>
  </si>
  <si>
    <t>Last Updated By</t>
  </si>
  <si>
    <t>Key Gap / Risk</t>
  </si>
  <si>
    <t>Hired Candidate ID</t>
  </si>
  <si>
    <t>Hired Candidate Name</t>
  </si>
  <si>
    <t>Closure Reason</t>
  </si>
  <si>
    <t>Executive Assessment</t>
  </si>
  <si>
    <t>Nobel Business Solutions</t>
  </si>
  <si>
    <t>Operations Manager / General Manager (LIMO &amp; Chauffeur Services)</t>
  </si>
  <si>
    <t>Expected Salary</t>
  </si>
  <si>
    <t>Availability</t>
  </si>
  <si>
    <t>Lahore</t>
  </si>
  <si>
    <t>Recruiter Notes</t>
  </si>
  <si>
    <t>CV / File Link</t>
  </si>
  <si>
    <t>Criterion Results JSON</t>
  </si>
  <si>
    <t>CAND-001</t>
  </si>
  <si>
    <t>Zain Abid</t>
  </si>
  <si>
    <t>Experience supporting US customers, bookings, dispatch, service standards or operations</t>
  </si>
  <si>
    <t>+92 328 4582394</t>
  </si>
  <si>
    <t>Explicit US exposure scores materially higher than generic international exposure.</t>
  </si>
  <si>
    <t>zain199819@gmail.com</t>
  </si>
  <si>
    <t>Knockout gate: explicit US exposure is high-weight. If clearly absent, Must-Have Fit = Fail; if potentially present but not explicit, use Partial pending validation.</t>
  </si>
  <si>
    <t>Freelance UX/UI Designer / Frontend</t>
  </si>
  <si>
    <t>Freelancer</t>
  </si>
  <si>
    <t>Operations Management</t>
  </si>
  <si>
    <t>Lahore Cantt</t>
  </si>
  <si>
    <t>End-to-end operations ownership, SOPs, KPIs, service delivery, escalation handling</t>
  </si>
  <si>
    <t>Assess scale, accountability and operational complexity.</t>
  </si>
  <si>
    <t>Leadership &amp; People Management</t>
  </si>
  <si>
    <t>Team leadership, supervisors, hiring, coaching, performance management</t>
  </si>
  <si>
    <t>Higher score for multi-team / cross-functional leadership.</t>
  </si>
  <si>
    <t>Dispatch / Fleet Operations</t>
  </si>
  <si>
    <t>Creative/technical background with some project-management and leadership exposure.</t>
  </si>
  <si>
    <t>No meaningful senior transport operations, LIMO/chauffeur management, US customer operations, dispatch, affiliate/farm-out, or limo systems experience.</t>
  </si>
  <si>
    <t>Dispatching, driver coordination, routing, scheduling, utilization, fleet control</t>
  </si>
  <si>
    <t>Profile does not meet Ref #001 core industry requirements despite some transferable project/marketing exposure.</t>
  </si>
  <si>
    <t>Direct chauffeur dispatch is stronger than freight/delivery dispatch.</t>
  </si>
  <si>
    <t>Client / Customer Management</t>
  </si>
  <si>
    <t>Client servicing, complaints, service recovery, SLAs, customer communication</t>
  </si>
  <si>
    <t>Premium-service environment is preferred.</t>
  </si>
  <si>
    <t>Systems / Technology</t>
  </si>
  <si>
    <t>Dispatch software, CRM, scheduling tools, reporting systems</t>
  </si>
  <si>
    <t>Score on demonstrated operational use, not keyword mention.</t>
  </si>
  <si>
    <t>002</t>
  </si>
  <si>
    <t>Minimum five years of production management experience</t>
  </si>
  <si>
    <t>At least five years in production or factory management roles with responsibility for manufacturing output, production teams, schedules, targets and operational performance. CV dates and role descriptions should substantiate the duration and management-level ownership.</t>
  </si>
  <si>
    <t>Strong evidence includes five or more recent years managing factory production with clear accountability for people, output and performance. Mid-level evidence includes the required duration but limited scale or partial ownership. Weak evidence includes supervisory-only work, project exposure without operational ownership, or less than five years of relevant management experience.</t>
  </si>
  <si>
    <t>Count production management experience, not total career length. General administration, retail operations, warehousing or quality-only roles are not equivalent unless the candidate also owned manufacturing production.</t>
  </si>
  <si>
    <t>Qualitative Must-Have Fit: Fail. Latest recalibrated score under strict LIMO/chauffeur + US-market benchmark.</t>
  </si>
  <si>
    <t>Stage</t>
  </si>
  <si>
    <t>Multi-category food, sweets and bakery manufacturing experience</t>
  </si>
  <si>
    <t>CAND-002</t>
  </si>
  <si>
    <t>Candidate Count</t>
  </si>
  <si>
    <t>Sidra Azam</t>
  </si>
  <si>
    <t>% of Screened</t>
  </si>
  <si>
    <t>+92 304 4889746</t>
  </si>
  <si>
    <t>Production experience in food manufacturing, ideally involving sweets, biscuits, cakes, bakery products, snacks, ice cream, pizza, fresh cream or other perishable food categories. Evidence of managing multiple production lines or departments is preferred.</t>
  </si>
  <si>
    <t>sidrafatima03044@gmail.com</t>
  </si>
  <si>
    <t>Senior Sales Executive</t>
  </si>
  <si>
    <t>Highest scores require direct sweets or bakery factory experience across several product categories. Strong transferable evidence includes management of complex, perishable food or FMCG manufacturing. Lower scores apply to single-line food production or non-food manufacturing with limited relevance to hygiene, shelf life and recipe-based production.</t>
  </si>
  <si>
    <t>Cresset Technologies</t>
  </si>
  <si>
    <t>The JD states that sweets and bakery experience is preferred rather than mandatory. Food retail, restaurant or catering experience should not receive the same score as factory-based food manufacturing.</t>
  </si>
  <si>
    <t>Production planning, daily reporting and target delivery</t>
  </si>
  <si>
    <t>Direct LIMO/chauffeur service management and US-customer exposure are high-weight requirements.</t>
  </si>
  <si>
    <t>6+ years in sales/revenue growth, client acquisition, team leadership and multi-account operations.</t>
  </si>
  <si>
    <t>Ownership of demand-based production planning, daily production schedules or DPRs, output monitoring, capacity or resource allocation, variance analysis and achievement of production targets.</t>
  </si>
  <si>
    <t>No chauffeur/limo/ground-transportation operations, dispatch, affiliate/farm-out, US limo service, or limo-platform experience.</t>
  </si>
  <si>
    <t>Strong commercial profile but materially outside the required LIMO/chauffeur operations domain.</t>
  </si>
  <si>
    <t>Strong evidence shows end-to-end planning and control, regular management reporting and measurable improvements in schedule adherence, throughput or target achievement. Moderate evidence shows participation in planning or report preparation without final accountability. Weak evidence consists of generic statements about meeting targets with no planning, reporting or analytical detail.</t>
  </si>
  <si>
    <t>DPR experience can be evidenced under another name, such as daily output reporting, production MIS or shift-performance reporting. Report preparation should involve analysis or decision support, not merely data entry.</t>
  </si>
  <si>
    <t>Tauqeer Zahid</t>
  </si>
  <si>
    <t>Dispatch, finished-goods inventory and expiry management</t>
  </si>
  <si>
    <t>Responsibility for finished-goods dispatch accuracy and timeliness, stock coordination, shelf-life or batch controls, near-expiry monitoring, FEFO practices, and vendor returns or replacements where applicable.</t>
  </si>
  <si>
    <t>High scores require direct ownership of dispatch and expiry-sensitive finished goods, supported by service, accuracy, wastage or stock-loss results. Moderate scores apply to coordination with warehouse or logistics teams without full ownership. Low scores apply to generic inventory exposure without perishable-goods, dispatch or expiry controls.</t>
  </si>
  <si>
    <t>Baba Bakers</t>
  </si>
  <si>
    <t>Raw-material inventory alone does not fully evidence this criterion. Generic logistics experience is transferable but is not equivalent to managing perishable finished goods and customer dispatches.</t>
  </si>
  <si>
    <t>Production Manager (Factory)</t>
  </si>
  <si>
    <t>Qualitative Must-Have Fit: Fail. Latest recalibrated score under strict Ref #001 benchmark.</t>
  </si>
  <si>
    <t>Quality control and health and safety compliance</t>
  </si>
  <si>
    <t>Gujranwala</t>
  </si>
  <si>
    <t>CAND-003</t>
  </si>
  <si>
    <t>Ejaz Mehmood</t>
  </si>
  <si>
    <t>Implementation or oversight of product-quality controls, SOPs, hygiene or food-safety practices, non-conformance handling, inspections or audits, and workplace health and safety requirements within a factory.</t>
  </si>
  <si>
    <t>+92 308 4196749</t>
  </si>
  <si>
    <t>emahmood91@gmail.com</t>
  </si>
  <si>
    <t>Strong evidence includes operational ownership of quality and safety systems, audit readiness, corrective actions and measurable reductions in defects, complaints or incidents. Moderate evidence includes consistent compliance responsibility under a separate QA or HSE function. Weak evidence includes only broad claims of maintaining quality or safety.</t>
  </si>
  <si>
    <t>Limousine Dispatcher &amp; Operations Manager (Remote)</t>
  </si>
  <si>
    <t>Abiel Limo Worldwide</t>
  </si>
  <si>
    <t>Certifications such as HACCP, ISO 22000 or related standards are useful supporting evidence but are not specified as mandatory. A QA-only career should not substitute for production-management experience.</t>
  </si>
  <si>
    <t>Process improvement, waste reduction and production cost control</t>
  </si>
  <si>
    <t>8+ years direct limousine/chauffeur operations; dispatch, reservations, driver assignment, affiliate coordination, Limo Anywhere; USA/UK/Canada bookings.</t>
  </si>
  <si>
    <t>CV does not fully evidence broad GM-level ownership across marketing, SEO, development teams and full P&amp;L.</t>
  </si>
  <si>
    <t>Examples of improving production processes, efficiency, yield, throughput, downtime, waste or manufacturing cost, plus involvement in production budgets or resource optimization.</t>
  </si>
  <si>
    <t>Best direct domain match: proven limo/chauffeur dispatch and explicit US-market booking exposure. Broader GM scope should be validated in interview.</t>
  </si>
  <si>
    <t>High scores require quantified results such as lower waste, reduced cost, improved yield, higher throughput or better labor utilization, preferably with budget accountability. Moderate scores reflect credible improvement initiatives without metrics or with shared ownership. Low scores reflect generic continuous-improvement language without actions or outcomes.</t>
  </si>
  <si>
    <t>Routine adherence to existing processes should not be treated as process improvement. Budget exposure should relate to production costs, labor, materials or factory resources.</t>
  </si>
  <si>
    <t>Factory labor management and team leadership</t>
  </si>
  <si>
    <t>Leadership of production supervisors and workers, workforce planning, training, coaching, performance management, conflict or labor-issue resolution, and coordination across production departments.</t>
  </si>
  <si>
    <t>Strong evidence shows leadership of sizable or multi-shift teams, development of supervisors, resolution of labor issues and measurable improvements in attendance, productivity or team performance. Moderate evidence includes direct line management of a smaller team. Weak evidence includes informal mentoring or coordination without people-management authority.</t>
  </si>
  <si>
    <t>Team size, shift structure and number of departments should inform strength of evidence. Office-team leadership is less relevant than factory-workforce management.</t>
  </si>
  <si>
    <t>Relevant bachelor's degree</t>
  </si>
  <si>
    <t>003</t>
  </si>
  <si>
    <t>Qualitative Must-Have Fit: Partial / Strong. Explicit US limo/chauffeur exposure. Priority candidate.</t>
  </si>
  <si>
    <t>Completed bachelor's degree in Food Science, Production Management, Business Administration or a demonstrably related field from an identifiable institution.</t>
  </si>
  <si>
    <t>CAND-004</t>
  </si>
  <si>
    <t>Full evidence is a completed relevant bachelor's or higher degree. A completed degree in a reasonably related discipline may receive partial-to-strong credit depending on relevance. Diplomas, short courses, incomplete degrees or unspecified qualifications do not satisfy the stated requirement.</t>
  </si>
  <si>
    <t>Mansoor Ahmed Bajwa</t>
  </si>
  <si>
    <t>Export Manager</t>
  </si>
  <si>
    <t>0343-7709958</t>
  </si>
  <si>
    <t>Do not infer degree completion from attendance dates alone when the CV indicates the qualification is ongoing or incomplete. Professional experience should not automatically replace the explicit degree requirement.</t>
  </si>
  <si>
    <t>mansoorbajwa80@gmail.com</t>
  </si>
  <si>
    <t>Manager Administration Transport</t>
  </si>
  <si>
    <t>BIGWAY PVT LTD</t>
  </si>
  <si>
    <t>Production systems, analytical reporting and decision support</t>
  </si>
  <si>
    <t>Operational use of production management software, ERP or manufacturing modules, spreadsheets, MIS or reporting tools to record output, analyze performance, manage production data and support decisions.</t>
  </si>
  <si>
    <t>Senior transport/fleet leadership, route planning, driver supervision, budgets, logistics, large-team management and operational control.</t>
  </si>
  <si>
    <t>No demonstrated LIMO/chauffeur service model, US customers, chauffeur reservations, affiliate/farm-out operations, or limo booking platforms.</t>
  </si>
  <si>
    <t>Strong evidence shows regular hands-on use of named systems or advanced reporting tools for planning, analysis and management decisions. Moderate evidence includes competent use of ERP or spreadsheets for routine production reporting. Weak evidence includes software names listed without context or only basic office-tool familiarity.</t>
  </si>
  <si>
    <t>Strong transportation leader but direct client-required limo/chauffeur and US-market experience is missing.</t>
  </si>
  <si>
    <t>Tool names should score only when operational use is evidenced. Specific software brands are not required by the JD.</t>
  </si>
  <si>
    <t>Export management experience and end-to-end ownership</t>
  </si>
  <si>
    <t>At least five years of export management experience, with responsibility for international orders from buyer engagement and production coordination through documentation, customs clearance, shipment and delivery. CV should show role dates, level of ownership, export markets, shipment volume or value, and results where available.</t>
  </si>
  <si>
    <t>Strong evidence: 5+ recent years directly managing end-to-end exports at manager level, preferably for food or FMCG products, with measurable delivery, revenue or process results. Moderate evidence: 5+ years in export operations but with limited strategic or commercial ownership. Weak evidence: domestic logistics, import-only work, freight forwarding support or less than five years of relevant export experience.</t>
  </si>
  <si>
    <t>The JD explicitly requires a minimum of five years of enriched experience. Do not treat general supply chain, domestic sales or import experience as equivalent. The five-year threshold should be applied to substantively relevant export work, not merely the candidate's total career length.</t>
  </si>
  <si>
    <t>Confectionery and perishable food export domain knowledge</t>
  </si>
  <si>
    <t>Original assessment: Hold / Backup. Qualitative Must-Have Fit: Fail on direct LIMO/US requirement.</t>
  </si>
  <si>
    <t>CAND-005</t>
  </si>
  <si>
    <t>Experience or clearly demonstrated knowledge involving confectionery, sweets, bakery products or closely comparable perishable food items, including shelf-life constraints, food-safe handling, packaging, storage, labeling and export-market requirements.</t>
  </si>
  <si>
    <t>Fakhra Sikander</t>
  </si>
  <si>
    <t>Strong evidence: direct export responsibility for confectionery, bakery or other shelf-life-sensitive foods across multiple markets. Moderate evidence: export experience in closely related packaged food, dairy, frozen or perishable categories with clear handling and food-safety exposure. Weak evidence: non-food exports or generic FMCG experience without evidence of perishable-product requirements.</t>
  </si>
  <si>
    <t>+92 322 4720240</t>
  </si>
  <si>
    <t>fakhramunir@hotmail.com</t>
  </si>
  <si>
    <t>Generic FMCG exposure is not automatically equivalent to confectionery or perishable food knowledge. Closely related food categories may be accepted only where the CV demonstrates relevant shelf-life, handling, packaging or food-safety complexity.</t>
  </si>
  <si>
    <t>Call Center Manager</t>
  </si>
  <si>
    <t>3D Lifestyle</t>
  </si>
  <si>
    <t>Johar Town, Lahore</t>
  </si>
  <si>
    <t>International market development and export strategy</t>
  </si>
  <si>
    <t>Export Manager.docx</t>
  </si>
  <si>
    <t>Evidence of researching and selecting export markets, analyzing market trends, setting international sales targets, adapting product mix or route-to-market strategy, appointing distributors or agents, acquiring high-value clients, and entering new countries. International trade show participation and resulting leads or business should also count.</t>
  </si>
  <si>
    <t>Operations management, KPI leadership, CRM optimization, recruitment/training, QA, escalations and customer-service leadership.</t>
  </si>
  <si>
    <t>No direct transportation, LIMO/chauffeur, dispatch-industry, affiliate/farm-out or US limo operations experience.</t>
  </si>
  <si>
    <t>Strong evidence: owned export strategy and delivered measurable entry into new markets, client acquisition or export sales growth. Moderate evidence: contributed to market research or distributor development but did not own targets or strategy. Weak evidence: generic international sales claims without named markets, strategic actions or outcomes.</t>
  </si>
  <si>
    <t>Good service-operations leader but fails the position's core industry requirement.</t>
  </si>
  <si>
    <t>Existing export order handling alone does not demonstrate market-development capability. Trade show attendance should score meaningfully only when the candidate's commercial role or outcomes are evident.</t>
  </si>
  <si>
    <t>Trade compliance, food safety and export documentation</t>
  </si>
  <si>
    <t>Hands-on responsibility for destination-country import rules, customs requirements, food safety standards, product and labeling compliance, certificates and accurate export documentation. Relevant evidence may include commercial invoices, packing lists, certificates of origin, bills of lading or airway bills, health certificates, customs submissions and letters of credit documentation.</t>
  </si>
  <si>
    <t>Strong evidence: accountable for compliant food exports across multiple countries, including audit-ready documentation and resolution of customs or regulatory issues. Moderate evidence: prepared standard export documents under supervision or worked with brokers on compliance. Weak evidence: only general awareness of trade rules or documentation listed without operational use.</t>
  </si>
  <si>
    <t>Documentation experience should not be inferred from an export-related job title alone. General customs knowledge is less relevant than demonstrated application to food exports and destination-country requirements.</t>
  </si>
  <si>
    <t>d43bc043002d670e98a0106f82a1dc472352261b73bd4103d12d0b2b529a9be0</t>
  </si>
  <si>
    <t>Qualitative Must-Have Fit: Fail. Latest strict Ref #001 decision: Reject.</t>
  </si>
  <si>
    <t>Export logistics, freight and delivery optimization</t>
  </si>
  <si>
    <t>CAND-006</t>
  </si>
  <si>
    <t>004</t>
  </si>
  <si>
    <t>Qaisar Khalid</t>
  </si>
  <si>
    <t>Coordination of production schedules, shipping plans, freight forwarders, carriers and customs brokers; selection of transport modes and routes; management of shipment timelines; and optimization of freight cost, reliability and product integrity for perishable or shelf-life-sensitive goods.</t>
  </si>
  <si>
    <t>0321-6517101</t>
  </si>
  <si>
    <t>qasir.khalid08@gmail.com</t>
  </si>
  <si>
    <t>Strong evidence: end-to-end control of complex international food shipments with measurable improvements in cost, lead time, on-time delivery or loss reduction. Moderate evidence: regular shipment coordination without clear optimization authority. Weak evidence: domestic transportation only or administrative tracking with no ownership of international delivery performance.</t>
  </si>
  <si>
    <t>Warehouse &amp; Logistic Operation Lead</t>
  </si>
  <si>
    <t>SWAT Agro Chemicals</t>
  </si>
  <si>
    <t>Generic logistics experience is transferable but not equivalent to export logistics. Give additional credit for temperature, shelf-life, packaging or time-sensitive delivery constraints where evidenced.</t>
  </si>
  <si>
    <t>Faisalabad</t>
  </si>
  <si>
    <t>Procurement Executive (Factory)</t>
  </si>
  <si>
    <t>Commercial negotiations, budgeting and international trade risk</t>
  </si>
  <si>
    <t>Logistics operations, staff supervision, budgets, vendors, warehousing and coordination with truck drivers/dispatchers.</t>
  </si>
  <si>
    <t>Background is warehouse/supply-chain logistics, not US LIMO/chauffeur service management; no limo systems or affiliate network evidence.</t>
  </si>
  <si>
    <t>Transferable operations background only; direct client-required domain fit is weak.</t>
  </si>
  <si>
    <t>Negotiation of export contracts, pricing, payment terms and distributor or buyer agreements; management of export budgets and margins; and mitigation of foreign exchange, credit, political, transportation or payment risks. Evidence of working with finance on currency exposure or international payment instruments is relevant.</t>
  </si>
  <si>
    <t>Strong evidence: owned high-value international negotiations and export profitability, with quantified contract, margin, cost or risk outcomes. Moderate evidence: participated in pricing and contracts or monitored budgets without final authority. Weak evidence: sales support or invoice processing with no negotiation, budget or risk responsibility.</t>
  </si>
  <si>
    <t>Routine quotation preparation should not be treated as contract-negotiation ownership. Foreign currency invoicing alone does not demonstrate foreign exchange risk management.</t>
  </si>
  <si>
    <t>Original assessment: Not Preferred / Hold. Qualitative Must-Have Fit: Fail / Transferable.</t>
  </si>
  <si>
    <t>https://docs.google.com/document/d/1ajXMUauVPWAzTwo9Bg6GJGxwT_KhfKet/edit?usp=drivesdk&amp;ouid=100269677063860344655&amp;rtpof=true&amp;sd=true</t>
  </si>
  <si>
    <t>CAND-007</t>
  </si>
  <si>
    <t>Shahid Iqbal</t>
  </si>
  <si>
    <t>+92 345 4480810 / +92 315 9614787</t>
  </si>
  <si>
    <t>shahed08@gmail.com</t>
  </si>
  <si>
    <t>Founder &amp; Operations Manager</t>
  </si>
  <si>
    <t>Independent Retail &amp; Production Unit</t>
  </si>
  <si>
    <t>Bahawalnagar</t>
  </si>
  <si>
    <t>22+ years operations leadership, P&amp;L ownership, KPI setting, vendor/partner negotiation, multi-department coordination and team management.</t>
  </si>
  <si>
    <t>Documented experience is manufacturing, supply chain and retail/production rather than LIMO/chauffeur operations or US customer service.</t>
  </si>
  <si>
    <t>Highly capable operations leader, but the CV does not prove the mandatory direct limo/chauffeur and US-market experience.</t>
  </si>
  <si>
    <t>1dbac5440e423cfeb1b7a95799785e99a4e9c28853b89d9d34c6139cbe6e40df</t>
  </si>
  <si>
    <t>005</t>
  </si>
  <si>
    <t>HR Ways</t>
  </si>
  <si>
    <t>Original assessment: Hold / Not Preferred. CV headline should not be treated as proof of ground-transport domain experience.</t>
  </si>
  <si>
    <t>B2B Sales Executive – US IT Staffing</t>
  </si>
  <si>
    <t>Karachi</t>
  </si>
  <si>
    <t>CAND-008</t>
  </si>
  <si>
    <t>Ali Mahmood Qureshi</t>
  </si>
  <si>
    <t>+92 341 4333338</t>
  </si>
  <si>
    <t>ali_mahmood22@hotmail.com</t>
  </si>
  <si>
    <t>Head of Customer Success</t>
  </si>
  <si>
    <t>10+ years global B2B customer success, US-market enterprise exposure, 50+ team leadership, SLA/KPI ownership, revenue growth and escalation management.</t>
  </si>
  <si>
    <t>No direct chauffeur/limo operating experience, reservations, chauffeur dispatch, affiliate/farm-out network or limo systems.</t>
  </si>
  <si>
    <t>Strong US customer and service-delivery leadership but lacks the core LIMO/chauffeur operational requirement.</t>
  </si>
  <si>
    <t>https://drive.google.com/file/d/1el2PZ9t_qn36A1jZtAIPx43xNmnkYhai/view?usp=drivesdk</t>
  </si>
  <si>
    <t>Last documented employer: IP Global (role ended May 2026). Original assessment: Hold / Backup.</t>
  </si>
  <si>
    <t>CAND-009</t>
  </si>
  <si>
    <t>Hira Iqbal Ghaznavi</t>
  </si>
  <si>
    <t>0321-4076912</t>
  </si>
  <si>
    <t>hiraiqbal657@gmail.com</t>
  </si>
  <si>
    <t>Senior Sales Consultant</t>
  </si>
  <si>
    <t>60 Minute Limo</t>
  </si>
  <si>
    <t>Direct premium chauffeured ground-transportation exposure; 8+ years across dispatch/logistics/operations; led 30+ dispatch/customer-support staff; KPI/reporting systems; vendor contracts; corporate-account operations; Limo Anywhere, Moovs, Santa Cruz, GNet and related dispatch platforms.</t>
  </si>
  <si>
    <t>International client, distributor and service-provider relationship management</t>
  </si>
  <si>
    <t>Explicit US-customer/US-market responsibility is still not evidenced in the CV. Full GM-level P&amp;L ownership, affiliate rate/margin strategy, and oversight of marketing/SEO/development functions should also be validated.</t>
  </si>
  <si>
    <t>Strong Ref #001 fit with direct premium chauffeur-industry exposure, dispatch/logistics leadership, 30+ team management and extensive ground-transportation systems knowledge. Must-Have remains Partial only because explicit US-market exposure is not documented; interview validation is required.</t>
  </si>
  <si>
    <t>0eff71ba095c0c1c18b3e5cee51cd37db5c01751de7724965881f7e5399724aa</t>
  </si>
  <si>
    <t>Management of international buyers, agents, distributors, logistics providers and customs brokers, including client queries, complaint resolution, after-sales support, escalations and ongoing account development. Evidence should clarify seniority of contacts and the candidate's direct role.</t>
  </si>
  <si>
    <t>Strong evidence: personally managed a diverse international stakeholder portfolio, resolved material service issues and retained or expanded accounts. Moderate evidence: regular coordination with international clients or service providers but limited account ownership. Weak evidence: internal coordination only or generic claims of communication skills without relationship outcomes.</t>
  </si>
  <si>
    <t>Do not award high scores solely for statements such as 'excellent communication skills.' Look for actual external stakeholder ownership, difficult issue resolution and commercial or service outcomes.</t>
  </si>
  <si>
    <t>Relevant education, analytical capability and travel readiness</t>
  </si>
  <si>
    <t>Assessment reconfirmed against uploaded CV on 2026-09-26. Existing ATS score and Shortlist decision retained; explicit US-market exposure remains the key validation point.</t>
  </si>
  <si>
    <t>Hira Iqbal Ghaznavi.pdf</t>
  </si>
  <si>
    <t>CAND-010</t>
  </si>
  <si>
    <t>Degree, diploma or professional training relevant to export management, international trade, business, supply chain or a related field; examples of analytical problem-solving in export operations; and any evidence of international travel, trade show participation or stated willingness to travel.</t>
  </si>
  <si>
    <t>Ahmad Fraz</t>
  </si>
  <si>
    <t>+92 318 6088030</t>
  </si>
  <si>
    <t>Strong evidence: relevant formal education or recognized trade training, supported by examples of data-based decisions and regular international travel. Moderate evidence: adjacent education with demonstrated practical analytical ability. Weak evidence: no relevant education or training and only unsupported claims of analytical skill. Absence of travel information should remain unverified rather than automatically scored as refusal.</t>
  </si>
  <si>
    <t>ahmadfraz090802@gmail.com</t>
  </si>
  <si>
    <t>Operations Associate</t>
  </si>
  <si>
    <t>The JD does not specify an exact degree, institution or certification, so none should be imposed. Travel availability should be confirmed by the recruiter because CVs often do not state it.</t>
  </si>
  <si>
    <t>EDKASA Pvt. Ltd.</t>
  </si>
  <si>
    <t>Mandatory supply chain education</t>
  </si>
  <si>
    <t>Fleet dispatch, route optimization, driver incentives, vendor/maintenance coordination, KPI dashboards and team leadership.</t>
  </si>
  <si>
    <t>A completed bachelor's degree specifically in Supply Chain Management, clearly listed under the candidate's education.</t>
  </si>
  <si>
    <t>Delivery/logistics fleet experience is transferable but not LIMO/chauffeur service management; no US limo customers, affiliate/farm-out or limo platforms.</t>
  </si>
  <si>
    <t>Solid logistics operator, but direct client-required limo/chauffeur and US-market evidence is missing.</t>
  </si>
  <si>
    <t>Strong evidence is an explicitly named bachelor's degree in Supply Chain Management. A closely related bachelor's degree may demonstrate relevant knowledge but does not satisfy the JD's exact mandatory wording. Weak or absent evidence includes short courses, certifications without a bachelor's degree, or an unrelated degree.</t>
  </si>
  <si>
    <t>The JD uses 'must have' and specifies both the degree level and field. Do not assume equivalence from job experience alone; any acceptance of related degrees requires recruiter approval.</t>
  </si>
  <si>
    <t>Minimum experience and manufacturing-domain relevance</t>
  </si>
  <si>
    <t>At least five years of clearly dated production management experience. Additional evidence of work in sweets, bakery, food processing or a comparable perishable/FMCG manufacturing environment should be identified separately.</t>
  </si>
  <si>
    <t>Highest scores require five or more recent years in production management combined with sweets, bakery or food-manufacturing exposure. Mid-level scores apply to five years in another manufacturing sector or a mix of production and procurement responsibility. Low scores apply where experience is shorter, non-manufacturing, or limited to administrative purchasing. Failure to evidence five years of production management does not satisfy the JD as written.</t>
  </si>
  <si>
    <t>The JD explicitly says 'production management,' despite the position being procurement-focused. Do not silently replace this with five years of procurement experience. Sweets and bakery experience is preferred, not mandatory.</t>
  </si>
  <si>
    <t>Supplier sourcing, relationship management and market intelligence</t>
  </si>
  <si>
    <t>Direct responsibility for identifying and evaluating suppliers, obtaining quotations, maintaining supplier relationships, monitoring supplier performance, developing alternatives and researching market prices or material trends.</t>
  </si>
  <si>
    <t>Original strict assessment: Hold / Not Preferred. Qualitative Must-Have Fit: Fail / Transferable.</t>
  </si>
  <si>
    <t>Strong evidence shows end-to-end supplier ownership, structured supplier evaluation, alternative-source development and measurable improvements in reliability or pricing. Moderate evidence shows routine supplier communication and quotation collection with limited decision authority. Weak evidence is confined to processing purchase requests or following an established supplier list.</t>
  </si>
  <si>
    <t>CAND-011</t>
  </si>
  <si>
    <t>General vendor communication should not be treated as strategic supplier relationship management unless sourcing, evaluation or performance ownership is evident.</t>
  </si>
  <si>
    <t>Engr. Muhammad Arslan Ali</t>
  </si>
  <si>
    <t>+92-301-4387281</t>
  </si>
  <si>
    <t>Commercial negotiation, contracting and cost optimization</t>
  </si>
  <si>
    <t>arslanalite20@gmail.com</t>
  </si>
  <si>
    <t>Logistics Manager (Logistics &amp; Operations)</t>
  </si>
  <si>
    <t>Alfatah Shopping Mall - Warehouse Lahore</t>
  </si>
  <si>
    <t>8+ years passenger transport/fleet operations, public transit, SLA/KPI management, outsourced operators, scheduling, vendor coordination and safety.</t>
  </si>
  <si>
    <t>No commercial LIMO/chauffeur operations, US customer handling, affiliate/farm-out network, reservations or limo-specific platforms.</t>
  </si>
  <si>
    <t>Strong passenger-transport professional but not a direct match for the US LIMO/chauffeur service model.</t>
  </si>
  <si>
    <t>Negotiation of prices, payment terms, bulk-purchase arrangements or long-term supply contracts, supported where possible by cost savings, cost avoidance, favorable terms or continuity-of-supply outcomes.</t>
  </si>
  <si>
    <t>High scores require direct negotiation authority, contract involvement and quantified savings or improved commercial terms. Moderate scores apply to participation in negotiations without final ownership or results. Low scores apply to purchase-order administration with no evidence of negotiation, contracting or cost analysis.</t>
  </si>
  <si>
    <t>Claims of cost reduction should be supported by figures, percentages, spend categories or specific commercial outcomes where available.</t>
  </si>
  <si>
    <t>Inventory planning, replenishment and logistics coordination</t>
  </si>
  <si>
    <t>Monitoring stock levels, setting or managing reorder activity, preventing shortages and overstocking, coordinating supplier deliveries and working with stores, production or logistics teams to maintain material availability.</t>
  </si>
  <si>
    <t>Strong evidence demonstrates ownership of inventory availability, reorder controls, delivery performance and measurable reductions in stockouts, excess inventory, lead times or freight costs. Moderate evidence shows regular coordination and monitoring without planning authority. Weak evidence is limited to data entry, dispatch follow-up or isolated purchasing tasks.</t>
  </si>
  <si>
    <t>Warehouse or logistics experience is transferable but is not equivalent to procurement inventory ownership unless replenishment and supplier coordination are demonstrated.</t>
  </si>
  <si>
    <t>Raw-material quality and food-safety compliance</t>
  </si>
  <si>
    <t>Experience ensuring purchased raw materials meet specifications and relevant health, safety, quality or food-safety requirements, including coordination with quality teams, supplier documentation, inspections, audits or corrective actions. Sustainable or eco-friendly sourcing should also be noted.</t>
  </si>
  <si>
    <t>High scores require direct procurement-related quality controls in food, bakery or another regulated manufacturing environment. Moderate scores apply to quality coordination in non-food manufacturing. Low scores apply where quality is mentioned only generically or where the candidate had no role in supplier/material compliance.</t>
  </si>
  <si>
    <t>Do not infer food-safety knowledge solely from employment at a food company; the CV should show involvement with material standards, compliance documents, inspections or quality issues. Sustainability is beneficial but not mandatory.</t>
  </si>
  <si>
    <t>Procurement systems, reporting and audit-ready records</t>
  </si>
  <si>
    <t>Re-evaluated under stricter Ref #001 criteria. Qualitative Must-Have Fit: Fail on core requirement.</t>
  </si>
  <si>
    <t>Operational use of procurement, ERP, inventory or purchase-management software, plus preparation or analysis of purchase reports, inventory reports, supplier records, contracts and transaction documentation for management or audit purposes.</t>
  </si>
  <si>
    <t>Strong evidence includes named systems used for purchase orders, inventory, supplier data and analytical reporting, with examples of reports or controls owned. Moderate evidence shows competent ERP or spreadsheet use but limited reporting ownership. Weak evidence consists of generic claims such as 'computer proficient' without procurement-system application.</t>
  </si>
  <si>
    <t>Tool names should score only when operational use is described. Basic Microsoft Office exposure alone is not equivalent to proficiency in procurement management software.</t>
  </si>
  <si>
    <t>CAND-012</t>
  </si>
  <si>
    <t>Cross-functional leadership and procurement decision-making</t>
  </si>
  <si>
    <t>Muhammad Ameer Hamza</t>
  </si>
  <si>
    <t>+92 3000987027</t>
  </si>
  <si>
    <t>Examples of leading or coordinating procurement activities across suppliers, production, quality, stores and logistics; resolving supply problems; prioritizing urgent requirements; and making evidence-based purchasing decisions.</t>
  </si>
  <si>
    <t>humzabutt419@yahoo.com</t>
  </si>
  <si>
    <t>Retired Captain</t>
  </si>
  <si>
    <t>High scores require ownership of complex supply issues, leadership of staff or cross-functional initiatives and clear results. Moderate scores apply to independent coordination and routine problem-solving without formal leadership. Low scores apply where duties were closely supervised or no decisions, escalations or stakeholder coordination are evidenced.</t>
  </si>
  <si>
    <t>A formal manager title is not required, but generic statements about communication or teamwork should not score highly without concrete procurement-related examples.</t>
  </si>
  <si>
    <t>Pakistan Army (Retired)</t>
  </si>
  <si>
    <t>OSYNIX ATS MASTER TRACKER</t>
  </si>
  <si>
    <t>Pakistan</t>
  </si>
  <si>
    <t>Full-cycle B2B sales ownership and closing experience</t>
  </si>
  <si>
    <t>TALENT POOL</t>
  </si>
  <si>
    <t>Total Profiles</t>
  </si>
  <si>
    <t>At least 3 years of B2B sales or business development experience with direct ownership from prospect identification and discovery through proposal, negotiation, contract execution, and closed business. Evidence should show acquisition of new client accounts rather than appointment setting, lead generation, telemarketing, customer support, or B2C sales alone.</t>
  </si>
  <si>
    <t>Strong evidence includes 3–5+ recent years as a hunter/closer, independent ownership of the complete sales cycle, and examples of signed clients or contracts. Moderate evidence includes B2B selling with some closing responsibility but shared ownership or limited detail. Weak evidence includes only lead generation, appointment setting, account support, inbound sales, B2C sales, or no demonstrated closing responsibility.</t>
  </si>
  <si>
    <t>The JD explicitly defines this as a full-cycle client-acquisition role. Lead-generation-only or appointment-setting experience is not equivalent, even when the candidate has high outbound activity.</t>
  </si>
  <si>
    <t>Proven sales exposure to US-based companies</t>
  </si>
  <si>
    <t>Commissioned leadership, logistics, administration, crisis response, workforce planning and management of 700+ personnel.</t>
  </si>
  <si>
    <t>Selected Ref #</t>
  </si>
  <si>
    <t>No commercial LIMO/chauffeur operations, US customer handling, reservations/dispatch, affiliate/farm-out or limo software.</t>
  </si>
  <si>
    <t>Strong command and operations background, but not relevant enough to the client-specific chauffeur industry requirement.</t>
  </si>
  <si>
    <t>Direct experience selling services to US-based businesses and engaging US decision-makers such as founders, executives, CTOs/CIOs, HR or talent acquisition leaders, hiring managers, and procurement or vendor managers.</t>
  </si>
  <si>
    <t>Strong evidence shows repeated, recent acquisition of US business clients and direct ownership of US sales conversations and deals. Moderate evidence shows meaningful US-market selling but limited closing evidence or only partial ownership. Weak evidence consists of general international sales, non-US markets, candidate recruitment without client sales, or internal support for a US sales team.</t>
  </si>
  <si>
    <t>International exposure does not automatically establish US-market sales experience. The CV should identify US clients, territory, working hours, or comparable evidence of direct US-facing commercial activity.</t>
  </si>
  <si>
    <t>US IT staffing and recruitment commercial expertise</t>
  </si>
  <si>
    <t>Experience selling IT staffing, IT recruitment, professional staffing, or closely related technology services. Preferred evidence includes knowledge of contract staffing, contract-to-hire, direct hire, W2, C2C, 1099, MSP/VMS, direct-client hiring, placement fees, markups, and staffing or recruitment agreements.</t>
  </si>
  <si>
    <t>Strong evidence includes direct US IT staffing sales with client acquisition, job-order generation, staffing model knowledge, and signed agreements. Good transferable evidence includes selling IT recruitment, software development, managed IT, IT consulting, or B2B technology services to US clients. Weak evidence includes recruiting candidates without selling to employers, non-IT staffing only, or unrelated product sales.</t>
  </si>
  <si>
    <t>US IT staffing sales is strongly preferred rather than explicitly mandatory. Recruiting or sourcing candidates is not equivalent to selling staffing services and acquiring client requisitions.</t>
  </si>
  <si>
    <t>Active Profiles</t>
  </si>
  <si>
    <t>Outbound prospecting and decision-maker access</t>
  </si>
  <si>
    <t>Hands-on use of cold calling, cold email, LinkedIn outreach, follow-up sequences, networking, and prospect research to build targeted US account lists and reach relevant decision-makers. Evidence may include use of LinkedIn Sales Navigator, Apollo, ZoomInfo, company research, or similar tools.</t>
  </si>
  <si>
    <t>Strong evidence shows sustained multichannel outbound prospecting, self-generated pipeline, senior decision-maker access, and conversion into qualified meetings or opportunities. Moderate evidence shows outbound activity but limited ownership of targeting or conversion. Weak evidence includes inbound-only sales, generic telemarketing, database calling without qualification, or tool names with no demonstrated use.</t>
  </si>
  <si>
    <t>Tool names should score only when operational use is evidenced. High call or email volume alone should not score highly without qualified conversations, meetings, opportunities, or clients.</t>
  </si>
  <si>
    <t>Quantified sales performance and KPI delivery</t>
  </si>
  <si>
    <t>Qualitative Must-Have Fit: Fail. VIP movement experience was security-related, not commercial chauffeur service delivery.</t>
  </si>
  <si>
    <t>Measurable outcomes such as qualified meetings, new client accounts, job orders, signed clients, closed deals, pipeline value, conversion rates, revenue, quota attainment, or growth. Relevant benchmarks in the JD include 10–15+ qualified meetings and 2–3 new client accounts per month.</t>
  </si>
  <si>
    <t>Strong evidence includes recent and verifiable performance against client-acquisition or revenue targets, ideally meeting or exceeding comparable benchmarks. Moderate evidence includes some metrics but unclear targets, attribution, or consistency. Weak evidence provides only activity counts, unsupported claims of success, or no commercial results.</t>
  </si>
  <si>
    <t>Activity metrics should not substitute for outcomes. Give greater credit to personally attributable results, repeated performance, and signed or revenue-producing business.</t>
  </si>
  <si>
    <t>CAND-013</t>
  </si>
  <si>
    <t>Commercial negotiation, objection handling, and contracting</t>
  </si>
  <si>
    <t>Muhammad Khalid</t>
  </si>
  <si>
    <t>923006231094</t>
  </si>
  <si>
    <t>khalidrafiq0088@gmail.com</t>
  </si>
  <si>
    <t>Experience conducting discovery, presenting services, handling objections about pricing, candidate quality, guarantees, staffing models, or competition, and negotiating rates, terms, contracts, MSAs, or service agreements.</t>
  </si>
  <si>
    <t>Factory Manager</t>
  </si>
  <si>
    <t>Strong evidence shows authority to negotiate commercial terms and close signed agreements with business clients. Moderate evidence shows proposal and objection-handling experience but limited contracting authority. Weak evidence includes scripted pitching, escalation of all commercial discussions, or no involvement after meeting qualification.</t>
  </si>
  <si>
    <t>Dura Flow Pvt. Ltd.</t>
  </si>
  <si>
    <t>General communication or relationship-building should not be treated as evidence of negotiation. Look for specific ownership of rates, terms, proposals, contracts, or signed agreements.</t>
  </si>
  <si>
    <t>Chishtian, Bahawalnagar</t>
  </si>
  <si>
    <t>Client account growth and repeat business</t>
  </si>
  <si>
    <t>Post-sale ownership of client relationships, identification of future hiring needs, generation of additional job orders, upselling or cross-selling, and development of repeat business after onboarding.</t>
  </si>
  <si>
    <t>Strong evidence includes measurable expansion of existing accounts, recurring requisitions, renewals, or increased revenue. Moderate evidence shows regular client management without quantified growth. Weak evidence includes only handoff after sale or customer support with no commercial ownership.</t>
  </si>
  <si>
    <t>Customer service alone is not equivalent to account growth. Credit should depend on commercial responsibility for repeat business or additional job orders.</t>
  </si>
  <si>
    <t>Archived / DNC</t>
  </si>
  <si>
    <t>General management, production planning, budgets, teams, cost control, quality and cross-functional manufacturing operations.</t>
  </si>
  <si>
    <t>CRM, pipeline management, and sales reporting</t>
  </si>
  <si>
    <t>Avg. ATS Match</t>
  </si>
  <si>
    <t>No LIMO/chauffeur service management, US customer operations, dispatch/reservations, affiliate/farm-out or limo systems.</t>
  </si>
  <si>
    <t>Credible general manager in manufacturing, but no alignment with the mandatory chauffeur/limo domain.</t>
  </si>
  <si>
    <t>Operational use of CRM systems to record prospects, calls, meetings, opportunities, proposals, job orders, clients, and closed deals; manage sales stages; maintain follow-ups; and report pipeline and performance metrics.</t>
  </si>
  <si>
    <t>Strong evidence includes disciplined ownership of a complete CRM pipeline, forecasting, stage management, and regular KPI reporting. Moderate evidence includes routine CRM use without forecasting or reporting ownership. Weak evidence includes only generic software familiarity, spreadsheets without pipeline discipline, or tool names with no described use.</t>
  </si>
  <si>
    <t>Do not award substantial credit merely because a CRM is listed in a skills section. Evidence should show how it was used to manage opportunities and report results.</t>
  </si>
  <si>
    <t>English fluency, independent working ability, and US-hours availability</t>
  </si>
  <si>
    <t>Evidence of professional English communication with US clients, independent remote or offshore sales execution, and willingness or prior experience working Monday–Friday during US business hours.</t>
  </si>
  <si>
    <t>Strong evidence includes regular English-language sales calls with US stakeholders and sustained work on a US-aligned shift. Moderate evidence includes strong international client communication but no explicit schedule information. Explicit inability to communicate professionally in English or work US hours fails the criterion.</t>
  </si>
  <si>
    <t>Absence of schedule information on a CV should be flagged for recruiter verification rather than treated as confirmed unwillingness. The knockout applies where the candidate explicitly cannot meet the US-hours requirement or lacks the necessary English sales communication capability.</t>
  </si>
  <si>
    <t>Qualitative Must-Have Fit: Fail. Current role stated as Factory Manager.</t>
  </si>
  <si>
    <t>Position Summary</t>
  </si>
  <si>
    <t>CAND-014</t>
  </si>
  <si>
    <t>Kumail Naqvi</t>
  </si>
  <si>
    <t>+92 312 044 1931</t>
  </si>
  <si>
    <t>syedkaimy@gmail.com</t>
  </si>
  <si>
    <t>Count</t>
  </si>
  <si>
    <t>Business Development &amp; Sales Operations Manager</t>
  </si>
  <si>
    <t>%</t>
  </si>
  <si>
    <t>US-based freight dispatch experience in Houston; load booking, rate negotiation, driver scheduling, route planning, CRM/load boards and dispatcher supervision.</t>
  </si>
  <si>
    <t>Experience is US freight/trucking logistics, not limousine/chauffeur service management; no limo reservations, premium passenger service, affiliate/farm-out or limo platforms.</t>
  </si>
  <si>
    <t>US dispatch exposure is useful and stronger than generic logistics, but the transportation vertical does not meet the core limo/chauffeur requirement.</t>
  </si>
  <si>
    <t>Last documented role: Head of Sales, Communications &amp; Business Operations, LEXTON Logistics LLC (ended Jun 2026).</t>
  </si>
  <si>
    <t>CAND-015</t>
  </si>
  <si>
    <t>Rana Rashid Ali Sadiq</t>
  </si>
  <si>
    <t>03207789165</t>
  </si>
  <si>
    <t>rashidrana165@gmail.com</t>
  </si>
  <si>
    <t>Assistant Manager Workshop</t>
  </si>
  <si>
    <t>Veda Transit Solution (Metro Bus Service)</t>
  </si>
  <si>
    <t>Township, Lahore</t>
  </si>
  <si>
    <t>Fleet/workshop leadership, route and transport management, maintenance strategy, driver performance, public transport and aviation fleet exposure.</t>
  </si>
  <si>
    <t>No limousine/chauffeur service operations, US customers, reservations, affiliate/farm-out or limo platforms.</t>
  </si>
  <si>
    <t>Strong fleet and workshop profile but only transferable to the client-specific limo/chauffeur model.</t>
  </si>
  <si>
    <t>Original assessment: Hold / Not Preferred. Qualitative Must-Have Fit: Fail.</t>
  </si>
  <si>
    <t>CAND-016</t>
  </si>
  <si>
    <t>Iftikhar Ahmed</t>
  </si>
  <si>
    <t>+92 321 2886797</t>
  </si>
  <si>
    <t>iftikharahmed0670@gmail.com</t>
  </si>
  <si>
    <t>Operations Excellence Manager</t>
  </si>
  <si>
    <t>Orange Line Metro Rail Transit System</t>
  </si>
  <si>
    <t>23+ years operational excellence, metro passenger operations, fleet/workshop management, KPIs, vendors, audits, safety and continuous improvement.</t>
  </si>
  <si>
    <t>No commercial LIMO/chauffeur operations, US customers, affiliate/farm-out, reservations or limo systems.</t>
  </si>
  <si>
    <t>Senior operations professional, but industry fit to US chauffeur/limo services is insufficient.</t>
  </si>
  <si>
    <t>Original assessment label: Not Preferred. Stored as Hold to preserve non-final rejection status.</t>
  </si>
  <si>
    <t>CAND-017</t>
  </si>
  <si>
    <t>Muhammad Kashif Iqbal</t>
  </si>
  <si>
    <t>+92 317 7184901</t>
  </si>
  <si>
    <t>Kashif.iqbal5987@gmail.com</t>
  </si>
  <si>
    <t>Manager Operations</t>
  </si>
  <si>
    <t>Imperial Venture</t>
  </si>
  <si>
    <t>Field operations, route management, driver productivity, SOPs, safety/HSE, reporting and waste-transport coordination.</t>
  </si>
  <si>
    <t>No chauffeur/limo business, US customer operations, premium passenger service, affiliate/farm-out or limo dispatch systems.</t>
  </si>
  <si>
    <t>Operational exposure is in waste management/HSE and does not meet Ref #001 core domain requirements.</t>
  </si>
  <si>
    <t>Qualitative Must-Have Fit: Fail.</t>
  </si>
  <si>
    <t>CAND-018</t>
  </si>
  <si>
    <t>Nauman Atique</t>
  </si>
  <si>
    <t>+92 305 8215553 / +92 326 0590127</t>
  </si>
  <si>
    <t>rananaumanatique@gmail.com</t>
  </si>
  <si>
    <t>DM Operations</t>
  </si>
  <si>
    <t>Sindh Solid Waste Management Board | Endurance Environment</t>
  </si>
  <si>
    <t>10+ years operations/fleet management, route planning, vehicle deployment, vendor/contractor management, cost control and field-team leadership.</t>
  </si>
  <si>
    <t>Experience is municipal/healthcare waste and environmental services; no LIMO/chauffeur or US-client operations.</t>
  </si>
  <si>
    <t>Strong fleet-management capability but the core industry requirement is absent.</t>
  </si>
  <si>
    <t>Current / Latest Designation</t>
  </si>
  <si>
    <t>Current / Latest Company</t>
  </si>
  <si>
    <t>Primary Function</t>
  </si>
  <si>
    <t>Secondary Function / Specialization</t>
  </si>
  <si>
    <t>Industries / Domains</t>
  </si>
  <si>
    <t>Core Skills</t>
  </si>
  <si>
    <t>Systems / Tools</t>
  </si>
  <si>
    <t>Geographic / Market Exposure</t>
  </si>
  <si>
    <t>Career Profile Summary</t>
  </si>
  <si>
    <t>First Screened Date</t>
  </si>
  <si>
    <t>Last Assessed Date</t>
  </si>
  <si>
    <t>Ref #s Assessed Against</t>
  </si>
  <si>
    <t>Assessment Count</t>
  </si>
  <si>
    <t>Latest Decision</t>
  </si>
  <si>
    <t>Latest Recruitment Stage</t>
  </si>
  <si>
    <t>Source CV / File</t>
  </si>
  <si>
    <t>Talent Pool Notes</t>
  </si>
  <si>
    <t>Professional Summary</t>
  </si>
  <si>
    <t>Employment / Career History</t>
  </si>
  <si>
    <t>Education</t>
  </si>
  <si>
    <t>UX/UI Design &amp; Frontend</t>
  </si>
  <si>
    <t>Creative / Digital Projects</t>
  </si>
  <si>
    <t>Technology / Digital</t>
  </si>
  <si>
    <t>UX/UI design; frontend development; graphic design; project coordination; marketing exposure</t>
  </si>
  <si>
    <t>Qualitative Must-Have Fit: Fail. Direct chauffeur/limo evidence absent.</t>
  </si>
  <si>
    <t>Creative/technical profile with UI/UX, frontend and some project/marketing exposure.</t>
  </si>
  <si>
    <t>CAND-019</t>
  </si>
  <si>
    <t>Razi Abbas</t>
  </si>
  <si>
    <t>+92-311-7365492</t>
  </si>
  <si>
    <t>raziabbas7212@gmail.com</t>
  </si>
  <si>
    <t>Branch Manager</t>
  </si>
  <si>
    <t>Food Panda</t>
  </si>
  <si>
    <t>Multan</t>
  </si>
  <si>
    <t>Branch operations, last-mile delivery, riders, hub dispatch, KPI tracking, inventory and service-quality management.</t>
  </si>
  <si>
    <t>Comparatively junior and entirely e-commerce/food-delivery focused; no LIMO/chauffeur, US market or GM-level chauffeur operations.</t>
  </si>
  <si>
    <t>Useful last-mile exposure but far below the client-specific senior chauffeur/limo requirement.</t>
  </si>
  <si>
    <t>Rejected for Ref #001 only; retain for future technology, design or digital roles.</t>
  </si>
  <si>
    <t>Sales / Business Development</t>
  </si>
  <si>
    <t>E-commerce / Account Growth</t>
  </si>
  <si>
    <t>Technology / E-commerce</t>
  </si>
  <si>
    <t>Sales; client acquisition; revenue growth; team leadership; multi-account operations</t>
  </si>
  <si>
    <t>Amazon; Walmart; Shopify; Etsy</t>
  </si>
  <si>
    <t>Commercial sales profile with e-commerce exposure, account growth and team leadership.</t>
  </si>
  <si>
    <t>CAND-020</t>
  </si>
  <si>
    <t>Salman Khan Magsi</t>
  </si>
  <si>
    <t>0300-4337261</t>
  </si>
  <si>
    <t>salmanmagsi38@gmail.com</t>
  </si>
  <si>
    <t>Senior Manager Operations</t>
  </si>
  <si>
    <t>Secure Logistics Group</t>
  </si>
  <si>
    <t>Bahria Town, Lahore</t>
  </si>
  <si>
    <t>Rejected for Ref #001 only; retain for sales, e-commerce and business development roles.</t>
  </si>
  <si>
    <t>Transportation Operations</t>
  </si>
  <si>
    <t>Limo / Chauffeur Dispatch</t>
  </si>
  <si>
    <t>Limo / Chauffeur / Ground Transportation</t>
  </si>
  <si>
    <t>Limo dispatch; reservations; driver assignment; affiliate coordination; airport/corporate/VIP bookings; service recovery</t>
  </si>
  <si>
    <t>Limo Anywhere</t>
  </si>
  <si>
    <t>USA / UK / Canada</t>
  </si>
  <si>
    <t>Direct limousine/chauffeur operations specialist with strong dispatch, reservations and affiliate-network experience.</t>
  </si>
  <si>
    <t>23 years courier/logistics/transportation leadership; centralized dispatch, booking/forwarding, fleet outsourcing, multi-branch operations, costs and teams.</t>
  </si>
  <si>
    <t>No limousine/chauffeur service management, US customer exposure, affiliate/farm-out limo network or limo-specific software.</t>
  </si>
  <si>
    <t>Strongest generic transport/logistics profile among recent batch, but still outside the mandatory US limo/chauffeur domain.</t>
  </si>
  <si>
    <t>Currently shortlisted for Ref #001; also retain for future chauffeur, dispatch and ground-transport roles.</t>
  </si>
  <si>
    <t>Transport &amp; Fleet Operations</t>
  </si>
  <si>
    <t>Administration / Logistics</t>
  </si>
  <si>
    <t>Transportation / Fleet / Logistics</t>
  </si>
  <si>
    <t>Route planning; scheduling; driver supervision; fleet maintenance; fuel control; budgets; logistics</t>
  </si>
  <si>
    <t>GPS / transport software</t>
  </si>
  <si>
    <t>Senior transport and fleet operations leader with large-team, driver and budget responsibility.</t>
  </si>
  <si>
    <t>Original assessment: Hold / Backup Only. Qualitative Must-Have Fit: Fail / Transferable.</t>
  </si>
  <si>
    <t>CAND-021</t>
  </si>
  <si>
    <t>Rejected for Ref #001 only; retain for fleet, transport, administration and logistics leadership roles.</t>
  </si>
  <si>
    <t>Raza Shahzad</t>
  </si>
  <si>
    <t>+92-3214007507</t>
  </si>
  <si>
    <t>Customer Service Operations</t>
  </si>
  <si>
    <t>Call Center Management</t>
  </si>
  <si>
    <t>Customer Service / Contact Center</t>
  </si>
  <si>
    <t>KPI leadership; CRM; QA; recruitment and training; escalations; service delivery</t>
  </si>
  <si>
    <t>razashahzad52@gmail.com</t>
  </si>
  <si>
    <t>CRM</t>
  </si>
  <si>
    <t>Customer-service operations manager with KPI, QA, training and escalation-management capability.</t>
  </si>
  <si>
    <t>Operations management, vendors/contractors, target setting, multi-region team supervision, CRM and service-provider coordination.</t>
  </si>
  <si>
    <t>No limousine/chauffeur operations, US customer handling, dispatch/reservations, affiliate/farm-out or limo platforms.</t>
  </si>
  <si>
    <t>General operations experience is relevant only at a transferable level and does not satisfy the core requirement.</t>
  </si>
  <si>
    <t>Rejected for Ref #001 only; retain for contact-center and customer-operations roles.</t>
  </si>
  <si>
    <t>Warehouse &amp; Logistics</t>
  </si>
  <si>
    <t>Supply Chain Operations</t>
  </si>
  <si>
    <t>Warehousing / Logistics / Agrochemicals</t>
  </si>
  <si>
    <t>Inventory; warehouse operations; dispatch coordination; staff supervision; budgets; vendor coordination</t>
  </si>
  <si>
    <t>Warehouse and logistics lead with inventory, dispatch and team-supervision exposure.</t>
  </si>
  <si>
    <t>Rejected for Ref #001 only; retain for warehouse, logistics and supply-chain opportunities.</t>
  </si>
  <si>
    <t>Last documented role: Operations Manager, High Tide Inc (ended Mar 2026). Qualitative Must-Have Fit: Fail.</t>
  </si>
  <si>
    <t>Supply Chain / Manufacturing / Retail</t>
  </si>
  <si>
    <t>Manufacturing / Retail / Supply Chain</t>
  </si>
  <si>
    <t>P&amp;L ownership; KPIs; vendor networks; multi-department operations; production and supply chain</t>
  </si>
  <si>
    <t>Senior operations leader with broad P&amp;L, vendor, production, retail and supply-chain management experience.</t>
  </si>
  <si>
    <t>CAND-022</t>
  </si>
  <si>
    <t>Alam Fazal</t>
  </si>
  <si>
    <t>+92-321-9886773</t>
  </si>
  <si>
    <t>alam.fazal@yahoo.com</t>
  </si>
  <si>
    <t>Incharge Fleet Operations, Maintenance &amp; Logistics</t>
  </si>
  <si>
    <t>Daewoo Express Bus Service Pakistan</t>
  </si>
  <si>
    <t>Bahria Orchard, Lahore</t>
  </si>
  <si>
    <t>Rejected for Ref #001 only; retain for senior operations, manufacturing and supply-chain leadership roles.</t>
  </si>
  <si>
    <t>Passenger-transport fleet operations, depot leadership, 90+ staff supervision, vendors, KPIs, maintenance budgets and cross-functional coordination.</t>
  </si>
  <si>
    <t>No LIMO/chauffeur service management, US-based customers, reservations/booking, affiliate/farm-out or limo-specific software.</t>
  </si>
  <si>
    <t>Customer Success</t>
  </si>
  <si>
    <t>SaaS / Enterprise Account Management</t>
  </si>
  <si>
    <t>SaaS / Technology</t>
  </si>
  <si>
    <t>B2B customer success; enterprise accounts; retention and revenue growth; SLA/KPI ownership; 50+ team leadership; escalations</t>
  </si>
  <si>
    <t>Credible passenger-transport operator but direct US chauffeur/limo domain fit is unproven.</t>
  </si>
  <si>
    <t>USA / Canada / UK / Global B2B</t>
  </si>
  <si>
    <t>Senior customer-success leader with global enterprise SaaS exposure and large-team management experience.</t>
  </si>
  <si>
    <t>Rejected for Ref #001 only; retain for customer success, account management and SaaS leadership roles.</t>
  </si>
  <si>
    <t>Original assessment: Hold / Not Preferred. Qualitative Must-Have Fit: Fail / Transferable.</t>
  </si>
  <si>
    <t>Ground Transportation Operations</t>
  </si>
  <si>
    <t>Limo / Chauffeur / Sales</t>
  </si>
  <si>
    <t>Premium Chauffeur / Ground Transportation / Car Rental</t>
  </si>
  <si>
    <t>Dispatch and logistics leadership; customer support; corporate accounts; vendor contracts; KPIs; sales and marketing</t>
  </si>
  <si>
    <t>Limo Anywhere; Moovs; Santa Cruz; GNet; RideCo; Samsara; Podium; Dispatch Monitor; Holiday Taxis; Zendesk</t>
  </si>
  <si>
    <t>International / global partner exposure; US exposure to validate</t>
  </si>
  <si>
    <t>Ground-transportation leader with direct chauffeur-industry systems exposure and prior department-head responsibility.</t>
  </si>
  <si>
    <t>CAND-023</t>
  </si>
  <si>
    <t>Rizwan Khan Bangash</t>
  </si>
  <si>
    <t>+92 300 6665444</t>
  </si>
  <si>
    <t>rizwan6665444@gmail.com</t>
  </si>
  <si>
    <t>Centralized Warehouse &amp; Inventory Control Manager</t>
  </si>
  <si>
    <t>AGI Denim</t>
  </si>
  <si>
    <t>20+ years supply-chain, warehouse, inventory, production planning, lean process improvement and global buyer coordination.</t>
  </si>
  <si>
    <t>No passenger transportation, LIMO/chauffeur operations, US limo customers, reservations/dispatch, affiliate/farm-out or limo systems.</t>
  </si>
  <si>
    <t>Strong supply-chain leader but no relevant chauffeur-industry experience for Ref #001.</t>
  </si>
  <si>
    <t>Shortlisted for Ref #001. Strong premium chauffeur/ground-transportation, dispatch/logistics and leadership profile; explicit US-market exposure should be validated. Retain for chauffeur, fleet, dispatch, mobility and operations leadership roles.</t>
  </si>
  <si>
    <t>Fleet &amp; Logistics Operations</t>
  </si>
  <si>
    <t>Last-Mile / Delivery</t>
  </si>
  <si>
    <t>Logistics / Delivery</t>
  </si>
  <si>
    <t>Fleet dispatch; route optimization; driver incentives; vendor and maintenance coordination; KPI dashboards</t>
  </si>
  <si>
    <t>Logistics and fleet-operations profile with hands-on dispatch, routing and driver-performance exposure.</t>
  </si>
  <si>
    <t>CAND-024</t>
  </si>
  <si>
    <t>Rejected for Ref #001 only; retain for fleet, logistics and delivery-operations roles.</t>
  </si>
  <si>
    <t>Waqas Ali</t>
  </si>
  <si>
    <t>+92 306 7307079</t>
  </si>
  <si>
    <t>waqasalisidhu06@gmail.com</t>
  </si>
  <si>
    <t>Public Transport &amp; Fleet Operations</t>
  </si>
  <si>
    <t>Logistics / Passenger Transport</t>
  </si>
  <si>
    <t>Public Transit / Passenger Transport / Logistics</t>
  </si>
  <si>
    <t>Bus operations; fleet scheduling; SLA/KPI management; outsourced operators; safety; vendor coordination</t>
  </si>
  <si>
    <t>Deputy Manager Operations</t>
  </si>
  <si>
    <t>ITS / fleet monitoring</t>
  </si>
  <si>
    <t>Passenger-transport and logistics manager with public-transit, fleet, SLA and vendor-management experience.</t>
  </si>
  <si>
    <t>Faisal Movers Express – Orange Line Metro Bus Project</t>
  </si>
  <si>
    <t>Bahawalpur</t>
  </si>
  <si>
    <t>10+ years public passenger transport, dispatch management, fleet scheduling, ITS, route optimization, crisis response and very large workforce management.</t>
  </si>
  <si>
    <t>Experience is public bus/transit operations with no documented LIMO/chauffeur business, US customers, affiliate/farm-out, reservations or limo platforms.</t>
  </si>
  <si>
    <t>Operationally strong transport candidate but only a backup because direct US limo/chauffeur experience is absent.</t>
  </si>
  <si>
    <t>Rejected for Ref #001 only; retain for public transport, fleet and logistics management roles.</t>
  </si>
  <si>
    <t>Operations / Administration</t>
  </si>
  <si>
    <t>Military Logistics / Security</t>
  </si>
  <si>
    <t>Defense / Military Operations / Logistics</t>
  </si>
  <si>
    <t>Crisis response; workforce planning; logistics; administration; security; leadership of 700+ personnel</t>
  </si>
  <si>
    <t>Former military officer with large-scale leadership, logistics, administration and crisis-management experience.</t>
  </si>
  <si>
    <t>Rejected for Ref #001 only; retain for administration, security, operations and logistics leadership roles.</t>
  </si>
  <si>
    <t>Manufacturing Operations</t>
  </si>
  <si>
    <t>Production / Factory Management</t>
  </si>
  <si>
    <t>Manufacturing / Auto Parts / Plastics</t>
  </si>
  <si>
    <t>Production planning; budgets; team management; cost control; quality; factory operations</t>
  </si>
  <si>
    <t>Manufacturing operations manager with production planning, budget, quality and factory-management experience.</t>
  </si>
  <si>
    <t>CAND-025</t>
  </si>
  <si>
    <t>M. Sohail Shahid</t>
  </si>
  <si>
    <t>+966 554513158 / +92 307 6261861</t>
  </si>
  <si>
    <t>msohailshahid79@gmail.com</t>
  </si>
  <si>
    <t>Electronics Engineer</t>
  </si>
  <si>
    <t>Prince Sultan Military Medical City via Binjarallah Group</t>
  </si>
  <si>
    <t>Riyadh, Saudi Arabia</t>
  </si>
  <si>
    <t>Rejected for Ref #001 only; retain for manufacturing, production and factory-management roles.</t>
  </si>
  <si>
    <t>Business Development &amp; Sales Operations</t>
  </si>
  <si>
    <t>US Freight Dispatch</t>
  </si>
  <si>
    <t>Freight / Trucking / Logistics / SaaS</t>
  </si>
  <si>
    <t>Load booking; rate negotiation; driver scheduling; route planning; dispatcher supervision; business development</t>
  </si>
  <si>
    <t>Five years metro transportation operations, staff/shift supervision, control-room coordination, passenger service, incident response and technical systems.</t>
  </si>
  <si>
    <t>CRM; load boards; TMS</t>
  </si>
  <si>
    <t>USA (Houston / freight operations)</t>
  </si>
  <si>
    <t>Commercial and operations professional with direct US freight-dispatch experience and sales/business-development exposure.</t>
  </si>
  <si>
    <t>No commercial LIMO/chauffeur operations, US customers, reservations, affiliate/farm-out or limo-specific software; current role is technical engineering.</t>
  </si>
  <si>
    <t>Relevant public-transit operations but not aligned with the commercial US chauffeur/limo service model.</t>
  </si>
  <si>
    <t>Rejected for Ref #001 only; retain for US logistics, freight dispatch, sales operations and business-development roles.</t>
  </si>
  <si>
    <t>Fleet &amp; Workshop Management</t>
  </si>
  <si>
    <t>Maintenance / Public Transport / Aviation</t>
  </si>
  <si>
    <t>Public Transit / Aviation / Fleet Maintenance</t>
  </si>
  <si>
    <t>Workshop operations; fleet readiness; route and transport management; maintenance strategy; driver performance</t>
  </si>
  <si>
    <t>Pakistan / Saudi Arabia</t>
  </si>
  <si>
    <t>Fleet and workshop professional with public-transport and aviation maintenance exposure.</t>
  </si>
  <si>
    <t>Qualitative Must-Have Fit: Fail. Relevant Experience field reflects explicitly stated 5 years in transportation operations.</t>
  </si>
  <si>
    <t>Rejected for Ref #001 only; retain for fleet maintenance, workshop and transport-management roles.</t>
  </si>
  <si>
    <t>Operations Excellence</t>
  </si>
  <si>
    <t>Metro / Fleet / Workshop Operations</t>
  </si>
  <si>
    <t>Public Transit / Metro Rail / Military Engineering</t>
  </si>
  <si>
    <t>KPI systems; SLA and service quality; fleet/workshop operations; audits; safety; vendors; RCA; continuous improvement</t>
  </si>
  <si>
    <t>CMMS; SAP</t>
  </si>
  <si>
    <t>Senior operations-excellence professional with metro, workshop, fleet, safety and continuous-improvement experience.</t>
  </si>
  <si>
    <t>CAND-026</t>
  </si>
  <si>
    <t>Inam Ur Rehman</t>
  </si>
  <si>
    <t>0307-0150150</t>
  </si>
  <si>
    <t>Rejected for Ref #001 only; retain for operations excellence, public transit and asset/fleet leadership roles.</t>
  </si>
  <si>
    <t>inamu9581@gmail.com</t>
  </si>
  <si>
    <t>Field Operations</t>
  </si>
  <si>
    <t>Supply Chain Executive (Logistics)</t>
  </si>
  <si>
    <t>Waste Logistics / HSE</t>
  </si>
  <si>
    <t>Waste Management / Environmental Services</t>
  </si>
  <si>
    <t>Route management; driver productivity; SOPs; HSE; reporting; waste transport</t>
  </si>
  <si>
    <t>Field-operations manager with route, driver, safety and environmental-services experience.</t>
  </si>
  <si>
    <t>Gourmet Foods Pakistan (Head Office)</t>
  </si>
  <si>
    <t>Rejected for Ref #001 only; retain for field operations, waste-management and HSE-linked roles.</t>
  </si>
  <si>
    <t>Fleet &amp; Operations Management</t>
  </si>
  <si>
    <t>Waste / Environmental Services</t>
  </si>
  <si>
    <t>FMCG logistics and dispatch operations; vehicle allocation, route scheduling, shipment monitoring, 3PL/transporter coordination, warehouse operations, KPI reporting, SAP/WMS exposure.</t>
  </si>
  <si>
    <t>Municipal Waste / Healthcare Waste / Environmental Services</t>
  </si>
  <si>
    <t>Route planning; vehicle deployment; maintenance; vendors; cost control; field-team leadership</t>
  </si>
  <si>
    <t>No direct LIMO/chauffeur service management, no US-customer/market exposure, no premium passenger reservations/affiliate farm-out model, and no limo-specific software.</t>
  </si>
  <si>
    <t>Fleet and operations manager with municipal/environmental-services, route and vendor-management experience.</t>
  </si>
  <si>
    <t>Strong transferable logistics/dispatch profile, but both Ref #001 knockout requirements are absent and current seniority is below GM-level chauffeur operations.</t>
  </si>
  <si>
    <t>Rejected for Ref #001 only; retain for fleet, field operations and environmental-services roles.</t>
  </si>
  <si>
    <t>Branch / Last-Mile Operations</t>
  </si>
  <si>
    <t>E-commerce / Food Delivery</t>
  </si>
  <si>
    <t>Food Delivery / E-commerce / Last Mile</t>
  </si>
  <si>
    <t>Rider operations; hub dispatch; KPIs; inventory; customer complaints; delivery coordination</t>
  </si>
  <si>
    <t>Branch and last-mile operations profile with rider, hub, dispatch and KPI-management experience.</t>
  </si>
  <si>
    <t>Direct LIMO/chauffeur and US-market must-haves are not evidenced. Relevant Industry Experience reflects logistics/dispatch/warehouse operations from Oct 2023 to present; older KPO/NSER roles are not counted as relevant industry experience.</t>
  </si>
  <si>
    <t>Rejected for Ref #001 only; retain for e-commerce, food-delivery and last-mile operations roles.</t>
  </si>
  <si>
    <t>CAND-027</t>
  </si>
  <si>
    <t>Transport &amp; Logistics Operations</t>
  </si>
  <si>
    <t>Courier / Line-Haul / Fleet</t>
  </si>
  <si>
    <t>Courier / Logistics / Transportation / Warehousing</t>
  </si>
  <si>
    <t>Centralized dispatch; booking and forwarding; fleet outsourcing; multi-branch operations; cost control; team leadership</t>
  </si>
  <si>
    <t>Senior logistics leader with extensive courier, transport, fleet, dispatch and multi-branch operations experience.</t>
  </si>
  <si>
    <t>Habab Bin Ayyaz</t>
  </si>
  <si>
    <t>+92 (323) 471-7225</t>
  </si>
  <si>
    <t>hababbinayyaz@gmail.com</t>
  </si>
  <si>
    <t>Assistant Operations Manager</t>
  </si>
  <si>
    <t>Elite Chauffeured Service Inc.</t>
  </si>
  <si>
    <t>Lahore, Pakistan</t>
  </si>
  <si>
    <t>Direct US chauffeur/limo operations; current Assistant Operations Manager; prior Lead Dispatcher; trip assignment and execution; corporate accounts, travel agencies, DMCs, hotels and affiliate networks; Limo Anywhere, Moovs, GNet and Crewslink.</t>
  </si>
  <si>
    <t>Rejected for Ref #001 only; retain for senior logistics, transport, courier and fleet-management roles.</t>
  </si>
  <si>
    <t>Leadership scope, team size, hiring/coaching responsibility, P&amp;L ownership, affiliate rate/margin strategy, and oversight of marketing/SEO/development teams are not evidenced in the CV.</t>
  </si>
  <si>
    <t>Property / Sales / Maintenance</t>
  </si>
  <si>
    <t>Property / Leasing / Operations</t>
  </si>
  <si>
    <t>High-alignment candidate with direct US limousine/chauffeur operations across Washington D.C. and New York, plus Canada dispatch exposure. Strong dispatch, affiliate-network and limo-platform evidence; broader GM-level commercial and people leadership should be validated.</t>
  </si>
  <si>
    <t>Vendor and contractor management; multi-region teams; sales support; maintenance; quotes and invoices; insurance claims</t>
  </si>
  <si>
    <t>General operations manager with vendor, maintenance, sales-support and multi-region team exposure.</t>
  </si>
  <si>
    <t>Rejected for Ref #001 only; retain for operations, property, facilities and service-management roles.</t>
  </si>
  <si>
    <t>Fleet Operations</t>
  </si>
  <si>
    <t>Passenger Transport / Maintenance / Logistics</t>
  </si>
  <si>
    <t>Passenger Transport / Bus / Fleet Maintenance</t>
  </si>
  <si>
    <t>Fleet operations; depot operations; 90+ staff leadership; vendors; KPIs; maintenance budgets; procurement coordination</t>
  </si>
  <si>
    <t>SAP MM; MS Office</t>
  </si>
  <si>
    <t>Passenger-transport fleet leader with depot, maintenance, vendor, budget and large-team responsibility.</t>
  </si>
  <si>
    <t>Must-Have Fit = Pass. Approximately four years of direct luxury ground-transportation experience from 2022 to present, including US chauffeur operations and lead/assistant-management responsibilities.</t>
  </si>
  <si>
    <t>CAND-028</t>
  </si>
  <si>
    <t>Rejected for Ref #001 only; retain for passenger transport, fleet, maintenance and depot-management roles.</t>
  </si>
  <si>
    <t>Supply Chain &amp; Warehouse Operations</t>
  </si>
  <si>
    <t>Inventory / Production Planning / Lean</t>
  </si>
  <si>
    <t>Textile / Apparel / Manufacturing</t>
  </si>
  <si>
    <t>Warehouse operations; inventory; production planning; lean improvement; process re-engineering; ISO 9001; buyer audits</t>
  </si>
  <si>
    <t>Scanning-based inventory systems; FoxPro</t>
  </si>
  <si>
    <t>Pakistan; global buyer coordination</t>
  </si>
  <si>
    <t>Supply-chain and warehouse leader with 20+ years across inventory, production planning, lean and operational excellence.</t>
  </si>
  <si>
    <t>Jaffir Iqbal</t>
  </si>
  <si>
    <t>+92302-9113015</t>
  </si>
  <si>
    <t>jaffiriqbal@gmail.com</t>
  </si>
  <si>
    <t>Assistant Manager Production</t>
  </si>
  <si>
    <t>Cakes &amp; Bakes Private Limited</t>
  </si>
  <si>
    <t>Tehsil Kabirwala, District Khanewal, Pakistan</t>
  </si>
  <si>
    <t>Rizwan Khan Bangash Resume.pdf</t>
  </si>
  <si>
    <t>Rejected for Ref #001 only; retain for supply-chain, warehouse, inventory and manufacturing roles.</t>
  </si>
  <si>
    <t>Public Transport Operations</t>
  </si>
  <si>
    <t>Fleet / Dispatch / ITS</t>
  </si>
  <si>
    <t>Public Transit / Metro Bus</t>
  </si>
  <si>
    <t>Dispatch; route optimization; fleet scheduling; ITS; crisis response; stakeholder management; large-workforce supervision</t>
  </si>
  <si>
    <t>ITS; CCTV; AVL; fleet tracking</t>
  </si>
  <si>
    <t>Public-transport operations manager with 10+ years in fleet, dispatch, ITS and large-workforce management.</t>
  </si>
  <si>
    <t>Multi-category food, sweets and bakery manufacturing experience: Directly supervised production of biscuits, croissants/cross products, plain cakes, jams, sauces, chocolate and frozen items at Cakes &amp; Bakes. The employer is described as manufacturing snacks, bakery products, chocolate, chips, jam, ketchup and drinks. Additional food-sector experience includes PepsiCo and Bunny’s Limited. Relevant bachelor's degree: Completed BS in Food Science and Technology from Government College University Faisalabad, 2012–2016, with a 3.58/4.0 GPA. Also completed an M.Sc. (Honors) in Food Technology from the University of Agriculture Faisalabad. Minimum five years of production management experience: Assistant Manager Production at Cakes &amp; Bakes from February 2019 to present. Responsibilities include maintaining production flow, meeting production plans, managing overall operations, delivering production targets, supervising multiple product processes, training workers and resolving production problems.</t>
  </si>
  <si>
    <t>Dispatch, finished-goods inventory and expiry management: There is transferable inventory and order-fulfillment exposure, but direct responsibility for dispatch accuracy, customer deliveries, finished-goods warehousing, FEFO, shelf-life controls, near-expiry monitoring or returns is not evidenced.</t>
  </si>
  <si>
    <t>Candidate assessed against 9 live ATS criteria. Weighted ATS Match: 76%. Must-Have Fit: Pass. The result is based on the stored Ref # criteria, weights, knockout rules and documented CV evidence.</t>
  </si>
  <si>
    <t>CAND-029</t>
  </si>
  <si>
    <t>Waqas Ali CV.pdf</t>
  </si>
  <si>
    <t>Rejected for Ref #001 only; retain for public transit, fleet, dispatch and transport-operations roles.</t>
  </si>
  <si>
    <t>Jawad Ahmed</t>
  </si>
  <si>
    <t>Electronics Engineering</t>
  </si>
  <si>
    <t>Metro Operations / BMS / PTS</t>
  </si>
  <si>
    <t>Healthcare Engineering / Metro Rail / Building Automation</t>
  </si>
  <si>
    <t>Station operations; control room; incident response; CBTC/ATS; BMS/HVAC; PTS; troubleshooting</t>
  </si>
  <si>
    <t>+92 314-8002002</t>
  </si>
  <si>
    <t>Aerocom/AC3000; Sumetzberger; BMS/HMI/BAS; CBTC; ATS; HVAC controls</t>
  </si>
  <si>
    <t>Electronics engineer with five years of metro operations plus current building/medical transport-system engineering exposure.</t>
  </si>
  <si>
    <t>jawad4157@yahoo.com</t>
  </si>
  <si>
    <t>Manager – Export Sales and Marketing</t>
  </si>
  <si>
    <t>International Steels Limited</t>
  </si>
  <si>
    <t>Karachi, Sindh, Pakistan</t>
  </si>
  <si>
    <t>Sohail_Shahid_Resume.pdf</t>
  </si>
  <si>
    <t>Rejected for Ref #001 only; retain for engineering, metro operations, BMS/HVAC and control-room roles.</t>
  </si>
  <si>
    <t>International market development and export strategy: Developed export strategies for Afghanistan, Sri Lanka, UAE, Oman, Qatar, Jordan and Australia; subsequently assumed responsibility for Saudi Arabia, Kuwait and regions across Africa. Conducted market research, secured entry into Saudi Arabia and Kuwait, facilitated SRIM certification for regulated-market access, converted more than 40 active leads into prospects, increased export revenue from USD 34 million to USD 41 million, and raised export contribution from 8% to 20%. Represented the company at international exhibitions, trade missions and business forums. Commercial negotiations, budgeting and international trade risk: Leads annual export budgeting, revenue forecasting and cost optimization against profit targets. Negotiates contracts, pricing models and payment structures, manages high-value accounts and reports export revenue growth from USD 34 million to USD 41 million. International client, distributor and service-provider relationship management: Manages international B2B and B2C key accounts, develops high-value client relationships, negotiates long-term agreements and reports strong retention and satisfaction. Works across multiple Asian, Middle Eastern, Australian and African markets and generated more than 40 active leads.</t>
  </si>
  <si>
    <t>Supply Chain &amp; Logistics</t>
  </si>
  <si>
    <t>Warehouse / Dispatch / 3PL</t>
  </si>
  <si>
    <t>FMCG / Beverage / Warehousing / Distribution</t>
  </si>
  <si>
    <t>Logistics; dispatch; vehicle allocation; route scheduling; 3PL; inventory; warehouse operations; KPIs; cost optimization</t>
  </si>
  <si>
    <t>SAP ERP (MM/WM/EWM); WMS; PACE</t>
  </si>
  <si>
    <t>Supply-chain and logistics professional with FMCG dispatch, 3PL/transporter, warehouse and SAP/WMS exposure.</t>
  </si>
  <si>
    <t>Export management experience and end-to-end ownership: The candidate demonstrates substantial commercial ownership and cross-functional coordination for international orders, but the CV evidences only two completed years of direct export management through July 2025, below the mandatory five-year threshold. It also does not explicitly demonstrate hands-on ownership of documentation, customs clearance, shipment and final delivery. Confectionery and perishable food export domain knowledge: The CV provides no usable evidence of confectionery or comparable perishable-food export knowledge. Steel export experience cannot be treated as direct food-domain experience. Trade compliance, food safety and export documentation: There is credible regulatory and certification exposure, but limited evidence of hands-on export-documentation or customs responsibility. No food-safety, food-labeling or destination-country food compliance experience is evidenced.</t>
  </si>
  <si>
    <t>Candidate assessed against 8 live ATS criteria. Weighted ATS Match: 55%. Must-Have Fit: Fail. The result is based on the stored Ref # criteria, weights, knockout rules and documented CV evidence.</t>
  </si>
  <si>
    <t>CAND-030</t>
  </si>
  <si>
    <t>Inam Ur Rehman.pdf</t>
  </si>
  <si>
    <t>Rejected for Ref #001 only; retain for supply-chain, logistics, warehouse and distribution roles.</t>
  </si>
  <si>
    <t>Muhammad Taskeen</t>
  </si>
  <si>
    <t>+92 300 6676139 / +92 333 6676139</t>
  </si>
  <si>
    <t>Limo / Chauffeur Dispatch &amp; Operations</t>
  </si>
  <si>
    <t>Limo / Chauffeur / Luxury Ground Transportation</t>
  </si>
  <si>
    <t>Chauffeur operations; limo dispatch; trip assignment and confirmation; passenger requirements; corporate accounts; travel agencies; DMCs; hotels; affiliate networks; service-issue monitoring</t>
  </si>
  <si>
    <t>muhammadtaskeen@gmai.com / muhammadtaskeen@outlool.com</t>
  </si>
  <si>
    <t>Limo Anywhere; Moovs; GNet; Crewslink</t>
  </si>
  <si>
    <t>USA (Washington D.C. / New York) / Canada</t>
  </si>
  <si>
    <t>Luxury ground-transportation professional with direct US chauffeur operations, lead-dispatch experience, affiliate-network exposure and hands-on limo-platform expertise.</t>
  </si>
  <si>
    <t>Security Supervisor</t>
  </si>
  <si>
    <t>Marine Security Service (Pvt)</t>
  </si>
  <si>
    <t>Faisalabad, Pakistan</t>
  </si>
  <si>
    <t>Dispatch / Fleet Operations: Managed daily vehicle movement, fleet availability, driver coordination and duty rosters, maintenance scheduling, fuel and mileage records, vehicle inspections, breakdowns, and transport-related incidents. Operations Management: Supervised daily transport operations, fleet availability, inspections, preventive maintenance, fuel consumption, vehicle records, incident investigations, roadworthiness, spare parts, and operational briefings in the Pakistan Air Force. Leadership &amp; People Management: Served as a Warrant Officer and Mechanical Transport Supervisor; coordinated drivers, monitored attendance and duty rosters, conducted safety briefings and driver training, and completed leadership, command, and MT instructor courses.</t>
  </si>
  <si>
    <t>Direct LIMO / Chauffeur Service Management: The VIP driving course and transport background are adjacent, but training and generic fleet management are not equivalent to directly managing a commercial limo or chauffeur operation. The mandatory direct-industry requirement is not met. US Market / US Customer Exposure: The CV only documents employment in Pakistan and provides no explicit international or US-facing operational experience. The mandatory US exposure requirement is not met. Client / Customer Management: Communication and interpersonal skills are listed, but there is no usable evidence of responsibility for customers or client accounts.</t>
  </si>
  <si>
    <t>Candidate assessed against 7 live ATS criteria. Weighted ATS Match: 34%. Must-Have Fit: Fail. The result is based on the stored Ref # criteria, weights, knockout rules and documented CV evidence.</t>
  </si>
  <si>
    <t>Habab Ayyaz.pdf</t>
  </si>
  <si>
    <t>Priority Shortlist for Ref #001. Retain for future limo/chauffeur, dispatch, mobility and premium ground-transportation roles.</t>
  </si>
  <si>
    <t>Food Manufacturing Production and Operations</t>
  </si>
  <si>
    <t>Bakery production, food quality assurance, food safety and process control</t>
  </si>
  <si>
    <t>Bakery, biscuits, confectionery, snacks, sauces, jams, frozen foods, beverages and agricultural raw-material quality</t>
  </si>
  <si>
    <t>Production planning, daily production reporting, target delivery, multi-category batch manufacturing, recipe standardization, quality control, GMP, GHP, HACCP coordination, ISO 9001:2015 documentation, Halal compliance, hygiene management, worker training, waste reduction, root-cause investigation, export-order fulfillment and new-product development</t>
  </si>
  <si>
    <t>ERP, advanced Microsoft Excel, Microsoft Word, Outlook and PowerPoint</t>
  </si>
  <si>
    <t>Pakistan-based manufacturing experience in Lahore and Multan, with responsibility for fulfilling export-order production demand</t>
  </si>
  <si>
    <t>Food technologist and production professional with approximately nine years of food-industry experience across bakery, confectionery, snacks, sauces, frozen products and agricultural raw-material quality. Currently leads production activities at Cakes &amp; Bakes, covering planning, reporting, target delivery, product quality, food-safety compliance, workforce training, waste control and multi-category manufacturing. Holds BS and M.Sc. qualifications in Food Science and Food Technology.</t>
  </si>
  <si>
    <t>CAND-031</t>
  </si>
  <si>
    <t>Priority Shortlist for Ref #002. Retain for future Food Manufacturing Production and Operations roles.</t>
  </si>
  <si>
    <t>Husnain Raza Rahat</t>
  </si>
  <si>
    <t>0304-0743974</t>
  </si>
  <si>
    <t>Export Sales and International Business Development</t>
  </si>
  <si>
    <t>Steel manufacturing operations, production planning and cross-functional export fulfillment</t>
  </si>
  <si>
    <t>husnainhadi899@gmail.com</t>
  </si>
  <si>
    <t>Flat steel manufacturing, cold rolling, industrial engineering, manufacturing operations and international B2B/B2C sales</t>
  </si>
  <si>
    <t>Export strategy, international market development, key-account management, contract and pricing negotiation, budgeting, revenue forecasting, production coordination, process optimization, lean manufacturing, quality control, regulatory compliance, project management and team leadership</t>
  </si>
  <si>
    <t>Assistant Manager (Production &amp; Quality)</t>
  </si>
  <si>
    <t>Oracle ERP, AutoCAD, SolidWorks, MATLAB and Microsoft Project</t>
  </si>
  <si>
    <t>Pakistan, Afghanistan, Sri Lanka, UAE, Oman, Qatar, Jordan, Australia, Saudi Arabia, Kuwait, and North, South, East and Central African markets</t>
  </si>
  <si>
    <t>Mechanical engineer and Executive MBA professional with more than 16 years of experience spanning manufacturing operations, production leadership, engineering projects and export sales. Progressed within International Steels Limited from operations engineering and production management into export sales leadership, delivering measurable export revenue growth, new-market entry and stronger export contribution while coordinating commercial requirements with production, planning, logistics, supply chain and finance.</t>
  </si>
  <si>
    <t>Merit</t>
  </si>
  <si>
    <t>Mongi Bangla, Tehsil Gojra, District Toba Tek Singh, Pakistan</t>
  </si>
  <si>
    <t>Rejected for Ref #003 only; retain for future Export Sales and International Business Development roles.</t>
  </si>
  <si>
    <t>Transport and Fleet Operations</t>
  </si>
  <si>
    <t>Mechanical transport supervision, fleet maintenance coordination, driver administration, road safety, and private security supervision</t>
  </si>
  <si>
    <t>Pakistan Air Force and military transport operations; fleet administration; vehicle operations and maintenance coordination; private security services</t>
  </si>
  <si>
    <t>Fleet management, daily transport operations, driver coordination, duty rostering, vehicle inspections, preventive maintenance scheduling, fuel monitoring, incident investigation, transport documentation, road safety, defensive-driving instruction, personnel discipline, and training</t>
  </si>
  <si>
    <t>Vehicle Management Systems (VMS), Microsoft Word, Excel, PowerPoint and Outlook, Google Docs, Sheets and Drive, digital record-keeping tools, email and internet applications</t>
  </si>
  <si>
    <t>Pakistan-based experience, principally in Pakistan Air Force operations and private security; no international market exposure evidenced</t>
  </si>
  <si>
    <t>Transport and fleet operations professional with approximately 23 years of Pakistan Air Force service, specializing in mechanical transport operations, fleet readiness, driver supervision, preventive maintenance coordination, fuel control, safety, and operational documentation. Currently works as a Security Supervisor in the private sector. Holds an MSc in Mass Communication, an HTV driving licence, and military training in transport instruction, leadership, vehicle management systems, mechanical transport driving, and VIP staff-car driving.</t>
  </si>
  <si>
    <t>Rejected for Ref #001 only; retain for future Transport and Fleet Operations roles.</t>
  </si>
  <si>
    <t>Food Manufacturing Production and Quality Management</t>
  </si>
  <si>
    <t>Food Safety, Quality Assurance and Bakery Production Operations</t>
  </si>
  <si>
    <t>Food processing, bakery manufacturing, bread and baked goods, sweets and burgers, perishable/FMCG manufacturing</t>
  </si>
  <si>
    <t>Production monitoring and planning; bakery-line control; production efficiency; waste reduction; root-cause problem-solving; preventive maintenance coordination; raw-material and finished-goods testing; food-safety and quality enforcement; GMP and Halal training; quality and food-safety audits; sanitation and hygiene inspection; regulatory compliance; IPM protocol; complaint handling; shelf-life studies; worker training and team leadership</t>
  </si>
  <si>
    <t>SAP S/4HANA; quality reports and controlled documentation</t>
  </si>
  <si>
    <t>Pakistan; employment and residence exposure in Punjab, including Gojra/Toba Tek Singh. No international market exposure evidenced.</t>
  </si>
  <si>
    <t>Food science professional with documented progression through quality assurance, food safety, production shift supervision and assistant management in Pakistani bakery and food-manufacturing organizations. Experience covers production-line monitoring, product quality, efficiency improvement, waste control, machinery and maintenance oversight, food-safety auditing, regulatory implementation and workforce training.</t>
  </si>
  <si>
    <t>002, 004</t>
  </si>
  <si>
    <t>https://drive.google.com/file/d/1pQilDW7AzbuKklxsZ46MCAmYuTeaECVf/view?usp=drivesdk</t>
  </si>
  <si>
    <t>Relevant bachelor's degree: BS (Hons) Food Science and Technology, Government College University Faisalabad, 2014–2018. Multi-category food, sweets and bakery manufacturing experience: Direct responsibility for multiple production lines covering bread, burgers, buns, rusk and other bakery products. Previous roles include Shift Incharge (Production) at Dawn Bread and Executive (Quality Assurance &amp; Food Safety) in a food business. Skills include testing flour, milk, butter, oil, desi ghee and khoya, finished-goods testing and shelf-life studies. Quality control and health and safety compliance: Current responsibilities include daily and monthly quality and food-safety audits, daily quality-report review, regulatory-standard implementation, GMP and food-safety training, Halal Food Management System, IPM protocol, finished-product checks, preventive actions and complaints handling. Earlier role was Executive (Quality Assurance &amp; Food Safety), 2018–2021.</t>
  </si>
  <si>
    <t>Minimum five years of production management experience: The CV demonstrates direct factory-production responsibility, but it does not substantiate at least five years of production management. Only approximately one explicitly dated year is in a production leadership role, while the duration of the current assistant-manager position is not provided. Dispatch, finished-goods inventory and expiry management: The shelf-life and finished-product exposure is adjacent to the requirement, but direct dispatch and expiry-sensitive inventory ownership is not evidenced. Production systems, analytical reporting and decision support: A relevant ERP platform and routine reporting exposure are identified, but the CV does not explain hands-on SAP use for production planning, manufacturing transactions, analysis, MIS preparation or management decision support.</t>
  </si>
  <si>
    <t>Candidate assessed against 9 live ATS criteria. Weighted ATS Match: 59%. Must-Have Fit: Partial. The result is based on the stored Ref # criteria, weights, knockout rules and documented CV evidence.</t>
  </si>
  <si>
    <t>Rejected for Ref #004 only; retain for future Food Manufacturing Production and Quality Management roles.</t>
  </si>
  <si>
    <t>CAND-032</t>
  </si>
  <si>
    <t>Zeeshan Tarar</t>
  </si>
  <si>
    <t>0345-4914004</t>
  </si>
  <si>
    <t>zeeshan_tarar36@yahoo.com</t>
  </si>
  <si>
    <t>Assistant Manager Procurement</t>
  </si>
  <si>
    <t>Ajmair Foods</t>
  </si>
  <si>
    <t>Procurement and strategic sourcing</t>
  </si>
  <si>
    <t>Food and raw-material procurement, supplier management, commercial negotiation and procurement reporting</t>
  </si>
  <si>
    <t>Food products, fruit procurement, raw-material sourcing and industrial procurement</t>
  </si>
  <si>
    <t>Strategic sourcing, supplier identification and evaluation, vendor relationship management, contract negotiation, cost analysis, procurement strategy, purchase-order management, supplier-performance reporting, logistics coordination, budget monitoring and supply-issue resolution</t>
  </si>
  <si>
    <t>ERP training; unnamed procurement software; purchase-order tracking; procurement data analysis and management reporting</t>
  </si>
  <si>
    <t>Domestic supplier and vendor-market exposure; specific geographic coverage is not evidenced</t>
  </si>
  <si>
    <t>Procurement professional with approximately 10 years of experience across food and raw-material purchasing. Career progression includes Procurement and Research Officer, Fruit Procurement Head and Assistant Manager Procurement roles, with responsibility for supplier evaluation, negotiation, contracts, purchase orders, cost optimization, reporting, logistics coordination and cross-functional stakeholder management.</t>
  </si>
  <si>
    <t>https://drive.google.com/file/d/1kZbWCNdECoiACxOlAyOQNhp19dExclI2/view?usp=drivesdk</t>
  </si>
  <si>
    <t>Rejected for Ref #004 only; retain for future Procurement and strategic sourcing roles.</t>
  </si>
  <si>
    <t>CAND-033</t>
  </si>
  <si>
    <t>Abdul Ghaffar</t>
  </si>
  <si>
    <t>+92 305 4942108</t>
  </si>
  <si>
    <t>agmohsinbutt5cwak_5hk@indeedemail.com</t>
  </si>
  <si>
    <t>Sr. Executive Supply Chain</t>
  </si>
  <si>
    <t>Quick Food Industries Pvt. Ltd. (MonSalwa)</t>
  </si>
  <si>
    <t>Procurement and Supply Chain</t>
  </si>
  <si>
    <t>Plant purchasing, industrial materials sourcing, supplier coordination and distribution</t>
  </si>
  <si>
    <t>Food processing, FMCG manufacturing, export manufacturing, industrial materials, construction materials and distribution</t>
  </si>
  <si>
    <t>Plant procurement; sourcing from manufacturers and importers; food ingredients and packaging purchasing; electrical, mechanical, fabrication, lubricants and construction-material purchasing; supplier account handling; payment coordination; distribution and cold-store coordination; local market sourcing</t>
  </si>
  <si>
    <t>Basic Microsoft Office, internet browsing and general computer use; no ERP or dedicated procurement system specified</t>
  </si>
  <si>
    <t>Lahore market, Faisalabad second-hand market and sourcing connections to Karachi, Pakistan</t>
  </si>
  <si>
    <t>Procurement and supply-chain professional with approximately 15 years of documented experience, including more than 11 years at K&amp;N's Foods. Experienced in independently managing plant purchasing across food ingredients, packaging, electrical, mechanical, fabrication, lubricants and construction categories, with additional exposure to distribution, cold stores, supplier payments and local market sourcing.</t>
  </si>
  <si>
    <t>https://drive.google.com/file/d/1dJQh0JBWSXzS5N9Hc8INE8K3LRJEgIpa/view?usp=drivesdk</t>
  </si>
  <si>
    <t>Supplier sourcing, relationship management and market intelligence: Responsibilities include identifying, evaluating and managing suppliers; maintaining supplier relationships; resolving supplier issues; analyzing supplier performance, market trends and costs; competitive sourcing; and maintaining supplier data. At Thal/Almoiz, the candidate built supplier relationships and reported on supplier performance. Commercial negotiation, contracting and cost optimization: The CV describes negotiating supplier contracts, pricing, delivery terms, quality standards and payment terms; drafting, reviewing and managing contracts; securing favorable terms; developing cost-effective procurement strategies; and contributing to cost-saving initiatives. Procurement systems, reporting and audit-ready records: The candidate managed purchase-order creation, processing and tracking; prepared monthly and annual procurement reports; analyzed costs, volumes and supplier performance; maintained purchase and supplier records; used procurement software and tools; and completed ERP training.</t>
  </si>
  <si>
    <t>Rejected for Ref #004 only; retain for future Procurement and Supply Chain roles.</t>
  </si>
  <si>
    <t>CAND-034</t>
  </si>
  <si>
    <t>Muhammad Zohaib Manzoor</t>
  </si>
  <si>
    <t>0321-6883884</t>
  </si>
  <si>
    <t>mzohaib330@yahoo.com</t>
  </si>
  <si>
    <t>Assistant Manager</t>
  </si>
  <si>
    <t>Minimum experience and manufacturing-domain relevance: The candidate has substantial procurement and food/raw-material exposure, including more than six completed years in fruit procurement at a food company. However, the mandatory five years of production management are not evidenced, so the experience is relevant but does not satisfy the requirement as written. Inventory planning, replenishment and logistics coordination: Delivery and logistics coordination are directly evidenced, but the CV does not show responsibility for stock-level monitoring, reorder points, replenishment planning, shortage prevention or overstock control. Mandatory supply chain education: The CV does not evidence the specifically mandated bachelor's degree in Supply Chain Management. Procurement experience, ERP training and other short courses cannot substitute for the required degree.</t>
  </si>
  <si>
    <t>Cakes and Bakes (Ajmair Foods Pvt. Limited)</t>
  </si>
  <si>
    <t>Procurement and Purchasing</t>
  </si>
  <si>
    <t>Technical, general and raw-material sourcing; supplier management; purchasing coordination</t>
  </si>
  <si>
    <t>Bakery and food production, automotive and tractor manufacturing, industrial manufacturing, textile manufacturing, maintenance and engineering projects</t>
  </si>
  <si>
    <t>End-to-end purchasing, supplier sourcing and evaluation, supplier relationship management, quotation collection, commercial negotiation, purchase-order administration, comparative statements, raw-material procurement, technical procurement, material requisitions, BOQ preparation, delivery follow-up and cross-functional coordination</t>
  </si>
  <si>
    <t>Candidate assessed against 8 live ATS criteria. Weighted ATS Match: 52%. Must-Have Fit: Fail. The result is based on the stored Ref # criteria, weights, knockout rules and documented CV evidence.</t>
  </si>
  <si>
    <t>IFS ERP, Microsoft Word, Excel and PowerPoint, MS Project, MS Visio; exposure to production, work-order, shop-order and purchase-part records</t>
  </si>
  <si>
    <t>Pakistan, primarily Lahore-based operations; no international market exposure evidenced</t>
  </si>
  <si>
    <t>Procurement professional with experience in bakery and food-production purchasing, automotive manufacturing, industrial projects and production-support operations. Currently handles end-to-end technical, general and raw-material procurement as an Assistant Manager, with responsibilities spanning supplier sourcing, evaluation, negotiation, purchase orders and delivery coordination. Earlier experience includes general purchasing, project coordination, ERP-based manufacturing records, production reporting and personnel administration.</t>
  </si>
  <si>
    <t>Rejected for Ref #004 only; retain for future Procurement and Purchasing roles.</t>
  </si>
  <si>
    <t>CAND-035</t>
  </si>
  <si>
    <t>Umair Hassan Ghori</t>
  </si>
  <si>
    <t>0332-2267345</t>
  </si>
  <si>
    <t>tcsumair@gmail.com.pk</t>
  </si>
  <si>
    <t>Karachi, Pakistan</t>
  </si>
  <si>
    <t>Logistics Operations Manager</t>
  </si>
  <si>
    <t>PacknGo</t>
  </si>
  <si>
    <t>Logistics and Operations Management</t>
  </si>
  <si>
    <t>Relocation operations, corporate customer service, quality assurance, claims and service recovery</t>
  </si>
  <si>
    <t>Express logistics, home and corporate relocation, final-mile delivery, contact centers, customer service, IT support and media production</t>
  </si>
  <si>
    <t>End-to-end shipment and relocation coordination, corporate account management, surveys, costing, quotations, packing and transport coordination, vendor negotiation, claims handling, complaint resolution, QA, KPI and SOP monitoring, master data, barcode processing, reporting and MIS</t>
  </si>
  <si>
    <t>Microsoft Office, reporting and MIS tools, SQL, HTML, MikroTik, ISA Server, Windows Server, computer hardware and software troubleshooting, networking, barcode and master-data processes, AI productivity tools</t>
  </si>
  <si>
    <t>Pakistan market exposure, primarily Karachi; no explicit international or US market exposure stated</t>
  </si>
  <si>
    <t>Logistics and customer-service professional with approximately 14+ years of experience spanning express logistics, relocation operations, corporate accounts, shipment coordination, final-mile delivery, claims, complaint resolution, quality assurance, contact-center operations, reporting and IT support. Progressed from customer-service and supervisory roles into relationship and logistics operations management.</t>
  </si>
  <si>
    <t>Rejected for Ref #001 only; retain for future Logistics and Operations Management roles.</t>
  </si>
  <si>
    <t>CAND-036</t>
  </si>
  <si>
    <t>Bilal Mustafa</t>
  </si>
  <si>
    <t>Lahore, Punjab, Pakistan</t>
  </si>
  <si>
    <t>Sales and Dispatch Operations Manager</t>
  </si>
  <si>
    <t>Nationwide Chauffeured Services</t>
  </si>
  <si>
    <t>Sales and Operations Management</t>
  </si>
  <si>
    <t>Chauffeured transportation dispatch, fleet operations and revenue development</t>
  </si>
  <si>
    <t>Limousine and black-car services, chauffeured passenger transportation, logistics, real estate sales, healthcare and clinical nutrition</t>
  </si>
  <si>
    <t>End-to-end sales pipeline management, lead generation, deal closure, dispatch operations, fleet coordination, logistics optimization, VIP transportation, team leadership, KPI management, telesales, corporate client servicing and relationship management</t>
  </si>
  <si>
    <t>No specific systems or software evidenced</t>
  </si>
  <si>
    <t>Pakistan, United States and United Arab Emirates; experience serving corporate, event, international-investor, high-net-worth and VIP client segments</t>
  </si>
  <si>
    <t>Sales and dispatch operations manager with approximately 9.8 years of experience spanning chauffeured transportation, limousine and black-car operations, sales leadership and logistics coordination. Has managed regional-fleet dispatch, corporate and event transportation, cross-functional teams and KPI-driven service delivery, including USD 4 million in reported transportation sales during ICC World Cup operations. Also brings Dubai real estate sales exposure and an academic and professional background in clinical nutrition.</t>
  </si>
  <si>
    <t>https://drive.google.com/file/d/1JZ7e9F2afTCc94g7Gbul3yIF50xpNixG/view?usp=drivesdk</t>
  </si>
  <si>
    <t>Priority Shortlist for Ref #001. Retain for future Sales and Operations Management roles.</t>
  </si>
  <si>
    <t>CAND-037</t>
  </si>
  <si>
    <t>Malik Muhammad Touseef</t>
  </si>
  <si>
    <t>0334 4145271</t>
  </si>
  <si>
    <t>touseef_malik65@yahoo.com</t>
  </si>
  <si>
    <t>Admin &amp; Supply Chain Officer</t>
  </si>
  <si>
    <t>The Diabetes Center</t>
  </si>
  <si>
    <t>Procurement, supply chain and store operations</t>
  </si>
  <si>
    <t>Administration, inventory control, vendor coordination and purchasing</t>
  </si>
  <si>
    <t>Bakery and confectionery, restaurants and hospitality, healthcare/clinical services, furniture manufacturing and export, food products, software back-office services, trading and government taxation</t>
  </si>
  <si>
    <t>Raw-material purchasing, vendor and supplier dealing, store management, inventory monitoring, stock reporting, material issuance, sourcing, administration, employee and vendor records, export documentation, sales, public dealing and branch operations</t>
  </si>
  <si>
    <t>No named ERP, procurement, inventory or office software evidenced; experience includes stock reports, store statements, vendor records, business reports, tenders and export documentation</t>
  </si>
  <si>
    <t>Primarily Lahore and Pakistan; domestic sourcing from Chiniot and other Pakistani areas, plus export-shipment documentation for a UK-based furniture company</t>
  </si>
  <si>
    <t>Operations professional with more than three decades of stated experience across purchasing, stores, administration, sales and branch management. Career experience includes long-term bakery raw-material procurement and inventory responsibility, restaurant purchasing and stock control, furniture sourcing and export documentation, and current administration and supply-chain duties in a diabetes clinic.</t>
  </si>
  <si>
    <t>https://drive.google.com/file/d/1wJRPYV-TCXeLgeEHgnb75yBQtAxHpjBx/view?usp=drivesdk</t>
  </si>
  <si>
    <t>Rejected for Ref #004 only; retain for future Procurement, supply chain and store operations roles.</t>
  </si>
  <si>
    <t>CAND-038</t>
  </si>
  <si>
    <t>Khan Hassam Zain</t>
  </si>
  <si>
    <t>+966540245762</t>
  </si>
  <si>
    <t>khanhassamzain50@gmail.com</t>
  </si>
  <si>
    <t>Dammam, Saudi Arabia; permanent address listed in Gujranwala, Pakistan</t>
  </si>
  <si>
    <t>Assistant Production Manager</t>
  </si>
  <si>
    <t>Kufa Food Company</t>
  </si>
  <si>
    <t>Food Manufacturing Production Management</t>
  </si>
  <si>
    <t>Bakery and sweets production, food safety, quality compliance and plant operations</t>
  </si>
  <si>
    <t>Food manufacturing; bakery; sweets and confectionery; pizza; perishable food production; food safety and Halal compliance</t>
  </si>
  <si>
    <t>Production and shift planning, production-process supervision, plant workforce administration, GMP, GHP, food hygiene, product inspection, retention samples, shelf-life records, food-safety and Halal audits, corrective and preventive actions, SOP development, IPM inspections, complaint and non-conformance investigation, and employee training</t>
  </si>
  <si>
    <t>Operational production system mentioned but not named; production and shelf-life record maintenance. No specific ERP, MIS, spreadsheet or reporting platform documented.</t>
  </si>
  <si>
    <t>Pakistan and Saudi Arabia; employment experience documented in Lahore and Dammam, with education and training in Lahore, Rawalpindi and Islamabad</t>
  </si>
  <si>
    <t>Food-production professional with experience progressing from Production Executive to Production Manager and Assistant Production Manager. Career exposure covers bakery, sweets, pizza and broader food-company operations, supported by postgraduate food-science education and lead-auditor certifications in FSSC 22000 and Halal standards.</t>
  </si>
  <si>
    <t>https://drive.google.com/file/d/1ei0w2ebZzN31AnU7iYO3Kltjdg_RU6YA/view?usp=drivesdk</t>
  </si>
  <si>
    <t>Cross-functional leadership and procurement decision-making: Describes handling all plant purchasing single-handedly, acting as supply-chain and procurement department in-charge, serving as a key person for production and maintenance, and coordinating with distribution, cold store and administration. Supplier sourcing, relationship management and market intelligence: States direct access to manufacturers and importers, knowledge of Lahore and Faisalabad markets, sourcing links to Karachi, direct-source purchasing of construction materials, and responsibility for supplier accounts and payment settlements.</t>
  </si>
  <si>
    <t>Minimum experience and manufacturing-domain relevance: The candidate has extensive procurement experience in food and manufacturing environments, but the mandatory five years of production management experience is not evidenced. Coordination with production is transferable but is not production management. Commercial negotiation, contracting and cost optimization: The CV shows exposure to commercial transactions and payment arrangements but does not explicitly evidence price negotiation, contract ownership, bulk-purchase terms, cost analysis or quantified savings. Inventory planning, replenishment and logistics coordination: Logistics and cross-functional material coordination are evident, but stock monitoring, reorder-point management, shortage prevention, overstock control and supplier-delivery performance ownership are not specifically described.</t>
  </si>
  <si>
    <t>Candidate assessed against 8 live ATS criteria. Weighted ATS Match: 35%. Must-Have Fit: Fail. The result is based on the stored Ref # criteria, weights, knockout rules and documented CV evidence.</t>
  </si>
  <si>
    <t>Shortlist for Ref #002. Retain for future Food Manufacturing Production Management roles.</t>
  </si>
  <si>
    <t>Food Science and Technology professional with approximately eight years of documented food-production experience. Experienced in production supervision, shift planning, plant staffing, hygiene and food-safety controls, audits, CAPA, SOP management, complaint investigation and workforce training. Holds an M.Phil. in Food Science &amp; Technology, a B.Sc. (Hons) in Agriculture and Food Technology, and lead-auditor certifications in FSSC 22000 V5 and HALAL PS3733:2019.</t>
  </si>
  <si>
    <t>Kufa Food Company, Dammam — Assistant Production Manager, March 2022–present. Manages shift plans, supervises production processes and plant personnel, verifies GMP/GHP, maintains retention and shelf-life records, conducts inspections and audits, implements CAPA, develops SOPs, investigates complaints and provides compliance training. Hafiz Sweets, Lahore — Production Manager, 3 years; involved in Laraib Bakers &amp; Sweets, Hafiz Sweets Live Pizza and Laraib Live Pizza projects. Gourmet Foods, Lahore, Bakery Plant — Production Executive, 2 years. NARC, Islamabad — Intern, 3 months.</t>
  </si>
  <si>
    <t>M.Phil. Food Science &amp; Technology, University of Management &amp; Technology, Lahore, 2019–2021. B.Sc. (Hons) Agriculture, Food Technology, PMAS-Arid Agriculture University Rawalpindi, 2014–2018. F.Sc. Pre-Medical, BISE Gujranwala, 2012–2014. Matriculation in Science, BISE Gujranwala. Professional certifications: Lead Auditor FSSC 22000 V5 and Lead Auditor HALAL PS3733:2019.</t>
  </si>
  <si>
    <t>CAND-039</t>
  </si>
  <si>
    <t>Farooq Haider</t>
  </si>
  <si>
    <t>+92-305-5997857; +92-316-5997857</t>
  </si>
  <si>
    <t>farooqhaiderft@gmail.com</t>
  </si>
  <si>
    <t>Production Manager</t>
  </si>
  <si>
    <t>ATA Bakery Solutions (Pvt.) Ltd. (Bread and Beyond)</t>
  </si>
  <si>
    <t>Food Manufacturing Operations and Production Management</t>
  </si>
  <si>
    <t>Bakery Process Technology, New Product Development, Quality Assurance and Plant Operations</t>
  </si>
  <si>
    <t>Bakery, biscuits, cookies, crackers, bread, cakes, muffins, tortillas, wafers, confectionery, chocolate, snacks and broader food processing</t>
  </si>
  <si>
    <t>Production planning and control; plant operations; process troubleshooting; baking science and technology; bakery product development; R&amp;D; quality assurance; food safety; ISO and HACCP implementation; Halal compliance; waste and yield reduction; preventive maintenance coordination; workforce leadership; KPI management; process improvement; raw-material inspection; EHS; documentation and reporting</t>
  </si>
  <si>
    <t>SAP S/4HANA; SAP ERP Central Component (ECC); Microsoft Word; Microsoft Excel; Microsoft PowerPoint; Windows; email and internet tools</t>
  </si>
  <si>
    <t>Pakistan and Dubai, United Arab Emirates</t>
  </si>
  <si>
    <t>Food-industry professional with a continuous career spanning quality assurance, production supervision, R&amp;D, operations management, plant management and production management. Experience is concentrated in bakery, biscuits, cakes, wafers, confectionery and snacks, with responsibility for production, quality, R&amp;D, maintenance coordination, food-safety compliance and workforce performance.</t>
  </si>
  <si>
    <t>https://drive.google.com/file/d/1o73RNoNdiRsx1EDA45sse7xd7FcStyad/view?usp=drivesdk</t>
  </si>
  <si>
    <t>Rejected for Ref #004 only; retain for future Food Manufacturing Operations and Production Management roles.</t>
  </si>
  <si>
    <t>Food technologist and manufacturing leader with approximately 15 years of experience across bakery and food-processing operations in Pakistan and the UAE. Has managed production, QA, R&amp;D and maintenance teams and worked on process control, line efficiency, waste reduction, food-safety systems and bakery product development. Product exposure includes biscuits, cookies, crackers, bread, cakes, muffins, tortillas, wafers, confectionery, chocolate and snacks.</t>
  </si>
  <si>
    <t>ATA Bakery Solutions (Pvt.) Ltd. / Bread and Beyond — Production Manager, Feb 2022–present: Oversees plant production, QA, R&amp;D and maintenance personnel, production and quality records, safety standards and operational planning. The Snack Bites Company / Snacks &amp; Co. — Plant Manager, Jul 2020–Feb 2022: Responsible for production, QA, R&amp;D and maintenance operations. Silver Lake Foods Ltd., S.M Foods Makers Ltd. and Volka Foods International — Manager Production, May 2018–Jul 2020: Led production and maintenance activities; supported supplier quality requirements, ISO/HACCP/Halal compliance, hygiene, EHS, maintenance planning, staffing and management reporting. Backersland / M.A Foods — Operations Manager, Aug 2017–May 2018: Managed production, QA, R&amp;D and maintenance; improved line efficiency, controlled waste and material variances, and supported biscuit product development and cost reduction. Signature Snacks, Dubai, UAE — Research and Development Officer, Mar 2017–Aug 2017: Supported R&amp;D programs, product and process introduction, and product/process cost improvement. Asian Foods / Mayfair Pvt. Ltd. — Assistant Manager Production, Aug 2013–Feb 2017: Managed production lines, KPIs, workforce utilization, raw-material efficiency, waste, yield, product quality and SAP production data. Continental Biscuit Ltd. — Senior Production Officer, Mar 2010–Aug 2013: Managed manufacturing staff, workflow, production schedules, process controls, systems, safety and product integrity. Gourmet Foods — Quality Assurance Executive, Jul 2009–Mar 2010: Conducted QA/QC compliance, finished-product inspection, hygiene monitoring and laboratory inspection of raw materials. Haleeb Foods — Intern, Quality and Production Department, 2008: Completed a 14-week internship in quality assurance.</t>
  </si>
  <si>
    <t>MSc (Hons) Food Technology, University of Agriculture Faisalabad, 2008–2010; research project: Development, Characterization and Shelf Life Study of Date Buns. BSc (Hons) Agriculture, University of Agriculture Faisalabad, 2004–2008. FSc Pre-Medical, BISE Bahawalpur, 2002–2004. Matriculation, BISE Bahawalpur, 2000–2002. Six-month Diploma in Meat Production and Processing, National Vocational &amp; Technical Education Commission / University of Agriculture Faisalabad, 2007–2008. Member, Board of Study, Department of Human Nutrition and Food Technology, Faculty of Allied Health Sciences, Superior University Lahore, 2023–present.</t>
  </si>
  <si>
    <t>CAND-040</t>
  </si>
  <si>
    <t>Muhammad Waqas Naeem</t>
  </si>
  <si>
    <t>+923225908112</t>
  </si>
  <si>
    <t>mwn.1583@gmail.com</t>
  </si>
  <si>
    <t>Dawn Bread</t>
  </si>
  <si>
    <t>Production and Manufacturing Operations</t>
  </si>
  <si>
    <t>Industrial bakery production, process optimization, food quality and food-safety management</t>
  </si>
  <si>
    <t>Industrial bakery, food manufacturing, FMCG and beverage manufacturing exposure</t>
  </si>
  <si>
    <t>High-speed bakery operations; production planning; process efficiency; capacity utilization; product troubleshooting; waste and production-loss reduction; product-quality improvement; new product development; GMP; HACCP; internal and external audits; corrective actions; production-team and labor management; staff training; problem-solving</t>
  </si>
  <si>
    <t>SAP S/4HANA Production Planning module as Business Process Owner; Oracle system software; Bunny's management system</t>
  </si>
  <si>
    <t>Pakistan and United Arab Emirates; bakery production experience supporting operations in Pakistan and the UAE</t>
  </si>
  <si>
    <t>Food technologist and bakery manufacturing professional with documented experience progressing from Assistant Manager Production to Production Supervisor and Production Manager. Career exposure covers high-volume breads, buns, Arabic bread, croissants, biscuits, cakes, muffins, rusks and related bakery products, with responsibility for production targets, process efficiency, quality, food safety, audits and team management.</t>
  </si>
  <si>
    <t>https://docs.google.com/document/d/1sv4_R7dWzqdEA8LNI1_9Il8oxPslXsCy/edit?usp=drivesdk&amp;ouid=100269677063860344655&amp;rtpof=true&amp;sd=true</t>
  </si>
  <si>
    <t>Supplier sourcing, relationship management and market intelligence: Current responsibilities explicitly include supplier relationship management, researching and evaluating prospective suppliers, identifying potential new suppliers, supplier follow-up and introducing new products and services. At Millat Tractors, responsibilities included collecting quotations and negotiating with suppliers. Commercial negotiation, contracting and cost optimization: The CV explicitly lists supplier negotiation at Cakes and Bakes and collection of quotations and negotiations at Millat Tractors. It also notes comparative-statement preparation, price committee meetings and issuance of cash and credit purchase orders. Procurement systems, reporting and audit-ready records: The candidate issued purchase orders and created new purchase part numbers in IFS at Millat Tractors. Other documented system use includes IFS for production records, work orders, shop orders and inspection-related transactions. Reporting experience includes stock, production, maintenance and project reports, comparative statements, approval letters and CEP documentation. Microsoft Office and MS Project are also listed.</t>
  </si>
  <si>
    <t>Minimum experience and manufacturing-domain relevance: The candidate has substantial procurement experience and direct bakery/food-production exposure, plus earlier manufacturing experience. This is relevant but does not meet the JD's explicit requirement for at least five years of production management. Inventory planning, replenishment and logistics coordination: There is credible delivery and material coordination experience, but no clear ownership of stock-level monitoring, reorder points, replenishment planning, shortage prevention or overstock controls. Mandatory supply chain education: The mandatory requirement specifically calls for a completed bachelor's degree in Supply Chain Management. The short course and procurement experience do not satisfy the stated degree-level and field requirement.</t>
  </si>
  <si>
    <t>Rejected for Ref #004 only; retain for future Production and Manufacturing Operations roles.</t>
  </si>
  <si>
    <t>Candidate assessed against 8 live ATS criteria. Weighted ATS Match: 49%. Must-Have Fit: Fail. The result is based on the stored Ref # criteria, weights, knockout rules and documented CV evidence.</t>
  </si>
  <si>
    <t>Bakery production professional with more than 11 years of stated FMCG and industrial bakery experience. Experienced in managing high-speed production lines, capacity utilization, downtime, waste reduction, product troubleshooting, quality improvement, HACCP, GMP, internal audits and production teams. Holds postgraduate and undergraduate qualifications in Food Technology and has worked in Pakistan and the UAE.</t>
  </si>
  <si>
    <t>Dawn Bread — Production Manager, 19 August 2019–present: Leads bakery production operations with responsibility for targets, process efficiency, capacity utilization, production losses, product quality, continuous improvement, production staff, food-safety systems and corrective actions. Al Jadeed Bakery L.L.C., UAE — Production Supervisor; additional charge as Quality Controller and Internal Auditor, 26 March 2017–25 April 2019: Industrial production exposure across loaf bread, buns, croissants, Arabic bread, biscuits, cakes, muffins, rusks, traditional roti and Danish pastry. Bunny's Limited, Lahore — Assistant Manager Production, 1 January 2013–24 March 2017: High-volume automated production of breads, buns, burgers, rusks, cakes, biscuits, croissants and confectionery products. Pepsi Plant, Lahore — Intern, 3 March 2010–15 May 2010.</t>
  </si>
  <si>
    <t>M.Sc. (Hons.) Food Technology, University of Agriculture, Faisalabad, Pakistan, 2010–2012. B.Sc. (Hons.) Agriculture (Food Technology), University of Agriculture, Faisalabad, Pakistan, 2006–2010. Intermediate in Physics, Chemistry and Biology, F.G. Inter College Mangla Cantt, 2004–2006. Matriculation in Science Subjects, F.G. Public School Mangla Cantt, 2001–2003. Additional training: Highfield Awarding Body for Compliance UK PIC Level 3 passed with merit; Food Safety Levels 3 and 4; fire safety; basic food hygiene.</t>
  </si>
  <si>
    <t>CAND-041</t>
  </si>
  <si>
    <t>Muhammad Amir Sohail</t>
  </si>
  <si>
    <t>+92 303 6495591</t>
  </si>
  <si>
    <t>amirsohailofficial5@gmail.com</t>
  </si>
  <si>
    <t>Khanewal, Pakistan; currently employed in Lahore</t>
  </si>
  <si>
    <t>Assistant Manager Production and Quality (Export)</t>
  </si>
  <si>
    <t>Bundu Khan Foods</t>
  </si>
  <si>
    <t>Production Quality, Food Safety, Export Operations and Product R&amp;D</t>
  </si>
  <si>
    <t>Food manufacturing; bakery and sweets; sauces and mayonnaise; frozen bakery products; export food production; quality assurance and food safety</t>
  </si>
  <si>
    <t>Production planning and scheduling, demand-based production planning, production-team supervision, quality control, food-safety implementation, HACCP and ISO compliance, GMPs, inspections, SOP and checklist development, product R&amp;D, shelf-life enhancement, recipe costing, material and overhead-cost analysis, inventory control, waste management, export documentation and staff training</t>
  </si>
  <si>
    <t>ERP software, NRP as stated in the CV, Microsoft Office, Google Drive and production/quality-control records</t>
  </si>
  <si>
    <t>Pakistan-based experience in Lahore and Multan; project leadership for bakery products exported to the UK; current export-production responsibilities</t>
  </si>
  <si>
    <t>Food-production professional who progressed from Production Executive to Assistant Manager roles spanning production, R&amp;D, quality and export operations. Experience covers bakery, sweets, sauces, frozen products, food-safety systems, production costing, inventory and workforce supervision.</t>
  </si>
  <si>
    <t>https://drive.google.com/file/d/1iaS_IPREJRtxZES0zWkP7uXRkoZ8kn_t/view?usp=drivesdk</t>
  </si>
  <si>
    <t>On hold for Ref #002; retain for future Food Manufacturing Production and Operations roles.</t>
  </si>
  <si>
    <t>CAND-042</t>
  </si>
  <si>
    <t>Abbas Raza Shafqat</t>
  </si>
  <si>
    <t>+92 3202270704</t>
  </si>
  <si>
    <t>abbasrazashafqat@gmail.com</t>
  </si>
  <si>
    <t>Procurement Coordinator</t>
  </si>
  <si>
    <t>Action International Services L.L.C</t>
  </si>
  <si>
    <t>Procurement and Supply Chain Management</t>
  </si>
  <si>
    <t>Supplier sourcing, inventory planning, warehouse coordination and purchasing operations</t>
  </si>
  <si>
    <t>Construction services, manufacturing, health and beauty products, HVAC/electrical equipment, warehousing and customer service</t>
  </si>
  <si>
    <t>Local and international sourcing, supplier identification and evaluation, quotation comparison, commercial negotiation, contract coordination, purchase-order processing, demand forecasting, inventory control, replenishment, logistics planning, supplier performance monitoring, KPI reporting, supplier quality coordination, audit support and customer service</t>
  </si>
  <si>
    <t>Microsoft Excel, Word, Access, PowerPoint and Outlook; ERP inventory systems; SAP MM; SPSS; Adobe Photoshop, Illustrator and InDesign; Microsoft Teams, Zoom, Google Meet and Skype</t>
  </si>
  <si>
    <t>Professional experience in Lahore, Pakistan and Dubai, United Arab Emirates, including sourcing from local and international markets</t>
  </si>
  <si>
    <t>Career progression from customer service into supply-chain internships, manufacturing operations, warehouse management and procurement coordination. Experience spans Pakistan and the UAE, with the longest role focused on construction-sector procurement, supplier coordination, inventory planning and logistics.</t>
  </si>
  <si>
    <t>https://drive.google.com/file/d/1Vp65sxiaKs7p1W4FcfYVa6xEN6bTr1k4/view?usp=drivesdk</t>
  </si>
  <si>
    <t>Operations Management: As Logistics Operations Manager, led end-to-end home and corporate relocation projects, including data-center relocations, shipment processing and final-mile delivery. Also coordinated cross-functional teams, resolved service issues and supported process and cost improvements. Earlier roles included KPI, SOP, quality and escalation responsibilities. Client / Customer Management: Managed corporate-client relationships, customer meetings, surveys, quotations and commercial discussions. Held several customer-care roles covering difficult complaints, claims, legal notices, service recovery, refunds and root-cause investigation. Leadership &amp; People Management: Led cross-functional relocation teams and coordinated packing teams, skilled staff and vehicles. As Acting Contact Center Supervisor, managed floor operations, schedules and breaks and supported skill assessments and development plans.</t>
  </si>
  <si>
    <t>Direct LIMO / Chauffeur Service Management: The candidate has transferable logistics experience but no direct management of chauffeur or limo services. Generic logistics and relocation operations do not satisfy this knockout requirement. US Market / US Customer Exposure: No explicit US market or customer exposure is provided, so this knockout requirement is not met. Dispatch / Fleet Operations: The experience is transferable to dispatch and fleet coordination, but it relates to freight, relocation and delivery operations. Driver dispatch, passenger routing, scheduling and chauffeur fleet utilization are not evidenced.</t>
  </si>
  <si>
    <t>Candidate assessed against 7 live ATS criteria. Weighted ATS Match: 31%. Must-Have Fit: Fail. The result is based on the stored Ref # criteria, weights, knockout rules and documented CV evidence.</t>
  </si>
  <si>
    <t>Rejected for Ref #004 only; retain for future Procurement and Supply Chain Management roles.</t>
  </si>
  <si>
    <t>Procurement and supply-chain professional with experience in local and international sourcing, supplier evaluation, commercial negotiation, purchase-order administration, demand forecasting, inventory control, logistics coordination and KPI reporting. Holds a BBA Honours with a specialization in Supply Chain Management and has worked across construction services, manufacturing, health and beauty, HVAC/electrical equipment and customer service environments in Pakistan and the UAE.</t>
  </si>
  <si>
    <t>[{"end_date":"12/07/2024","location":"Dubai, United Arab Emirates","designation":"Procurement Coordinator","start_date":"10/01/2022","company_name":"Action International Services L.L.C"},{"designation":"Warehouse Assistant (Supply Chain)","location":"Lahore, Pakistan","end_date":"06/05/2021","start_date":"22/11/2020","company_name":"Hammé (Anfaa Health &amp; Beauty) (Boss Group of Companies)"},{"start_date":"02/02/2020","company_name":"Organo Pure (Pvt) Limited","designation":"Operations Manager","location":"Lahore, Pakistan","end_date":"29/06/2020"},{"designation":"Supply Chain Management Intern","company_name":"Cool Point (Pvt) Limited","start_date":"31/05/2019","location":"Lahore, Pakistan","end_date":"30/08/2019"},{"designation":"Domestic Customer Service Executive","start_date":"01/11/2016","location":"Lahore, Pakistan","company_name":"TRG (IBEX-Global)","end_date":"28/05/2017"}]</t>
  </si>
  <si>
    <t>[{"qualification":"Bachelor of Business Administration Honours (BBA Hons), Specialization in Supply Chain Management","institution":"The University of Lahore","location":"Lahore, Pakistan","end_date":"17/02/2020","start_date":"25/08/2015"},{"institution":"Islamia Boys High Collage Quetta","start_date":"13/11/2013","qualification":"Intermediate (Pre-Engineering)","location":"Quetta, Pakistan","end_date":"26/07/2015"},{"start_date":"01/03/1998","location":"Quetta, Pakistan","qualification":"Matriculation (Computer Science)","institution":"ST. Francis Grammar High School","end_date":"28/06/2013"}]</t>
  </si>
  <si>
    <t>Direct LIMO / Chauffeur Service Management: Sales and Dispatch Manager and former Sales and Dispatch Supervisor at Nationwide Chauffeured Services; Operations Manager at Dallas Limo &amp; Black Car Service. The CV explicitly references limousine service, regional-fleet dispatch, premium corporate service, VIP transportation and large-scale transport coordination. US Market / US Customer Exposure: Nationwide Chauffeured Services role is listed in the United States; Dallas Limo &amp; Black Car Service role is located in Dallas, Texas; National Sales Manager role at Dlbcs Transportation is also listed in the United States. The candidate led services for corporate and event clients across multiple locations. Operations Management: Managed daily dispatch operations for a regional fleet, reports 100% on-time service to corporate clients, serves as Operations Manager at Dallas Limo &amp; Black Car Service, and coordinated large-scale logistics and VIP transport during ICC World Cup operations.</t>
  </si>
  <si>
    <t>Systems / Technology: Operational systems usage is not evidenced.</t>
  </si>
  <si>
    <t>Candidate assessed against 7 live ATS criteria. Weighted ATS Match: 82%. Must-Have Fit: Pass. The result is based on the stored Ref # criteria, weights, knockout rules and documented CV evidence.</t>
  </si>
  <si>
    <t>Supplier sourcing, relationship management and market intelligence: Repeated responsibility for dealing with vendors and suppliers at Shezan Bakers, Palace Furniture and Sizzlers Restaurant. At Palace Furniture, the candidate sourced new items and markets and bought handicraft items from multiple Pakistani locations. General Food Products duties included exploring new dealers and customers. Inventory planning, replenishment and logistics coordination: Current duties include store inventory. At Shezan Bakers, duties included issuing raw materials to bakery departments, issuing packaging materials to sales outlets, checking stores and preparing statements. At Al Basha Restaurant, the candidate maintained food-store stock and prepared monthly stock reports. Palace Furniture included export documentation and shipment handling.</t>
  </si>
  <si>
    <t>Minimum experience and manufacturing-domain relevance: The CV provides substantial bakery and food-sector procurement/store exposure, but it does not evidence the mandatory five years of production management. Store, purchase and factory-checking duties cannot be treated as production-management experience. Commercial negotiation, contracting and cost optimization: Purchasing exposure is adjacent evidence, but negotiation authority and commercial outcomes cannot be inferred from general buying and vendor-dealing duties. Mandatory supply chain education: The completed bachelor's degree is unrelated to supply chain management and therefore does not satisfy the explicitly mandatory degree field.</t>
  </si>
  <si>
    <t>Candidate assessed against 8 live ATS criteria. Weighted ATS Match: 34%. Must-Have Fit: Fail. The result is based on the stored Ref # criteria, weights, knockout rules and documented CV evidence.</t>
  </si>
  <si>
    <t>Quality control and health and safety compliance: Responsible for GMP and GHP verification, product inspection, quality, food safety, hygiene and regulatory standards; conducts food-safety and Halal audits; evaluates findings and implements corrective and preventive actions; develops and updates SOPs; conducts site inspections covering GHP, GMP and IPM; investigates complaints and non-conformances; organizes compliance training. Holds Lead Auditor FSSC 22000 V5 and Lead Auditor HALAL PS3733:2019 certifications. Relevant bachelor's degree: B.Sc. (Hons) Agriculture, Food Technology, PMAS-Arid Agriculture University Rawalpindi, 2014–2018; M.Phil. Food Science &amp; Technology, University of Management &amp; Technology Lahore, 2019–2021. Minimum five years of production management experience: Assistant Production Manager at Kufa Food Company from March 2022 to present; three years as Production Manager at Hafiz Sweets; two years as Production Executive at Gourmet Foods' bakery plant. Current responsibilities include shift planning, production-process supervision, plant staffing and production handover through a system.</t>
  </si>
  <si>
    <t>Process improvement, waste reduction and production cost control: CAPA and SOP work provide limited adjacent evidence, but routine compliance activity cannot establish production-process improvement or cost ownership. No initiatives or quantified results are documented. Dispatch, finished-goods inventory and expiry management: Shelf-life and product-control exposure is relevant to expiry-sensitive food production, but direct responsibility for finished-goods stock and customer dispatch is not evidenced. Production systems, analytical reporting and decision support: Some operational system use is evidenced, but the system and level of hands-on use are unspecified. Analytical reporting, production MIS, performance analysis and decision-support outputs are not demonstrated.</t>
  </si>
  <si>
    <t>Candidate assessed against 9 live ATS criteria. Weighted ATS Match: 68%. Must-Have Fit: Pass. The result is based on the stored Ref # criteria, weights, knockout rules and documented CV evidence.</t>
  </si>
  <si>
    <t>Minimum experience and manufacturing-domain relevance: Continuous food-manufacturing career since July 2009, including Senior Production Officer at Continental Biscuit (2010–2013), Assistant Manager Production at Asian Foods/Mayfair (2013–2017), Operations Manager at Backersland (2017–2018), Manager Production at S.M Group companies (2018–2020), Plant Manager at The Snack Bites Company (2020–2022), and Production Manager at ATA Bakery Solutions from February 2022. Products include biscuits, cookies, crackers, cakes, bread, wafers, confectionery and snacks. Raw-material quality and food-safety compliance: At Gourmet Foods, inspected raw materials in the laboratory against established standards and handled QA/QC and hygiene compliance. At S.M Group, worked with purchasing staff to establish supplier safety, quality and legal requirements and was responsible for ISO, HACCP 22000:2005, Halal, hygiene and EHS implementation. Food-safety training includes CIEH Level 2, traceability, pest management and halal food production.</t>
  </si>
  <si>
    <t>Supplier sourcing, relationship management and market intelligence: There is credible cross-functional interaction with purchasing and external suppliers, but evidence of direct end-to-end sourcing and supplier relationship ownership is incomplete. Commercial negotiation, contracting and cost optimization: The CV shows operational cost optimization, but this is adjacent to rather than direct evidence of procurement negotiation and contracting. Inventory planning, replenishment and logistics coordination: Manufacturing material-control experience is transferable, but the CV does not demonstrate direct replenishment or supplier-linked inventory planning.</t>
  </si>
  <si>
    <t>Candidate assessed against 8 live ATS criteria. Weighted ATS Match: 44%. Must-Have Fit: Fail. The result is based on the stored Ref # criteria, weights, knockout rules and documented CV evidence.</t>
  </si>
  <si>
    <t>No material strength was evidenced strongly enough to summarize.</t>
  </si>
  <si>
    <t>Minimum experience and manufacturing-domain relevance: The candidate has directly relevant bakery and food-manufacturing exposure, but the CV does not establish at least five clearly dated years of production management. Only the 2021–2022 production role is explicitly dated as production management, while the current production and quality role lacks dates. Supplier sourcing, relationship management and market intelligence: Food-manufacturing and quality responsibilities are documented, but there is no usable evidence of supplier sourcing or strategic supplier management. Commercial negotiation, contracting and cost optimization: Waste reduction and production efficiency are adjacent to cost control, but they do not demonstrate procurement negotiation, contracting authority or commercial purchasing outcomes.</t>
  </si>
  <si>
    <t>Candidate assessed against 8 live ATS criteria. Weighted ATS Match: 20%. Must-Have Fit: Fail. The result is based on the stored Ref # criteria, weights, knockout rules and documented CV evidence.</t>
  </si>
  <si>
    <t>Minimum experience and manufacturing-domain relevance: Production Manager at Dawn Bread from 19 August 2019 to present; Production Supervisor with additional Quality Controller and Internal Auditor responsibilities at Al Jadeed Bakery from 26 March 2017 to 25 April 2019; Assistant Manager Production at Bunny's Limited from 1 January 2013 to 24 March 2017. The CV describes high-volume production of breads, buns, Arabic bread, cakes, biscuits, croissants and other bakery products and states more than 11 years of bakery/FMCG experience.</t>
  </si>
  <si>
    <t>Supplier sourcing, relationship management and market intelligence: The documented career is focused on bakery production, process efficiency and quality. No direct sourcing or strategic supplier-management responsibilities are provided. Commercial negotiation, contracting and cost optimization: The candidate has adjacent operational cost-control exposure, but the CV does not establish procurement negotiation, contracting or commercial ownership. Inventory planning, replenishment and logistics coordination: Production planning is transferable, but it is not evidence of procurement inventory ownership or supplier-linked replenishment responsibility.</t>
  </si>
  <si>
    <t>Relevant bachelor's degree: Completed B.Sc. (Hons.) Food Engineering at the University of Agriculture, Faisalabad, from 09/2014 to 08/2018, with CGPA 3.17. Also completed M.Sc. (Hons.) Food Science and Technology at the University of Poonch Rawalakot AJK from 09/2018 to 06/2022, with grade 3.66. Multi-category food, sweets and bakery manufacturing experience: Direct experience at Freshco Sweet and Bakers and Gourmet Foods. Product exposure includes sweets and bakery operations, fondant/icing sugar paste, mayonnaise, sauces, frozen bakery products and bakery products developed for export to the UK. The candidate also worked on shelf-life enhancement and new-product launches. Quality control and health and safety compliance: Current responsibilities include quality-control implementation, inspections and compliance with HACCP and ISO 22000 expectations. Gourmet Foods responsibilities include food-safety checklists, ISO 9001 compliance, work instructions and raw/packing-material inspection. Freshco experience includes GMPs, safety protocols and worker food-safety training. The Shezan internship covered FSSC 22000 audits, SOPs, QA check sheets, hazard identification and corrective measures.</t>
  </si>
  <si>
    <t>Minimum five years of production management experience: The CV documents continuous food-production experience beginning in August 2020, but the ongoing role has no fixed end or CV assessment date. Approximately four years are established through the start of the current role, while management-titled experience from June 2021 through July 2024 is about 3.1 years plus an unquantifiable current period. Therefore, five full years of production-management ownership are not substantiated. Dispatch, finished-goods inventory and expiry management: The CV demonstrates finished-goods inventory exposure and coordination with shipping, but not full ownership of dispatch accuracy or timeliness. FEFO, batch-based expiry monitoring, near-expiry controls, returns and quantified stock-loss or wastage outcomes are not evidenced.</t>
  </si>
  <si>
    <t>Candidate assessed against 9 live ATS criteria. Weighted ATS Match: 62%. Must-Have Fit: Partial. The result is based on the stored Ref # criteria, weights, knockout rules and documented CV evidence.</t>
  </si>
  <si>
    <t>[{"criterion":"Minimum five years of production management experience","evidenceStatus":"Partial","evidenceFound":"Production Executive at Freshco Sweet and Bakers from 08/2020 to 06/2021; Assistant Manager Production and R&amp;D at Gourmet Foods from 06/2021 to 07/2024; Assistant Manager Production and Quality (Export) at Bundu Khan Foods from 08/2024 to Current. Responsibilities include production planning, production-team leadership, task assignment, workflow execution, resource coordination and production records.","knockout":"Yes","weight":20,"evidenceConfidence10":10,"score10":4,"assessmentRationale":"The CV documents continuous food-production experience beginning in August 2020, but the ongoing role has no fixed end or CV assessment date. Approximately four years are established through the start of the current role, while management-titled experience from June 2021 through July 2024 is about 3.1 years plus an unquantifiable current period. Therefore, five full years of production-management ownership are not substantiated."},{"criterion":"Multi-category food, sweets and bakery manufacturing experience","knockout":"Yes","evidenceFound":"Direct experience at Freshco Sweet and Bakers and Gourmet Foods. Product exposure includes sweets and bakery operations, fondant/icing sugar paste, mayonnaise, sauces, frozen bakery products and bakery products developed for export to the UK. The candidate also worked on shelf-life enhancement and new-product launches.","weight":15,"evidenceConfidence10":10,"evidenceStatus":"Pass","score10":8,"assessmentRationale":"Strong factory-based food and bakery experience across several recipe-based and perishable categories is explicit. Multiple product categories are demonstrated, although the scale and number of separately managed production lines or departments are not stated."},{"criterion":"Production planning, daily reporting and target delivery","score10":6,"evidenceFound":"At Bundu Khan Foods, assists with production planning and scheduling for export orders and deadlines and maintains production records. At Gourmet Foods, led production operations, production-plan execution and resource coordination. At Freshco, planned production based on demand and tracked production numbers.","assessmentRationale":"There is credible direct evidence of demand-based planning, scheduling, workflow execution and output recording. However, final accountability for targets, formal DPR preparation, variance analysis, capacity analysis and measurable schedule or throughput results are not evidenced.","evidenceConfidence10":8,"evidenceStatus":"Pass","knockout":"Yes","weight":14},{"evidenceConfidence10":8,"assessmentRationale":"The CV demonstrates finished-goods inventory exposure and coordination with shipping, but not full ownership of dispatch accuracy or timeliness. FEFO, batch-based expiry monitoring, near-expiry controls, returns and quantified stock-loss or wastage outcomes are not evidenced.","weight":10,"score10":4,"criterion":"Dispatch, finished-goods inventory and expiry management","knockout":"No","evidenceStatus":"Partial","evidenceFound":"Managed production-store stock at Gourmet Foods, including weekly, monthly and annual closing for finished and semi-finished goods. At Freshco, labeled finished and semi-finished goods and handed finished products to the shipping department. Shelf-life improvement work is also stated."},{"assessmentRationale":"Strong and detailed evidence covers operational quality checks, hygiene, food safety, SOPs, audits, inspections and corrective measures in food-manufacturing environments. Quantified defect, complaint or safety-incident improvements and formal certification credentials are not provided.","criterion":"Quality control and health and safety compliance","weight":15,"evidenceFound":"Current responsibilities include quality-control implementation, inspections and compliance with HACCP and ISO 22000 expectations. Gourmet Foods responsibilities include food-safety checklists, ISO 9001 compliance, work instructions and raw/packing-material inspection. Freshco experience includes GMPs, safety protocols and worker food-safety training. The Shezan internship covered FSSC 22000 audits, SOPs, QA check sheets, hazard identification and corrective measures.","evidenceConfidence10":10,"evidenceStatus":"Pass","score10":8,"knockout":"No"},{"evidenceFound":"Identifies and implements process improvements at Bundu Khan Foods. At Gourmet Foods, handled material and overhead-cost estimation, system implementation, recipe costing, ingredient pricing, cost analysis and overhead control. At Freshco, managed waste. Shelf-life enhancement and new-product development are also documented.","evidenceStatus":"Pass","criterion":"Process improvement, waste reduction and production cost control","assessmentRationale":"The candidate has credible involvement in process improvement, waste management and production-cost analysis. Evidence is not quantified, and the CV does not establish production-budget ownership or measured improvements in yield, throughput, waste, downtime or labor utilization.","evidenceConfidence10":8,"weight":10,"score10":6,"knockout":"No"},{"score10":6,"evidenceConfidence10":8,"evidenceStatus":"Pass","evidenceFound":"Supervises and trains production and quality-control staff at Bundu Khan Foods. At Gourmet Foods, assigned tasks to subordinate officers and laborers, led the production team and addressed employee concerns and complaints. At Freshco, trained and guided workers on food safety.","weight":5,"assessmentRationale":"Direct factory-workforce supervision, task assignment, training and employee-issue handling are evidenced. Team size, shift structure, number of departments, formal performance management and measurable workforce results are not stated.","knockout":"No","criterion":"Factory labor management and team leadership"},{"score10":10,"evidenceFound":"Completed B.Sc. (Hons.) Food Engineering at the University of Agriculture, Faisalabad, from 09/2014 to 08/2018, with CGPA 3.17. Also completed M.Sc. (Hons.) Food Science and Technology at the University of Poonch Rawalakot AJK from 09/2018 to 06/2022, with grade 3.66.","assessmentRationale":"The candidate has an explicitly completed, directly relevant bachelor's degree and an additional relevant master's degree from identified institutions.","evidenceStatus":"Pass","knockout":"Yes","evidenceConfidence10":10,"criterion":"Relevant bachelor's degree","weight":5},{"knockout":"No","assessmentRationale":"There is credible contextual use of enterprise software and production data for costing, inventory and operational records. The CV does not identify a specific ERP platform or demonstrate advanced spreadsheet analysis, dashboards, production MIS, variance reporting or decision-support outputs.","weight":6,"evidenceStatus":"Pass","evidenceConfidence10":8,"score10":6,"evidenceFound":"Digital skills include ERP software and Microsoft Office. At Gourmet Foods, the candidate implemented material and overhead-cost estimates in NRP, performed recipe costing, ingredient pricing, stock closings, cost analysis and overhead control. Production records and production numbers were maintained in other roles.","criterion":"Production systems, analytical reporting and decision support"}]</t>
  </si>
  <si>
    <t>Supplier sourcing, relationship management and market intelligence: At Action International Services, sourced materials from local and international markets, identified potential suppliers, evaluated price, quality, service, payment and delivery factors, managed supplier relationships and performance, requested quotations and compared transportation costs. At Hammé, researched suppliers and compared offers. At Cool Point, sought capable suppliers and assessed their quality and business suitability. Commercial negotiation, contracting and cost optimization: Negotiated price, quality/service, payment terms and delivery with suppliers at Action International Services and reported contract negotiation and cost-reduction responsibilities. At Hammé, negotiated contract terms and pricing. At Cool Point, implemented cost-optimization techniques across commodities and brands. Inventory planning, replenishment and logistics coordination: At Action International Services, prepared purchase orders using stock levels, shortages, forecasts and consumption needs; managed monthly demand forecasts; placed supplier orders; monitored stock movement and minimum levels; followed deliveries; planned logistics; and obtained transportation quotations. At Hammé, monitored stock, placed orders, maintained ERP/Excel inventory, applied FIFO, managed slow-moving inventory and coordinated materials for production.</t>
  </si>
  <si>
    <t>Minimum experience and manufacturing-domain relevance: The CV does not evidence five years of production management. Direct production-management exposure is limited to a short Operations Manager role, while most relevant experience is in procurement, warehousing or supply-chain coordination. No sweets, bakery or clearly evidenced food-processing manufacturing experience is shown. Mandatory supply chain education: The candidate has a completed bachelor's degree with a Supply Chain Management specialization, providing closely related academic preparation. However, the degree itself is titled BBA Honours rather than a bachelor's degree specifically titled Supply Chain Management, so it does not meet the exact mandatory wording without recruiter approval.</t>
  </si>
  <si>
    <t>Candidate assessed against 8 live ATS criteria. Weighted ATS Match: 60%. Must-Have Fit: Fail. The result is based on the stored Ref # criteria, weights, knockout rules and documented CV evidence.</t>
  </si>
  <si>
    <t>[{"criterion":"Mandatory supply chain education","assessmentRationale":"The candidate has a completed bachelor's degree with a Supply Chain Management specialization, providing closely related academic preparation. However, the degree itself is titled BBA Honours rather than a bachelor's degree specifically titled Supply Chain Management, so it does not meet the exact mandatory wording without recruiter approval.","evidenceConfidence10":10,"evidenceStatus":"Partial","knockout":"Yes","evidenceFound":"Completed Bachelor of Business Administration Honours (BBA Hons) at The University of Lahore from 25/08/2015 to 17/02/2020, with an explicitly stated specialization in Supply Chain Management.","score10":4,"weight":10},{"assessmentRationale":"The CV does not evidence five years of production management. Direct production-management exposure is limited to a short Operations Manager role, while most relevant experience is in procurement, warehousing or supply-chain coordination. No sweets, bakery or clearly evidenced food-processing manufacturing experience is shown.","evidenceFound":"Dated experience includes approximately five months as Operations Manager at manufacturing company Organo Pure, around three months as a Supply Chain Management Intern at Cool Point, around five months in warehouse/supply chain at Hammé, and approximately 2.5 years in construction procurement at Action International Services. The Operations Manager role included production KPI monitoring, quality controls, purchasing, inventory planning and warehouse oversight.","evidenceStatus":"Fail","knockout":"Yes","score10":2,"evidenceConfidence10":10,"criterion":"Minimum experience and manufacturing-domain relevance","weight":20},{"knockout":"No","evidenceFound":"At Action International Services, sourced materials from local and international markets, identified potential suppliers, evaluated price, quality, service, payment and delivery factors, managed supplier relationships and performance, requested quotations and compared transportation costs. At Hammé, researched suppliers and compared offers. At Cool Point, sought capable suppliers and assessed their quality and business suitability.","weight":18,"evidenceStatus":"Pass","assessmentRationale":"Strong direct evidence covers supplier identification, quotation comparison, evaluation, relationship management, performance monitoring and alternative-source development. The CV does not provide quantified supplier-performance or market-price improvements, preventing an exceptional score.","evidenceConfidence10":10,"score10":8,"criterion":"Supplier sourcing, relationship management and market intelligence"},{"evidenceFound":"Negotiated price, quality/service, payment terms and delivery with suppliers at Action International Services and reported contract negotiation and cost-reduction responsibilities. At Hammé, negotiated contract terms and pricing. At Cool Point, implemented cost-optimization techniques across commodities and brands.","assessmentRationale":"The candidate demonstrates direct involvement in supplier negotiations, commercial terms, contracts and cost optimization. No savings figures, percentages, bulk-purchase outcomes or specific long-term contract results are provided.","knockout":"No","score10":8,"evidenceConfidence10":8,"evidenceStatus":"Pass","weight":15,"criterion":"Commercial negotiation, contracting and cost optimization"},{"assessmentRationale":"Strong evidence demonstrates regular ownership of replenishment, forecasting, ordering, stock availability, delivery follow-up and logistics coordination. No quantified reduction in stockouts, inventory, lead time or freight cost is stated.","criterion":"Inventory planning, replenishment and logistics coordination","evidenceFound":"At Action International Services, prepared purchase orders using stock levels, shortages, forecasts and consumption needs; managed monthly demand forecasts; placed supplier orders; monitored stock movement and minimum levels; followed deliveries; planned logistics; and obtained transportation quotations. At Hammé, monitored stock, placed orders, maintained ERP/Excel inventory, applied FIFO, managed slow-moving inventory and coordinated materials for production.","knockout":"No","evidenceConfidence10":10,"evidenceStatus":"Pass","weight":15,"score10":8},{"knockout":"No","assessmentRationale":"The CV provides credible procurement-related quality-control and supplier-compliance experience, including certificates, audits and corrective actions. However, this evidence is from construction and non-food manufacturing, with no explicit food-safety, bakery raw-material or sustainable-sourcing experience.","evidenceStatus":"Pass","evidenceConfidence10":8,"weight":10,"score10":6,"evidenceFound":"At Action International Services, handled quality and quantity discrepancies, requested samples and quality-test certificates, and followed shipping documentation. At Cool Point, assessed suppliers against quality standards, supported supplier audits, ensured quality-management-system and regulatory compliance, and applied root-cause and corrective/preventive actions to supplier-process issues.","criterion":"Raw-material quality and food-safety compliance"},{"evidenceStatus":"Pass","weight":7,"criterion":"Procurement systems, reporting and audit-ready records","evidenceConfidence10":8,"knockout":"No","evidenceFound":"Prepared purchase orders, maintained product, contract, pricing and invoicing data, tracked supply-chain KPIs and consolidated reports at Action International Services. Used Excel/ERP for inventory transactions and records at Hammé, prepared inventory lists and assisted internal stock counts and quarterly external audits. SAP MM, Microsoft Excel and SPSS are listed as digital skills.","score10":6,"assessmentRationale":"There is credible operational use of Excel and an unnamed ERP, along with purchasing, inventory, KPI and audit documentation. SAP MM is listed but its use in a specific role is not described, and there is limited evidence of advanced procurement-system ownership."},{"criterion":"Cross-functional leadership and procurement decision-making","weight":5,"evidenceFound":"At Action International Services, independently coordinated suppliers, customers and multiple departments, managed competing priorities and resolved quality, quantity, pricing, production and documentation delays. At Cool Point, worked with buying, product development, warehouse, manufacturing and project-management teams. As Operations Manager, recruited, trained and supervised staff and managed operational objectives.","score10":6,"evidenceConfidence10":8,"evidenceStatus":"Pass","knockout":"No","assessmentRationale":"The candidate demonstrates independent cross-functional coordination, supply-problem resolution and some formal staff leadership. The CV does not provide clear outcomes from major procurement decisions or sustained leadership of complex cross-functional procurement initiatives."}]</t>
  </si>
  <si>
    <t>User ID</t>
  </si>
  <si>
    <t>Full Name</t>
  </si>
  <si>
    <t>Email</t>
  </si>
  <si>
    <t>Role</t>
  </si>
  <si>
    <t>Assigned Clients</t>
  </si>
  <si>
    <t>Assigned Ref #s</t>
  </si>
  <si>
    <t>Can Create Positions</t>
  </si>
  <si>
    <t>Can View Talent Pool</t>
  </si>
  <si>
    <t>Can Export Reports</t>
  </si>
  <si>
    <t>Last Login</t>
  </si>
  <si>
    <t>USR-001</t>
  </si>
  <si>
    <t>tauqeer2006@gmail.com</t>
  </si>
  <si>
    <t>Admin</t>
  </si>
  <si>
    <t>All</t>
  </si>
  <si>
    <t>2026-09-27</t>
  </si>
  <si>
    <t>USR-002</t>
  </si>
  <si>
    <t>Test User</t>
  </si>
  <si>
    <t>oosynix@gmail.com</t>
  </si>
  <si>
    <t>Recruiter</t>
  </si>
  <si>
    <t>2026-09-28</t>
  </si>
  <si>
    <t>Timestamp</t>
  </si>
  <si>
    <t>User Email</t>
  </si>
  <si>
    <t>User Name</t>
  </si>
  <si>
    <t>Action</t>
  </si>
  <si>
    <t>Entity Type</t>
  </si>
  <si>
    <t>Entity ID / Ref #</t>
  </si>
  <si>
    <t>Details</t>
  </si>
  <si>
    <t>Previous Value</t>
  </si>
  <si>
    <t>New Value</t>
  </si>
  <si>
    <t>LOGIN</t>
  </si>
  <si>
    <t>User</t>
  </si>
  <si>
    <t>Successful ATS login</t>
  </si>
  <si>
    <t>Successful ATS login - trusted device</t>
  </si>
  <si>
    <t>TRUSTED_DEVICE_LOGIN</t>
  </si>
  <si>
    <t>ATS login using trusted device</t>
  </si>
  <si>
    <t>TRUSTED_DEVICE_ADDED</t>
  </si>
  <si>
    <t>Trusted Device</t>
  </si>
  <si>
    <t>TD-a45045a4-a559-4680-86c6-6ba9d7258ef6</t>
  </si>
  <si>
    <t>Browser added as a trusted ATS device</t>
  </si>
  <si>
    <t>Successful ATS login - device trusted</t>
  </si>
  <si>
    <t>TD-57ad9b81-d88a-4eab-b6f5-78af1566fe8e</t>
  </si>
  <si>
    <t>TD-b9dab3b7-fb10-44f0-9cff-a3aec749aecf</t>
  </si>
  <si>
    <t>POSITION_UPDATED</t>
  </si>
  <si>
    <t>Procurement Executive (Factory) updated through ATS Dashboard</t>
  </si>
  <si>
    <t>{"status":"Cancelled","priority":"Medium","hiringTarget":"1"}</t>
  </si>
  <si>
    <t>{"status":"Active","priority":"Medium","hiringTarget":1}</t>
  </si>
  <si>
    <t>Operations Manager / General Manager (LIMO &amp; Chauffeur Services) updated through ATS Dashboard</t>
  </si>
  <si>
    <t>{"status":"Active","priority":"High","hiringTarget":"1"}</t>
  </si>
  <si>
    <t>{"status":"Active","priority":"High","hiringTarget":2}</t>
  </si>
  <si>
    <t>{"status":"Active","priority":"High","hiringTarget":"2"}</t>
  </si>
  <si>
    <t>{"status":"Filled","priority":"High","hiringTarget":1}</t>
  </si>
  <si>
    <t>{"status":"Filled","priority":"High","hiringTarget":"1"}</t>
  </si>
  <si>
    <t>{"status":"Active","priority":"High","hiringTarget":1}</t>
  </si>
  <si>
    <t>{"status":"Active","priority":"Medium","hiringTarget":"1"}</t>
  </si>
  <si>
    <t>{"status":"Filled","priority":"Medium","hiringTarget":1}</t>
  </si>
  <si>
    <t>{"status":"Filled","priority":"Medium","hiringTarget":"1"}</t>
  </si>
  <si>
    <t>Session ID</t>
  </si>
  <si>
    <t>Device Token</t>
  </si>
  <si>
    <t>Keep Signed In</t>
  </si>
  <si>
    <t>Created At</t>
  </si>
  <si>
    <t>Last Activity</t>
  </si>
  <si>
    <t>Expires At</t>
  </si>
  <si>
    <t>Revoked At</t>
  </si>
  <si>
    <t>Revoked By</t>
  </si>
  <si>
    <t>ef86020849947380b9ff838749ce0cf4ab6552203d3d93ca935741d5f3d3f32a</t>
  </si>
  <si>
    <t>16a715cc-4476-44b6-bc45-98958b37c4cd</t>
  </si>
  <si>
    <t>Revoked</t>
  </si>
  <si>
    <t>USER_LOGOUT</t>
  </si>
  <si>
    <t>e4d826eba8e62c5d8da569d33ee3caf92e3323c2ba1a2a221c5df1a9202d5d70</t>
  </si>
  <si>
    <t>3bfb49870000e8f9e4cffa32975ea06dfe3f89dd310aff2b272b5a065e0d57bd</t>
  </si>
  <si>
    <t>d07d523005cc52ead9a5d5cbd04241c15f10cf8e14ef1b8ae3bf2ac0fa4f0067</t>
  </si>
  <si>
    <t>dd7fa09f2cc66c26cd0ec945860b22e1c5290019e55384f115a41ad79cdcae3c</t>
  </si>
  <si>
    <t>5fcff806edc502066ec31f6841519fdad4b93d772a76fb81e5f8810c2fc75b3f</t>
  </si>
  <si>
    <t>a33c32ed0aefdd61eb0b26b57960421c763d0b1573d2b1e4040c02e9b6dd50b7</t>
  </si>
  <si>
    <t>db6f08c1f622f24f86f73652526ff72f60022a4f35354ec09100ed49c7bb45b1</t>
  </si>
  <si>
    <t>SYSTEM</t>
  </si>
  <si>
    <t>a0c943b780b6909bb6acd2a9e4576a90e995edae1ba3c8c1b25436705737ca1d</t>
  </si>
  <si>
    <t>ce9d28ab75374d8cd95282365aad952159b7ba68e24890f249c50794d5bf46c6</t>
  </si>
  <si>
    <t>c95dd2536802f38c008a64507b7af8b79d5c4d0fee7e0a34f7f2b419d4df5945</t>
  </si>
  <si>
    <t>214893f92314fbc4c9b5e74efc87c4220268aae53a8ded9849b5257cd5efff74</t>
  </si>
  <si>
    <t>384746d13297eabb04c1764f1738769b63b3aa8e20ab9747fd6037499b9f04e9</t>
  </si>
  <si>
    <t>81930b269a1bd52ecbb38d435c10c766db86ba44f719c385f563422dff011577</t>
  </si>
  <si>
    <t>783a44f9cf016b5a5183df9637fbf867b5b8b43579294e6bd92cdc08572fcd39</t>
  </si>
  <si>
    <t>dadbe80019524fe463b7b6391146423fbba1647d28ba746da2b1b1e5347b1206</t>
  </si>
  <si>
    <t>c9cca20e1743a98b1c1fb7660e44afd428e066a06e1c01542ea07248466b2046</t>
  </si>
  <si>
    <t>ba806b8d206bf0fa63023e51ac32be7814658508a9804d44acae4a5748e274b0</t>
  </si>
  <si>
    <t>c0e71953eaf0651ebc64188eeba6d6a6e35a7dfbbaf1c5a088da4257fc3fbb70</t>
  </si>
  <si>
    <t>2a270ac0953a54ce02029710a7676d982744d1a5e768bb12551e46fd3148994e</t>
  </si>
  <si>
    <t>af8d14c4b78e74a5b5f8931c8a88fd578198519aa7cb5da747a29bf5f7a88e99</t>
  </si>
  <si>
    <t>ba62c596dfb14c324182aa802f63c27c6c8006054f053b62664d6cf4d5eaf7ee</t>
  </si>
  <si>
    <t>202aa24251683ac0a9911da62e0f10ee47ccfc6721fa8c6c4e17b6b87b83d486</t>
  </si>
  <si>
    <t>e79461369dd92144ec92419d8117734924ab78c4e1390ffea20271f58326f760</t>
  </si>
  <si>
    <t>fb51b65489a1a97844b1d3cafdfb966d81c2a1019cd887b5ba949e432a408b6f</t>
  </si>
  <si>
    <t>d79d331f444e8586ee6cd0e301b258683324c025c8a16971b308948b8e9aebc5</t>
  </si>
  <si>
    <t>50bb4579083af3b644daf77383b3b593636d7ee9549be1a9dd372863082672a5</t>
  </si>
  <si>
    <t>b9f4a2db3fd493de3b722a2da984a2e02df6663e6d5751068ab113012e4199a1</t>
  </si>
  <si>
    <t>c130dbae024f2a9e6a4936213680acc95ec4fc9e5bfb51fd0b7d319d21d141b0</t>
  </si>
  <si>
    <t>6df8bbc4deaca571d69335845640c6b84282babe952223133ee1d7bc03314537</t>
  </si>
  <si>
    <t>94a5982cdf95c488ba029ee4c02f2474b1b734bfd34d023881e4a1ffa9144932</t>
  </si>
  <si>
    <t>d0547a3cbfb5399680e8a7038763c970cc2b6a7c6c73baf0ad2061b00a43ef2e</t>
  </si>
  <si>
    <t>68ca325928f5f72666018e0551d0bf645c1d622b4da65c219b2d165a66ad2382</t>
  </si>
  <si>
    <t>d400f42b6bf2982d7931622e4af1c757a88bf6b357bf1e60d52be0435f93f114</t>
  </si>
  <si>
    <t>b23722334128b501f557bbcbf4e235d2d15fdacbd49fb18dd29f4f90aec7eb37</t>
  </si>
  <si>
    <t>093a67f46c9d8dd7f243287166ebb3e41a673c0022d56a9eb7d3b4c35def1f3f</t>
  </si>
  <si>
    <t>d7033177e26be19aae791d36fa677f55e76ab630cfa704c6e2d0a751f1c7bfe3</t>
  </si>
  <si>
    <t>963f0bf759ab990a97e9084767f258ec13ef17a33ca28d3804f0b080923dc38a</t>
  </si>
  <si>
    <t>Expired</t>
  </si>
  <si>
    <t>658fb78604cbce3d864be6682d9b808a7dc7f4fb63b562142b9ef5075789aa0b</t>
  </si>
  <si>
    <t>23147bbb9965e2cc172242af463b601d0df93fe23b36f5d6c3455f5678f39ff1</t>
  </si>
  <si>
    <t>7563b89594d10a12d716c6a28bbc473ebe3e86f24662b1545f7f2bd9f6615dd4</t>
  </si>
  <si>
    <t>8b7fb4f85d12255bad46fd5b680b64040fc0897006494330c9b0e66a53a163a3</t>
  </si>
  <si>
    <t>a391d3d013d99a273245a4564540be9c4608e1b8abb74a10282c1de1db218f4b</t>
  </si>
  <si>
    <t>14e9eb1908aa17176c805dc06d2a061191e92e8b642ad8d923fc7be908c598ef</t>
  </si>
  <si>
    <t>Trusted Device ID</t>
  </si>
  <si>
    <t>Device Token Hash</t>
  </si>
  <si>
    <t>Device Label</t>
  </si>
  <si>
    <t>Trusted At</t>
  </si>
  <si>
    <t>Last Used At</t>
  </si>
  <si>
    <t>TD-001</t>
  </si>
  <si>
    <t>Existing trusted browser</t>
  </si>
  <si>
    <t>2026-09-28 07:52:00</t>
  </si>
  <si>
    <t>Trusted browser</t>
  </si>
  <si>
    <t>OSYNIX ATS  •  RECRUITMENT DASHBOARD</t>
  </si>
  <si>
    <t>Live recruitment intelligence — source of truth: Positions Master, Candidates, Activity Log</t>
  </si>
  <si>
    <t>ACTIVE POSITIONS</t>
  </si>
  <si>
    <t>TOTAL CANDIDATES</t>
  </si>
  <si>
    <t>SHORTLISTED</t>
  </si>
  <si>
    <t>CLIENT INTERVIEWS</t>
  </si>
  <si>
    <t>OFFERS</t>
  </si>
  <si>
    <t>HIRED</t>
  </si>
  <si>
    <t/>
  </si>
  <si>
    <t>Across all clients</t>
  </si>
  <si>
    <t>Profiles in ATS</t>
  </si>
  <si>
    <t>Current shortlist</t>
  </si>
  <si>
    <t>Logged in positions</t>
  </si>
  <si>
    <t>Offers issued</t>
  </si>
  <si>
    <t>Successful placements</t>
  </si>
  <si>
    <t>Hiring Funnel</t>
  </si>
  <si>
    <t>Candidate Decision Mix</t>
  </si>
  <si>
    <t>Active Positions</t>
  </si>
  <si>
    <t>Quick Actions</t>
  </si>
  <si>
    <t>Target</t>
  </si>
  <si>
    <t>Screened</t>
  </si>
  <si>
    <t>Avg ATS</t>
  </si>
  <si>
    <t>ACTION</t>
  </si>
  <si>
    <t>LINK</t>
  </si>
  <si>
    <t>Assess Candidate</t>
  </si>
  <si>
    <t>Create Position</t>
  </si>
  <si>
    <t>Open ATS</t>
  </si>
  <si>
    <t>Talent Pool</t>
  </si>
  <si>
    <t>Use Talent Pool Master tab</t>
  </si>
  <si>
    <t>Pending Actions</t>
  </si>
  <si>
    <t>Upcoming Interviews</t>
  </si>
  <si>
    <t>COUNT</t>
  </si>
  <si>
    <t>Candidate</t>
  </si>
  <si>
    <t>Candidates on Hold</t>
  </si>
  <si>
    <t>Shortlisted — interview not logged</t>
  </si>
  <si>
    <t>Active positions with zero screened</t>
  </si>
  <si>
    <t>High-priority active positions</t>
  </si>
  <si>
    <t>Client status pending</t>
  </si>
  <si>
    <t>Offers to follow up</t>
  </si>
  <si>
    <t>Recent Candidate Activity</t>
  </si>
  <si>
    <t>Top Shortlisted Talent</t>
  </si>
  <si>
    <t>ATS Match</t>
  </si>
  <si>
    <t>Must-Have</t>
  </si>
  <si>
    <t>Dashboard readiness note: interview date/time and recruiter-attribution fields are not currently stored in the ATS schema. This dashboard is wired to all available live data now. Future interview scheduling and recruiter-performance modules should populate those fields before adding date-based interview widgets or recruiter-specific productivity metrics.</t>
  </si>
  <si>
    <t>Client Portfolio Overview</t>
  </si>
  <si>
    <t>Total Positions</t>
  </si>
  <si>
    <t>Decision Mix</t>
  </si>
  <si>
    <t>KPI</t>
  </si>
  <si>
    <t>Value</t>
  </si>
  <si>
    <t>Total Candidates</t>
  </si>
  <si>
    <t>Filled Positions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</si>
</sst>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
    <numFmt numFmtId="166" formatCode="0.0%"/>
    <numFmt numFmtId="167" formatCode="m/d/yyyy h:mm:ss"/>
  </numFmts>
  <fonts count="35">
    <font>
      <sz val="11.0"/>
      <color rgb="FF000000"/>
      <name val="Carlito"/>
      <scheme val="minor"/>
    </font>
    <font>
      <b/>
      <sz val="11.0"/>
      <color rgb="FF111827"/>
      <name val="Carlito"/>
    </font>
    <font>
      <color theme="1"/>
      <name val="Carlito"/>
      <scheme val="minor"/>
    </font>
    <font>
      <b/>
      <sz val="11.0"/>
      <color rgb="FFFFFFFF"/>
      <name val="Carlito"/>
    </font>
    <font>
      <sz val="11.0"/>
      <color theme="1"/>
      <name val="Carlito"/>
    </font>
    <font>
      <b/>
      <color rgb="FFFFFFFF"/>
      <name val="Carlito"/>
      <scheme val="minor"/>
    </font>
    <font>
      <b/>
      <sz val="11.0"/>
      <color theme="1"/>
      <name val="Carlito"/>
    </font>
    <font>
      <u/>
      <sz val="11.0"/>
      <color rgb="FF0000FF"/>
      <name val="Carlito"/>
    </font>
    <font>
      <u/>
      <sz val="11.0"/>
      <color rgb="FF0000FF"/>
      <name val="Carlito"/>
    </font>
    <font>
      <b/>
      <sz val="20.0"/>
      <color rgb="FFFFFFFF"/>
      <name val="Carlito"/>
    </font>
    <font>
      <b/>
      <sz val="16.0"/>
      <color rgb="FF1C1E66"/>
      <name val="Carlito"/>
    </font>
    <font>
      <sz val="10.0"/>
      <color theme="1"/>
      <name val="Carlito"/>
    </font>
    <font>
      <u/>
      <sz val="10.0"/>
      <color rgb="FF0000FF"/>
      <name val="Carlito"/>
    </font>
    <font>
      <u/>
      <sz val="11.0"/>
      <color rgb="FF0000FF"/>
      <name val="Carlito"/>
    </font>
    <font>
      <u/>
      <color theme="1"/>
      <name val="Carlito"/>
      <scheme val="minor"/>
    </font>
    <font>
      <b/>
      <color theme="1"/>
      <name val="Carlito"/>
      <scheme val="minor"/>
    </font>
    <font>
      <b/>
      <sz val="18.0"/>
      <color rgb="FFFFFFFF"/>
      <name val="Arial"/>
    </font>
    <font>
      <sz val="10.0"/>
      <color rgb="FF667793"/>
      <name val="Arial"/>
    </font>
    <font>
      <sz val="10.0"/>
      <color rgb="FF1B1D66"/>
      <name val="Arial"/>
    </font>
    <font>
      <b/>
      <sz val="9.0"/>
      <color rgb="FF1659FF"/>
      <name val="Arial"/>
    </font>
    <font>
      <b/>
      <sz val="9.0"/>
      <color rgb="FF7C4AEC"/>
      <name val="Arial"/>
    </font>
    <font>
      <b/>
      <sz val="9.0"/>
      <color rgb="FF16A261"/>
      <name val="Arial"/>
    </font>
    <font>
      <b/>
      <sz val="9.0"/>
      <color rgb="FFF59D0A"/>
      <name val="Arial"/>
    </font>
    <font>
      <b/>
      <sz val="9.0"/>
      <color rgb="FFD87205"/>
      <name val="Arial"/>
    </font>
    <font>
      <b/>
      <sz val="9.0"/>
      <color rgb="FFEF4444"/>
      <name val="Arial"/>
    </font>
    <font>
      <b/>
      <sz val="22.0"/>
      <color rgb="FF1B1D66"/>
      <name val="Arial"/>
    </font>
    <font>
      <sz val="9.0"/>
      <color rgb="FF667793"/>
      <name val="Arial"/>
    </font>
    <font>
      <b/>
      <sz val="11.0"/>
      <color rgb="FF1B1D66"/>
      <name val="Arial"/>
    </font>
    <font/>
    <font>
      <b/>
      <sz val="9.0"/>
      <color rgb="FFFFFFFF"/>
      <name val="Carlito"/>
      <scheme val="minor"/>
    </font>
    <font>
      <sz val="9.0"/>
      <color theme="1"/>
      <name val="Carlito"/>
      <scheme val="minor"/>
    </font>
    <font>
      <u/>
      <sz val="10.0"/>
      <color rgb="FF1B1D66"/>
      <name val="Arial"/>
    </font>
    <font>
      <i/>
      <sz val="9.0"/>
      <color rgb="FF1B1D66"/>
      <name val="Carlito"/>
      <scheme val="minor"/>
    </font>
    <font>
      <b/>
      <sz val="9.0"/>
      <color rgb="FFFFFFFF"/>
      <name val="Arial"/>
    </font>
    <font>
      <sz val="9.0"/>
      <color rgb="FF1B1D66"/>
      <name val="Arial"/>
    </font>
  </fonts>
  <fills count="14">
    <fill>
      <patternFill patternType="none"/>
    </fill>
    <fill>
      <patternFill patternType="lightGray"/>
    </fill>
    <fill>
      <patternFill patternType="solid">
        <fgColor rgb="FFF3F4F6"/>
        <bgColor rgb="FFF3F4F6"/>
      </patternFill>
    </fill>
    <fill>
      <patternFill patternType="solid">
        <fgColor rgb="FF175AFF"/>
        <bgColor rgb="FF175AFF"/>
      </patternFill>
    </fill>
    <fill>
      <patternFill patternType="solid">
        <fgColor rgb="FF1C1E66"/>
        <bgColor rgb="FF1C1E66"/>
      </patternFill>
    </fill>
    <fill>
      <patternFill patternType="solid">
        <fgColor rgb="FF1759FF"/>
        <bgColor rgb="FF1759FF"/>
      </patternFill>
    </fill>
    <fill>
      <patternFill patternType="solid">
        <fgColor rgb="FFEAF1FF"/>
        <bgColor rgb="FFEAF1FF"/>
      </patternFill>
    </fill>
    <fill>
      <patternFill patternType="solid">
        <fgColor rgb="FFFFFFFF"/>
        <bgColor rgb="FFFFFFFF"/>
      </patternFill>
    </fill>
    <fill>
      <patternFill patternType="solid">
        <fgColor rgb="FF1B1D66"/>
        <bgColor rgb="FF1B1D66"/>
      </patternFill>
    </fill>
    <fill>
      <patternFill patternType="solid">
        <fgColor rgb="FFF4F7FF"/>
        <bgColor rgb="FFF4F7FF"/>
      </patternFill>
    </fill>
    <fill>
      <patternFill patternType="solid">
        <fgColor rgb="FF1659FF"/>
        <bgColor rgb="FF1659FF"/>
      </patternFill>
    </fill>
    <fill>
      <patternFill patternType="solid">
        <fgColor rgb="FFF59D0A"/>
        <bgColor rgb="FFF59D0A"/>
      </patternFill>
    </fill>
    <fill>
      <patternFill patternType="solid">
        <fgColor rgb="FF16A261"/>
        <bgColor rgb="FF16A261"/>
      </patternFill>
    </fill>
    <fill>
      <patternFill patternType="solid">
        <fgColor rgb="FFFFF9E5"/>
        <bgColor rgb="FFFFF9E5"/>
      </patternFill>
    </fill>
  </fills>
  <borders count="8">
    <border/>
    <border>
      <left style="thin">
        <color rgb="FF000000"/>
      </left>
      <right style="thin">
        <color rgb="FF000000"/>
      </right>
      <top style="thin">
        <color rgb="FF000000"/>
      </top>
      <bottom style="thin">
        <color rgb="FF000000"/>
      </bottom>
    </border>
    <border>
      <bottom style="thin">
        <color rgb="FFD6E0F2"/>
      </bottom>
    </border>
    <border>
      <left style="thin">
        <color rgb="FFD6E0F2"/>
      </left>
      <top style="thin">
        <color rgb="FFD6E0F2"/>
      </top>
    </border>
    <border>
      <top style="thin">
        <color rgb="FFD6E0F2"/>
      </top>
    </border>
    <border>
      <right style="thin">
        <color rgb="FFD6E0F2"/>
      </right>
      <top style="thin">
        <color rgb="FFD6E0F2"/>
      </top>
    </border>
    <border>
      <left style="thin">
        <color rgb="FFD6E0F2"/>
      </left>
      <bottom style="thin">
        <color rgb="FFD6E0F2"/>
      </bottom>
    </border>
    <border>
      <right style="thin">
        <color rgb="FFD6E0F2"/>
      </right>
      <bottom style="thin">
        <color rgb="FFD6E0F2"/>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Alignment="1" applyFont="1">
      <alignment readingOrder="0"/>
    </xf>
    <xf borderId="0" fillId="0" fontId="2" numFmtId="0" xfId="0" applyFont="1"/>
    <xf borderId="0" fillId="0" fontId="2" numFmtId="9" xfId="0" applyAlignment="1" applyFont="1" applyNumberFormat="1">
      <alignment readingOrder="0"/>
    </xf>
    <xf borderId="0" fillId="3" fontId="3" numFmtId="0" xfId="0" applyAlignment="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0" fillId="0" fontId="4" numFmtId="0" xfId="0" applyAlignment="1" applyFont="1">
      <alignment shrinkToFit="0" vertical="center" wrapText="1"/>
    </xf>
    <xf borderId="0" fillId="0" fontId="4" numFmtId="1" xfId="0" applyAlignment="1" applyFont="1" applyNumberFormat="1">
      <alignment shrinkToFit="0" vertical="center" wrapText="1"/>
    </xf>
    <xf borderId="0" fillId="4" fontId="3" numFmtId="0" xfId="0" applyAlignment="1" applyFill="1" applyFont="1">
      <alignment horizontal="center" readingOrder="0" shrinkToFit="0" vertical="center" wrapText="1"/>
    </xf>
    <xf borderId="0" fillId="0" fontId="4" numFmtId="0" xfId="0" applyAlignment="1" applyFont="1">
      <alignment readingOrder="0" shrinkToFit="0" vertical="center" wrapText="1"/>
    </xf>
    <xf borderId="1" fillId="3" fontId="3" numFmtId="0" xfId="0" applyAlignment="1" applyBorder="1" applyFill="1" applyFont="1">
      <alignment horizontal="center" readingOrder="0" shrinkToFit="0" vertical="center" wrapText="1"/>
    </xf>
    <xf borderId="1" fillId="0" fontId="2" numFmtId="0" xfId="0" applyAlignment="1" applyBorder="1" applyFont="1">
      <alignment readingOrder="0"/>
    </xf>
    <xf borderId="1" fillId="0" fontId="4" numFmtId="0" xfId="0" applyAlignment="1" applyBorder="1" applyFont="1">
      <alignment shrinkToFit="0" vertical="center" wrapText="1"/>
    </xf>
    <xf borderId="1" fillId="0" fontId="4" numFmtId="164" xfId="0" applyAlignment="1" applyBorder="1" applyFont="1" applyNumberFormat="1">
      <alignment shrinkToFit="0" vertical="center" wrapText="1"/>
    </xf>
    <xf borderId="0" fillId="5" fontId="5" numFmtId="0" xfId="0" applyAlignment="1" applyFill="1" applyFont="1">
      <alignment horizontal="left" shrinkToFit="0" vertical="center" wrapText="0"/>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quotePrefix="1" borderId="0" fillId="0" fontId="4" numFmtId="0" xfId="0" applyAlignment="1" applyFont="1">
      <alignment readingOrder="0" shrinkToFit="0" vertical="center" wrapText="1"/>
    </xf>
    <xf borderId="0" fillId="0" fontId="4" numFmtId="165" xfId="0" applyAlignment="1" applyFont="1" applyNumberFormat="1">
      <alignment shrinkToFit="0" vertical="center" wrapText="1"/>
    </xf>
    <xf borderId="0" fillId="0" fontId="4" numFmtId="164" xfId="0" applyAlignment="1" applyFont="1" applyNumberFormat="1">
      <alignment readingOrder="0" shrinkToFit="0" vertical="center" wrapText="1"/>
    </xf>
    <xf borderId="0" fillId="0" fontId="4" numFmtId="165" xfId="0" applyAlignment="1" applyFont="1" applyNumberFormat="1">
      <alignment readingOrder="0" shrinkToFit="0" vertical="center" wrapText="1"/>
    </xf>
    <xf borderId="0" fillId="0" fontId="4" numFmtId="9" xfId="0" applyAlignment="1" applyFont="1" applyNumberFormat="1">
      <alignment readingOrder="0" shrinkToFit="0" vertical="center" wrapText="1"/>
    </xf>
    <xf borderId="0" fillId="0" fontId="4" numFmtId="49" xfId="0" applyAlignment="1" applyFont="1" applyNumberFormat="1">
      <alignment readingOrder="0" shrinkToFit="0" vertical="center" wrapText="1"/>
    </xf>
    <xf borderId="0" fillId="0" fontId="4" numFmtId="49" xfId="0" applyAlignment="1" applyFont="1" applyNumberFormat="1">
      <alignment shrinkToFit="0" vertical="center" wrapText="1"/>
    </xf>
    <xf borderId="0" fillId="0" fontId="4" numFmtId="0" xfId="0" applyAlignment="1" applyFont="1">
      <alignment readingOrder="0" shrinkToFit="0" vertical="center" wrapText="1"/>
    </xf>
    <xf borderId="0" fillId="0" fontId="4" numFmtId="1" xfId="0" applyAlignment="1" applyFont="1" applyNumberFormat="1">
      <alignment readingOrder="0" shrinkToFit="0" vertical="center" wrapText="1"/>
    </xf>
    <xf borderId="0" fillId="0" fontId="4" numFmtId="49" xfId="0" applyAlignment="1" applyFont="1" applyNumberFormat="1">
      <alignment readingOrder="0" shrinkToFit="0" vertical="center" wrapText="1"/>
    </xf>
    <xf borderId="0" fillId="0" fontId="6" numFmtId="0" xfId="0" applyAlignment="1" applyFont="1">
      <alignment horizontal="center" readingOrder="0" shrinkToFit="0" vertical="center" wrapText="0"/>
    </xf>
    <xf borderId="0" fillId="0" fontId="2" numFmtId="0" xfId="0" applyAlignment="1" applyFont="1">
      <alignment readingOrder="0" shrinkToFit="0" vertical="center" wrapText="0"/>
    </xf>
    <xf borderId="1" fillId="0" fontId="4" numFmtId="166" xfId="0" applyAlignment="1" applyBorder="1" applyFont="1" applyNumberFormat="1">
      <alignment shrinkToFit="0" vertical="center" wrapText="1"/>
    </xf>
    <xf borderId="0" fillId="0" fontId="2" numFmtId="0" xfId="0" applyAlignment="1" applyFont="1">
      <alignment shrinkToFit="0" vertical="center" wrapText="0"/>
    </xf>
    <xf borderId="1" fillId="0" fontId="4" numFmtId="164" xfId="0" applyAlignment="1" applyBorder="1" applyFont="1" applyNumberFormat="1">
      <alignment readingOrder="0" shrinkToFit="0" vertical="center" wrapText="1"/>
    </xf>
    <xf borderId="1" fillId="0" fontId="4" numFmtId="0" xfId="0" applyAlignment="1" applyBorder="1" applyFont="1">
      <alignment readingOrder="0" shrinkToFit="0" vertical="center" wrapText="1"/>
    </xf>
    <xf borderId="1" fillId="0" fontId="2" numFmtId="0" xfId="0" applyBorder="1" applyFont="1"/>
    <xf borderId="0" fillId="0" fontId="4" numFmtId="166" xfId="0" applyAlignment="1" applyFont="1" applyNumberFormat="1">
      <alignment shrinkToFit="0" vertical="center" wrapText="0"/>
    </xf>
    <xf borderId="1" fillId="0" fontId="2" numFmtId="0" xfId="0" applyAlignment="1" applyBorder="1" applyFont="1">
      <alignment readingOrder="0"/>
    </xf>
    <xf borderId="1" fillId="0" fontId="2" numFmtId="164" xfId="0" applyAlignment="1" applyBorder="1" applyFont="1" applyNumberFormat="1">
      <alignment readingOrder="0"/>
    </xf>
    <xf borderId="1" fillId="0" fontId="4" numFmtId="49" xfId="0" applyAlignment="1" applyBorder="1" applyFont="1" applyNumberFormat="1">
      <alignment readingOrder="0" shrinkToFit="0" vertical="center" wrapText="1"/>
    </xf>
    <xf borderId="1" fillId="0" fontId="4" numFmtId="167" xfId="0" applyAlignment="1" applyBorder="1" applyFont="1" applyNumberFormat="1">
      <alignment readingOrder="0" shrinkToFit="0" vertical="center" wrapText="1"/>
    </xf>
    <xf quotePrefix="1" borderId="1" fillId="0" fontId="4" numFmtId="0" xfId="0" applyAlignment="1" applyBorder="1" applyFont="1">
      <alignment readingOrder="0" shrinkToFit="0" vertical="center" wrapText="1"/>
    </xf>
    <xf quotePrefix="1" borderId="0" fillId="0" fontId="4" numFmtId="0" xfId="0" applyAlignment="1" applyFont="1">
      <alignment readingOrder="0" shrinkToFit="0" vertical="center" wrapText="1"/>
    </xf>
    <xf borderId="1" fillId="0" fontId="7"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4" numFmtId="0" xfId="0" applyAlignment="1" applyBorder="1" applyFont="1">
      <alignment shrinkToFit="0" vertical="center" wrapText="1"/>
    </xf>
    <xf borderId="0" fillId="4" fontId="9" numFmtId="0" xfId="0" applyAlignment="1" applyFill="1" applyFont="1">
      <alignment horizontal="center" vertical="center"/>
    </xf>
    <xf borderId="0" fillId="3" fontId="3" numFmtId="0" xfId="0" applyAlignment="1" applyFill="1" applyFont="1">
      <alignment horizontal="center" vertical="center"/>
    </xf>
    <xf borderId="0" fillId="0" fontId="4" numFmtId="0" xfId="0" applyAlignment="1" applyFont="1">
      <alignment shrinkToFit="0" wrapText="1"/>
    </xf>
    <xf borderId="0" fillId="6" fontId="1" numFmtId="0" xfId="0" applyAlignment="1" applyFill="1" applyFont="1">
      <alignment vertical="center"/>
    </xf>
    <xf quotePrefix="1" borderId="0" fillId="6" fontId="1" numFmtId="49" xfId="0" applyAlignment="1" applyFill="1" applyFont="1" applyNumberFormat="1">
      <alignment readingOrder="0" vertical="center"/>
    </xf>
    <xf borderId="0" fillId="2" fontId="6" numFmtId="0" xfId="0" applyAlignment="1" applyFill="1" applyFont="1">
      <alignment horizontal="center"/>
    </xf>
    <xf borderId="0" fillId="7" fontId="10" numFmtId="0" xfId="0" applyAlignment="1" applyFill="1" applyFont="1">
      <alignment horizontal="center"/>
    </xf>
    <xf borderId="0" fillId="7" fontId="10" numFmtId="166" xfId="0" applyAlignment="1" applyFill="1" applyFont="1" applyNumberFormat="1">
      <alignment horizontal="center"/>
    </xf>
    <xf borderId="0" fillId="3" fontId="3" numFmtId="0" xfId="0" applyAlignment="1" applyFill="1" applyFont="1">
      <alignment horizontal="left"/>
    </xf>
    <xf borderId="0" fillId="2" fontId="6" numFmtId="0" xfId="0" applyFill="1" applyFont="1"/>
    <xf borderId="0" fillId="0" fontId="4" numFmtId="0" xfId="0" applyAlignment="1" applyFont="1">
      <alignment shrinkToFit="0" wrapText="1"/>
    </xf>
    <xf borderId="0" fillId="0" fontId="4" numFmtId="166" xfId="0" applyFont="1" applyNumberFormat="1"/>
    <xf borderId="0" fillId="0" fontId="4" numFmtId="164" xfId="0" applyAlignment="1" applyFont="1" applyNumberFormat="1">
      <alignment shrinkToFit="0" wrapText="1"/>
    </xf>
    <xf borderId="0" fillId="3" fontId="3" numFmtId="0" xfId="0" applyAlignment="1" applyFill="1" applyFont="1">
      <alignment horizontal="center" shrinkToFit="0" vertical="center" wrapText="1"/>
    </xf>
    <xf borderId="0" fillId="5" fontId="5" numFmtId="0" xfId="0" applyAlignment="1" applyFill="1" applyFont="1">
      <alignment horizontal="center" readingOrder="0" shrinkToFit="0" vertical="center" wrapText="1"/>
    </xf>
    <xf borderId="0" fillId="0" fontId="11" numFmtId="0" xfId="0" applyAlignment="1" applyFont="1">
      <alignment readingOrder="0" shrinkToFit="0" vertical="top" wrapText="1"/>
    </xf>
    <xf quotePrefix="1" borderId="0" fillId="0" fontId="11" numFmtId="0" xfId="0" applyAlignment="1" applyFont="1">
      <alignment readingOrder="0" shrinkToFit="0" vertical="top" wrapText="1"/>
    </xf>
    <xf borderId="0" fillId="0" fontId="11" numFmtId="165" xfId="0" applyAlignment="1" applyFont="1" applyNumberFormat="1">
      <alignment shrinkToFit="0" vertical="top" wrapText="1"/>
    </xf>
    <xf borderId="0" fillId="0" fontId="11" numFmtId="0" xfId="0" applyAlignment="1" applyFont="1">
      <alignment shrinkToFit="0" vertical="top" wrapText="1"/>
    </xf>
    <xf borderId="0" fillId="0" fontId="11" numFmtId="164" xfId="0" applyAlignment="1" applyFont="1" applyNumberFormat="1">
      <alignment shrinkToFit="0" vertical="top" wrapText="1"/>
    </xf>
    <xf borderId="0" fillId="0" fontId="11" numFmtId="1" xfId="0" applyAlignment="1" applyFont="1" applyNumberFormat="1">
      <alignment shrinkToFit="0" vertical="top" wrapText="1"/>
    </xf>
    <xf borderId="0" fillId="0" fontId="11" numFmtId="164" xfId="0" applyAlignment="1" applyFont="1" applyNumberFormat="1">
      <alignment readingOrder="0" shrinkToFit="0" vertical="top" wrapText="1"/>
    </xf>
    <xf borderId="0" fillId="0" fontId="11" numFmtId="165" xfId="0" applyAlignment="1" applyFont="1" applyNumberFormat="1">
      <alignment readingOrder="0" shrinkToFit="0" vertical="top" wrapText="1"/>
    </xf>
    <xf borderId="0" fillId="0" fontId="4" numFmtId="49" xfId="0" applyAlignment="1" applyFont="1" applyNumberFormat="1">
      <alignment readingOrder="0" shrinkToFit="0" vertical="center" wrapText="1"/>
    </xf>
    <xf borderId="0" fillId="0" fontId="11" numFmtId="0" xfId="0" applyAlignment="1" applyFont="1">
      <alignment readingOrder="0" shrinkToFit="0" vertical="top" wrapText="1"/>
    </xf>
    <xf quotePrefix="1" borderId="0" fillId="0" fontId="11"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11" numFmtId="1" xfId="0" applyAlignment="1" applyFont="1" applyNumberForma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center" wrapText="1"/>
    </xf>
    <xf borderId="0" fillId="0" fontId="4" numFmtId="164" xfId="0" applyAlignment="1" applyFont="1" applyNumberFormat="1">
      <alignment shrinkToFit="0" vertical="center" wrapText="1"/>
    </xf>
    <xf borderId="0" fillId="0" fontId="4" numFmtId="9" xfId="0" applyAlignment="1" applyFont="1" applyNumberFormat="1">
      <alignment shrinkToFit="0" vertical="center" wrapText="1"/>
    </xf>
    <xf borderId="0" fillId="0" fontId="4" numFmtId="49" xfId="0" applyAlignment="1" applyFont="1" applyNumberFormat="1">
      <alignment shrinkToFit="0" vertical="center" wrapText="1"/>
    </xf>
    <xf borderId="0" fillId="0" fontId="2" numFmtId="0" xfId="0" applyAlignment="1" applyFont="1">
      <alignment readingOrder="0"/>
    </xf>
    <xf borderId="0" fillId="0" fontId="2" numFmtId="14" xfId="0" applyAlignment="1" applyFont="1" applyNumberFormat="1">
      <alignment readingOrder="0"/>
    </xf>
    <xf quotePrefix="1" borderId="0" fillId="0" fontId="2" numFmtId="0" xfId="0" applyAlignment="1" applyFont="1">
      <alignment readingOrder="0"/>
    </xf>
    <xf borderId="0" fillId="0" fontId="2" numFmtId="0" xfId="0" applyAlignment="1" applyFont="1">
      <alignment horizontal="left" readingOrder="0" shrinkToFit="0" vertical="center" wrapText="0"/>
    </xf>
    <xf borderId="0" fillId="0" fontId="2" numFmtId="167" xfId="0" applyAlignment="1" applyFont="1" applyNumberFormat="1">
      <alignment readingOrder="0" shrinkToFit="0" vertical="center" wrapText="0"/>
    </xf>
    <xf borderId="0" fillId="0" fontId="14"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15" numFmtId="0" xfId="0" applyFont="1"/>
    <xf borderId="0" fillId="0" fontId="2" numFmtId="167" xfId="0" applyAlignment="1" applyFont="1" applyNumberFormat="1">
      <alignment readingOrder="0"/>
    </xf>
    <xf borderId="0" fillId="5" fontId="5" numFmtId="0" xfId="0" applyAlignment="1" applyFill="1" applyFont="1">
      <alignment horizontal="center" readingOrder="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0" fillId="8" fontId="16" numFmtId="0" xfId="0" applyAlignment="1" applyFill="1" applyFont="1">
      <alignment horizontal="left"/>
    </xf>
    <xf borderId="0" fillId="9" fontId="17" numFmtId="0" xfId="0" applyAlignment="1" applyFill="1" applyFont="1">
      <alignment horizontal="left"/>
    </xf>
    <xf borderId="0" fillId="7" fontId="18" numFmtId="0" xfId="0" applyAlignment="1" applyFill="1" applyFont="1">
      <alignment vertical="center"/>
    </xf>
    <xf borderId="0" fillId="0" fontId="19" numFmtId="0" xfId="0" applyAlignment="1" applyFont="1">
      <alignment horizontal="center"/>
    </xf>
    <xf borderId="0" fillId="0" fontId="20" numFmtId="0" xfId="0" applyAlignment="1" applyFont="1">
      <alignment horizontal="center"/>
    </xf>
    <xf borderId="0" fillId="0" fontId="21" numFmtId="0" xfId="0" applyAlignment="1" applyFont="1">
      <alignment horizontal="center"/>
    </xf>
    <xf borderId="0" fillId="0" fontId="22" numFmtId="0" xfId="0" applyAlignment="1" applyFont="1">
      <alignment horizontal="center"/>
    </xf>
    <xf borderId="0" fillId="0" fontId="23" numFmtId="0" xfId="0" applyAlignment="1" applyFont="1">
      <alignment horizontal="center"/>
    </xf>
    <xf borderId="0" fillId="0" fontId="24" numFmtId="0" xfId="0" applyAlignment="1" applyFont="1">
      <alignment horizontal="center"/>
    </xf>
    <xf borderId="0" fillId="0" fontId="25" numFmtId="0" xfId="0" applyAlignment="1" applyFont="1">
      <alignment horizontal="center"/>
    </xf>
    <xf borderId="0" fillId="0" fontId="26" numFmtId="0" xfId="0" applyAlignment="1" applyFont="1">
      <alignment horizontal="center"/>
    </xf>
    <xf borderId="2" fillId="9" fontId="27" numFmtId="0" xfId="0" applyAlignment="1" applyBorder="1" applyFill="1" applyFont="1">
      <alignment horizontal="left"/>
    </xf>
    <xf borderId="2" fillId="0" fontId="28" numFmtId="0" xfId="0" applyBorder="1" applyFont="1"/>
    <xf borderId="0" fillId="10" fontId="29" numFmtId="0" xfId="0" applyAlignment="1" applyFill="1" applyFont="1">
      <alignment horizontal="center"/>
    </xf>
    <xf borderId="0" fillId="8" fontId="29" numFmtId="0" xfId="0" applyAlignment="1" applyFill="1" applyFont="1">
      <alignment horizontal="center"/>
    </xf>
    <xf borderId="2" fillId="0" fontId="30" numFmtId="0" xfId="0" applyAlignment="1" applyBorder="1" applyFont="1">
      <alignment shrinkToFit="0" wrapText="1"/>
    </xf>
    <xf borderId="2" fillId="0" fontId="30" numFmtId="166" xfId="0" applyAlignment="1" applyBorder="1" applyFont="1" applyNumberFormat="1">
      <alignment shrinkToFit="0" wrapText="1"/>
    </xf>
    <xf borderId="2" fillId="0" fontId="30" numFmtId="164" xfId="0" applyAlignment="1" applyBorder="1" applyFont="1" applyNumberFormat="1">
      <alignment shrinkToFit="0" wrapText="1"/>
    </xf>
    <xf borderId="0" fillId="7" fontId="18" numFmtId="0" xfId="0" applyAlignment="1" applyFill="1" applyFont="1">
      <alignment readingOrder="0" vertical="center"/>
    </xf>
    <xf borderId="0" fillId="7" fontId="31" numFmtId="0" xfId="0" applyAlignment="1" applyFill="1" applyFont="1">
      <alignment vertical="center"/>
    </xf>
    <xf borderId="0" fillId="11" fontId="29" numFmtId="0" xfId="0" applyAlignment="1" applyFill="1" applyFont="1">
      <alignment horizontal="center"/>
    </xf>
    <xf borderId="0" fillId="12" fontId="29" numFmtId="0" xfId="0" applyAlignment="1" applyFill="1" applyFont="1">
      <alignment horizontal="center"/>
    </xf>
    <xf borderId="0" fillId="7" fontId="18" numFmtId="9" xfId="0" applyAlignment="1" applyFill="1" applyFont="1" applyNumberFormat="1">
      <alignment vertical="center"/>
    </xf>
    <xf borderId="0" fillId="7" fontId="18" numFmtId="164" xfId="0" applyAlignment="1" applyFill="1" applyFont="1" applyNumberFormat="1">
      <alignment vertical="center"/>
    </xf>
    <xf borderId="3" fillId="13" fontId="32" numFmtId="0" xfId="0" applyAlignment="1" applyBorder="1" applyFill="1" applyFont="1">
      <alignment shrinkToFit="0" wrapText="1"/>
    </xf>
    <xf borderId="4" fillId="0" fontId="28" numFmtId="0" xfId="0" applyBorder="1" applyFont="1"/>
    <xf borderId="5" fillId="0" fontId="28" numFmtId="0" xfId="0" applyBorder="1" applyFont="1"/>
    <xf borderId="6" fillId="0" fontId="28" numFmtId="0" xfId="0" applyBorder="1" applyFont="1"/>
    <xf borderId="7" fillId="0" fontId="28" numFmtId="0" xfId="0" applyBorder="1" applyFont="1"/>
    <xf borderId="0" fillId="10" fontId="33" numFmtId="0" xfId="0" applyAlignment="1" applyFill="1" applyFont="1">
      <alignment horizontal="center"/>
    </xf>
    <xf borderId="2" fillId="7" fontId="34" numFmtId="0" xfId="0" applyBorder="1" applyFill="1" applyFont="1"/>
    <xf borderId="0" fillId="0" fontId="2" numFmtId="49" xfId="0" applyAlignment="1" applyFont="1" applyNumberFormat="1">
      <alignment shrinkToFit="0" vertical="center" wrapText="0"/>
    </xf>
    <xf borderId="0" fillId="0" fontId="11" numFmtId="164" xfId="0" applyAlignment="1" applyFont="1" applyNumberFormat="1">
      <alignment readingOrder="0" shrinkToFit="0" vertical="top" wrapText="1"/>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9" xfId="0" applyAlignment="1" applyFont="1" applyNumberFormat="1">
      <alignment readingOrder="0" shrinkToFit="0" vertical="center" wrapText="0"/>
    </xf>
  </cellXfs>
  <cellStyles count="1">
    <cellStyle xfId="0" name="Normal" builtinId="0"/>
  </cellStyles>
  <dxfs count="1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EF4444"/>
      </font>
      <fill>
        <patternFill patternType="solid">
          <fgColor rgb="FFFFE5E5"/>
          <bgColor rgb="FFFFE5E5"/>
        </patternFill>
      </fill>
      <border/>
    </dxf>
    <dxf>
      <font>
        <b/>
        <color rgb="FFAF6B05"/>
      </font>
      <fill>
        <patternFill patternType="solid">
          <fgColor rgb="FFFFF4D6"/>
          <bgColor rgb="FFFFF4D6"/>
        </patternFill>
      </fill>
      <border/>
    </dxf>
    <dxf>
      <font/>
      <fill>
        <patternFill patternType="solid">
          <fgColor rgb="FFDCFCE7"/>
          <bgColor rgb="FFDCFCE7"/>
        </patternFill>
      </fill>
      <border/>
    </dxf>
    <dxf>
      <font/>
      <fill>
        <patternFill patternType="solid">
          <fgColor rgb="FFFEF3C7"/>
          <bgColor rgb="FFFEF3C7"/>
        </patternFill>
      </fill>
      <border/>
    </dxf>
    <dxf>
      <font/>
      <fill>
        <patternFill patternType="solid">
          <fgColor rgb="FFFEE2E2"/>
          <bgColor rgb="FFFEE2E2"/>
        </patternFill>
      </fill>
      <border/>
    </dxf>
  </dxfs>
  <tableStyles count="5">
    <tableStyle count="4" pivot="0" name="JD Criteria-style">
      <tableStyleElement dxfId="1" type="headerRow"/>
      <tableStyleElement dxfId="2" type="firstRowStripe"/>
      <tableStyleElement dxfId="3" type="secondRowStripe"/>
      <tableStyleElement dxfId="4" size="0" type="wholeTable"/>
    </tableStyle>
    <tableStyle count="4" pivot="0" name="Positions Master-style">
      <tableStyleElement dxfId="1" type="headerRow"/>
      <tableStyleElement dxfId="2" type="firstRowStripe"/>
      <tableStyleElement dxfId="3" type="secondRowStripe"/>
      <tableStyleElement dxfId="4" size="0" type="wholeTable"/>
    </tableStyle>
    <tableStyle count="4" pivot="0" name="Candidates-style">
      <tableStyleElement dxfId="1" type="headerRow"/>
      <tableStyleElement dxfId="2" type="firstRowStripe"/>
      <tableStyleElement dxfId="3" type="secondRowStripe"/>
      <tableStyleElement dxfId="4" size="0" type="wholeTable"/>
    </tableStyle>
    <tableStyle count="4" pivot="0" name="Recruitment Pipeline-style">
      <tableStyleElement dxfId="1" type="headerRow"/>
      <tableStyleElement dxfId="2" type="firstRowStripe"/>
      <tableStyleElement dxfId="3" type="secondRowStripe"/>
      <tableStyleElement dxfId="4" size="0" type="wholeTable"/>
    </tableStyle>
    <tableStyle count="4" pivot="0" name="Activity Log-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Candidate Pipeline by Selected Position</a:t>
            </a:r>
          </a:p>
        </c:rich>
      </c:tx>
      <c:overlay val="0"/>
    </c:title>
    <c:plotArea>
      <c:layout/>
      <c:barChart>
        <c:barDir val="bar"/>
        <c:varyColors val="0"/>
        <c:ser>
          <c:idx val="0"/>
          <c:order val="0"/>
          <c:tx>
            <c:strRef>
              <c:f>Dashboard!$E$12</c:f>
            </c:strRef>
          </c:tx>
          <c:spPr>
            <a:solidFill>
              <a:schemeClr val="accent1"/>
            </a:solidFill>
            <a:ln cmpd="sng">
              <a:noFill/>
            </a:ln>
          </c:spPr>
          <c:invertIfNegative val="0"/>
          <c:cat>
            <c:strRef>
              <c:f>Dashboard!$D$13:$D$23</c:f>
            </c:strRef>
          </c:cat>
          <c:val>
            <c:numRef>
              <c:f>Dashboard!$E$13:$E$23</c:f>
              <c:numCache/>
            </c:numRef>
          </c:val>
        </c:ser>
        <c:axId val="1139089216"/>
        <c:axId val="1387316494"/>
      </c:barChart>
      <c:catAx>
        <c:axId val="11390892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87316494"/>
      </c:catAx>
      <c:valAx>
        <c:axId val="13873164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9089216"/>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Hiring Funnel</a:t>
            </a:r>
          </a:p>
        </c:rich>
      </c:tx>
      <c:overlay val="0"/>
    </c:title>
    <c:plotArea>
      <c:layout/>
      <c:barChart>
        <c:barDir val="col"/>
        <c:varyColors val="0"/>
        <c:ser>
          <c:idx val="0"/>
          <c:order val="0"/>
          <c:tx>
            <c:strRef>
              <c:f>'Dashboard Data'!$B$1</c:f>
            </c:strRef>
          </c:tx>
          <c:spPr>
            <a:solidFill>
              <a:schemeClr val="accent1"/>
            </a:solidFill>
            <a:ln cmpd="sng">
              <a:noFill/>
            </a:ln>
          </c:spPr>
          <c:invertIfNegative val="0"/>
          <c:cat>
            <c:strRef>
              <c:f>'Dashboard Data'!$A$2:$A$6</c:f>
            </c:strRef>
          </c:cat>
          <c:val>
            <c:numRef>
              <c:f>'Dashboard Data'!$B$2:$B$6</c:f>
              <c:numCache/>
            </c:numRef>
          </c:val>
        </c:ser>
        <c:axId val="128303979"/>
        <c:axId val="548828946"/>
      </c:barChart>
      <c:catAx>
        <c:axId val="128303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8828946"/>
      </c:catAx>
      <c:valAx>
        <c:axId val="548828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8303979"/>
      </c:valAx>
    </c:plotArea>
    <c:plotVisOnly val="0"/>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Candidate Decision Mix</a:t>
            </a:r>
          </a:p>
        </c:rich>
      </c:tx>
      <c:overlay val="0"/>
    </c:title>
    <c:plotArea>
      <c:layout/>
      <c:doughnutChart>
        <c:varyColors val="1"/>
        <c:ser>
          <c:idx val="0"/>
          <c:order val="0"/>
          <c:dPt>
            <c:idx val="0"/>
            <c:spPr>
              <a:solidFill>
                <a:srgbClr val="156082"/>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Lbls>
            <c:showLegendKey val="0"/>
            <c:showVal val="0"/>
            <c:showCatName val="0"/>
            <c:showSerName val="0"/>
            <c:showPercent val="0"/>
            <c:showBubbleSize val="0"/>
            <c:showLeaderLines val="1"/>
          </c:dLbls>
          <c:cat>
            <c:strRef>
              <c:f>'Dashboard Data'!$D$1:$D$5</c:f>
            </c:strRef>
          </c:cat>
          <c:val>
            <c:numRef>
              <c:f>'Dashboard Data'!$E$1:$E$5</c:f>
              <c:numCache/>
            </c:numRef>
          </c:val>
        </c:ser>
        <c:dLbls>
          <c:showLegendKey val="0"/>
          <c:showVal val="0"/>
          <c:showCatName val="0"/>
          <c:showSerName val="0"/>
          <c:showPercent val="0"/>
          <c:showBubbleSize val="0"/>
        </c:dLbls>
        <c:holeSize val="55"/>
      </c:doughnutChart>
    </c:plotArea>
    <c:legend>
      <c:legendPos val="r"/>
      <c:overlay val="0"/>
      <c:txPr>
        <a:bodyPr/>
        <a:lstStyle/>
        <a:p>
          <a:pPr lvl="0">
            <a:defRPr b="0">
              <a:solidFill>
                <a:srgbClr val="1A1A1A"/>
              </a:solidFill>
              <a:latin typeface="+mn-lt"/>
            </a:defRPr>
          </a:pPr>
        </a:p>
      </c:txPr>
    </c:legend>
    <c:plotVisOnly val="0"/>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10972800" cy="3400425"/>
    <xdr:graphicFrame>
      <xdr:nvGraphicFramePr>
        <xdr:cNvPr id="1" name="Chart 1" title="Candidate Pipeline by Selected Position"/>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7810500" cy="2857500"/>
    <xdr:graphicFrame>
      <xdr:nvGraphicFramePr>
        <xdr:cNvPr id="2" name="Chart 2" title="Hiring Funnel"/>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10</xdr:row>
      <xdr:rowOff>0</xdr:rowOff>
    </xdr:from>
    <xdr:ext cx="6191250" cy="2857500"/>
    <xdr:graphicFrame>
      <xdr:nvGraphicFramePr>
        <xdr:cNvPr id="3" name="Chart 3" title="Candidate Decision Mix"/>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500" displayName="PositionsTable" name="PositionsTable" id="2">
  <tableColumns count="19">
    <tableColumn name="Ref #" id="1"/>
    <tableColumn name="Client" id="2"/>
    <tableColumn name="Position" id="3"/>
    <tableColumn name="Location" id="4"/>
    <tableColumn name="Open Date" id="5"/>
    <tableColumn name="Status" id="6"/>
    <tableColumn name="Priority" id="7"/>
    <tableColumn name="Hiring Target" id="8"/>
    <tableColumn name="Profiles Screened" id="9"/>
    <tableColumn name="Shortlisted" id="10"/>
    <tableColumn name="Client Interviews" id="11"/>
    <tableColumn name="Offers" id="12"/>
    <tableColumn name="Hired" id="13"/>
    <tableColumn name="Average ATS Match" id="14"/>
    <tableColumn name="Hiring Manager / Contact" id="15"/>
    <tableColumn name="JD / File Link" id="16"/>
    <tableColumn name="Notes" id="17"/>
    <tableColumn name="Last Updated" id="18"/>
    <tableColumn name="JD File Hash" id="19"/>
  </tableColumns>
  <tableStyleInfo name="Positions Master-style" showColumnStripes="0" showFirstColumn="1" showLastColumn="1" showRowStripes="1"/>
</table>
</file>

<file path=xl/tables/table2.xml><?xml version="1.0" encoding="utf-8"?>
<table xmlns="http://schemas.openxmlformats.org/spreadsheetml/2006/main" ref="A1:AB2001" displayName="CandidatesTable" name="CandidatesTable" id="3">
  <autoFilter ref="$A$1:$AB$2001"/>
  <tableColumns count="28">
    <tableColumn name="Candidate ID" id="1"/>
    <tableColumn name="Ref #" id="2"/>
    <tableColumn name="Candidate Name" id="3"/>
    <tableColumn name="Mobile / Phone Number" id="4"/>
    <tableColumn name="Email ID" id="5"/>
    <tableColumn name="Current Designation" id="6"/>
    <tableColumn name="Current Company" id="7"/>
    <tableColumn name="Location" id="8"/>
    <tableColumn name="Total Experience (Yrs)" id="9"/>
    <tableColumn name="Relevant Industry Experience (Yrs)" id="10"/>
    <tableColumn name="Date Screened" id="11"/>
    <tableColumn name="Evidence Strength /10" id="12"/>
    <tableColumn name="ATS Match %" id="13"/>
    <tableColumn name="Must-Have Fit" id="14"/>
    <tableColumn name="Core Role Fit /10" id="15"/>
    <tableColumn name="Key Strengths" id="16"/>
    <tableColumn name="Key Gap / Risk" id="17"/>
    <tableColumn name="Executive Assessment" id="18"/>
    <tableColumn name="Decision" id="19"/>
    <tableColumn name="Recruitment Stage" id="20"/>
    <tableColumn name="Interview Status" id="21"/>
    <tableColumn name="Client Status" id="22"/>
    <tableColumn name="Expected Salary" id="23"/>
    <tableColumn name="Availability" id="24"/>
    <tableColumn name="Recruiter Notes" id="25"/>
    <tableColumn name="CV / File Link" id="26"/>
    <tableColumn name="Last Updated" id="27"/>
    <tableColumn name="Criterion Results JSON" id="28"/>
  </tableColumns>
  <tableStyleInfo name="Candidates-style" showColumnStripes="0" showFirstColumn="1" showLastColumn="1" showRowStripes="1"/>
</table>
</file>

<file path=xl/tables/table3.xml><?xml version="1.0" encoding="utf-8"?>
<table xmlns="http://schemas.openxmlformats.org/spreadsheetml/2006/main" ref="A1:G500" displayName="CriteriaTable" name="CriteriaTable" id="1">
  <autoFilter ref="$A$1:$G$500"/>
  <tableColumns count="7">
    <tableColumn name="Ref #" id="1"/>
    <tableColumn name="Criterion" id="2"/>
    <tableColumn name="Weight %" id="3"/>
    <tableColumn name="Knockout?" id="4"/>
    <tableColumn name="Evidence Expected" id="5"/>
    <tableColumn name="Scoring Guidance" id="6"/>
    <tableColumn name="Notes" id="7"/>
  </tableColumns>
  <tableStyleInfo name="JD Criteria-style" showColumnStripes="0" showFirstColumn="1" showLastColumn="1" showRowStripes="1"/>
</table>
</file>

<file path=xl/tables/table4.xml><?xml version="1.0" encoding="utf-8"?>
<table xmlns="http://schemas.openxmlformats.org/spreadsheetml/2006/main" ref="A1:C12" displayName="PipelineTable" name="PipelineTable" id="4">
  <tableColumns count="3">
    <tableColumn name="Stage" id="1"/>
    <tableColumn name="Candidate Count" id="2"/>
    <tableColumn name="% of Screened" id="3"/>
  </tableColumns>
  <tableStyleInfo name="Recruitment Pipeline-style" showColumnStripes="0" showFirstColumn="1" showLastColumn="1" showRowStripes="1"/>
</table>
</file>

<file path=xl/tables/table5.xml><?xml version="1.0" encoding="utf-8"?>
<table xmlns="http://schemas.openxmlformats.org/spreadsheetml/2006/main" ref="A1:K58" displayName="Table1" name="Table1" id="5">
  <tableColumns count="11">
    <tableColumn name="Timestamp" id="1"/>
    <tableColumn name="User Email" id="2"/>
    <tableColumn name="User Name" id="3"/>
    <tableColumn name="Role" id="4"/>
    <tableColumn name="Action" id="5"/>
    <tableColumn name="Entity Type" id="6"/>
    <tableColumn name="Entity ID / Ref #" id="7"/>
    <tableColumn name="Client" id="8"/>
    <tableColumn name="Details" id="9"/>
    <tableColumn name="Previous Value" id="10"/>
    <tableColumn name="New Value" id="11"/>
  </tableColumns>
  <tableStyleInfo name="Activity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QcjiwRmcSnF-no_A0KFrzzO5RFFfl114/edit?usp=drivesdk&amp;ouid=100269677063860344655&amp;rtpof=true&amp;sd=true" TargetMode="External"/><Relationship Id="rId2" Type="http://schemas.openxmlformats.org/officeDocument/2006/relationships/hyperlink" Target="https://docs.google.com/document/d/1ajXMUauVPWAzTwo9Bg6GJGxwT_KhfKet/edit?usp=drivesdk&amp;ouid=100269677063860344655&amp;rtpof=true&amp;sd=true" TargetMode="External"/><Relationship Id="rId3" Type="http://schemas.openxmlformats.org/officeDocument/2006/relationships/hyperlink" Target="https://drive.google.com/file/d/1el2PZ9t_qn36A1jZtAIPx43xNmnkYhai/view?usp=drivesdk" TargetMode="External"/><Relationship Id="rId4" Type="http://schemas.openxmlformats.org/officeDocument/2006/relationships/drawing" Target="../drawings/drawing2.xm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kZbWCNdECoiACxOlAyOQNhp19dExclI2/view?usp=drivesdk" TargetMode="External"/><Relationship Id="rId2" Type="http://schemas.openxmlformats.org/officeDocument/2006/relationships/hyperlink" Target="https://drive.google.com/file/d/1dJQh0JBWSXzS5N9Hc8INE8K3LRJEgIpa/view?usp=drivesdk" TargetMode="External"/><Relationship Id="rId3" Type="http://schemas.openxmlformats.org/officeDocument/2006/relationships/hyperlink" Target="https://drive.google.com/file/d/1JZ7e9F2afTCc94g7Gbul3yIF50xpNixG/view?usp=drivesdk" TargetMode="External"/><Relationship Id="rId4" Type="http://schemas.openxmlformats.org/officeDocument/2006/relationships/hyperlink" Target="https://drive.google.com/file/d/1wJRPYV-TCXeLgeEHgnb75yBQtAxHpjBx/view?usp=drivesdk" TargetMode="External"/><Relationship Id="rId11" Type="http://schemas.openxmlformats.org/officeDocument/2006/relationships/drawing" Target="../drawings/drawing3.xml"/><Relationship Id="rId10" Type="http://schemas.openxmlformats.org/officeDocument/2006/relationships/hyperlink" Target="https://drive.google.com/file/d/1Vp65sxiaKs7p1W4FcfYVa6xEN6bTr1k4/view?usp=drivesdk" TargetMode="External"/><Relationship Id="rId13" Type="http://schemas.openxmlformats.org/officeDocument/2006/relationships/table" Target="../tables/table2.xml"/><Relationship Id="rId9" Type="http://schemas.openxmlformats.org/officeDocument/2006/relationships/hyperlink" Target="https://drive.google.com/file/d/1iaS_IPREJRtxZES0zWkP7uXRkoZ8kn_t/view?usp=drivesdk" TargetMode="External"/><Relationship Id="rId5" Type="http://schemas.openxmlformats.org/officeDocument/2006/relationships/hyperlink" Target="https://drive.google.com/file/d/1ei0w2ebZzN31AnU7iYO3Kltjdg_RU6YA/view?usp=drivesdk" TargetMode="External"/><Relationship Id="rId6" Type="http://schemas.openxmlformats.org/officeDocument/2006/relationships/hyperlink" Target="https://drive.google.com/file/d/1o73RNoNdiRsx1EDA45sse7xd7FcStyad/view?usp=drivesdk" TargetMode="External"/><Relationship Id="rId7" Type="http://schemas.openxmlformats.org/officeDocument/2006/relationships/hyperlink" Target="https://drive.google.com/file/d/1pQilDW7AzbuKklxsZ46MCAmYuTeaECVf/view?usp=drivesdk" TargetMode="External"/><Relationship Id="rId8" Type="http://schemas.openxmlformats.org/officeDocument/2006/relationships/hyperlink" Target="https://docs.google.com/document/d/1sv4_R7dWzqdEA8LNI1_9Il8oxPslXsCy/edit?usp=drivesdk&amp;ouid=100269677063860344655&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pQilDW7AzbuKklxsZ46MCAmYuTeaECVf/view?usp=drivesdk" TargetMode="External"/><Relationship Id="rId2" Type="http://schemas.openxmlformats.org/officeDocument/2006/relationships/hyperlink" Target="https://drive.google.com/file/d/1kZbWCNdECoiACxOlAyOQNhp19dExclI2/view?usp=drivesdk" TargetMode="External"/><Relationship Id="rId3" Type="http://schemas.openxmlformats.org/officeDocument/2006/relationships/hyperlink" Target="https://drive.google.com/file/d/1dJQh0JBWSXzS5N9Hc8INE8K3LRJEgIpa/view?usp=drivesdk" TargetMode="External"/><Relationship Id="rId4" Type="http://schemas.openxmlformats.org/officeDocument/2006/relationships/hyperlink" Target="https://drive.google.com/file/d/1JZ7e9F2afTCc94g7Gbul3yIF50xpNixG/view?usp=drivesdk" TargetMode="External"/><Relationship Id="rId11" Type="http://schemas.openxmlformats.org/officeDocument/2006/relationships/drawing" Target="../drawings/drawing7.xml"/><Relationship Id="rId10" Type="http://schemas.openxmlformats.org/officeDocument/2006/relationships/hyperlink" Target="https://drive.google.com/file/d/1Vp65sxiaKs7p1W4FcfYVa6xEN6bTr1k4/view?usp=drivesdk" TargetMode="External"/><Relationship Id="rId9" Type="http://schemas.openxmlformats.org/officeDocument/2006/relationships/hyperlink" Target="https://drive.google.com/file/d/1iaS_IPREJRtxZES0zWkP7uXRkoZ8kn_t/view?usp=drivesdk" TargetMode="External"/><Relationship Id="rId5" Type="http://schemas.openxmlformats.org/officeDocument/2006/relationships/hyperlink" Target="https://drive.google.com/file/d/1wJRPYV-TCXeLgeEHgnb75yBQtAxHpjBx/view?usp=drivesdk" TargetMode="External"/><Relationship Id="rId6" Type="http://schemas.openxmlformats.org/officeDocument/2006/relationships/hyperlink" Target="https://drive.google.com/file/d/1ei0w2ebZzN31AnU7iYO3Kltjdg_RU6YA/view?usp=drivesdk" TargetMode="External"/><Relationship Id="rId7" Type="http://schemas.openxmlformats.org/officeDocument/2006/relationships/hyperlink" Target="https://drive.google.com/file/d/1o73RNoNdiRsx1EDA45sse7xd7FcStyad/view?usp=drivesdk" TargetMode="External"/><Relationship Id="rId8" Type="http://schemas.openxmlformats.org/officeDocument/2006/relationships/hyperlink" Target="https://docs.google.com/document/d/1sv4_R7dWzqdEA8LNI1_9Il8oxPslXsCy/edit?usp=drivesdk&amp;ouid=100269677063860344655&amp;rtpof=true&amp;sd=tru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mailto:tauqeer2006@gmail.com" TargetMode="External"/><Relationship Id="rId10" Type="http://schemas.openxmlformats.org/officeDocument/2006/relationships/hyperlink" Target="mailto:tauqeer2006@gmail.com" TargetMode="External"/><Relationship Id="rId13" Type="http://schemas.openxmlformats.org/officeDocument/2006/relationships/hyperlink" Target="mailto:tauqeer2006@gmail.com" TargetMode="External"/><Relationship Id="rId12" Type="http://schemas.openxmlformats.org/officeDocument/2006/relationships/hyperlink" Target="mailto:tauqeer2006@gmail.com" TargetMode="External"/><Relationship Id="rId1" Type="http://schemas.openxmlformats.org/officeDocument/2006/relationships/hyperlink" Target="mailto:tauqeer2006@gmail.com" TargetMode="External"/><Relationship Id="rId2" Type="http://schemas.openxmlformats.org/officeDocument/2006/relationships/hyperlink" Target="mailto:tauqeer2006@gmail.com" TargetMode="External"/><Relationship Id="rId3" Type="http://schemas.openxmlformats.org/officeDocument/2006/relationships/hyperlink" Target="mailto:tauqeer2006@gmail.com" TargetMode="External"/><Relationship Id="rId4" Type="http://schemas.openxmlformats.org/officeDocument/2006/relationships/hyperlink" Target="mailto:tauqeer2006@gmail.com" TargetMode="External"/><Relationship Id="rId9" Type="http://schemas.openxmlformats.org/officeDocument/2006/relationships/hyperlink" Target="mailto:tauqeer2006@gmail.com" TargetMode="External"/><Relationship Id="rId15" Type="http://schemas.openxmlformats.org/officeDocument/2006/relationships/hyperlink" Target="mailto:tauqeer2006@gmail.com" TargetMode="External"/><Relationship Id="rId14" Type="http://schemas.openxmlformats.org/officeDocument/2006/relationships/hyperlink" Target="mailto:tauqeer2006@gmail.com" TargetMode="External"/><Relationship Id="rId17" Type="http://schemas.openxmlformats.org/officeDocument/2006/relationships/drawing" Target="../drawings/drawing9.xml"/><Relationship Id="rId16" Type="http://schemas.openxmlformats.org/officeDocument/2006/relationships/hyperlink" Target="mailto:tauqeer2006@gmail.com" TargetMode="External"/><Relationship Id="rId5" Type="http://schemas.openxmlformats.org/officeDocument/2006/relationships/hyperlink" Target="mailto:tauqeer2006@gmail.com" TargetMode="External"/><Relationship Id="rId19" Type="http://schemas.openxmlformats.org/officeDocument/2006/relationships/table" Target="../tables/table5.xml"/><Relationship Id="rId6" Type="http://schemas.openxmlformats.org/officeDocument/2006/relationships/hyperlink" Target="mailto:tauqeer2006@gmail.com" TargetMode="External"/><Relationship Id="rId7" Type="http://schemas.openxmlformats.org/officeDocument/2006/relationships/hyperlink" Target="mailto:tauqeer2006@gmail.com" TargetMode="External"/><Relationship Id="rId8" Type="http://schemas.openxmlformats.org/officeDocument/2006/relationships/hyperlink" Target="mailto:tauqeer2006@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20.0"/>
    <col customWidth="1" min="9" max="26" width="8.63"/>
  </cols>
  <sheetData>
    <row r="1">
      <c r="A1" s="1" t="s">
        <v>0</v>
      </c>
      <c r="B1" s="1" t="s">
        <v>1</v>
      </c>
      <c r="C1" s="1" t="s">
        <v>2</v>
      </c>
      <c r="D1" s="1" t="s">
        <v>3</v>
      </c>
      <c r="E1" s="1" t="s">
        <v>4</v>
      </c>
      <c r="F1" s="1" t="s">
        <v>5</v>
      </c>
      <c r="G1" s="1" t="s">
        <v>6</v>
      </c>
      <c r="H1" s="1" t="s">
        <v>7</v>
      </c>
      <c r="J1" s="2" t="s">
        <v>8</v>
      </c>
      <c r="K1" s="2" t="s">
        <v>9</v>
      </c>
      <c r="M1" s="2" t="s">
        <v>8</v>
      </c>
      <c r="N1" s="2" t="s">
        <v>10</v>
      </c>
      <c r="O1" s="2" t="s">
        <v>11</v>
      </c>
      <c r="Q1" s="2" t="s">
        <v>12</v>
      </c>
      <c r="S1" s="2" t="s">
        <v>13</v>
      </c>
      <c r="T1" s="2" t="s">
        <v>14</v>
      </c>
      <c r="U1" s="2" t="s">
        <v>15</v>
      </c>
    </row>
    <row r="2">
      <c r="A2" s="3" t="s">
        <v>16</v>
      </c>
      <c r="B2" s="2" t="s">
        <v>17</v>
      </c>
      <c r="C2" s="3" t="s">
        <v>18</v>
      </c>
      <c r="D2" s="3" t="s">
        <v>19</v>
      </c>
      <c r="E2" s="3" t="s">
        <v>20</v>
      </c>
      <c r="F2" s="3" t="s">
        <v>21</v>
      </c>
      <c r="G2" s="3" t="s">
        <v>22</v>
      </c>
      <c r="H2" s="3" t="s">
        <v>23</v>
      </c>
      <c r="J2" s="2" t="s">
        <v>24</v>
      </c>
      <c r="K2" s="2" t="s">
        <v>25</v>
      </c>
      <c r="M2" s="2" t="s">
        <v>24</v>
      </c>
      <c r="N2" s="4">
        <v>0.75</v>
      </c>
      <c r="O2" s="2" t="s">
        <v>20</v>
      </c>
      <c r="Q2" s="2" t="s">
        <v>26</v>
      </c>
      <c r="S2" s="2" t="s">
        <v>16</v>
      </c>
      <c r="T2" s="2" t="s">
        <v>27</v>
      </c>
      <c r="U2" s="2" t="s">
        <v>28</v>
      </c>
    </row>
    <row r="3">
      <c r="A3" s="3" t="s">
        <v>29</v>
      </c>
      <c r="B3" s="2" t="s">
        <v>30</v>
      </c>
      <c r="C3" s="3" t="s">
        <v>31</v>
      </c>
      <c r="D3" s="3" t="s">
        <v>32</v>
      </c>
      <c r="E3" s="3" t="s">
        <v>33</v>
      </c>
      <c r="F3" s="3" t="s">
        <v>34</v>
      </c>
      <c r="G3" s="3" t="s">
        <v>35</v>
      </c>
      <c r="J3" s="2" t="s">
        <v>36</v>
      </c>
      <c r="K3" s="2" t="s">
        <v>37</v>
      </c>
      <c r="M3" s="2" t="s">
        <v>24</v>
      </c>
      <c r="N3" s="4">
        <v>0.6</v>
      </c>
      <c r="O3" s="2" t="s">
        <v>33</v>
      </c>
      <c r="Q3" s="2" t="s">
        <v>38</v>
      </c>
      <c r="S3" s="2" t="s">
        <v>39</v>
      </c>
      <c r="T3" s="2" t="s">
        <v>40</v>
      </c>
      <c r="U3" s="2" t="s">
        <v>41</v>
      </c>
    </row>
    <row r="4">
      <c r="A4" s="3" t="s">
        <v>42</v>
      </c>
      <c r="B4" s="2" t="s">
        <v>43</v>
      </c>
      <c r="C4" s="3" t="s">
        <v>44</v>
      </c>
      <c r="D4" s="3" t="s">
        <v>45</v>
      </c>
      <c r="E4" s="3" t="s">
        <v>46</v>
      </c>
      <c r="F4" s="3" t="s">
        <v>47</v>
      </c>
      <c r="J4" s="2" t="s">
        <v>48</v>
      </c>
      <c r="K4" s="2" t="s">
        <v>49</v>
      </c>
      <c r="M4" s="2" t="s">
        <v>24</v>
      </c>
      <c r="N4" s="4">
        <v>0.0</v>
      </c>
      <c r="O4" s="2" t="s">
        <v>46</v>
      </c>
      <c r="Q4" s="2" t="s">
        <v>50</v>
      </c>
      <c r="S4" s="2" t="s">
        <v>51</v>
      </c>
      <c r="T4" s="2" t="s">
        <v>52</v>
      </c>
      <c r="U4" s="2" t="s">
        <v>53</v>
      </c>
    </row>
    <row r="5">
      <c r="B5" s="2" t="s">
        <v>54</v>
      </c>
      <c r="J5" s="2"/>
      <c r="K5" s="2"/>
      <c r="M5" s="2"/>
      <c r="N5" s="4"/>
      <c r="O5" s="2"/>
      <c r="Q5" s="2"/>
      <c r="S5" s="2"/>
      <c r="T5" s="2"/>
      <c r="U5" s="2"/>
    </row>
    <row r="6">
      <c r="A6" s="3" t="s">
        <v>55</v>
      </c>
      <c r="B6" s="2" t="s">
        <v>56</v>
      </c>
      <c r="C6" s="3" t="s">
        <v>57</v>
      </c>
      <c r="D6" s="3" t="s">
        <v>58</v>
      </c>
      <c r="E6" s="3" t="s">
        <v>59</v>
      </c>
      <c r="J6" s="2" t="s">
        <v>60</v>
      </c>
      <c r="K6" s="2" t="s">
        <v>61</v>
      </c>
      <c r="M6" s="2" t="s">
        <v>36</v>
      </c>
      <c r="N6" s="4">
        <v>0.7</v>
      </c>
      <c r="O6" s="2" t="s">
        <v>33</v>
      </c>
      <c r="Q6" s="2" t="s">
        <v>62</v>
      </c>
      <c r="S6" s="2" t="s">
        <v>63</v>
      </c>
      <c r="T6" s="2" t="s">
        <v>64</v>
      </c>
    </row>
    <row r="7">
      <c r="A7" s="3" t="s">
        <v>65</v>
      </c>
      <c r="B7" s="2" t="s">
        <v>66</v>
      </c>
      <c r="C7" s="3" t="s">
        <v>67</v>
      </c>
      <c r="D7" s="3" t="s">
        <v>68</v>
      </c>
      <c r="E7" s="3" t="s">
        <v>60</v>
      </c>
      <c r="M7" s="2" t="s">
        <v>36</v>
      </c>
      <c r="N7" s="4">
        <v>0.55</v>
      </c>
      <c r="O7" s="2" t="s">
        <v>46</v>
      </c>
      <c r="Q7" s="2" t="s">
        <v>69</v>
      </c>
      <c r="S7" s="2" t="s">
        <v>70</v>
      </c>
      <c r="T7" s="2" t="s">
        <v>71</v>
      </c>
    </row>
    <row r="8">
      <c r="B8" s="2" t="s">
        <v>72</v>
      </c>
      <c r="C8" s="3" t="s">
        <v>73</v>
      </c>
      <c r="D8" s="3" t="s">
        <v>74</v>
      </c>
      <c r="M8" s="2" t="s">
        <v>36</v>
      </c>
      <c r="N8" s="4">
        <v>0.0</v>
      </c>
      <c r="O8" s="2" t="s">
        <v>59</v>
      </c>
      <c r="S8" s="2" t="s">
        <v>75</v>
      </c>
      <c r="T8" s="2" t="s">
        <v>76</v>
      </c>
    </row>
    <row r="9">
      <c r="B9" s="2" t="s">
        <v>74</v>
      </c>
      <c r="D9" s="3" t="s">
        <v>77</v>
      </c>
      <c r="M9" s="2" t="s">
        <v>48</v>
      </c>
      <c r="N9" s="4">
        <v>0.0</v>
      </c>
      <c r="O9" s="2" t="s">
        <v>59</v>
      </c>
      <c r="T9" s="2" t="s">
        <v>78</v>
      </c>
    </row>
    <row r="10">
      <c r="B10" s="2" t="s">
        <v>79</v>
      </c>
      <c r="D10" s="3" t="s">
        <v>80</v>
      </c>
      <c r="M10" s="2" t="s">
        <v>60</v>
      </c>
      <c r="N10" s="4">
        <v>0.0</v>
      </c>
      <c r="O10" s="2" t="s">
        <v>60</v>
      </c>
      <c r="T10" s="2" t="s">
        <v>81</v>
      </c>
    </row>
    <row r="11">
      <c r="B11" s="2" t="s">
        <v>80</v>
      </c>
      <c r="T11" s="2" t="s">
        <v>82</v>
      </c>
    </row>
    <row r="12">
      <c r="B12" s="2" t="s">
        <v>46</v>
      </c>
    </row>
    <row r="13">
      <c r="B13" s="2" t="s">
        <v>83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8.0"/>
    <col customWidth="1" min="4" max="4" width="15.0"/>
    <col customWidth="1" min="5" max="14" width="14.0"/>
    <col customWidth="1" min="15" max="17" width="28.0"/>
    <col customWidth="1" min="18" max="18" width="16.0"/>
    <col customWidth="1" min="19" max="19" width="26.38"/>
    <col customWidth="1" min="20" max="30" width="19.63"/>
  </cols>
  <sheetData>
    <row r="1">
      <c r="A1" s="6" t="s">
        <v>84</v>
      </c>
      <c r="B1" s="6" t="s">
        <v>87</v>
      </c>
      <c r="C1" s="6" t="s">
        <v>90</v>
      </c>
      <c r="D1" s="6" t="s">
        <v>93</v>
      </c>
      <c r="E1" s="6" t="s">
        <v>94</v>
      </c>
      <c r="F1" s="6" t="s">
        <v>96</v>
      </c>
      <c r="G1" s="6" t="s">
        <v>5</v>
      </c>
      <c r="H1" s="6" t="s">
        <v>98</v>
      </c>
      <c r="I1" s="6" t="s">
        <v>99</v>
      </c>
      <c r="J1" s="6" t="s">
        <v>56</v>
      </c>
      <c r="K1" s="6" t="s">
        <v>100</v>
      </c>
      <c r="L1" s="6" t="s">
        <v>103</v>
      </c>
      <c r="M1" s="6" t="s">
        <v>80</v>
      </c>
      <c r="N1" s="6" t="s">
        <v>109</v>
      </c>
      <c r="O1" s="6" t="s">
        <v>112</v>
      </c>
      <c r="P1" s="6" t="s">
        <v>113</v>
      </c>
      <c r="Q1" s="6" t="s">
        <v>92</v>
      </c>
      <c r="R1" s="6" t="s">
        <v>115</v>
      </c>
      <c r="S1" s="11" t="s">
        <v>118</v>
      </c>
      <c r="T1" s="12" t="s">
        <v>121</v>
      </c>
      <c r="U1" s="12" t="s">
        <v>123</v>
      </c>
      <c r="V1" s="12" t="s">
        <v>124</v>
      </c>
      <c r="W1" s="12" t="s">
        <v>126</v>
      </c>
      <c r="X1" s="12" t="s">
        <v>127</v>
      </c>
      <c r="Y1" s="12" t="s">
        <v>128</v>
      </c>
      <c r="Z1" s="12" t="s">
        <v>129</v>
      </c>
      <c r="AA1" s="12" t="s">
        <v>15</v>
      </c>
      <c r="AB1" s="12" t="s">
        <v>131</v>
      </c>
      <c r="AC1" s="12" t="s">
        <v>132</v>
      </c>
      <c r="AD1" s="12" t="s">
        <v>133</v>
      </c>
    </row>
    <row r="2">
      <c r="A2" s="13" t="s">
        <v>23</v>
      </c>
      <c r="B2" s="13" t="s">
        <v>135</v>
      </c>
      <c r="C2" s="13" t="s">
        <v>136</v>
      </c>
      <c r="D2" s="13" t="s">
        <v>139</v>
      </c>
      <c r="E2" s="14">
        <v>46290.0</v>
      </c>
      <c r="F2" s="16" t="s">
        <v>16</v>
      </c>
      <c r="G2" s="16" t="s">
        <v>21</v>
      </c>
      <c r="H2" s="17">
        <v>1.0</v>
      </c>
      <c r="I2" s="13">
        <f>COUNTIF(Candidates!$B$2:$B$2000,A2)</f>
        <v>30</v>
      </c>
      <c r="J2" s="13">
        <f>COUNTIFS(Candidates!$B$2:$B$2000,A2,Candidates!$S$2:$S$2000,"Priority Shortlist")+COUNTIFS(Candidates!$B$2:$B$2000,A2,Candidates!$S$2:$S$2000,"Shortlist")</f>
        <v>4</v>
      </c>
      <c r="K2" s="13">
        <f>COUNTIFS(Candidates!$B$2:$B$2000,A2,Candidates!$T$2:$T$2000,"Client Interview")</f>
        <v>0</v>
      </c>
      <c r="L2" s="13">
        <f>COUNTIFS(Candidates!$B$2:$B$2000,A2,Candidates!$T$2:$T$2000,"Offer Sent")</f>
        <v>0</v>
      </c>
      <c r="M2" s="13">
        <f>COUNTIFS(Candidates!$B$2:$B$2000,A2,Candidates!$T$2:$T$2000,"Hired")</f>
        <v>0</v>
      </c>
      <c r="N2" s="30">
        <f>IFERROR(AVERAGEIF(Candidates!$B$2:$B$2000,A2,Candidates!$M$2:$M$2000),0)</f>
        <v>0.392</v>
      </c>
      <c r="O2" s="13"/>
      <c r="P2" s="13"/>
      <c r="Q2" s="13" t="s">
        <v>191</v>
      </c>
      <c r="R2" s="32">
        <v>46293.14560204861</v>
      </c>
      <c r="S2" s="33"/>
      <c r="T2" s="34"/>
      <c r="U2" s="34"/>
      <c r="V2" s="34"/>
      <c r="W2" s="36" t="s">
        <v>198</v>
      </c>
      <c r="X2" s="37">
        <v>46293.0</v>
      </c>
      <c r="Y2" s="36" t="s">
        <v>55</v>
      </c>
      <c r="Z2" s="36" t="s">
        <v>198</v>
      </c>
      <c r="AA2" s="36"/>
      <c r="AB2" s="36"/>
      <c r="AC2" s="36"/>
      <c r="AD2" s="36"/>
    </row>
    <row r="3">
      <c r="A3" s="38" t="s">
        <v>171</v>
      </c>
      <c r="B3" s="16" t="s">
        <v>202</v>
      </c>
      <c r="C3" s="16" t="s">
        <v>204</v>
      </c>
      <c r="D3" s="16" t="s">
        <v>207</v>
      </c>
      <c r="E3" s="32">
        <v>46292.0</v>
      </c>
      <c r="F3" s="16" t="s">
        <v>16</v>
      </c>
      <c r="G3" s="16" t="s">
        <v>21</v>
      </c>
      <c r="H3" s="17">
        <v>1.0</v>
      </c>
      <c r="I3" s="17">
        <v>0.0</v>
      </c>
      <c r="J3" s="17">
        <v>0.0</v>
      </c>
      <c r="K3" s="17">
        <v>0.0</v>
      </c>
      <c r="L3" s="17">
        <v>0.0</v>
      </c>
      <c r="M3" s="17">
        <v>0.0</v>
      </c>
      <c r="N3" s="30"/>
      <c r="O3" s="13"/>
      <c r="P3" s="13"/>
      <c r="Q3" s="13"/>
      <c r="R3" s="39">
        <v>46291.56375083333</v>
      </c>
      <c r="S3" s="33"/>
      <c r="T3" s="34"/>
      <c r="U3" s="34"/>
      <c r="V3" s="34"/>
      <c r="W3" s="34"/>
      <c r="X3" s="34"/>
      <c r="Y3" s="34"/>
      <c r="Z3" s="34"/>
      <c r="AA3" s="34"/>
      <c r="AB3" s="34"/>
      <c r="AC3" s="34"/>
      <c r="AD3" s="34"/>
    </row>
    <row r="4">
      <c r="A4" s="40" t="s">
        <v>229</v>
      </c>
      <c r="B4" s="16" t="s">
        <v>202</v>
      </c>
      <c r="C4" s="16" t="s">
        <v>235</v>
      </c>
      <c r="D4" s="16" t="s">
        <v>139</v>
      </c>
      <c r="E4" s="32">
        <v>46292.0</v>
      </c>
      <c r="F4" s="16" t="s">
        <v>55</v>
      </c>
      <c r="G4" s="16" t="s">
        <v>34</v>
      </c>
      <c r="H4" s="17">
        <v>1.0</v>
      </c>
      <c r="I4" s="17">
        <v>0.0</v>
      </c>
      <c r="J4" s="17">
        <v>0.0</v>
      </c>
      <c r="K4" s="17">
        <v>0.0</v>
      </c>
      <c r="L4" s="17">
        <v>0.0</v>
      </c>
      <c r="M4" s="17">
        <v>0.0</v>
      </c>
      <c r="N4" s="30"/>
      <c r="O4" s="13"/>
      <c r="P4" s="42" t="s">
        <v>265</v>
      </c>
      <c r="Q4" s="13"/>
      <c r="R4" s="39">
        <v>46292.1856871875</v>
      </c>
      <c r="S4" s="43" t="s">
        <v>276</v>
      </c>
      <c r="T4" s="34"/>
      <c r="U4" s="34"/>
      <c r="V4" s="34"/>
      <c r="W4" s="34"/>
      <c r="X4" s="34"/>
      <c r="Y4" s="34"/>
      <c r="Z4" s="34"/>
      <c r="AA4" s="34"/>
      <c r="AB4" s="34"/>
      <c r="AC4" s="34"/>
      <c r="AD4" s="34"/>
    </row>
    <row r="5">
      <c r="A5" s="40" t="s">
        <v>280</v>
      </c>
      <c r="B5" s="16" t="s">
        <v>202</v>
      </c>
      <c r="C5" s="16" t="s">
        <v>290</v>
      </c>
      <c r="D5" s="16" t="s">
        <v>139</v>
      </c>
      <c r="E5" s="32">
        <v>46293.0</v>
      </c>
      <c r="F5" s="16" t="s">
        <v>16</v>
      </c>
      <c r="G5" s="16" t="s">
        <v>34</v>
      </c>
      <c r="H5" s="17">
        <v>1.0</v>
      </c>
      <c r="I5" s="17">
        <v>0.0</v>
      </c>
      <c r="J5" s="17">
        <v>0.0</v>
      </c>
      <c r="K5" s="17">
        <v>0.0</v>
      </c>
      <c r="L5" s="17">
        <v>0.0</v>
      </c>
      <c r="M5" s="17">
        <v>0.0</v>
      </c>
      <c r="N5" s="30"/>
      <c r="O5" s="13"/>
      <c r="P5" s="44" t="s">
        <v>299</v>
      </c>
      <c r="Q5" s="13"/>
      <c r="R5" s="39">
        <v>46293.249952303246</v>
      </c>
      <c r="S5" s="43" t="s">
        <v>310</v>
      </c>
      <c r="T5" s="34"/>
      <c r="U5" s="34"/>
      <c r="V5" s="34"/>
      <c r="W5" s="36" t="s">
        <v>198</v>
      </c>
      <c r="X5" s="37">
        <v>46293.0</v>
      </c>
      <c r="Y5" s="36" t="s">
        <v>55</v>
      </c>
      <c r="Z5" s="36" t="s">
        <v>198</v>
      </c>
      <c r="AA5" s="36"/>
      <c r="AB5" s="36"/>
      <c r="AC5" s="36"/>
      <c r="AD5" s="36"/>
    </row>
    <row r="6">
      <c r="A6" s="40" t="s">
        <v>311</v>
      </c>
      <c r="B6" s="16" t="s">
        <v>312</v>
      </c>
      <c r="C6" s="16" t="s">
        <v>314</v>
      </c>
      <c r="D6" s="16" t="s">
        <v>315</v>
      </c>
      <c r="E6" s="32">
        <v>46295.0</v>
      </c>
      <c r="F6" s="16" t="s">
        <v>16</v>
      </c>
      <c r="G6" s="16" t="s">
        <v>21</v>
      </c>
      <c r="H6" s="17">
        <v>1.0</v>
      </c>
      <c r="I6" s="17">
        <v>0.0</v>
      </c>
      <c r="J6" s="17">
        <v>0.0</v>
      </c>
      <c r="K6" s="17">
        <v>0.0</v>
      </c>
      <c r="L6" s="17">
        <v>0.0</v>
      </c>
      <c r="M6" s="17">
        <v>0.0</v>
      </c>
      <c r="N6" s="30"/>
      <c r="O6" s="13"/>
      <c r="P6" s="44" t="s">
        <v>324</v>
      </c>
      <c r="Q6" s="13"/>
      <c r="R6" s="39">
        <v>46295.1818147338</v>
      </c>
      <c r="S6" s="43" t="s">
        <v>336</v>
      </c>
      <c r="T6" s="34"/>
      <c r="U6" s="34"/>
      <c r="V6" s="34"/>
      <c r="W6" s="34"/>
      <c r="X6" s="34"/>
      <c r="Y6" s="34"/>
      <c r="Z6" s="34"/>
      <c r="AA6" s="34"/>
      <c r="AB6" s="34"/>
      <c r="AC6" s="34"/>
      <c r="AD6" s="34"/>
    </row>
    <row r="7">
      <c r="A7" s="13"/>
      <c r="B7" s="13"/>
      <c r="C7" s="13"/>
      <c r="D7" s="13"/>
      <c r="E7" s="14"/>
      <c r="F7" s="13"/>
      <c r="G7" s="13"/>
      <c r="H7" s="13"/>
      <c r="I7" s="13"/>
      <c r="J7" s="13"/>
      <c r="K7" s="13"/>
      <c r="L7" s="13"/>
      <c r="M7" s="13"/>
      <c r="N7" s="30"/>
      <c r="O7" s="13"/>
      <c r="P7" s="13"/>
      <c r="Q7" s="13"/>
      <c r="R7" s="14"/>
      <c r="S7" s="45"/>
      <c r="T7" s="34"/>
      <c r="U7" s="34"/>
      <c r="V7" s="34"/>
      <c r="W7" s="34"/>
      <c r="X7" s="34"/>
      <c r="Y7" s="34"/>
      <c r="Z7" s="34"/>
      <c r="AA7" s="34"/>
      <c r="AB7" s="34"/>
      <c r="AC7" s="34"/>
      <c r="AD7" s="34"/>
    </row>
    <row r="8">
      <c r="A8" s="13"/>
      <c r="B8" s="13"/>
      <c r="C8" s="13"/>
      <c r="D8" s="13"/>
      <c r="E8" s="14"/>
      <c r="F8" s="13"/>
      <c r="G8" s="13"/>
      <c r="H8" s="13"/>
      <c r="I8" s="13"/>
      <c r="J8" s="13"/>
      <c r="K8" s="13"/>
      <c r="L8" s="13"/>
      <c r="M8" s="13"/>
      <c r="N8" s="30"/>
      <c r="O8" s="13"/>
      <c r="P8" s="13"/>
      <c r="Q8" s="13"/>
      <c r="R8" s="14"/>
      <c r="S8" s="45"/>
      <c r="T8" s="34"/>
      <c r="U8" s="34"/>
      <c r="V8" s="34"/>
      <c r="W8" s="34"/>
      <c r="X8" s="34"/>
      <c r="Y8" s="34"/>
      <c r="Z8" s="34"/>
      <c r="AA8" s="34"/>
      <c r="AB8" s="34"/>
      <c r="AC8" s="34"/>
      <c r="AD8" s="34"/>
    </row>
    <row r="9">
      <c r="A9" s="13"/>
      <c r="B9" s="13"/>
      <c r="C9" s="13"/>
      <c r="D9" s="13"/>
      <c r="E9" s="14"/>
      <c r="F9" s="13"/>
      <c r="G9" s="13"/>
      <c r="H9" s="13"/>
      <c r="I9" s="13"/>
      <c r="J9" s="13"/>
      <c r="K9" s="13"/>
      <c r="L9" s="13"/>
      <c r="M9" s="13"/>
      <c r="N9" s="30"/>
      <c r="O9" s="13"/>
      <c r="P9" s="13"/>
      <c r="Q9" s="13"/>
      <c r="R9" s="14"/>
      <c r="S9" s="45"/>
      <c r="T9" s="34"/>
      <c r="U9" s="34"/>
      <c r="V9" s="34"/>
      <c r="W9" s="34"/>
      <c r="X9" s="34"/>
      <c r="Y9" s="34"/>
      <c r="Z9" s="34"/>
      <c r="AA9" s="34"/>
      <c r="AB9" s="34"/>
      <c r="AC9" s="34"/>
      <c r="AD9" s="34"/>
    </row>
    <row r="10">
      <c r="A10" s="13"/>
      <c r="B10" s="13"/>
      <c r="C10" s="13"/>
      <c r="D10" s="13"/>
      <c r="E10" s="14"/>
      <c r="F10" s="13"/>
      <c r="G10" s="13"/>
      <c r="H10" s="13"/>
      <c r="I10" s="13"/>
      <c r="J10" s="13"/>
      <c r="K10" s="13"/>
      <c r="L10" s="13"/>
      <c r="M10" s="13"/>
      <c r="N10" s="30"/>
      <c r="O10" s="13"/>
      <c r="P10" s="13"/>
      <c r="Q10" s="13"/>
      <c r="R10" s="14"/>
      <c r="S10" s="45"/>
      <c r="T10" s="34"/>
      <c r="U10" s="34"/>
      <c r="V10" s="34"/>
      <c r="W10" s="34"/>
      <c r="X10" s="34"/>
      <c r="Y10" s="34"/>
      <c r="Z10" s="34"/>
      <c r="AA10" s="34"/>
      <c r="AB10" s="34"/>
      <c r="AC10" s="34"/>
      <c r="AD10" s="34"/>
    </row>
    <row r="11">
      <c r="A11" s="13"/>
      <c r="B11" s="13"/>
      <c r="C11" s="13"/>
      <c r="D11" s="13"/>
      <c r="E11" s="14"/>
      <c r="F11" s="13"/>
      <c r="G11" s="13"/>
      <c r="H11" s="13"/>
      <c r="I11" s="13"/>
      <c r="J11" s="13"/>
      <c r="K11" s="13"/>
      <c r="L11" s="13"/>
      <c r="M11" s="13"/>
      <c r="N11" s="30"/>
      <c r="O11" s="13"/>
      <c r="P11" s="13"/>
      <c r="Q11" s="13"/>
      <c r="R11" s="14"/>
      <c r="S11" s="45"/>
      <c r="T11" s="34"/>
      <c r="U11" s="34"/>
      <c r="V11" s="34"/>
      <c r="W11" s="34"/>
      <c r="X11" s="34"/>
      <c r="Y11" s="34"/>
      <c r="Z11" s="34"/>
      <c r="AA11" s="34"/>
      <c r="AB11" s="34"/>
      <c r="AC11" s="34"/>
      <c r="AD11" s="34"/>
    </row>
    <row r="12">
      <c r="A12" s="13"/>
      <c r="B12" s="13"/>
      <c r="C12" s="13"/>
      <c r="D12" s="13"/>
      <c r="E12" s="14"/>
      <c r="F12" s="13"/>
      <c r="G12" s="13"/>
      <c r="H12" s="13"/>
      <c r="I12" s="13"/>
      <c r="J12" s="13"/>
      <c r="K12" s="13"/>
      <c r="L12" s="13"/>
      <c r="M12" s="13"/>
      <c r="N12" s="30"/>
      <c r="O12" s="13"/>
      <c r="P12" s="13"/>
      <c r="Q12" s="13"/>
      <c r="R12" s="14"/>
      <c r="S12" s="45"/>
      <c r="T12" s="34"/>
      <c r="U12" s="34"/>
      <c r="V12" s="34"/>
      <c r="W12" s="34"/>
      <c r="X12" s="34"/>
      <c r="Y12" s="34"/>
      <c r="Z12" s="34"/>
      <c r="AA12" s="34"/>
      <c r="AB12" s="34"/>
      <c r="AC12" s="34"/>
      <c r="AD12" s="34"/>
    </row>
    <row r="13">
      <c r="A13" s="13"/>
      <c r="B13" s="13"/>
      <c r="C13" s="13"/>
      <c r="D13" s="13"/>
      <c r="E13" s="14"/>
      <c r="F13" s="13"/>
      <c r="G13" s="13"/>
      <c r="H13" s="13"/>
      <c r="I13" s="13"/>
      <c r="J13" s="13"/>
      <c r="K13" s="13"/>
      <c r="L13" s="13"/>
      <c r="M13" s="13"/>
      <c r="N13" s="30"/>
      <c r="O13" s="13"/>
      <c r="P13" s="13"/>
      <c r="Q13" s="13"/>
      <c r="R13" s="14"/>
      <c r="S13" s="45"/>
      <c r="T13" s="34"/>
      <c r="U13" s="34"/>
      <c r="V13" s="34"/>
      <c r="W13" s="34"/>
      <c r="X13" s="34"/>
      <c r="Y13" s="34"/>
      <c r="Z13" s="34"/>
      <c r="AA13" s="34"/>
      <c r="AB13" s="34"/>
      <c r="AC13" s="34"/>
      <c r="AD13" s="34"/>
    </row>
    <row r="14">
      <c r="A14" s="13"/>
      <c r="B14" s="13"/>
      <c r="C14" s="13"/>
      <c r="D14" s="13"/>
      <c r="E14" s="14"/>
      <c r="F14" s="13"/>
      <c r="G14" s="13"/>
      <c r="H14" s="13"/>
      <c r="I14" s="13"/>
      <c r="J14" s="13"/>
      <c r="K14" s="13"/>
      <c r="L14" s="13"/>
      <c r="M14" s="13"/>
      <c r="N14" s="30"/>
      <c r="O14" s="13"/>
      <c r="P14" s="13"/>
      <c r="Q14" s="13"/>
      <c r="R14" s="14"/>
      <c r="S14" s="45"/>
      <c r="T14" s="34"/>
      <c r="U14" s="34"/>
      <c r="V14" s="34"/>
      <c r="W14" s="34"/>
      <c r="X14" s="34"/>
      <c r="Y14" s="34"/>
      <c r="Z14" s="34"/>
      <c r="AA14" s="34"/>
      <c r="AB14" s="34"/>
      <c r="AC14" s="34"/>
      <c r="AD14" s="34"/>
    </row>
    <row r="15">
      <c r="A15" s="13"/>
      <c r="B15" s="13"/>
      <c r="C15" s="13"/>
      <c r="D15" s="13"/>
      <c r="E15" s="14"/>
      <c r="F15" s="13"/>
      <c r="G15" s="13"/>
      <c r="H15" s="13"/>
      <c r="I15" s="13"/>
      <c r="J15" s="13"/>
      <c r="K15" s="13"/>
      <c r="L15" s="13"/>
      <c r="M15" s="13"/>
      <c r="N15" s="30"/>
      <c r="O15" s="13"/>
      <c r="P15" s="13"/>
      <c r="Q15" s="13"/>
      <c r="R15" s="14"/>
      <c r="S15" s="45"/>
      <c r="T15" s="34"/>
      <c r="U15" s="34"/>
      <c r="V15" s="34"/>
      <c r="W15" s="34"/>
      <c r="X15" s="34"/>
      <c r="Y15" s="34"/>
      <c r="Z15" s="34"/>
      <c r="AA15" s="34"/>
      <c r="AB15" s="34"/>
      <c r="AC15" s="34"/>
      <c r="AD15" s="34"/>
    </row>
    <row r="16">
      <c r="A16" s="13"/>
      <c r="B16" s="13"/>
      <c r="C16" s="13"/>
      <c r="D16" s="13"/>
      <c r="E16" s="14"/>
      <c r="F16" s="13"/>
      <c r="G16" s="13"/>
      <c r="H16" s="13"/>
      <c r="I16" s="13"/>
      <c r="J16" s="13"/>
      <c r="K16" s="13"/>
      <c r="L16" s="13"/>
      <c r="M16" s="13"/>
      <c r="N16" s="30"/>
      <c r="O16" s="13"/>
      <c r="P16" s="13"/>
      <c r="Q16" s="13"/>
      <c r="R16" s="14"/>
      <c r="S16" s="45"/>
      <c r="T16" s="34"/>
      <c r="U16" s="34"/>
      <c r="V16" s="34"/>
      <c r="W16" s="34"/>
      <c r="X16" s="34"/>
      <c r="Y16" s="34"/>
      <c r="Z16" s="34"/>
      <c r="AA16" s="34"/>
      <c r="AB16" s="34"/>
      <c r="AC16" s="34"/>
      <c r="AD16" s="34"/>
    </row>
    <row r="17">
      <c r="A17" s="13"/>
      <c r="B17" s="13"/>
      <c r="C17" s="13"/>
      <c r="D17" s="13"/>
      <c r="E17" s="14"/>
      <c r="F17" s="13"/>
      <c r="G17" s="13"/>
      <c r="H17" s="13"/>
      <c r="I17" s="13"/>
      <c r="J17" s="13"/>
      <c r="K17" s="13"/>
      <c r="L17" s="13"/>
      <c r="M17" s="13"/>
      <c r="N17" s="30"/>
      <c r="O17" s="13"/>
      <c r="P17" s="13"/>
      <c r="Q17" s="13"/>
      <c r="R17" s="14"/>
      <c r="S17" s="45"/>
      <c r="T17" s="34"/>
      <c r="U17" s="34"/>
      <c r="V17" s="34"/>
      <c r="W17" s="34"/>
      <c r="X17" s="34"/>
      <c r="Y17" s="34"/>
      <c r="Z17" s="34"/>
      <c r="AA17" s="34"/>
      <c r="AB17" s="34"/>
      <c r="AC17" s="34"/>
      <c r="AD17" s="34"/>
    </row>
    <row r="18">
      <c r="A18" s="13"/>
      <c r="B18" s="13"/>
      <c r="C18" s="13"/>
      <c r="D18" s="13"/>
      <c r="E18" s="14"/>
      <c r="F18" s="13"/>
      <c r="G18" s="13"/>
      <c r="H18" s="13"/>
      <c r="I18" s="13"/>
      <c r="J18" s="13"/>
      <c r="K18" s="13"/>
      <c r="L18" s="13"/>
      <c r="M18" s="13"/>
      <c r="N18" s="30"/>
      <c r="O18" s="13"/>
      <c r="P18" s="13"/>
      <c r="Q18" s="13"/>
      <c r="R18" s="14"/>
      <c r="S18" s="45"/>
      <c r="T18" s="34"/>
      <c r="U18" s="34"/>
      <c r="V18" s="34"/>
      <c r="W18" s="34"/>
      <c r="X18" s="34"/>
      <c r="Y18" s="34"/>
      <c r="Z18" s="34"/>
      <c r="AA18" s="34"/>
      <c r="AB18" s="34"/>
      <c r="AC18" s="34"/>
      <c r="AD18" s="34"/>
    </row>
    <row r="19">
      <c r="A19" s="13"/>
      <c r="B19" s="13"/>
      <c r="C19" s="13"/>
      <c r="D19" s="13"/>
      <c r="E19" s="14"/>
      <c r="F19" s="13"/>
      <c r="G19" s="13"/>
      <c r="H19" s="13"/>
      <c r="I19" s="13"/>
      <c r="J19" s="13"/>
      <c r="K19" s="13"/>
      <c r="L19" s="13"/>
      <c r="M19" s="13"/>
      <c r="N19" s="30"/>
      <c r="O19" s="13"/>
      <c r="P19" s="13"/>
      <c r="Q19" s="13"/>
      <c r="R19" s="14"/>
      <c r="S19" s="45"/>
      <c r="T19" s="34"/>
      <c r="U19" s="34"/>
      <c r="V19" s="34"/>
      <c r="W19" s="34"/>
      <c r="X19" s="34"/>
      <c r="Y19" s="34"/>
      <c r="Z19" s="34"/>
      <c r="AA19" s="34"/>
      <c r="AB19" s="34"/>
      <c r="AC19" s="34"/>
      <c r="AD19" s="34"/>
    </row>
    <row r="20">
      <c r="A20" s="13"/>
      <c r="B20" s="13"/>
      <c r="C20" s="13"/>
      <c r="D20" s="13"/>
      <c r="E20" s="14"/>
      <c r="F20" s="13"/>
      <c r="G20" s="13"/>
      <c r="H20" s="13"/>
      <c r="I20" s="13"/>
      <c r="J20" s="13"/>
      <c r="K20" s="13"/>
      <c r="L20" s="13"/>
      <c r="M20" s="13"/>
      <c r="N20" s="30"/>
      <c r="O20" s="13"/>
      <c r="P20" s="13"/>
      <c r="Q20" s="13"/>
      <c r="R20" s="14"/>
      <c r="S20" s="45"/>
      <c r="T20" s="34"/>
      <c r="U20" s="34"/>
      <c r="V20" s="34"/>
      <c r="W20" s="34"/>
      <c r="X20" s="34"/>
      <c r="Y20" s="34"/>
      <c r="Z20" s="34"/>
      <c r="AA20" s="34"/>
      <c r="AB20" s="34"/>
      <c r="AC20" s="34"/>
      <c r="AD20" s="34"/>
    </row>
    <row r="21" ht="15.75" customHeight="1">
      <c r="A21" s="13"/>
      <c r="B21" s="13"/>
      <c r="C21" s="13"/>
      <c r="D21" s="13"/>
      <c r="E21" s="14"/>
      <c r="F21" s="13"/>
      <c r="G21" s="13"/>
      <c r="H21" s="13"/>
      <c r="I21" s="13"/>
      <c r="J21" s="13"/>
      <c r="K21" s="13"/>
      <c r="L21" s="13"/>
      <c r="M21" s="13"/>
      <c r="N21" s="30"/>
      <c r="O21" s="13"/>
      <c r="P21" s="13"/>
      <c r="Q21" s="13"/>
      <c r="R21" s="14"/>
      <c r="S21" s="45"/>
      <c r="T21" s="34"/>
      <c r="U21" s="34"/>
      <c r="V21" s="34"/>
      <c r="W21" s="34"/>
      <c r="X21" s="34"/>
      <c r="Y21" s="34"/>
      <c r="Z21" s="34"/>
      <c r="AA21" s="34"/>
      <c r="AB21" s="34"/>
      <c r="AC21" s="34"/>
      <c r="AD21" s="34"/>
    </row>
    <row r="22" ht="15.75" customHeight="1">
      <c r="A22" s="13"/>
      <c r="B22" s="13"/>
      <c r="C22" s="13"/>
      <c r="D22" s="13"/>
      <c r="E22" s="14"/>
      <c r="F22" s="13"/>
      <c r="G22" s="13"/>
      <c r="H22" s="13"/>
      <c r="I22" s="13"/>
      <c r="J22" s="13"/>
      <c r="K22" s="13"/>
      <c r="L22" s="13"/>
      <c r="M22" s="13"/>
      <c r="N22" s="30"/>
      <c r="O22" s="13"/>
      <c r="P22" s="13"/>
      <c r="Q22" s="13"/>
      <c r="R22" s="14"/>
      <c r="S22" s="45"/>
      <c r="T22" s="34"/>
      <c r="U22" s="34"/>
      <c r="V22" s="34"/>
      <c r="W22" s="34"/>
      <c r="X22" s="34"/>
      <c r="Y22" s="34"/>
      <c r="Z22" s="34"/>
      <c r="AA22" s="34"/>
      <c r="AB22" s="34"/>
      <c r="AC22" s="34"/>
      <c r="AD22" s="34"/>
    </row>
    <row r="23" ht="15.75" customHeight="1">
      <c r="A23" s="13"/>
      <c r="B23" s="13"/>
      <c r="C23" s="13"/>
      <c r="D23" s="13"/>
      <c r="E23" s="14"/>
      <c r="F23" s="13"/>
      <c r="G23" s="13"/>
      <c r="H23" s="13"/>
      <c r="I23" s="13"/>
      <c r="J23" s="13"/>
      <c r="K23" s="13"/>
      <c r="L23" s="13"/>
      <c r="M23" s="13"/>
      <c r="N23" s="30"/>
      <c r="O23" s="13"/>
      <c r="P23" s="13"/>
      <c r="Q23" s="13"/>
      <c r="R23" s="14"/>
      <c r="S23" s="45"/>
      <c r="T23" s="34"/>
      <c r="U23" s="34"/>
      <c r="V23" s="34"/>
      <c r="W23" s="34"/>
      <c r="X23" s="34"/>
      <c r="Y23" s="34"/>
      <c r="Z23" s="34"/>
      <c r="AA23" s="34"/>
      <c r="AB23" s="34"/>
      <c r="AC23" s="34"/>
      <c r="AD23" s="34"/>
    </row>
    <row r="24" ht="15.75" customHeight="1">
      <c r="A24" s="13"/>
      <c r="B24" s="13"/>
      <c r="C24" s="13"/>
      <c r="D24" s="13"/>
      <c r="E24" s="14"/>
      <c r="F24" s="13"/>
      <c r="G24" s="13"/>
      <c r="H24" s="13"/>
      <c r="I24" s="13"/>
      <c r="J24" s="13"/>
      <c r="K24" s="13"/>
      <c r="L24" s="13"/>
      <c r="M24" s="13"/>
      <c r="N24" s="30"/>
      <c r="O24" s="13"/>
      <c r="P24" s="13"/>
      <c r="Q24" s="13"/>
      <c r="R24" s="14"/>
      <c r="S24" s="45"/>
      <c r="T24" s="34"/>
      <c r="U24" s="34"/>
      <c r="V24" s="34"/>
      <c r="W24" s="34"/>
      <c r="X24" s="34"/>
      <c r="Y24" s="34"/>
      <c r="Z24" s="34"/>
      <c r="AA24" s="34"/>
      <c r="AB24" s="34"/>
      <c r="AC24" s="34"/>
      <c r="AD24" s="34"/>
    </row>
    <row r="25" ht="15.75" customHeight="1">
      <c r="A25" s="13"/>
      <c r="B25" s="13"/>
      <c r="C25" s="13"/>
      <c r="D25" s="13"/>
      <c r="E25" s="14"/>
      <c r="F25" s="13"/>
      <c r="G25" s="13"/>
      <c r="H25" s="13"/>
      <c r="I25" s="13"/>
      <c r="J25" s="13"/>
      <c r="K25" s="13"/>
      <c r="L25" s="13"/>
      <c r="M25" s="13"/>
      <c r="N25" s="30"/>
      <c r="O25" s="13"/>
      <c r="P25" s="13"/>
      <c r="Q25" s="13"/>
      <c r="R25" s="14"/>
      <c r="S25" s="45"/>
      <c r="T25" s="34"/>
      <c r="U25" s="34"/>
      <c r="V25" s="34"/>
      <c r="W25" s="34"/>
      <c r="X25" s="34"/>
      <c r="Y25" s="34"/>
      <c r="Z25" s="34"/>
      <c r="AA25" s="34"/>
      <c r="AB25" s="34"/>
      <c r="AC25" s="34"/>
      <c r="AD25" s="34"/>
    </row>
    <row r="26" ht="15.75" customHeight="1">
      <c r="A26" s="13"/>
      <c r="B26" s="13"/>
      <c r="C26" s="13"/>
      <c r="D26" s="13"/>
      <c r="E26" s="14"/>
      <c r="F26" s="13"/>
      <c r="G26" s="13"/>
      <c r="H26" s="13"/>
      <c r="I26" s="13"/>
      <c r="J26" s="13"/>
      <c r="K26" s="13"/>
      <c r="L26" s="13"/>
      <c r="M26" s="13"/>
      <c r="N26" s="30"/>
      <c r="O26" s="13"/>
      <c r="P26" s="13"/>
      <c r="Q26" s="13"/>
      <c r="R26" s="14"/>
      <c r="S26" s="45"/>
      <c r="T26" s="34"/>
      <c r="U26" s="34"/>
      <c r="V26" s="34"/>
      <c r="W26" s="34"/>
      <c r="X26" s="34"/>
      <c r="Y26" s="34"/>
      <c r="Z26" s="34"/>
      <c r="AA26" s="34"/>
      <c r="AB26" s="34"/>
      <c r="AC26" s="34"/>
      <c r="AD26" s="34"/>
    </row>
    <row r="27" ht="15.75" customHeight="1">
      <c r="A27" s="13"/>
      <c r="B27" s="13"/>
      <c r="C27" s="13"/>
      <c r="D27" s="13"/>
      <c r="E27" s="14"/>
      <c r="F27" s="13"/>
      <c r="G27" s="13"/>
      <c r="H27" s="13"/>
      <c r="I27" s="13"/>
      <c r="J27" s="13"/>
      <c r="K27" s="13"/>
      <c r="L27" s="13"/>
      <c r="M27" s="13"/>
      <c r="N27" s="30"/>
      <c r="O27" s="13"/>
      <c r="P27" s="13"/>
      <c r="Q27" s="13"/>
      <c r="R27" s="14"/>
      <c r="S27" s="45"/>
      <c r="T27" s="34"/>
      <c r="U27" s="34"/>
      <c r="V27" s="34"/>
      <c r="W27" s="34"/>
      <c r="X27" s="34"/>
      <c r="Y27" s="34"/>
      <c r="Z27" s="34"/>
      <c r="AA27" s="34"/>
      <c r="AB27" s="34"/>
      <c r="AC27" s="34"/>
      <c r="AD27" s="34"/>
    </row>
    <row r="28" ht="15.75" customHeight="1">
      <c r="A28" s="13"/>
      <c r="B28" s="13"/>
      <c r="C28" s="13"/>
      <c r="D28" s="13"/>
      <c r="E28" s="14"/>
      <c r="F28" s="13"/>
      <c r="G28" s="13"/>
      <c r="H28" s="13"/>
      <c r="I28" s="13"/>
      <c r="J28" s="13"/>
      <c r="K28" s="13"/>
      <c r="L28" s="13"/>
      <c r="M28" s="13"/>
      <c r="N28" s="30"/>
      <c r="O28" s="13"/>
      <c r="P28" s="13"/>
      <c r="Q28" s="13"/>
      <c r="R28" s="14"/>
      <c r="S28" s="45"/>
      <c r="T28" s="34"/>
      <c r="U28" s="34"/>
      <c r="V28" s="34"/>
      <c r="W28" s="34"/>
      <c r="X28" s="34"/>
      <c r="Y28" s="34"/>
      <c r="Z28" s="34"/>
      <c r="AA28" s="34"/>
      <c r="AB28" s="34"/>
      <c r="AC28" s="34"/>
      <c r="AD28" s="34"/>
    </row>
    <row r="29" ht="15.75" customHeight="1">
      <c r="A29" s="13"/>
      <c r="B29" s="13"/>
      <c r="C29" s="13"/>
      <c r="D29" s="13"/>
      <c r="E29" s="14"/>
      <c r="F29" s="13"/>
      <c r="G29" s="13"/>
      <c r="H29" s="13"/>
      <c r="I29" s="13"/>
      <c r="J29" s="13"/>
      <c r="K29" s="13"/>
      <c r="L29" s="13"/>
      <c r="M29" s="13"/>
      <c r="N29" s="30"/>
      <c r="O29" s="13"/>
      <c r="P29" s="13"/>
      <c r="Q29" s="13"/>
      <c r="R29" s="14"/>
      <c r="S29" s="45"/>
      <c r="T29" s="34"/>
      <c r="U29" s="34"/>
      <c r="V29" s="34"/>
      <c r="W29" s="34"/>
      <c r="X29" s="34"/>
      <c r="Y29" s="34"/>
      <c r="Z29" s="34"/>
      <c r="AA29" s="34"/>
      <c r="AB29" s="34"/>
      <c r="AC29" s="34"/>
      <c r="AD29" s="34"/>
    </row>
    <row r="30" ht="15.75" customHeight="1">
      <c r="A30" s="13"/>
      <c r="B30" s="13"/>
      <c r="C30" s="13"/>
      <c r="D30" s="13"/>
      <c r="E30" s="14"/>
      <c r="F30" s="13"/>
      <c r="G30" s="13"/>
      <c r="H30" s="13"/>
      <c r="I30" s="13"/>
      <c r="J30" s="13"/>
      <c r="K30" s="13"/>
      <c r="L30" s="13"/>
      <c r="M30" s="13"/>
      <c r="N30" s="30"/>
      <c r="O30" s="13"/>
      <c r="P30" s="13"/>
      <c r="Q30" s="13"/>
      <c r="R30" s="14"/>
      <c r="S30" s="45"/>
      <c r="T30" s="34"/>
      <c r="U30" s="34"/>
      <c r="V30" s="34"/>
      <c r="W30" s="34"/>
      <c r="X30" s="34"/>
      <c r="Y30" s="34"/>
      <c r="Z30" s="34"/>
      <c r="AA30" s="34"/>
      <c r="AB30" s="34"/>
      <c r="AC30" s="34"/>
      <c r="AD30" s="34"/>
    </row>
    <row r="31" ht="15.75" customHeight="1">
      <c r="A31" s="13"/>
      <c r="B31" s="13"/>
      <c r="C31" s="13"/>
      <c r="D31" s="13"/>
      <c r="E31" s="14"/>
      <c r="F31" s="13"/>
      <c r="G31" s="13"/>
      <c r="H31" s="13"/>
      <c r="I31" s="13"/>
      <c r="J31" s="13"/>
      <c r="K31" s="13"/>
      <c r="L31" s="13"/>
      <c r="M31" s="13"/>
      <c r="N31" s="30"/>
      <c r="O31" s="13"/>
      <c r="P31" s="13"/>
      <c r="Q31" s="13"/>
      <c r="R31" s="14"/>
      <c r="S31" s="45"/>
      <c r="T31" s="34"/>
      <c r="U31" s="34"/>
      <c r="V31" s="34"/>
      <c r="W31" s="34"/>
      <c r="X31" s="34"/>
      <c r="Y31" s="34"/>
      <c r="Z31" s="34"/>
      <c r="AA31" s="34"/>
      <c r="AB31" s="34"/>
      <c r="AC31" s="34"/>
      <c r="AD31" s="34"/>
    </row>
    <row r="32" ht="15.75" customHeight="1">
      <c r="A32" s="13"/>
      <c r="B32" s="13"/>
      <c r="C32" s="13"/>
      <c r="D32" s="13"/>
      <c r="E32" s="14"/>
      <c r="F32" s="13"/>
      <c r="G32" s="13"/>
      <c r="H32" s="13"/>
      <c r="I32" s="13"/>
      <c r="J32" s="13"/>
      <c r="K32" s="13"/>
      <c r="L32" s="13"/>
      <c r="M32" s="13"/>
      <c r="N32" s="30"/>
      <c r="O32" s="13"/>
      <c r="P32" s="13"/>
      <c r="Q32" s="13"/>
      <c r="R32" s="14"/>
      <c r="S32" s="45"/>
      <c r="T32" s="34"/>
      <c r="U32" s="34"/>
      <c r="V32" s="34"/>
      <c r="W32" s="34"/>
      <c r="X32" s="34"/>
      <c r="Y32" s="34"/>
      <c r="Z32" s="34"/>
      <c r="AA32" s="34"/>
      <c r="AB32" s="34"/>
      <c r="AC32" s="34"/>
      <c r="AD32" s="34"/>
    </row>
    <row r="33" ht="15.75" customHeight="1">
      <c r="A33" s="13"/>
      <c r="B33" s="13"/>
      <c r="C33" s="13"/>
      <c r="D33" s="13"/>
      <c r="E33" s="14"/>
      <c r="F33" s="13"/>
      <c r="G33" s="13"/>
      <c r="H33" s="13"/>
      <c r="I33" s="13"/>
      <c r="J33" s="13"/>
      <c r="K33" s="13"/>
      <c r="L33" s="13"/>
      <c r="M33" s="13"/>
      <c r="N33" s="30"/>
      <c r="O33" s="13"/>
      <c r="P33" s="13"/>
      <c r="Q33" s="13"/>
      <c r="R33" s="14"/>
      <c r="S33" s="45"/>
      <c r="T33" s="34"/>
      <c r="U33" s="34"/>
      <c r="V33" s="34"/>
      <c r="W33" s="34"/>
      <c r="X33" s="34"/>
      <c r="Y33" s="34"/>
      <c r="Z33" s="34"/>
      <c r="AA33" s="34"/>
      <c r="AB33" s="34"/>
      <c r="AC33" s="34"/>
      <c r="AD33" s="34"/>
    </row>
    <row r="34" ht="15.75" customHeight="1">
      <c r="A34" s="13"/>
      <c r="B34" s="13"/>
      <c r="C34" s="13"/>
      <c r="D34" s="13"/>
      <c r="E34" s="14"/>
      <c r="F34" s="13"/>
      <c r="G34" s="13"/>
      <c r="H34" s="13"/>
      <c r="I34" s="13"/>
      <c r="J34" s="13"/>
      <c r="K34" s="13"/>
      <c r="L34" s="13"/>
      <c r="M34" s="13"/>
      <c r="N34" s="30"/>
      <c r="O34" s="13"/>
      <c r="P34" s="13"/>
      <c r="Q34" s="13"/>
      <c r="R34" s="14"/>
      <c r="S34" s="45"/>
      <c r="T34" s="34"/>
      <c r="U34" s="34"/>
      <c r="V34" s="34"/>
      <c r="W34" s="34"/>
      <c r="X34" s="34"/>
      <c r="Y34" s="34"/>
      <c r="Z34" s="34"/>
      <c r="AA34" s="34"/>
      <c r="AB34" s="34"/>
      <c r="AC34" s="34"/>
      <c r="AD34" s="34"/>
    </row>
    <row r="35" ht="15.75" customHeight="1">
      <c r="A35" s="13"/>
      <c r="B35" s="13"/>
      <c r="C35" s="13"/>
      <c r="D35" s="13"/>
      <c r="E35" s="14"/>
      <c r="F35" s="13"/>
      <c r="G35" s="13"/>
      <c r="H35" s="13"/>
      <c r="I35" s="13"/>
      <c r="J35" s="13"/>
      <c r="K35" s="13"/>
      <c r="L35" s="13"/>
      <c r="M35" s="13"/>
      <c r="N35" s="30"/>
      <c r="O35" s="13"/>
      <c r="P35" s="13"/>
      <c r="Q35" s="13"/>
      <c r="R35" s="14"/>
      <c r="S35" s="45"/>
      <c r="T35" s="34"/>
      <c r="U35" s="34"/>
      <c r="V35" s="34"/>
      <c r="W35" s="34"/>
      <c r="X35" s="34"/>
      <c r="Y35" s="34"/>
      <c r="Z35" s="34"/>
      <c r="AA35" s="34"/>
      <c r="AB35" s="34"/>
      <c r="AC35" s="34"/>
      <c r="AD35" s="34"/>
    </row>
    <row r="36" ht="15.75" customHeight="1">
      <c r="A36" s="13"/>
      <c r="B36" s="13"/>
      <c r="C36" s="13"/>
      <c r="D36" s="13"/>
      <c r="E36" s="14"/>
      <c r="F36" s="13"/>
      <c r="G36" s="13"/>
      <c r="H36" s="13"/>
      <c r="I36" s="13"/>
      <c r="J36" s="13"/>
      <c r="K36" s="13"/>
      <c r="L36" s="13"/>
      <c r="M36" s="13"/>
      <c r="N36" s="30"/>
      <c r="O36" s="13"/>
      <c r="P36" s="13"/>
      <c r="Q36" s="13"/>
      <c r="R36" s="14"/>
      <c r="S36" s="45"/>
      <c r="T36" s="34"/>
      <c r="U36" s="34"/>
      <c r="V36" s="34"/>
      <c r="W36" s="34"/>
      <c r="X36" s="34"/>
      <c r="Y36" s="34"/>
      <c r="Z36" s="34"/>
      <c r="AA36" s="34"/>
      <c r="AB36" s="34"/>
      <c r="AC36" s="34"/>
      <c r="AD36" s="34"/>
    </row>
    <row r="37" ht="15.75" customHeight="1">
      <c r="A37" s="13"/>
      <c r="B37" s="13"/>
      <c r="C37" s="13"/>
      <c r="D37" s="13"/>
      <c r="E37" s="14"/>
      <c r="F37" s="13"/>
      <c r="G37" s="13"/>
      <c r="H37" s="13"/>
      <c r="I37" s="13"/>
      <c r="J37" s="13"/>
      <c r="K37" s="13"/>
      <c r="L37" s="13"/>
      <c r="M37" s="13"/>
      <c r="N37" s="30"/>
      <c r="O37" s="13"/>
      <c r="P37" s="13"/>
      <c r="Q37" s="13"/>
      <c r="R37" s="14"/>
      <c r="S37" s="45"/>
      <c r="T37" s="34"/>
      <c r="U37" s="34"/>
      <c r="V37" s="34"/>
      <c r="W37" s="34"/>
      <c r="X37" s="34"/>
      <c r="Y37" s="34"/>
      <c r="Z37" s="34"/>
      <c r="AA37" s="34"/>
      <c r="AB37" s="34"/>
      <c r="AC37" s="34"/>
      <c r="AD37" s="34"/>
    </row>
    <row r="38" ht="15.75" customHeight="1">
      <c r="A38" s="13"/>
      <c r="B38" s="13"/>
      <c r="C38" s="13"/>
      <c r="D38" s="13"/>
      <c r="E38" s="14"/>
      <c r="F38" s="13"/>
      <c r="G38" s="13"/>
      <c r="H38" s="13"/>
      <c r="I38" s="13"/>
      <c r="J38" s="13"/>
      <c r="K38" s="13"/>
      <c r="L38" s="13"/>
      <c r="M38" s="13"/>
      <c r="N38" s="30"/>
      <c r="O38" s="13"/>
      <c r="P38" s="13"/>
      <c r="Q38" s="13"/>
      <c r="R38" s="14"/>
      <c r="S38" s="45"/>
      <c r="T38" s="34"/>
      <c r="U38" s="34"/>
      <c r="V38" s="34"/>
      <c r="W38" s="34"/>
      <c r="X38" s="34"/>
      <c r="Y38" s="34"/>
      <c r="Z38" s="34"/>
      <c r="AA38" s="34"/>
      <c r="AB38" s="34"/>
      <c r="AC38" s="34"/>
      <c r="AD38" s="34"/>
    </row>
    <row r="39" ht="15.75" customHeight="1">
      <c r="A39" s="13"/>
      <c r="B39" s="13"/>
      <c r="C39" s="13"/>
      <c r="D39" s="13"/>
      <c r="E39" s="14"/>
      <c r="F39" s="13"/>
      <c r="G39" s="13"/>
      <c r="H39" s="13"/>
      <c r="I39" s="13"/>
      <c r="J39" s="13"/>
      <c r="K39" s="13"/>
      <c r="L39" s="13"/>
      <c r="M39" s="13"/>
      <c r="N39" s="30"/>
      <c r="O39" s="13"/>
      <c r="P39" s="13"/>
      <c r="Q39" s="13"/>
      <c r="R39" s="14"/>
      <c r="S39" s="45"/>
      <c r="T39" s="34"/>
      <c r="U39" s="34"/>
      <c r="V39" s="34"/>
      <c r="W39" s="34"/>
      <c r="X39" s="34"/>
      <c r="Y39" s="34"/>
      <c r="Z39" s="34"/>
      <c r="AA39" s="34"/>
      <c r="AB39" s="34"/>
      <c r="AC39" s="34"/>
      <c r="AD39" s="34"/>
    </row>
    <row r="40" ht="15.75" customHeight="1">
      <c r="A40" s="13"/>
      <c r="B40" s="13"/>
      <c r="C40" s="13"/>
      <c r="D40" s="13"/>
      <c r="E40" s="14"/>
      <c r="F40" s="13"/>
      <c r="G40" s="13"/>
      <c r="H40" s="13"/>
      <c r="I40" s="13"/>
      <c r="J40" s="13"/>
      <c r="K40" s="13"/>
      <c r="L40" s="13"/>
      <c r="M40" s="13"/>
      <c r="N40" s="30"/>
      <c r="O40" s="13"/>
      <c r="P40" s="13"/>
      <c r="Q40" s="13"/>
      <c r="R40" s="14"/>
      <c r="S40" s="45"/>
      <c r="T40" s="34"/>
      <c r="U40" s="34"/>
      <c r="V40" s="34"/>
      <c r="W40" s="34"/>
      <c r="X40" s="34"/>
      <c r="Y40" s="34"/>
      <c r="Z40" s="34"/>
      <c r="AA40" s="34"/>
      <c r="AB40" s="34"/>
      <c r="AC40" s="34"/>
      <c r="AD40" s="34"/>
    </row>
    <row r="41" ht="15.75" customHeight="1">
      <c r="A41" s="13"/>
      <c r="B41" s="13"/>
      <c r="C41" s="13"/>
      <c r="D41" s="13"/>
      <c r="E41" s="14"/>
      <c r="F41" s="13"/>
      <c r="G41" s="13"/>
      <c r="H41" s="13"/>
      <c r="I41" s="13"/>
      <c r="J41" s="13"/>
      <c r="K41" s="13"/>
      <c r="L41" s="13"/>
      <c r="M41" s="13"/>
      <c r="N41" s="30"/>
      <c r="O41" s="13"/>
      <c r="P41" s="13"/>
      <c r="Q41" s="13"/>
      <c r="R41" s="14"/>
      <c r="S41" s="45"/>
      <c r="T41" s="34"/>
      <c r="U41" s="34"/>
      <c r="V41" s="34"/>
      <c r="W41" s="34"/>
      <c r="X41" s="34"/>
      <c r="Y41" s="34"/>
      <c r="Z41" s="34"/>
      <c r="AA41" s="34"/>
      <c r="AB41" s="34"/>
      <c r="AC41" s="34"/>
      <c r="AD41" s="34"/>
    </row>
    <row r="42" ht="15.75" customHeight="1">
      <c r="A42" s="13"/>
      <c r="B42" s="13"/>
      <c r="C42" s="13"/>
      <c r="D42" s="13"/>
      <c r="E42" s="14"/>
      <c r="F42" s="13"/>
      <c r="G42" s="13"/>
      <c r="H42" s="13"/>
      <c r="I42" s="13"/>
      <c r="J42" s="13"/>
      <c r="K42" s="13"/>
      <c r="L42" s="13"/>
      <c r="M42" s="13"/>
      <c r="N42" s="30"/>
      <c r="O42" s="13"/>
      <c r="P42" s="13"/>
      <c r="Q42" s="13"/>
      <c r="R42" s="14"/>
      <c r="S42" s="45"/>
      <c r="T42" s="34"/>
      <c r="U42" s="34"/>
      <c r="V42" s="34"/>
      <c r="W42" s="34"/>
      <c r="X42" s="34"/>
      <c r="Y42" s="34"/>
      <c r="Z42" s="34"/>
      <c r="AA42" s="34"/>
      <c r="AB42" s="34"/>
      <c r="AC42" s="34"/>
      <c r="AD42" s="34"/>
    </row>
    <row r="43" ht="15.75" customHeight="1">
      <c r="A43" s="13"/>
      <c r="B43" s="13"/>
      <c r="C43" s="13"/>
      <c r="D43" s="13"/>
      <c r="E43" s="14"/>
      <c r="F43" s="13"/>
      <c r="G43" s="13"/>
      <c r="H43" s="13"/>
      <c r="I43" s="13"/>
      <c r="J43" s="13"/>
      <c r="K43" s="13"/>
      <c r="L43" s="13"/>
      <c r="M43" s="13"/>
      <c r="N43" s="30"/>
      <c r="O43" s="13"/>
      <c r="P43" s="13"/>
      <c r="Q43" s="13"/>
      <c r="R43" s="14"/>
      <c r="S43" s="45"/>
      <c r="T43" s="34"/>
      <c r="U43" s="34"/>
      <c r="V43" s="34"/>
      <c r="W43" s="34"/>
      <c r="X43" s="34"/>
      <c r="Y43" s="34"/>
      <c r="Z43" s="34"/>
      <c r="AA43" s="34"/>
      <c r="AB43" s="34"/>
      <c r="AC43" s="34"/>
      <c r="AD43" s="34"/>
    </row>
    <row r="44" ht="15.75" customHeight="1">
      <c r="A44" s="13"/>
      <c r="B44" s="13"/>
      <c r="C44" s="13"/>
      <c r="D44" s="13"/>
      <c r="E44" s="14"/>
      <c r="F44" s="13"/>
      <c r="G44" s="13"/>
      <c r="H44" s="13"/>
      <c r="I44" s="13"/>
      <c r="J44" s="13"/>
      <c r="K44" s="13"/>
      <c r="L44" s="13"/>
      <c r="M44" s="13"/>
      <c r="N44" s="30"/>
      <c r="O44" s="13"/>
      <c r="P44" s="13"/>
      <c r="Q44" s="13"/>
      <c r="R44" s="14"/>
      <c r="S44" s="45"/>
      <c r="T44" s="34"/>
      <c r="U44" s="34"/>
      <c r="V44" s="34"/>
      <c r="W44" s="34"/>
      <c r="X44" s="34"/>
      <c r="Y44" s="34"/>
      <c r="Z44" s="34"/>
      <c r="AA44" s="34"/>
      <c r="AB44" s="34"/>
      <c r="AC44" s="34"/>
      <c r="AD44" s="34"/>
    </row>
    <row r="45" ht="15.75" customHeight="1">
      <c r="A45" s="13"/>
      <c r="B45" s="13"/>
      <c r="C45" s="13"/>
      <c r="D45" s="13"/>
      <c r="E45" s="14"/>
      <c r="F45" s="13"/>
      <c r="G45" s="13"/>
      <c r="H45" s="13"/>
      <c r="I45" s="13"/>
      <c r="J45" s="13"/>
      <c r="K45" s="13"/>
      <c r="L45" s="13"/>
      <c r="M45" s="13"/>
      <c r="N45" s="30"/>
      <c r="O45" s="13"/>
      <c r="P45" s="13"/>
      <c r="Q45" s="13"/>
      <c r="R45" s="14"/>
      <c r="S45" s="45"/>
      <c r="T45" s="34"/>
      <c r="U45" s="34"/>
      <c r="V45" s="34"/>
      <c r="W45" s="34"/>
      <c r="X45" s="34"/>
      <c r="Y45" s="34"/>
      <c r="Z45" s="34"/>
      <c r="AA45" s="34"/>
      <c r="AB45" s="34"/>
      <c r="AC45" s="34"/>
      <c r="AD45" s="34"/>
    </row>
    <row r="46" ht="15.75" customHeight="1">
      <c r="A46" s="13"/>
      <c r="B46" s="13"/>
      <c r="C46" s="13"/>
      <c r="D46" s="13"/>
      <c r="E46" s="14"/>
      <c r="F46" s="13"/>
      <c r="G46" s="13"/>
      <c r="H46" s="13"/>
      <c r="I46" s="13"/>
      <c r="J46" s="13"/>
      <c r="K46" s="13"/>
      <c r="L46" s="13"/>
      <c r="M46" s="13"/>
      <c r="N46" s="30"/>
      <c r="O46" s="13"/>
      <c r="P46" s="13"/>
      <c r="Q46" s="13"/>
      <c r="R46" s="14"/>
      <c r="S46" s="45"/>
      <c r="T46" s="34"/>
      <c r="U46" s="34"/>
      <c r="V46" s="34"/>
      <c r="W46" s="34"/>
      <c r="X46" s="34"/>
      <c r="Y46" s="34"/>
      <c r="Z46" s="34"/>
      <c r="AA46" s="34"/>
      <c r="AB46" s="34"/>
      <c r="AC46" s="34"/>
      <c r="AD46" s="34"/>
    </row>
    <row r="47" ht="15.75" customHeight="1">
      <c r="A47" s="13"/>
      <c r="B47" s="13"/>
      <c r="C47" s="13"/>
      <c r="D47" s="13"/>
      <c r="E47" s="14"/>
      <c r="F47" s="13"/>
      <c r="G47" s="13"/>
      <c r="H47" s="13"/>
      <c r="I47" s="13"/>
      <c r="J47" s="13"/>
      <c r="K47" s="13"/>
      <c r="L47" s="13"/>
      <c r="M47" s="13"/>
      <c r="N47" s="30"/>
      <c r="O47" s="13"/>
      <c r="P47" s="13"/>
      <c r="Q47" s="13"/>
      <c r="R47" s="14"/>
      <c r="S47" s="45"/>
      <c r="T47" s="34"/>
      <c r="U47" s="34"/>
      <c r="V47" s="34"/>
      <c r="W47" s="34"/>
      <c r="X47" s="34"/>
      <c r="Y47" s="34"/>
      <c r="Z47" s="34"/>
      <c r="AA47" s="34"/>
      <c r="AB47" s="34"/>
      <c r="AC47" s="34"/>
      <c r="AD47" s="34"/>
    </row>
    <row r="48" ht="15.75" customHeight="1">
      <c r="A48" s="13"/>
      <c r="B48" s="13"/>
      <c r="C48" s="13"/>
      <c r="D48" s="13"/>
      <c r="E48" s="14"/>
      <c r="F48" s="13"/>
      <c r="G48" s="13"/>
      <c r="H48" s="13"/>
      <c r="I48" s="13"/>
      <c r="J48" s="13"/>
      <c r="K48" s="13"/>
      <c r="L48" s="13"/>
      <c r="M48" s="13"/>
      <c r="N48" s="30"/>
      <c r="O48" s="13"/>
      <c r="P48" s="13"/>
      <c r="Q48" s="13"/>
      <c r="R48" s="14"/>
      <c r="S48" s="45"/>
      <c r="T48" s="34"/>
      <c r="U48" s="34"/>
      <c r="V48" s="34"/>
      <c r="W48" s="34"/>
      <c r="X48" s="34"/>
      <c r="Y48" s="34"/>
      <c r="Z48" s="34"/>
      <c r="AA48" s="34"/>
      <c r="AB48" s="34"/>
      <c r="AC48" s="34"/>
      <c r="AD48" s="34"/>
    </row>
    <row r="49" ht="15.75" customHeight="1">
      <c r="A49" s="13"/>
      <c r="B49" s="13"/>
      <c r="C49" s="13"/>
      <c r="D49" s="13"/>
      <c r="E49" s="14"/>
      <c r="F49" s="13"/>
      <c r="G49" s="13"/>
      <c r="H49" s="13"/>
      <c r="I49" s="13"/>
      <c r="J49" s="13"/>
      <c r="K49" s="13"/>
      <c r="L49" s="13"/>
      <c r="M49" s="13"/>
      <c r="N49" s="30"/>
      <c r="O49" s="13"/>
      <c r="P49" s="13"/>
      <c r="Q49" s="13"/>
      <c r="R49" s="14"/>
      <c r="S49" s="45"/>
      <c r="T49" s="34"/>
      <c r="U49" s="34"/>
      <c r="V49" s="34"/>
      <c r="W49" s="34"/>
      <c r="X49" s="34"/>
      <c r="Y49" s="34"/>
      <c r="Z49" s="34"/>
      <c r="AA49" s="34"/>
      <c r="AB49" s="34"/>
      <c r="AC49" s="34"/>
      <c r="AD49" s="34"/>
    </row>
    <row r="50" ht="15.75" customHeight="1">
      <c r="A50" s="13"/>
      <c r="B50" s="13"/>
      <c r="C50" s="13"/>
      <c r="D50" s="13"/>
      <c r="E50" s="14"/>
      <c r="F50" s="13"/>
      <c r="G50" s="13"/>
      <c r="H50" s="13"/>
      <c r="I50" s="13"/>
      <c r="J50" s="13"/>
      <c r="K50" s="13"/>
      <c r="L50" s="13"/>
      <c r="M50" s="13"/>
      <c r="N50" s="30"/>
      <c r="O50" s="13"/>
      <c r="P50" s="13"/>
      <c r="Q50" s="13"/>
      <c r="R50" s="14"/>
      <c r="S50" s="45"/>
      <c r="T50" s="34"/>
      <c r="U50" s="34"/>
      <c r="V50" s="34"/>
      <c r="W50" s="34"/>
      <c r="X50" s="34"/>
      <c r="Y50" s="34"/>
      <c r="Z50" s="34"/>
      <c r="AA50" s="34"/>
      <c r="AB50" s="34"/>
      <c r="AC50" s="34"/>
      <c r="AD50" s="34"/>
    </row>
    <row r="51" ht="15.75" customHeight="1">
      <c r="A51" s="13"/>
      <c r="B51" s="13"/>
      <c r="C51" s="13"/>
      <c r="D51" s="13"/>
      <c r="E51" s="14"/>
      <c r="F51" s="13"/>
      <c r="G51" s="13"/>
      <c r="H51" s="13"/>
      <c r="I51" s="13"/>
      <c r="J51" s="13"/>
      <c r="K51" s="13"/>
      <c r="L51" s="13"/>
      <c r="M51" s="13"/>
      <c r="N51" s="30"/>
      <c r="O51" s="13"/>
      <c r="P51" s="13"/>
      <c r="Q51" s="13"/>
      <c r="R51" s="14"/>
      <c r="S51" s="45"/>
      <c r="T51" s="34"/>
      <c r="U51" s="34"/>
      <c r="V51" s="34"/>
      <c r="W51" s="34"/>
      <c r="X51" s="34"/>
      <c r="Y51" s="34"/>
      <c r="Z51" s="34"/>
      <c r="AA51" s="34"/>
      <c r="AB51" s="34"/>
      <c r="AC51" s="34"/>
      <c r="AD51" s="34"/>
    </row>
    <row r="52" ht="15.75" customHeight="1">
      <c r="A52" s="13"/>
      <c r="B52" s="13"/>
      <c r="C52" s="13"/>
      <c r="D52" s="13"/>
      <c r="E52" s="14"/>
      <c r="F52" s="13"/>
      <c r="G52" s="13"/>
      <c r="H52" s="13"/>
      <c r="I52" s="13"/>
      <c r="J52" s="13"/>
      <c r="K52" s="13"/>
      <c r="L52" s="13"/>
      <c r="M52" s="13"/>
      <c r="N52" s="30"/>
      <c r="O52" s="13"/>
      <c r="P52" s="13"/>
      <c r="Q52" s="13"/>
      <c r="R52" s="14"/>
      <c r="S52" s="45"/>
      <c r="T52" s="34"/>
      <c r="U52" s="34"/>
      <c r="V52" s="34"/>
      <c r="W52" s="34"/>
      <c r="X52" s="34"/>
      <c r="Y52" s="34"/>
      <c r="Z52" s="34"/>
      <c r="AA52" s="34"/>
      <c r="AB52" s="34"/>
      <c r="AC52" s="34"/>
      <c r="AD52" s="34"/>
    </row>
    <row r="53" ht="15.75" customHeight="1">
      <c r="A53" s="13"/>
      <c r="B53" s="13"/>
      <c r="C53" s="13"/>
      <c r="D53" s="13"/>
      <c r="E53" s="14"/>
      <c r="F53" s="13"/>
      <c r="G53" s="13"/>
      <c r="H53" s="13"/>
      <c r="I53" s="13"/>
      <c r="J53" s="13"/>
      <c r="K53" s="13"/>
      <c r="L53" s="13"/>
      <c r="M53" s="13"/>
      <c r="N53" s="30"/>
      <c r="O53" s="13"/>
      <c r="P53" s="13"/>
      <c r="Q53" s="13"/>
      <c r="R53" s="14"/>
      <c r="S53" s="45"/>
      <c r="T53" s="34"/>
      <c r="U53" s="34"/>
      <c r="V53" s="34"/>
      <c r="W53" s="34"/>
      <c r="X53" s="34"/>
      <c r="Y53" s="34"/>
      <c r="Z53" s="34"/>
      <c r="AA53" s="34"/>
      <c r="AB53" s="34"/>
      <c r="AC53" s="34"/>
      <c r="AD53" s="34"/>
    </row>
    <row r="54" ht="15.75" customHeight="1">
      <c r="A54" s="13"/>
      <c r="B54" s="13"/>
      <c r="C54" s="13"/>
      <c r="D54" s="13"/>
      <c r="E54" s="14"/>
      <c r="F54" s="13"/>
      <c r="G54" s="13"/>
      <c r="H54" s="13"/>
      <c r="I54" s="13"/>
      <c r="J54" s="13"/>
      <c r="K54" s="13"/>
      <c r="L54" s="13"/>
      <c r="M54" s="13"/>
      <c r="N54" s="30"/>
      <c r="O54" s="13"/>
      <c r="P54" s="13"/>
      <c r="Q54" s="13"/>
      <c r="R54" s="14"/>
      <c r="S54" s="45"/>
      <c r="T54" s="34"/>
      <c r="U54" s="34"/>
      <c r="V54" s="34"/>
      <c r="W54" s="34"/>
      <c r="X54" s="34"/>
      <c r="Y54" s="34"/>
      <c r="Z54" s="34"/>
      <c r="AA54" s="34"/>
      <c r="AB54" s="34"/>
      <c r="AC54" s="34"/>
      <c r="AD54" s="34"/>
    </row>
    <row r="55" ht="15.75" customHeight="1">
      <c r="A55" s="13"/>
      <c r="B55" s="13"/>
      <c r="C55" s="13"/>
      <c r="D55" s="13"/>
      <c r="E55" s="14"/>
      <c r="F55" s="13"/>
      <c r="G55" s="13"/>
      <c r="H55" s="13"/>
      <c r="I55" s="13"/>
      <c r="J55" s="13"/>
      <c r="K55" s="13"/>
      <c r="L55" s="13"/>
      <c r="M55" s="13"/>
      <c r="N55" s="30"/>
      <c r="O55" s="13"/>
      <c r="P55" s="13"/>
      <c r="Q55" s="13"/>
      <c r="R55" s="14"/>
      <c r="S55" s="45"/>
      <c r="T55" s="34"/>
      <c r="U55" s="34"/>
      <c r="V55" s="34"/>
      <c r="W55" s="34"/>
      <c r="X55" s="34"/>
      <c r="Y55" s="34"/>
      <c r="Z55" s="34"/>
      <c r="AA55" s="34"/>
      <c r="AB55" s="34"/>
      <c r="AC55" s="34"/>
      <c r="AD55" s="34"/>
    </row>
    <row r="56" ht="15.75" customHeight="1">
      <c r="A56" s="13"/>
      <c r="B56" s="13"/>
      <c r="C56" s="13"/>
      <c r="D56" s="13"/>
      <c r="E56" s="14"/>
      <c r="F56" s="13"/>
      <c r="G56" s="13"/>
      <c r="H56" s="13"/>
      <c r="I56" s="13"/>
      <c r="J56" s="13"/>
      <c r="K56" s="13"/>
      <c r="L56" s="13"/>
      <c r="M56" s="13"/>
      <c r="N56" s="30"/>
      <c r="O56" s="13"/>
      <c r="P56" s="13"/>
      <c r="Q56" s="13"/>
      <c r="R56" s="14"/>
      <c r="S56" s="45"/>
      <c r="T56" s="34"/>
      <c r="U56" s="34"/>
      <c r="V56" s="34"/>
      <c r="W56" s="34"/>
      <c r="X56" s="34"/>
      <c r="Y56" s="34"/>
      <c r="Z56" s="34"/>
      <c r="AA56" s="34"/>
      <c r="AB56" s="34"/>
      <c r="AC56" s="34"/>
      <c r="AD56" s="34"/>
    </row>
    <row r="57" ht="15.75" customHeight="1">
      <c r="A57" s="13"/>
      <c r="B57" s="13"/>
      <c r="C57" s="13"/>
      <c r="D57" s="13"/>
      <c r="E57" s="14"/>
      <c r="F57" s="13"/>
      <c r="G57" s="13"/>
      <c r="H57" s="13"/>
      <c r="I57" s="13"/>
      <c r="J57" s="13"/>
      <c r="K57" s="13"/>
      <c r="L57" s="13"/>
      <c r="M57" s="13"/>
      <c r="N57" s="30"/>
      <c r="O57" s="13"/>
      <c r="P57" s="13"/>
      <c r="Q57" s="13"/>
      <c r="R57" s="14"/>
      <c r="S57" s="45"/>
      <c r="T57" s="34"/>
      <c r="U57" s="34"/>
      <c r="V57" s="34"/>
      <c r="W57" s="34"/>
      <c r="X57" s="34"/>
      <c r="Y57" s="34"/>
      <c r="Z57" s="34"/>
      <c r="AA57" s="34"/>
      <c r="AB57" s="34"/>
      <c r="AC57" s="34"/>
      <c r="AD57" s="34"/>
    </row>
    <row r="58" ht="15.75" customHeight="1">
      <c r="A58" s="13"/>
      <c r="B58" s="13"/>
      <c r="C58" s="13"/>
      <c r="D58" s="13"/>
      <c r="E58" s="14"/>
      <c r="F58" s="13"/>
      <c r="G58" s="13"/>
      <c r="H58" s="13"/>
      <c r="I58" s="13"/>
      <c r="J58" s="13"/>
      <c r="K58" s="13"/>
      <c r="L58" s="13"/>
      <c r="M58" s="13"/>
      <c r="N58" s="30"/>
      <c r="O58" s="13"/>
      <c r="P58" s="13"/>
      <c r="Q58" s="13"/>
      <c r="R58" s="14"/>
      <c r="S58" s="45"/>
      <c r="T58" s="34"/>
      <c r="U58" s="34"/>
      <c r="V58" s="34"/>
      <c r="W58" s="34"/>
      <c r="X58" s="34"/>
      <c r="Y58" s="34"/>
      <c r="Z58" s="34"/>
      <c r="AA58" s="34"/>
      <c r="AB58" s="34"/>
      <c r="AC58" s="34"/>
      <c r="AD58" s="34"/>
    </row>
    <row r="59" ht="15.75" customHeight="1">
      <c r="A59" s="13"/>
      <c r="B59" s="13"/>
      <c r="C59" s="13"/>
      <c r="D59" s="13"/>
      <c r="E59" s="14"/>
      <c r="F59" s="13"/>
      <c r="G59" s="13"/>
      <c r="H59" s="13"/>
      <c r="I59" s="13"/>
      <c r="J59" s="13"/>
      <c r="K59" s="13"/>
      <c r="L59" s="13"/>
      <c r="M59" s="13"/>
      <c r="N59" s="30"/>
      <c r="O59" s="13"/>
      <c r="P59" s="13"/>
      <c r="Q59" s="13"/>
      <c r="R59" s="14"/>
      <c r="S59" s="45"/>
      <c r="T59" s="34"/>
      <c r="U59" s="34"/>
      <c r="V59" s="34"/>
      <c r="W59" s="34"/>
      <c r="X59" s="34"/>
      <c r="Y59" s="34"/>
      <c r="Z59" s="34"/>
      <c r="AA59" s="34"/>
      <c r="AB59" s="34"/>
      <c r="AC59" s="34"/>
      <c r="AD59" s="34"/>
    </row>
    <row r="60" ht="15.75" customHeight="1">
      <c r="A60" s="13"/>
      <c r="B60" s="13"/>
      <c r="C60" s="13"/>
      <c r="D60" s="13"/>
      <c r="E60" s="14"/>
      <c r="F60" s="13"/>
      <c r="G60" s="13"/>
      <c r="H60" s="13"/>
      <c r="I60" s="13"/>
      <c r="J60" s="13"/>
      <c r="K60" s="13"/>
      <c r="L60" s="13"/>
      <c r="M60" s="13"/>
      <c r="N60" s="30"/>
      <c r="O60" s="13"/>
      <c r="P60" s="13"/>
      <c r="Q60" s="13"/>
      <c r="R60" s="14"/>
      <c r="S60" s="45"/>
      <c r="T60" s="34"/>
      <c r="U60" s="34"/>
      <c r="V60" s="34"/>
      <c r="W60" s="34"/>
      <c r="X60" s="34"/>
      <c r="Y60" s="34"/>
      <c r="Z60" s="34"/>
      <c r="AA60" s="34"/>
      <c r="AB60" s="34"/>
      <c r="AC60" s="34"/>
      <c r="AD60" s="34"/>
    </row>
    <row r="61" ht="15.75" customHeight="1">
      <c r="A61" s="13"/>
      <c r="B61" s="13"/>
      <c r="C61" s="13"/>
      <c r="D61" s="13"/>
      <c r="E61" s="14"/>
      <c r="F61" s="13"/>
      <c r="G61" s="13"/>
      <c r="H61" s="13"/>
      <c r="I61" s="13"/>
      <c r="J61" s="13"/>
      <c r="K61" s="13"/>
      <c r="L61" s="13"/>
      <c r="M61" s="13"/>
      <c r="N61" s="30"/>
      <c r="O61" s="13"/>
      <c r="P61" s="13"/>
      <c r="Q61" s="13"/>
      <c r="R61" s="14"/>
      <c r="S61" s="45"/>
      <c r="T61" s="34"/>
      <c r="U61" s="34"/>
      <c r="V61" s="34"/>
      <c r="W61" s="34"/>
      <c r="X61" s="34"/>
      <c r="Y61" s="34"/>
      <c r="Z61" s="34"/>
      <c r="AA61" s="34"/>
      <c r="AB61" s="34"/>
      <c r="AC61" s="34"/>
      <c r="AD61" s="34"/>
    </row>
    <row r="62" ht="15.75" customHeight="1">
      <c r="A62" s="13"/>
      <c r="B62" s="13"/>
      <c r="C62" s="13"/>
      <c r="D62" s="13"/>
      <c r="E62" s="14"/>
      <c r="F62" s="13"/>
      <c r="G62" s="13"/>
      <c r="H62" s="13"/>
      <c r="I62" s="13"/>
      <c r="J62" s="13"/>
      <c r="K62" s="13"/>
      <c r="L62" s="13"/>
      <c r="M62" s="13"/>
      <c r="N62" s="30"/>
      <c r="O62" s="13"/>
      <c r="P62" s="13"/>
      <c r="Q62" s="13"/>
      <c r="R62" s="14"/>
      <c r="S62" s="45"/>
      <c r="T62" s="34"/>
      <c r="U62" s="34"/>
      <c r="V62" s="34"/>
      <c r="W62" s="34"/>
      <c r="X62" s="34"/>
      <c r="Y62" s="34"/>
      <c r="Z62" s="34"/>
      <c r="AA62" s="34"/>
      <c r="AB62" s="34"/>
      <c r="AC62" s="34"/>
      <c r="AD62" s="34"/>
    </row>
    <row r="63" ht="15.75" customHeight="1">
      <c r="A63" s="13"/>
      <c r="B63" s="13"/>
      <c r="C63" s="13"/>
      <c r="D63" s="13"/>
      <c r="E63" s="14"/>
      <c r="F63" s="13"/>
      <c r="G63" s="13"/>
      <c r="H63" s="13"/>
      <c r="I63" s="13"/>
      <c r="J63" s="13"/>
      <c r="K63" s="13"/>
      <c r="L63" s="13"/>
      <c r="M63" s="13"/>
      <c r="N63" s="30"/>
      <c r="O63" s="13"/>
      <c r="P63" s="13"/>
      <c r="Q63" s="13"/>
      <c r="R63" s="14"/>
      <c r="S63" s="45"/>
      <c r="T63" s="34"/>
      <c r="U63" s="34"/>
      <c r="V63" s="34"/>
      <c r="W63" s="34"/>
      <c r="X63" s="34"/>
      <c r="Y63" s="34"/>
      <c r="Z63" s="34"/>
      <c r="AA63" s="34"/>
      <c r="AB63" s="34"/>
      <c r="AC63" s="34"/>
      <c r="AD63" s="34"/>
    </row>
    <row r="64" ht="15.75" customHeight="1">
      <c r="A64" s="13"/>
      <c r="B64" s="13"/>
      <c r="C64" s="13"/>
      <c r="D64" s="13"/>
      <c r="E64" s="14"/>
      <c r="F64" s="13"/>
      <c r="G64" s="13"/>
      <c r="H64" s="13"/>
      <c r="I64" s="13"/>
      <c r="J64" s="13"/>
      <c r="K64" s="13"/>
      <c r="L64" s="13"/>
      <c r="M64" s="13"/>
      <c r="N64" s="30"/>
      <c r="O64" s="13"/>
      <c r="P64" s="13"/>
      <c r="Q64" s="13"/>
      <c r="R64" s="14"/>
      <c r="S64" s="45"/>
      <c r="T64" s="34"/>
      <c r="U64" s="34"/>
      <c r="V64" s="34"/>
      <c r="W64" s="34"/>
      <c r="X64" s="34"/>
      <c r="Y64" s="34"/>
      <c r="Z64" s="34"/>
      <c r="AA64" s="34"/>
      <c r="AB64" s="34"/>
      <c r="AC64" s="34"/>
      <c r="AD64" s="34"/>
    </row>
    <row r="65" ht="15.75" customHeight="1">
      <c r="A65" s="13"/>
      <c r="B65" s="13"/>
      <c r="C65" s="13"/>
      <c r="D65" s="13"/>
      <c r="E65" s="14"/>
      <c r="F65" s="13"/>
      <c r="G65" s="13"/>
      <c r="H65" s="13"/>
      <c r="I65" s="13"/>
      <c r="J65" s="13"/>
      <c r="K65" s="13"/>
      <c r="L65" s="13"/>
      <c r="M65" s="13"/>
      <c r="N65" s="30"/>
      <c r="O65" s="13"/>
      <c r="P65" s="13"/>
      <c r="Q65" s="13"/>
      <c r="R65" s="14"/>
      <c r="S65" s="45"/>
      <c r="T65" s="34"/>
      <c r="U65" s="34"/>
      <c r="V65" s="34"/>
      <c r="W65" s="34"/>
      <c r="X65" s="34"/>
      <c r="Y65" s="34"/>
      <c r="Z65" s="34"/>
      <c r="AA65" s="34"/>
      <c r="AB65" s="34"/>
      <c r="AC65" s="34"/>
      <c r="AD65" s="34"/>
    </row>
    <row r="66" ht="15.75" customHeight="1">
      <c r="A66" s="13"/>
      <c r="B66" s="13"/>
      <c r="C66" s="13"/>
      <c r="D66" s="13"/>
      <c r="E66" s="14"/>
      <c r="F66" s="13"/>
      <c r="G66" s="13"/>
      <c r="H66" s="13"/>
      <c r="I66" s="13"/>
      <c r="J66" s="13"/>
      <c r="K66" s="13"/>
      <c r="L66" s="13"/>
      <c r="M66" s="13"/>
      <c r="N66" s="30"/>
      <c r="O66" s="13"/>
      <c r="P66" s="13"/>
      <c r="Q66" s="13"/>
      <c r="R66" s="14"/>
      <c r="S66" s="45"/>
      <c r="T66" s="34"/>
      <c r="U66" s="34"/>
      <c r="V66" s="34"/>
      <c r="W66" s="34"/>
      <c r="X66" s="34"/>
      <c r="Y66" s="34"/>
      <c r="Z66" s="34"/>
      <c r="AA66" s="34"/>
      <c r="AB66" s="34"/>
      <c r="AC66" s="34"/>
      <c r="AD66" s="34"/>
    </row>
    <row r="67" ht="15.75" customHeight="1">
      <c r="A67" s="13"/>
      <c r="B67" s="13"/>
      <c r="C67" s="13"/>
      <c r="D67" s="13"/>
      <c r="E67" s="14"/>
      <c r="F67" s="13"/>
      <c r="G67" s="13"/>
      <c r="H67" s="13"/>
      <c r="I67" s="13"/>
      <c r="J67" s="13"/>
      <c r="K67" s="13"/>
      <c r="L67" s="13"/>
      <c r="M67" s="13"/>
      <c r="N67" s="30"/>
      <c r="O67" s="13"/>
      <c r="P67" s="13"/>
      <c r="Q67" s="13"/>
      <c r="R67" s="14"/>
      <c r="S67" s="45"/>
      <c r="T67" s="34"/>
      <c r="U67" s="34"/>
      <c r="V67" s="34"/>
      <c r="W67" s="34"/>
      <c r="X67" s="34"/>
      <c r="Y67" s="34"/>
      <c r="Z67" s="34"/>
      <c r="AA67" s="34"/>
      <c r="AB67" s="34"/>
      <c r="AC67" s="34"/>
      <c r="AD67" s="34"/>
    </row>
    <row r="68" ht="15.75" customHeight="1">
      <c r="A68" s="13"/>
      <c r="B68" s="13"/>
      <c r="C68" s="13"/>
      <c r="D68" s="13"/>
      <c r="E68" s="14"/>
      <c r="F68" s="13"/>
      <c r="G68" s="13"/>
      <c r="H68" s="13"/>
      <c r="I68" s="13"/>
      <c r="J68" s="13"/>
      <c r="K68" s="13"/>
      <c r="L68" s="13"/>
      <c r="M68" s="13"/>
      <c r="N68" s="30"/>
      <c r="O68" s="13"/>
      <c r="P68" s="13"/>
      <c r="Q68" s="13"/>
      <c r="R68" s="14"/>
      <c r="S68" s="45"/>
      <c r="T68" s="34"/>
      <c r="U68" s="34"/>
      <c r="V68" s="34"/>
      <c r="W68" s="34"/>
      <c r="X68" s="34"/>
      <c r="Y68" s="34"/>
      <c r="Z68" s="34"/>
      <c r="AA68" s="34"/>
      <c r="AB68" s="34"/>
      <c r="AC68" s="34"/>
      <c r="AD68" s="34"/>
    </row>
    <row r="69" ht="15.75" customHeight="1">
      <c r="A69" s="13"/>
      <c r="B69" s="13"/>
      <c r="C69" s="13"/>
      <c r="D69" s="13"/>
      <c r="E69" s="14"/>
      <c r="F69" s="13"/>
      <c r="G69" s="13"/>
      <c r="H69" s="13"/>
      <c r="I69" s="13"/>
      <c r="J69" s="13"/>
      <c r="K69" s="13"/>
      <c r="L69" s="13"/>
      <c r="M69" s="13"/>
      <c r="N69" s="30"/>
      <c r="O69" s="13"/>
      <c r="P69" s="13"/>
      <c r="Q69" s="13"/>
      <c r="R69" s="14"/>
      <c r="S69" s="45"/>
      <c r="T69" s="34"/>
      <c r="U69" s="34"/>
      <c r="V69" s="34"/>
      <c r="W69" s="34"/>
      <c r="X69" s="34"/>
      <c r="Y69" s="34"/>
      <c r="Z69" s="34"/>
      <c r="AA69" s="34"/>
      <c r="AB69" s="34"/>
      <c r="AC69" s="34"/>
      <c r="AD69" s="34"/>
    </row>
    <row r="70" ht="15.75" customHeight="1">
      <c r="A70" s="13"/>
      <c r="B70" s="13"/>
      <c r="C70" s="13"/>
      <c r="D70" s="13"/>
      <c r="E70" s="14"/>
      <c r="F70" s="13"/>
      <c r="G70" s="13"/>
      <c r="H70" s="13"/>
      <c r="I70" s="13"/>
      <c r="J70" s="13"/>
      <c r="K70" s="13"/>
      <c r="L70" s="13"/>
      <c r="M70" s="13"/>
      <c r="N70" s="30"/>
      <c r="O70" s="13"/>
      <c r="P70" s="13"/>
      <c r="Q70" s="13"/>
      <c r="R70" s="14"/>
      <c r="S70" s="45"/>
      <c r="T70" s="34"/>
      <c r="U70" s="34"/>
      <c r="V70" s="34"/>
      <c r="W70" s="34"/>
      <c r="X70" s="34"/>
      <c r="Y70" s="34"/>
      <c r="Z70" s="34"/>
      <c r="AA70" s="34"/>
      <c r="AB70" s="34"/>
      <c r="AC70" s="34"/>
      <c r="AD70" s="34"/>
    </row>
    <row r="71" ht="15.75" customHeight="1">
      <c r="A71" s="13"/>
      <c r="B71" s="13"/>
      <c r="C71" s="13"/>
      <c r="D71" s="13"/>
      <c r="E71" s="14"/>
      <c r="F71" s="13"/>
      <c r="G71" s="13"/>
      <c r="H71" s="13"/>
      <c r="I71" s="13"/>
      <c r="J71" s="13"/>
      <c r="K71" s="13"/>
      <c r="L71" s="13"/>
      <c r="M71" s="13"/>
      <c r="N71" s="30"/>
      <c r="O71" s="13"/>
      <c r="P71" s="13"/>
      <c r="Q71" s="13"/>
      <c r="R71" s="14"/>
      <c r="S71" s="45"/>
      <c r="T71" s="34"/>
      <c r="U71" s="34"/>
      <c r="V71" s="34"/>
      <c r="W71" s="34"/>
      <c r="X71" s="34"/>
      <c r="Y71" s="34"/>
      <c r="Z71" s="34"/>
      <c r="AA71" s="34"/>
      <c r="AB71" s="34"/>
      <c r="AC71" s="34"/>
      <c r="AD71" s="34"/>
    </row>
    <row r="72" ht="15.75" customHeight="1">
      <c r="A72" s="13"/>
      <c r="B72" s="13"/>
      <c r="C72" s="13"/>
      <c r="D72" s="13"/>
      <c r="E72" s="14"/>
      <c r="F72" s="13"/>
      <c r="G72" s="13"/>
      <c r="H72" s="13"/>
      <c r="I72" s="13"/>
      <c r="J72" s="13"/>
      <c r="K72" s="13"/>
      <c r="L72" s="13"/>
      <c r="M72" s="13"/>
      <c r="N72" s="30"/>
      <c r="O72" s="13"/>
      <c r="P72" s="13"/>
      <c r="Q72" s="13"/>
      <c r="R72" s="14"/>
      <c r="S72" s="45"/>
      <c r="T72" s="34"/>
      <c r="U72" s="34"/>
      <c r="V72" s="34"/>
      <c r="W72" s="34"/>
      <c r="X72" s="34"/>
      <c r="Y72" s="34"/>
      <c r="Z72" s="34"/>
      <c r="AA72" s="34"/>
      <c r="AB72" s="34"/>
      <c r="AC72" s="34"/>
      <c r="AD72" s="34"/>
    </row>
    <row r="73" ht="15.75" customHeight="1">
      <c r="A73" s="13"/>
      <c r="B73" s="13"/>
      <c r="C73" s="13"/>
      <c r="D73" s="13"/>
      <c r="E73" s="14"/>
      <c r="F73" s="13"/>
      <c r="G73" s="13"/>
      <c r="H73" s="13"/>
      <c r="I73" s="13"/>
      <c r="J73" s="13"/>
      <c r="K73" s="13"/>
      <c r="L73" s="13"/>
      <c r="M73" s="13"/>
      <c r="N73" s="30"/>
      <c r="O73" s="13"/>
      <c r="P73" s="13"/>
      <c r="Q73" s="13"/>
      <c r="R73" s="14"/>
      <c r="S73" s="45"/>
      <c r="T73" s="34"/>
      <c r="U73" s="34"/>
      <c r="V73" s="34"/>
      <c r="W73" s="34"/>
      <c r="X73" s="34"/>
      <c r="Y73" s="34"/>
      <c r="Z73" s="34"/>
      <c r="AA73" s="34"/>
      <c r="AB73" s="34"/>
      <c r="AC73" s="34"/>
      <c r="AD73" s="34"/>
    </row>
    <row r="74" ht="15.75" customHeight="1">
      <c r="A74" s="13"/>
      <c r="B74" s="13"/>
      <c r="C74" s="13"/>
      <c r="D74" s="13"/>
      <c r="E74" s="14"/>
      <c r="F74" s="13"/>
      <c r="G74" s="13"/>
      <c r="H74" s="13"/>
      <c r="I74" s="13"/>
      <c r="J74" s="13"/>
      <c r="K74" s="13"/>
      <c r="L74" s="13"/>
      <c r="M74" s="13"/>
      <c r="N74" s="30"/>
      <c r="O74" s="13"/>
      <c r="P74" s="13"/>
      <c r="Q74" s="13"/>
      <c r="R74" s="14"/>
      <c r="S74" s="45"/>
      <c r="T74" s="34"/>
      <c r="U74" s="34"/>
      <c r="V74" s="34"/>
      <c r="W74" s="34"/>
      <c r="X74" s="34"/>
      <c r="Y74" s="34"/>
      <c r="Z74" s="34"/>
      <c r="AA74" s="34"/>
      <c r="AB74" s="34"/>
      <c r="AC74" s="34"/>
      <c r="AD74" s="34"/>
    </row>
    <row r="75" ht="15.75" customHeight="1">
      <c r="A75" s="13"/>
      <c r="B75" s="13"/>
      <c r="C75" s="13"/>
      <c r="D75" s="13"/>
      <c r="E75" s="14"/>
      <c r="F75" s="13"/>
      <c r="G75" s="13"/>
      <c r="H75" s="13"/>
      <c r="I75" s="13"/>
      <c r="J75" s="13"/>
      <c r="K75" s="13"/>
      <c r="L75" s="13"/>
      <c r="M75" s="13"/>
      <c r="N75" s="30"/>
      <c r="O75" s="13"/>
      <c r="P75" s="13"/>
      <c r="Q75" s="13"/>
      <c r="R75" s="14"/>
      <c r="S75" s="45"/>
      <c r="T75" s="34"/>
      <c r="U75" s="34"/>
      <c r="V75" s="34"/>
      <c r="W75" s="34"/>
      <c r="X75" s="34"/>
      <c r="Y75" s="34"/>
      <c r="Z75" s="34"/>
      <c r="AA75" s="34"/>
      <c r="AB75" s="34"/>
      <c r="AC75" s="34"/>
      <c r="AD75" s="34"/>
    </row>
    <row r="76" ht="15.75" customHeight="1">
      <c r="A76" s="13"/>
      <c r="B76" s="13"/>
      <c r="C76" s="13"/>
      <c r="D76" s="13"/>
      <c r="E76" s="14"/>
      <c r="F76" s="13"/>
      <c r="G76" s="13"/>
      <c r="H76" s="13"/>
      <c r="I76" s="13"/>
      <c r="J76" s="13"/>
      <c r="K76" s="13"/>
      <c r="L76" s="13"/>
      <c r="M76" s="13"/>
      <c r="N76" s="30"/>
      <c r="O76" s="13"/>
      <c r="P76" s="13"/>
      <c r="Q76" s="13"/>
      <c r="R76" s="14"/>
      <c r="S76" s="45"/>
      <c r="T76" s="34"/>
      <c r="U76" s="34"/>
      <c r="V76" s="34"/>
      <c r="W76" s="34"/>
      <c r="X76" s="34"/>
      <c r="Y76" s="34"/>
      <c r="Z76" s="34"/>
      <c r="AA76" s="34"/>
      <c r="AB76" s="34"/>
      <c r="AC76" s="34"/>
      <c r="AD76" s="34"/>
    </row>
    <row r="77" ht="15.75" customHeight="1">
      <c r="A77" s="13"/>
      <c r="B77" s="13"/>
      <c r="C77" s="13"/>
      <c r="D77" s="13"/>
      <c r="E77" s="14"/>
      <c r="F77" s="13"/>
      <c r="G77" s="13"/>
      <c r="H77" s="13"/>
      <c r="I77" s="13"/>
      <c r="J77" s="13"/>
      <c r="K77" s="13"/>
      <c r="L77" s="13"/>
      <c r="M77" s="13"/>
      <c r="N77" s="30"/>
      <c r="O77" s="13"/>
      <c r="P77" s="13"/>
      <c r="Q77" s="13"/>
      <c r="R77" s="14"/>
      <c r="S77" s="45"/>
      <c r="T77" s="34"/>
      <c r="U77" s="34"/>
      <c r="V77" s="34"/>
      <c r="W77" s="34"/>
      <c r="X77" s="34"/>
      <c r="Y77" s="34"/>
      <c r="Z77" s="34"/>
      <c r="AA77" s="34"/>
      <c r="AB77" s="34"/>
      <c r="AC77" s="34"/>
      <c r="AD77" s="34"/>
    </row>
    <row r="78" ht="15.75" customHeight="1">
      <c r="A78" s="13"/>
      <c r="B78" s="13"/>
      <c r="C78" s="13"/>
      <c r="D78" s="13"/>
      <c r="E78" s="14"/>
      <c r="F78" s="13"/>
      <c r="G78" s="13"/>
      <c r="H78" s="13"/>
      <c r="I78" s="13"/>
      <c r="J78" s="13"/>
      <c r="K78" s="13"/>
      <c r="L78" s="13"/>
      <c r="M78" s="13"/>
      <c r="N78" s="30"/>
      <c r="O78" s="13"/>
      <c r="P78" s="13"/>
      <c r="Q78" s="13"/>
      <c r="R78" s="14"/>
      <c r="S78" s="45"/>
      <c r="T78" s="34"/>
      <c r="U78" s="34"/>
      <c r="V78" s="34"/>
      <c r="W78" s="34"/>
      <c r="X78" s="34"/>
      <c r="Y78" s="34"/>
      <c r="Z78" s="34"/>
      <c r="AA78" s="34"/>
      <c r="AB78" s="34"/>
      <c r="AC78" s="34"/>
      <c r="AD78" s="34"/>
    </row>
    <row r="79" ht="15.75" customHeight="1">
      <c r="A79" s="13"/>
      <c r="B79" s="13"/>
      <c r="C79" s="13"/>
      <c r="D79" s="13"/>
      <c r="E79" s="14"/>
      <c r="F79" s="13"/>
      <c r="G79" s="13"/>
      <c r="H79" s="13"/>
      <c r="I79" s="13"/>
      <c r="J79" s="13"/>
      <c r="K79" s="13"/>
      <c r="L79" s="13"/>
      <c r="M79" s="13"/>
      <c r="N79" s="30"/>
      <c r="O79" s="13"/>
      <c r="P79" s="13"/>
      <c r="Q79" s="13"/>
      <c r="R79" s="14"/>
      <c r="S79" s="45"/>
      <c r="T79" s="34"/>
      <c r="U79" s="34"/>
      <c r="V79" s="34"/>
      <c r="W79" s="34"/>
      <c r="X79" s="34"/>
      <c r="Y79" s="34"/>
      <c r="Z79" s="34"/>
      <c r="AA79" s="34"/>
      <c r="AB79" s="34"/>
      <c r="AC79" s="34"/>
      <c r="AD79" s="34"/>
    </row>
    <row r="80" ht="15.75" customHeight="1">
      <c r="A80" s="13"/>
      <c r="B80" s="13"/>
      <c r="C80" s="13"/>
      <c r="D80" s="13"/>
      <c r="E80" s="14"/>
      <c r="F80" s="13"/>
      <c r="G80" s="13"/>
      <c r="H80" s="13"/>
      <c r="I80" s="13"/>
      <c r="J80" s="13"/>
      <c r="K80" s="13"/>
      <c r="L80" s="13"/>
      <c r="M80" s="13"/>
      <c r="N80" s="30"/>
      <c r="O80" s="13"/>
      <c r="P80" s="13"/>
      <c r="Q80" s="13"/>
      <c r="R80" s="14"/>
      <c r="S80" s="45"/>
      <c r="T80" s="34"/>
      <c r="U80" s="34"/>
      <c r="V80" s="34"/>
      <c r="W80" s="34"/>
      <c r="X80" s="34"/>
      <c r="Y80" s="34"/>
      <c r="Z80" s="34"/>
      <c r="AA80" s="34"/>
      <c r="AB80" s="34"/>
      <c r="AC80" s="34"/>
      <c r="AD80" s="34"/>
    </row>
    <row r="81" ht="15.75" customHeight="1">
      <c r="A81" s="13"/>
      <c r="B81" s="13"/>
      <c r="C81" s="13"/>
      <c r="D81" s="13"/>
      <c r="E81" s="14"/>
      <c r="F81" s="13"/>
      <c r="G81" s="13"/>
      <c r="H81" s="13"/>
      <c r="I81" s="13"/>
      <c r="J81" s="13"/>
      <c r="K81" s="13"/>
      <c r="L81" s="13"/>
      <c r="M81" s="13"/>
      <c r="N81" s="30"/>
      <c r="O81" s="13"/>
      <c r="P81" s="13"/>
      <c r="Q81" s="13"/>
      <c r="R81" s="14"/>
      <c r="S81" s="45"/>
      <c r="T81" s="34"/>
      <c r="U81" s="34"/>
      <c r="V81" s="34"/>
      <c r="W81" s="34"/>
      <c r="X81" s="34"/>
      <c r="Y81" s="34"/>
      <c r="Z81" s="34"/>
      <c r="AA81" s="34"/>
      <c r="AB81" s="34"/>
      <c r="AC81" s="34"/>
      <c r="AD81" s="34"/>
    </row>
    <row r="82" ht="15.75" customHeight="1">
      <c r="A82" s="13"/>
      <c r="B82" s="13"/>
      <c r="C82" s="13"/>
      <c r="D82" s="13"/>
      <c r="E82" s="14"/>
      <c r="F82" s="13"/>
      <c r="G82" s="13"/>
      <c r="H82" s="13"/>
      <c r="I82" s="13"/>
      <c r="J82" s="13"/>
      <c r="K82" s="13"/>
      <c r="L82" s="13"/>
      <c r="M82" s="13"/>
      <c r="N82" s="30"/>
      <c r="O82" s="13"/>
      <c r="P82" s="13"/>
      <c r="Q82" s="13"/>
      <c r="R82" s="14"/>
      <c r="S82" s="45"/>
      <c r="T82" s="34"/>
      <c r="U82" s="34"/>
      <c r="V82" s="34"/>
      <c r="W82" s="34"/>
      <c r="X82" s="34"/>
      <c r="Y82" s="34"/>
      <c r="Z82" s="34"/>
      <c r="AA82" s="34"/>
      <c r="AB82" s="34"/>
      <c r="AC82" s="34"/>
      <c r="AD82" s="34"/>
    </row>
    <row r="83" ht="15.75" customHeight="1">
      <c r="A83" s="13"/>
      <c r="B83" s="13"/>
      <c r="C83" s="13"/>
      <c r="D83" s="13"/>
      <c r="E83" s="14"/>
      <c r="F83" s="13"/>
      <c r="G83" s="13"/>
      <c r="H83" s="13"/>
      <c r="I83" s="13"/>
      <c r="J83" s="13"/>
      <c r="K83" s="13"/>
      <c r="L83" s="13"/>
      <c r="M83" s="13"/>
      <c r="N83" s="30"/>
      <c r="O83" s="13"/>
      <c r="P83" s="13"/>
      <c r="Q83" s="13"/>
      <c r="R83" s="14"/>
      <c r="S83" s="45"/>
      <c r="T83" s="34"/>
      <c r="U83" s="34"/>
      <c r="V83" s="34"/>
      <c r="W83" s="34"/>
      <c r="X83" s="34"/>
      <c r="Y83" s="34"/>
      <c r="Z83" s="34"/>
      <c r="AA83" s="34"/>
      <c r="AB83" s="34"/>
      <c r="AC83" s="34"/>
      <c r="AD83" s="34"/>
    </row>
    <row r="84" ht="15.75" customHeight="1">
      <c r="A84" s="13"/>
      <c r="B84" s="13"/>
      <c r="C84" s="13"/>
      <c r="D84" s="13"/>
      <c r="E84" s="14"/>
      <c r="F84" s="13"/>
      <c r="G84" s="13"/>
      <c r="H84" s="13"/>
      <c r="I84" s="13"/>
      <c r="J84" s="13"/>
      <c r="K84" s="13"/>
      <c r="L84" s="13"/>
      <c r="M84" s="13"/>
      <c r="N84" s="30"/>
      <c r="O84" s="13"/>
      <c r="P84" s="13"/>
      <c r="Q84" s="13"/>
      <c r="R84" s="14"/>
      <c r="S84" s="45"/>
      <c r="T84" s="34"/>
      <c r="U84" s="34"/>
      <c r="V84" s="34"/>
      <c r="W84" s="34"/>
      <c r="X84" s="34"/>
      <c r="Y84" s="34"/>
      <c r="Z84" s="34"/>
      <c r="AA84" s="34"/>
      <c r="AB84" s="34"/>
      <c r="AC84" s="34"/>
      <c r="AD84" s="34"/>
    </row>
    <row r="85" ht="15.75" customHeight="1">
      <c r="A85" s="13"/>
      <c r="B85" s="13"/>
      <c r="C85" s="13"/>
      <c r="D85" s="13"/>
      <c r="E85" s="14"/>
      <c r="F85" s="13"/>
      <c r="G85" s="13"/>
      <c r="H85" s="13"/>
      <c r="I85" s="13"/>
      <c r="J85" s="13"/>
      <c r="K85" s="13"/>
      <c r="L85" s="13"/>
      <c r="M85" s="13"/>
      <c r="N85" s="30"/>
      <c r="O85" s="13"/>
      <c r="P85" s="13"/>
      <c r="Q85" s="13"/>
      <c r="R85" s="14"/>
      <c r="S85" s="45"/>
      <c r="T85" s="34"/>
      <c r="U85" s="34"/>
      <c r="V85" s="34"/>
      <c r="W85" s="34"/>
      <c r="X85" s="34"/>
      <c r="Y85" s="34"/>
      <c r="Z85" s="34"/>
      <c r="AA85" s="34"/>
      <c r="AB85" s="34"/>
      <c r="AC85" s="34"/>
      <c r="AD85" s="34"/>
    </row>
    <row r="86" ht="15.75" customHeight="1">
      <c r="A86" s="13"/>
      <c r="B86" s="13"/>
      <c r="C86" s="13"/>
      <c r="D86" s="13"/>
      <c r="E86" s="14"/>
      <c r="F86" s="13"/>
      <c r="G86" s="13"/>
      <c r="H86" s="13"/>
      <c r="I86" s="13"/>
      <c r="J86" s="13"/>
      <c r="K86" s="13"/>
      <c r="L86" s="13"/>
      <c r="M86" s="13"/>
      <c r="N86" s="30"/>
      <c r="O86" s="13"/>
      <c r="P86" s="13"/>
      <c r="Q86" s="13"/>
      <c r="R86" s="14"/>
      <c r="S86" s="45"/>
      <c r="T86" s="34"/>
      <c r="U86" s="34"/>
      <c r="V86" s="34"/>
      <c r="W86" s="34"/>
      <c r="X86" s="34"/>
      <c r="Y86" s="34"/>
      <c r="Z86" s="34"/>
      <c r="AA86" s="34"/>
      <c r="AB86" s="34"/>
      <c r="AC86" s="34"/>
      <c r="AD86" s="34"/>
    </row>
    <row r="87" ht="15.75" customHeight="1">
      <c r="A87" s="13"/>
      <c r="B87" s="13"/>
      <c r="C87" s="13"/>
      <c r="D87" s="13"/>
      <c r="E87" s="14"/>
      <c r="F87" s="13"/>
      <c r="G87" s="13"/>
      <c r="H87" s="13"/>
      <c r="I87" s="13"/>
      <c r="J87" s="13"/>
      <c r="K87" s="13"/>
      <c r="L87" s="13"/>
      <c r="M87" s="13"/>
      <c r="N87" s="30"/>
      <c r="O87" s="13"/>
      <c r="P87" s="13"/>
      <c r="Q87" s="13"/>
      <c r="R87" s="14"/>
      <c r="S87" s="45"/>
      <c r="T87" s="34"/>
      <c r="U87" s="34"/>
      <c r="V87" s="34"/>
      <c r="W87" s="34"/>
      <c r="X87" s="34"/>
      <c r="Y87" s="34"/>
      <c r="Z87" s="34"/>
      <c r="AA87" s="34"/>
      <c r="AB87" s="34"/>
      <c r="AC87" s="34"/>
      <c r="AD87" s="34"/>
    </row>
    <row r="88" ht="15.75" customHeight="1">
      <c r="A88" s="13"/>
      <c r="B88" s="13"/>
      <c r="C88" s="13"/>
      <c r="D88" s="13"/>
      <c r="E88" s="14"/>
      <c r="F88" s="13"/>
      <c r="G88" s="13"/>
      <c r="H88" s="13"/>
      <c r="I88" s="13"/>
      <c r="J88" s="13"/>
      <c r="K88" s="13"/>
      <c r="L88" s="13"/>
      <c r="M88" s="13"/>
      <c r="N88" s="30"/>
      <c r="O88" s="13"/>
      <c r="P88" s="13"/>
      <c r="Q88" s="13"/>
      <c r="R88" s="14"/>
      <c r="S88" s="45"/>
      <c r="T88" s="34"/>
      <c r="U88" s="34"/>
      <c r="V88" s="34"/>
      <c r="W88" s="34"/>
      <c r="X88" s="34"/>
      <c r="Y88" s="34"/>
      <c r="Z88" s="34"/>
      <c r="AA88" s="34"/>
      <c r="AB88" s="34"/>
      <c r="AC88" s="34"/>
      <c r="AD88" s="34"/>
    </row>
    <row r="89" ht="15.75" customHeight="1">
      <c r="A89" s="13"/>
      <c r="B89" s="13"/>
      <c r="C89" s="13"/>
      <c r="D89" s="13"/>
      <c r="E89" s="14"/>
      <c r="F89" s="13"/>
      <c r="G89" s="13"/>
      <c r="H89" s="13"/>
      <c r="I89" s="13"/>
      <c r="J89" s="13"/>
      <c r="K89" s="13"/>
      <c r="L89" s="13"/>
      <c r="M89" s="13"/>
      <c r="N89" s="30"/>
      <c r="O89" s="13"/>
      <c r="P89" s="13"/>
      <c r="Q89" s="13"/>
      <c r="R89" s="14"/>
      <c r="S89" s="45"/>
      <c r="T89" s="34"/>
      <c r="U89" s="34"/>
      <c r="V89" s="34"/>
      <c r="W89" s="34"/>
      <c r="X89" s="34"/>
      <c r="Y89" s="34"/>
      <c r="Z89" s="34"/>
      <c r="AA89" s="34"/>
      <c r="AB89" s="34"/>
      <c r="AC89" s="34"/>
      <c r="AD89" s="34"/>
    </row>
    <row r="90" ht="15.75" customHeight="1">
      <c r="A90" s="13"/>
      <c r="B90" s="13"/>
      <c r="C90" s="13"/>
      <c r="D90" s="13"/>
      <c r="E90" s="14"/>
      <c r="F90" s="13"/>
      <c r="G90" s="13"/>
      <c r="H90" s="13"/>
      <c r="I90" s="13"/>
      <c r="J90" s="13"/>
      <c r="K90" s="13"/>
      <c r="L90" s="13"/>
      <c r="M90" s="13"/>
      <c r="N90" s="30"/>
      <c r="O90" s="13"/>
      <c r="P90" s="13"/>
      <c r="Q90" s="13"/>
      <c r="R90" s="14"/>
      <c r="S90" s="45"/>
      <c r="T90" s="34"/>
      <c r="U90" s="34"/>
      <c r="V90" s="34"/>
      <c r="W90" s="34"/>
      <c r="X90" s="34"/>
      <c r="Y90" s="34"/>
      <c r="Z90" s="34"/>
      <c r="AA90" s="34"/>
      <c r="AB90" s="34"/>
      <c r="AC90" s="34"/>
      <c r="AD90" s="34"/>
    </row>
    <row r="91" ht="15.75" customHeight="1">
      <c r="A91" s="13"/>
      <c r="B91" s="13"/>
      <c r="C91" s="13"/>
      <c r="D91" s="13"/>
      <c r="E91" s="14"/>
      <c r="F91" s="13"/>
      <c r="G91" s="13"/>
      <c r="H91" s="13"/>
      <c r="I91" s="13"/>
      <c r="J91" s="13"/>
      <c r="K91" s="13"/>
      <c r="L91" s="13"/>
      <c r="M91" s="13"/>
      <c r="N91" s="30"/>
      <c r="O91" s="13"/>
      <c r="P91" s="13"/>
      <c r="Q91" s="13"/>
      <c r="R91" s="14"/>
      <c r="S91" s="45"/>
      <c r="T91" s="34"/>
      <c r="U91" s="34"/>
      <c r="V91" s="34"/>
      <c r="W91" s="34"/>
      <c r="X91" s="34"/>
      <c r="Y91" s="34"/>
      <c r="Z91" s="34"/>
      <c r="AA91" s="34"/>
      <c r="AB91" s="34"/>
      <c r="AC91" s="34"/>
      <c r="AD91" s="34"/>
    </row>
    <row r="92" ht="15.75" customHeight="1">
      <c r="A92" s="13"/>
      <c r="B92" s="13"/>
      <c r="C92" s="13"/>
      <c r="D92" s="13"/>
      <c r="E92" s="14"/>
      <c r="F92" s="13"/>
      <c r="G92" s="13"/>
      <c r="H92" s="13"/>
      <c r="I92" s="13"/>
      <c r="J92" s="13"/>
      <c r="K92" s="13"/>
      <c r="L92" s="13"/>
      <c r="M92" s="13"/>
      <c r="N92" s="30"/>
      <c r="O92" s="13"/>
      <c r="P92" s="13"/>
      <c r="Q92" s="13"/>
      <c r="R92" s="14"/>
      <c r="S92" s="45"/>
      <c r="T92" s="34"/>
      <c r="U92" s="34"/>
      <c r="V92" s="34"/>
      <c r="W92" s="34"/>
      <c r="X92" s="34"/>
      <c r="Y92" s="34"/>
      <c r="Z92" s="34"/>
      <c r="AA92" s="34"/>
      <c r="AB92" s="34"/>
      <c r="AC92" s="34"/>
      <c r="AD92" s="34"/>
    </row>
    <row r="93" ht="15.75" customHeight="1">
      <c r="A93" s="13"/>
      <c r="B93" s="13"/>
      <c r="C93" s="13"/>
      <c r="D93" s="13"/>
      <c r="E93" s="14"/>
      <c r="F93" s="13"/>
      <c r="G93" s="13"/>
      <c r="H93" s="13"/>
      <c r="I93" s="13"/>
      <c r="J93" s="13"/>
      <c r="K93" s="13"/>
      <c r="L93" s="13"/>
      <c r="M93" s="13"/>
      <c r="N93" s="30"/>
      <c r="O93" s="13"/>
      <c r="P93" s="13"/>
      <c r="Q93" s="13"/>
      <c r="R93" s="14"/>
      <c r="S93" s="45"/>
      <c r="T93" s="34"/>
      <c r="U93" s="34"/>
      <c r="V93" s="34"/>
      <c r="W93" s="34"/>
      <c r="X93" s="34"/>
      <c r="Y93" s="34"/>
      <c r="Z93" s="34"/>
      <c r="AA93" s="34"/>
      <c r="AB93" s="34"/>
      <c r="AC93" s="34"/>
      <c r="AD93" s="34"/>
    </row>
    <row r="94" ht="15.75" customHeight="1">
      <c r="A94" s="13"/>
      <c r="B94" s="13"/>
      <c r="C94" s="13"/>
      <c r="D94" s="13"/>
      <c r="E94" s="14"/>
      <c r="F94" s="13"/>
      <c r="G94" s="13"/>
      <c r="H94" s="13"/>
      <c r="I94" s="13"/>
      <c r="J94" s="13"/>
      <c r="K94" s="13"/>
      <c r="L94" s="13"/>
      <c r="M94" s="13"/>
      <c r="N94" s="30"/>
      <c r="O94" s="13"/>
      <c r="P94" s="13"/>
      <c r="Q94" s="13"/>
      <c r="R94" s="14"/>
      <c r="S94" s="45"/>
      <c r="T94" s="34"/>
      <c r="U94" s="34"/>
      <c r="V94" s="34"/>
      <c r="W94" s="34"/>
      <c r="X94" s="34"/>
      <c r="Y94" s="34"/>
      <c r="Z94" s="34"/>
      <c r="AA94" s="34"/>
      <c r="AB94" s="34"/>
      <c r="AC94" s="34"/>
      <c r="AD94" s="34"/>
    </row>
    <row r="95" ht="15.75" customHeight="1">
      <c r="A95" s="13"/>
      <c r="B95" s="13"/>
      <c r="C95" s="13"/>
      <c r="D95" s="13"/>
      <c r="E95" s="14"/>
      <c r="F95" s="13"/>
      <c r="G95" s="13"/>
      <c r="H95" s="13"/>
      <c r="I95" s="13"/>
      <c r="J95" s="13"/>
      <c r="K95" s="13"/>
      <c r="L95" s="13"/>
      <c r="M95" s="13"/>
      <c r="N95" s="30"/>
      <c r="O95" s="13"/>
      <c r="P95" s="13"/>
      <c r="Q95" s="13"/>
      <c r="R95" s="14"/>
      <c r="S95" s="45"/>
      <c r="T95" s="34"/>
      <c r="U95" s="34"/>
      <c r="V95" s="34"/>
      <c r="W95" s="34"/>
      <c r="X95" s="34"/>
      <c r="Y95" s="34"/>
      <c r="Z95" s="34"/>
      <c r="AA95" s="34"/>
      <c r="AB95" s="34"/>
      <c r="AC95" s="34"/>
      <c r="AD95" s="34"/>
    </row>
    <row r="96" ht="15.75" customHeight="1">
      <c r="A96" s="13"/>
      <c r="B96" s="13"/>
      <c r="C96" s="13"/>
      <c r="D96" s="13"/>
      <c r="E96" s="14"/>
      <c r="F96" s="13"/>
      <c r="G96" s="13"/>
      <c r="H96" s="13"/>
      <c r="I96" s="13"/>
      <c r="J96" s="13"/>
      <c r="K96" s="13"/>
      <c r="L96" s="13"/>
      <c r="M96" s="13"/>
      <c r="N96" s="30"/>
      <c r="O96" s="13"/>
      <c r="P96" s="13"/>
      <c r="Q96" s="13"/>
      <c r="R96" s="14"/>
      <c r="S96" s="45"/>
      <c r="T96" s="34"/>
      <c r="U96" s="34"/>
      <c r="V96" s="34"/>
      <c r="W96" s="34"/>
      <c r="X96" s="34"/>
      <c r="Y96" s="34"/>
      <c r="Z96" s="34"/>
      <c r="AA96" s="34"/>
      <c r="AB96" s="34"/>
      <c r="AC96" s="34"/>
      <c r="AD96" s="34"/>
    </row>
    <row r="97" ht="15.75" customHeight="1">
      <c r="A97" s="13"/>
      <c r="B97" s="13"/>
      <c r="C97" s="13"/>
      <c r="D97" s="13"/>
      <c r="E97" s="14"/>
      <c r="F97" s="13"/>
      <c r="G97" s="13"/>
      <c r="H97" s="13"/>
      <c r="I97" s="13"/>
      <c r="J97" s="13"/>
      <c r="K97" s="13"/>
      <c r="L97" s="13"/>
      <c r="M97" s="13"/>
      <c r="N97" s="30"/>
      <c r="O97" s="13"/>
      <c r="P97" s="13"/>
      <c r="Q97" s="13"/>
      <c r="R97" s="14"/>
      <c r="S97" s="45"/>
      <c r="T97" s="34"/>
      <c r="U97" s="34"/>
      <c r="V97" s="34"/>
      <c r="W97" s="34"/>
      <c r="X97" s="34"/>
      <c r="Y97" s="34"/>
      <c r="Z97" s="34"/>
      <c r="AA97" s="34"/>
      <c r="AB97" s="34"/>
      <c r="AC97" s="34"/>
      <c r="AD97" s="34"/>
    </row>
    <row r="98" ht="15.75" customHeight="1">
      <c r="A98" s="13"/>
      <c r="B98" s="13"/>
      <c r="C98" s="13"/>
      <c r="D98" s="13"/>
      <c r="E98" s="14"/>
      <c r="F98" s="13"/>
      <c r="G98" s="13"/>
      <c r="H98" s="13"/>
      <c r="I98" s="13"/>
      <c r="J98" s="13"/>
      <c r="K98" s="13"/>
      <c r="L98" s="13"/>
      <c r="M98" s="13"/>
      <c r="N98" s="30"/>
      <c r="O98" s="13"/>
      <c r="P98" s="13"/>
      <c r="Q98" s="13"/>
      <c r="R98" s="14"/>
      <c r="S98" s="45"/>
      <c r="T98" s="34"/>
      <c r="U98" s="34"/>
      <c r="V98" s="34"/>
      <c r="W98" s="34"/>
      <c r="X98" s="34"/>
      <c r="Y98" s="34"/>
      <c r="Z98" s="34"/>
      <c r="AA98" s="34"/>
      <c r="AB98" s="34"/>
      <c r="AC98" s="34"/>
      <c r="AD98" s="34"/>
    </row>
    <row r="99" ht="15.75" customHeight="1">
      <c r="A99" s="13"/>
      <c r="B99" s="13"/>
      <c r="C99" s="13"/>
      <c r="D99" s="13"/>
      <c r="E99" s="14"/>
      <c r="F99" s="13"/>
      <c r="G99" s="13"/>
      <c r="H99" s="13"/>
      <c r="I99" s="13"/>
      <c r="J99" s="13"/>
      <c r="K99" s="13"/>
      <c r="L99" s="13"/>
      <c r="M99" s="13"/>
      <c r="N99" s="30"/>
      <c r="O99" s="13"/>
      <c r="P99" s="13"/>
      <c r="Q99" s="13"/>
      <c r="R99" s="14"/>
      <c r="S99" s="45"/>
      <c r="T99" s="34"/>
      <c r="U99" s="34"/>
      <c r="V99" s="34"/>
      <c r="W99" s="34"/>
      <c r="X99" s="34"/>
      <c r="Y99" s="34"/>
      <c r="Z99" s="34"/>
      <c r="AA99" s="34"/>
      <c r="AB99" s="34"/>
      <c r="AC99" s="34"/>
      <c r="AD99" s="34"/>
    </row>
    <row r="100" ht="15.75" customHeight="1">
      <c r="A100" s="13"/>
      <c r="B100" s="13"/>
      <c r="C100" s="13"/>
      <c r="D100" s="13"/>
      <c r="E100" s="14"/>
      <c r="F100" s="13"/>
      <c r="G100" s="13"/>
      <c r="H100" s="13"/>
      <c r="I100" s="13"/>
      <c r="J100" s="13"/>
      <c r="K100" s="13"/>
      <c r="L100" s="13"/>
      <c r="M100" s="13"/>
      <c r="N100" s="30"/>
      <c r="O100" s="13"/>
      <c r="P100" s="13"/>
      <c r="Q100" s="13"/>
      <c r="R100" s="14"/>
      <c r="S100" s="45"/>
      <c r="T100" s="34"/>
      <c r="U100" s="34"/>
      <c r="V100" s="34"/>
      <c r="W100" s="34"/>
      <c r="X100" s="34"/>
      <c r="Y100" s="34"/>
      <c r="Z100" s="34"/>
      <c r="AA100" s="34"/>
      <c r="AB100" s="34"/>
      <c r="AC100" s="34"/>
      <c r="AD100" s="34"/>
    </row>
    <row r="101" ht="15.75" customHeight="1">
      <c r="A101" s="13"/>
      <c r="B101" s="13"/>
      <c r="C101" s="13"/>
      <c r="D101" s="13"/>
      <c r="E101" s="14"/>
      <c r="F101" s="13"/>
      <c r="G101" s="13"/>
      <c r="H101" s="13"/>
      <c r="I101" s="13"/>
      <c r="J101" s="13"/>
      <c r="K101" s="13"/>
      <c r="L101" s="13"/>
      <c r="M101" s="13"/>
      <c r="N101" s="30"/>
      <c r="O101" s="13"/>
      <c r="P101" s="13"/>
      <c r="Q101" s="13"/>
      <c r="R101" s="14"/>
      <c r="S101" s="45"/>
      <c r="T101" s="34"/>
      <c r="U101" s="34"/>
      <c r="V101" s="34"/>
      <c r="W101" s="34"/>
      <c r="X101" s="34"/>
      <c r="Y101" s="34"/>
      <c r="Z101" s="34"/>
      <c r="AA101" s="34"/>
      <c r="AB101" s="34"/>
      <c r="AC101" s="34"/>
      <c r="AD101" s="34"/>
    </row>
    <row r="102" ht="15.75" customHeight="1">
      <c r="A102" s="13"/>
      <c r="B102" s="13"/>
      <c r="C102" s="13"/>
      <c r="D102" s="13"/>
      <c r="E102" s="14"/>
      <c r="F102" s="13"/>
      <c r="G102" s="13"/>
      <c r="H102" s="13"/>
      <c r="I102" s="13"/>
      <c r="J102" s="13"/>
      <c r="K102" s="13"/>
      <c r="L102" s="13"/>
      <c r="M102" s="13"/>
      <c r="N102" s="30"/>
      <c r="O102" s="13"/>
      <c r="P102" s="13"/>
      <c r="Q102" s="13"/>
      <c r="R102" s="14"/>
      <c r="S102" s="45"/>
      <c r="T102" s="34"/>
      <c r="U102" s="34"/>
      <c r="V102" s="34"/>
      <c r="W102" s="34"/>
      <c r="X102" s="34"/>
      <c r="Y102" s="34"/>
      <c r="Z102" s="34"/>
      <c r="AA102" s="34"/>
      <c r="AB102" s="34"/>
      <c r="AC102" s="34"/>
      <c r="AD102" s="34"/>
    </row>
    <row r="103" ht="15.75" customHeight="1">
      <c r="A103" s="13"/>
      <c r="B103" s="13"/>
      <c r="C103" s="13"/>
      <c r="D103" s="13"/>
      <c r="E103" s="14"/>
      <c r="F103" s="13"/>
      <c r="G103" s="13"/>
      <c r="H103" s="13"/>
      <c r="I103" s="13"/>
      <c r="J103" s="13"/>
      <c r="K103" s="13"/>
      <c r="L103" s="13"/>
      <c r="M103" s="13"/>
      <c r="N103" s="30"/>
      <c r="O103" s="13"/>
      <c r="P103" s="13"/>
      <c r="Q103" s="13"/>
      <c r="R103" s="14"/>
      <c r="S103" s="45"/>
      <c r="T103" s="34"/>
      <c r="U103" s="34"/>
      <c r="V103" s="34"/>
      <c r="W103" s="34"/>
      <c r="X103" s="34"/>
      <c r="Y103" s="34"/>
      <c r="Z103" s="34"/>
      <c r="AA103" s="34"/>
      <c r="AB103" s="34"/>
      <c r="AC103" s="34"/>
      <c r="AD103" s="34"/>
    </row>
    <row r="104" ht="15.75" customHeight="1">
      <c r="A104" s="13"/>
      <c r="B104" s="13"/>
      <c r="C104" s="13"/>
      <c r="D104" s="13"/>
      <c r="E104" s="14"/>
      <c r="F104" s="13"/>
      <c r="G104" s="13"/>
      <c r="H104" s="13"/>
      <c r="I104" s="13"/>
      <c r="J104" s="13"/>
      <c r="K104" s="13"/>
      <c r="L104" s="13"/>
      <c r="M104" s="13"/>
      <c r="N104" s="30"/>
      <c r="O104" s="13"/>
      <c r="P104" s="13"/>
      <c r="Q104" s="13"/>
      <c r="R104" s="14"/>
      <c r="S104" s="45"/>
      <c r="T104" s="34"/>
      <c r="U104" s="34"/>
      <c r="V104" s="34"/>
      <c r="W104" s="34"/>
      <c r="X104" s="34"/>
      <c r="Y104" s="34"/>
      <c r="Z104" s="34"/>
      <c r="AA104" s="34"/>
      <c r="AB104" s="34"/>
      <c r="AC104" s="34"/>
      <c r="AD104" s="34"/>
    </row>
    <row r="105" ht="15.75" customHeight="1">
      <c r="A105" s="13"/>
      <c r="B105" s="13"/>
      <c r="C105" s="13"/>
      <c r="D105" s="13"/>
      <c r="E105" s="14"/>
      <c r="F105" s="13"/>
      <c r="G105" s="13"/>
      <c r="H105" s="13"/>
      <c r="I105" s="13"/>
      <c r="J105" s="13"/>
      <c r="K105" s="13"/>
      <c r="L105" s="13"/>
      <c r="M105" s="13"/>
      <c r="N105" s="30"/>
      <c r="O105" s="13"/>
      <c r="P105" s="13"/>
      <c r="Q105" s="13"/>
      <c r="R105" s="14"/>
      <c r="S105" s="45"/>
      <c r="T105" s="34"/>
      <c r="U105" s="34"/>
      <c r="V105" s="34"/>
      <c r="W105" s="34"/>
      <c r="X105" s="34"/>
      <c r="Y105" s="34"/>
      <c r="Z105" s="34"/>
      <c r="AA105" s="34"/>
      <c r="AB105" s="34"/>
      <c r="AC105" s="34"/>
      <c r="AD105" s="34"/>
    </row>
    <row r="106" ht="15.75" customHeight="1">
      <c r="A106" s="13"/>
      <c r="B106" s="13"/>
      <c r="C106" s="13"/>
      <c r="D106" s="13"/>
      <c r="E106" s="14"/>
      <c r="F106" s="13"/>
      <c r="G106" s="13"/>
      <c r="H106" s="13"/>
      <c r="I106" s="13"/>
      <c r="J106" s="13"/>
      <c r="K106" s="13"/>
      <c r="L106" s="13"/>
      <c r="M106" s="13"/>
      <c r="N106" s="30"/>
      <c r="O106" s="13"/>
      <c r="P106" s="13"/>
      <c r="Q106" s="13"/>
      <c r="R106" s="14"/>
      <c r="S106" s="45"/>
      <c r="T106" s="34"/>
      <c r="U106" s="34"/>
      <c r="V106" s="34"/>
      <c r="W106" s="34"/>
      <c r="X106" s="34"/>
      <c r="Y106" s="34"/>
      <c r="Z106" s="34"/>
      <c r="AA106" s="34"/>
      <c r="AB106" s="34"/>
      <c r="AC106" s="34"/>
      <c r="AD106" s="34"/>
    </row>
    <row r="107" ht="15.75" customHeight="1">
      <c r="A107" s="13"/>
      <c r="B107" s="13"/>
      <c r="C107" s="13"/>
      <c r="D107" s="13"/>
      <c r="E107" s="14"/>
      <c r="F107" s="13"/>
      <c r="G107" s="13"/>
      <c r="H107" s="13"/>
      <c r="I107" s="13"/>
      <c r="J107" s="13"/>
      <c r="K107" s="13"/>
      <c r="L107" s="13"/>
      <c r="M107" s="13"/>
      <c r="N107" s="30"/>
      <c r="O107" s="13"/>
      <c r="P107" s="13"/>
      <c r="Q107" s="13"/>
      <c r="R107" s="14"/>
      <c r="S107" s="45"/>
      <c r="T107" s="34"/>
      <c r="U107" s="34"/>
      <c r="V107" s="34"/>
      <c r="W107" s="34"/>
      <c r="X107" s="34"/>
      <c r="Y107" s="34"/>
      <c r="Z107" s="34"/>
      <c r="AA107" s="34"/>
      <c r="AB107" s="34"/>
      <c r="AC107" s="34"/>
      <c r="AD107" s="34"/>
    </row>
    <row r="108" ht="15.75" customHeight="1">
      <c r="A108" s="13"/>
      <c r="B108" s="13"/>
      <c r="C108" s="13"/>
      <c r="D108" s="13"/>
      <c r="E108" s="14"/>
      <c r="F108" s="13"/>
      <c r="G108" s="13"/>
      <c r="H108" s="13"/>
      <c r="I108" s="13"/>
      <c r="J108" s="13"/>
      <c r="K108" s="13"/>
      <c r="L108" s="13"/>
      <c r="M108" s="13"/>
      <c r="N108" s="30"/>
      <c r="O108" s="13"/>
      <c r="P108" s="13"/>
      <c r="Q108" s="13"/>
      <c r="R108" s="14"/>
      <c r="S108" s="45"/>
      <c r="T108" s="34"/>
      <c r="U108" s="34"/>
      <c r="V108" s="34"/>
      <c r="W108" s="34"/>
      <c r="X108" s="34"/>
      <c r="Y108" s="34"/>
      <c r="Z108" s="34"/>
      <c r="AA108" s="34"/>
      <c r="AB108" s="34"/>
      <c r="AC108" s="34"/>
      <c r="AD108" s="34"/>
    </row>
    <row r="109" ht="15.75" customHeight="1">
      <c r="A109" s="13"/>
      <c r="B109" s="13"/>
      <c r="C109" s="13"/>
      <c r="D109" s="13"/>
      <c r="E109" s="14"/>
      <c r="F109" s="13"/>
      <c r="G109" s="13"/>
      <c r="H109" s="13"/>
      <c r="I109" s="13"/>
      <c r="J109" s="13"/>
      <c r="K109" s="13"/>
      <c r="L109" s="13"/>
      <c r="M109" s="13"/>
      <c r="N109" s="30"/>
      <c r="O109" s="13"/>
      <c r="P109" s="13"/>
      <c r="Q109" s="13"/>
      <c r="R109" s="14"/>
      <c r="S109" s="45"/>
      <c r="T109" s="34"/>
      <c r="U109" s="34"/>
      <c r="V109" s="34"/>
      <c r="W109" s="34"/>
      <c r="X109" s="34"/>
      <c r="Y109" s="34"/>
      <c r="Z109" s="34"/>
      <c r="AA109" s="34"/>
      <c r="AB109" s="34"/>
      <c r="AC109" s="34"/>
      <c r="AD109" s="34"/>
    </row>
    <row r="110" ht="15.75" customHeight="1">
      <c r="A110" s="13"/>
      <c r="B110" s="13"/>
      <c r="C110" s="13"/>
      <c r="D110" s="13"/>
      <c r="E110" s="14"/>
      <c r="F110" s="13"/>
      <c r="G110" s="13"/>
      <c r="H110" s="13"/>
      <c r="I110" s="13"/>
      <c r="J110" s="13"/>
      <c r="K110" s="13"/>
      <c r="L110" s="13"/>
      <c r="M110" s="13"/>
      <c r="N110" s="30"/>
      <c r="O110" s="13"/>
      <c r="P110" s="13"/>
      <c r="Q110" s="13"/>
      <c r="R110" s="14"/>
      <c r="S110" s="45"/>
      <c r="T110" s="34"/>
      <c r="U110" s="34"/>
      <c r="V110" s="34"/>
      <c r="W110" s="34"/>
      <c r="X110" s="34"/>
      <c r="Y110" s="34"/>
      <c r="Z110" s="34"/>
      <c r="AA110" s="34"/>
      <c r="AB110" s="34"/>
      <c r="AC110" s="34"/>
      <c r="AD110" s="34"/>
    </row>
    <row r="111" ht="15.75" customHeight="1">
      <c r="A111" s="13"/>
      <c r="B111" s="13"/>
      <c r="C111" s="13"/>
      <c r="D111" s="13"/>
      <c r="E111" s="14"/>
      <c r="F111" s="13"/>
      <c r="G111" s="13"/>
      <c r="H111" s="13"/>
      <c r="I111" s="13"/>
      <c r="J111" s="13"/>
      <c r="K111" s="13"/>
      <c r="L111" s="13"/>
      <c r="M111" s="13"/>
      <c r="N111" s="30"/>
      <c r="O111" s="13"/>
      <c r="P111" s="13"/>
      <c r="Q111" s="13"/>
      <c r="R111" s="14"/>
      <c r="S111" s="45"/>
      <c r="T111" s="34"/>
      <c r="U111" s="34"/>
      <c r="V111" s="34"/>
      <c r="W111" s="34"/>
      <c r="X111" s="34"/>
      <c r="Y111" s="34"/>
      <c r="Z111" s="34"/>
      <c r="AA111" s="34"/>
      <c r="AB111" s="34"/>
      <c r="AC111" s="34"/>
      <c r="AD111" s="34"/>
    </row>
    <row r="112" ht="15.75" customHeight="1">
      <c r="A112" s="13"/>
      <c r="B112" s="13"/>
      <c r="C112" s="13"/>
      <c r="D112" s="13"/>
      <c r="E112" s="14"/>
      <c r="F112" s="13"/>
      <c r="G112" s="13"/>
      <c r="H112" s="13"/>
      <c r="I112" s="13"/>
      <c r="J112" s="13"/>
      <c r="K112" s="13"/>
      <c r="L112" s="13"/>
      <c r="M112" s="13"/>
      <c r="N112" s="30"/>
      <c r="O112" s="13"/>
      <c r="P112" s="13"/>
      <c r="Q112" s="13"/>
      <c r="R112" s="14"/>
      <c r="S112" s="45"/>
      <c r="T112" s="34"/>
      <c r="U112" s="34"/>
      <c r="V112" s="34"/>
      <c r="W112" s="34"/>
      <c r="X112" s="34"/>
      <c r="Y112" s="34"/>
      <c r="Z112" s="34"/>
      <c r="AA112" s="34"/>
      <c r="AB112" s="34"/>
      <c r="AC112" s="34"/>
      <c r="AD112" s="34"/>
    </row>
    <row r="113" ht="15.75" customHeight="1">
      <c r="A113" s="13"/>
      <c r="B113" s="13"/>
      <c r="C113" s="13"/>
      <c r="D113" s="13"/>
      <c r="E113" s="14"/>
      <c r="F113" s="13"/>
      <c r="G113" s="13"/>
      <c r="H113" s="13"/>
      <c r="I113" s="13"/>
      <c r="J113" s="13"/>
      <c r="K113" s="13"/>
      <c r="L113" s="13"/>
      <c r="M113" s="13"/>
      <c r="N113" s="30"/>
      <c r="O113" s="13"/>
      <c r="P113" s="13"/>
      <c r="Q113" s="13"/>
      <c r="R113" s="14"/>
      <c r="S113" s="45"/>
      <c r="T113" s="34"/>
      <c r="U113" s="34"/>
      <c r="V113" s="34"/>
      <c r="W113" s="34"/>
      <c r="X113" s="34"/>
      <c r="Y113" s="34"/>
      <c r="Z113" s="34"/>
      <c r="AA113" s="34"/>
      <c r="AB113" s="34"/>
      <c r="AC113" s="34"/>
      <c r="AD113" s="34"/>
    </row>
    <row r="114" ht="15.75" customHeight="1">
      <c r="A114" s="13"/>
      <c r="B114" s="13"/>
      <c r="C114" s="13"/>
      <c r="D114" s="13"/>
      <c r="E114" s="14"/>
      <c r="F114" s="13"/>
      <c r="G114" s="13"/>
      <c r="H114" s="13"/>
      <c r="I114" s="13"/>
      <c r="J114" s="13"/>
      <c r="K114" s="13"/>
      <c r="L114" s="13"/>
      <c r="M114" s="13"/>
      <c r="N114" s="30"/>
      <c r="O114" s="13"/>
      <c r="P114" s="13"/>
      <c r="Q114" s="13"/>
      <c r="R114" s="14"/>
      <c r="S114" s="45"/>
      <c r="T114" s="34"/>
      <c r="U114" s="34"/>
      <c r="V114" s="34"/>
      <c r="W114" s="34"/>
      <c r="X114" s="34"/>
      <c r="Y114" s="34"/>
      <c r="Z114" s="34"/>
      <c r="AA114" s="34"/>
      <c r="AB114" s="34"/>
      <c r="AC114" s="34"/>
      <c r="AD114" s="34"/>
    </row>
    <row r="115" ht="15.75" customHeight="1">
      <c r="A115" s="13"/>
      <c r="B115" s="13"/>
      <c r="C115" s="13"/>
      <c r="D115" s="13"/>
      <c r="E115" s="14"/>
      <c r="F115" s="13"/>
      <c r="G115" s="13"/>
      <c r="H115" s="13"/>
      <c r="I115" s="13"/>
      <c r="J115" s="13"/>
      <c r="K115" s="13"/>
      <c r="L115" s="13"/>
      <c r="M115" s="13"/>
      <c r="N115" s="30"/>
      <c r="O115" s="13"/>
      <c r="P115" s="13"/>
      <c r="Q115" s="13"/>
      <c r="R115" s="14"/>
      <c r="S115" s="45"/>
      <c r="T115" s="34"/>
      <c r="U115" s="34"/>
      <c r="V115" s="34"/>
      <c r="W115" s="34"/>
      <c r="X115" s="34"/>
      <c r="Y115" s="34"/>
      <c r="Z115" s="34"/>
      <c r="AA115" s="34"/>
      <c r="AB115" s="34"/>
      <c r="AC115" s="34"/>
      <c r="AD115" s="34"/>
    </row>
    <row r="116" ht="15.75" customHeight="1">
      <c r="A116" s="13"/>
      <c r="B116" s="13"/>
      <c r="C116" s="13"/>
      <c r="D116" s="13"/>
      <c r="E116" s="14"/>
      <c r="F116" s="13"/>
      <c r="G116" s="13"/>
      <c r="H116" s="13"/>
      <c r="I116" s="13"/>
      <c r="J116" s="13"/>
      <c r="K116" s="13"/>
      <c r="L116" s="13"/>
      <c r="M116" s="13"/>
      <c r="N116" s="30"/>
      <c r="O116" s="13"/>
      <c r="P116" s="13"/>
      <c r="Q116" s="13"/>
      <c r="R116" s="14"/>
      <c r="S116" s="45"/>
      <c r="T116" s="34"/>
      <c r="U116" s="34"/>
      <c r="V116" s="34"/>
      <c r="W116" s="34"/>
      <c r="X116" s="34"/>
      <c r="Y116" s="34"/>
      <c r="Z116" s="34"/>
      <c r="AA116" s="34"/>
      <c r="AB116" s="34"/>
      <c r="AC116" s="34"/>
      <c r="AD116" s="34"/>
    </row>
    <row r="117" ht="15.75" customHeight="1">
      <c r="A117" s="13"/>
      <c r="B117" s="13"/>
      <c r="C117" s="13"/>
      <c r="D117" s="13"/>
      <c r="E117" s="14"/>
      <c r="F117" s="13"/>
      <c r="G117" s="13"/>
      <c r="H117" s="13"/>
      <c r="I117" s="13"/>
      <c r="J117" s="13"/>
      <c r="K117" s="13"/>
      <c r="L117" s="13"/>
      <c r="M117" s="13"/>
      <c r="N117" s="30"/>
      <c r="O117" s="13"/>
      <c r="P117" s="13"/>
      <c r="Q117" s="13"/>
      <c r="R117" s="14"/>
      <c r="S117" s="45"/>
      <c r="T117" s="34"/>
      <c r="U117" s="34"/>
      <c r="V117" s="34"/>
      <c r="W117" s="34"/>
      <c r="X117" s="34"/>
      <c r="Y117" s="34"/>
      <c r="Z117" s="34"/>
      <c r="AA117" s="34"/>
      <c r="AB117" s="34"/>
      <c r="AC117" s="34"/>
      <c r="AD117" s="34"/>
    </row>
    <row r="118" ht="15.75" customHeight="1">
      <c r="A118" s="13"/>
      <c r="B118" s="13"/>
      <c r="C118" s="13"/>
      <c r="D118" s="13"/>
      <c r="E118" s="14"/>
      <c r="F118" s="13"/>
      <c r="G118" s="13"/>
      <c r="H118" s="13"/>
      <c r="I118" s="13"/>
      <c r="J118" s="13"/>
      <c r="K118" s="13"/>
      <c r="L118" s="13"/>
      <c r="M118" s="13"/>
      <c r="N118" s="30"/>
      <c r="O118" s="13"/>
      <c r="P118" s="13"/>
      <c r="Q118" s="13"/>
      <c r="R118" s="14"/>
      <c r="S118" s="45"/>
      <c r="T118" s="34"/>
      <c r="U118" s="34"/>
      <c r="V118" s="34"/>
      <c r="W118" s="34"/>
      <c r="X118" s="34"/>
      <c r="Y118" s="34"/>
      <c r="Z118" s="34"/>
      <c r="AA118" s="34"/>
      <c r="AB118" s="34"/>
      <c r="AC118" s="34"/>
      <c r="AD118" s="34"/>
    </row>
    <row r="119" ht="15.75" customHeight="1">
      <c r="A119" s="13"/>
      <c r="B119" s="13"/>
      <c r="C119" s="13"/>
      <c r="D119" s="13"/>
      <c r="E119" s="14"/>
      <c r="F119" s="13"/>
      <c r="G119" s="13"/>
      <c r="H119" s="13"/>
      <c r="I119" s="13"/>
      <c r="J119" s="13"/>
      <c r="K119" s="13"/>
      <c r="L119" s="13"/>
      <c r="M119" s="13"/>
      <c r="N119" s="30"/>
      <c r="O119" s="13"/>
      <c r="P119" s="13"/>
      <c r="Q119" s="13"/>
      <c r="R119" s="14"/>
      <c r="S119" s="45"/>
      <c r="T119" s="34"/>
      <c r="U119" s="34"/>
      <c r="V119" s="34"/>
      <c r="W119" s="34"/>
      <c r="X119" s="34"/>
      <c r="Y119" s="34"/>
      <c r="Z119" s="34"/>
      <c r="AA119" s="34"/>
      <c r="AB119" s="34"/>
      <c r="AC119" s="34"/>
      <c r="AD119" s="34"/>
    </row>
    <row r="120" ht="15.75" customHeight="1">
      <c r="A120" s="13"/>
      <c r="B120" s="13"/>
      <c r="C120" s="13"/>
      <c r="D120" s="13"/>
      <c r="E120" s="14"/>
      <c r="F120" s="13"/>
      <c r="G120" s="13"/>
      <c r="H120" s="13"/>
      <c r="I120" s="13"/>
      <c r="J120" s="13"/>
      <c r="K120" s="13"/>
      <c r="L120" s="13"/>
      <c r="M120" s="13"/>
      <c r="N120" s="30"/>
      <c r="O120" s="13"/>
      <c r="P120" s="13"/>
      <c r="Q120" s="13"/>
      <c r="R120" s="14"/>
      <c r="S120" s="45"/>
      <c r="T120" s="34"/>
      <c r="U120" s="34"/>
      <c r="V120" s="34"/>
      <c r="W120" s="34"/>
      <c r="X120" s="34"/>
      <c r="Y120" s="34"/>
      <c r="Z120" s="34"/>
      <c r="AA120" s="34"/>
      <c r="AB120" s="34"/>
      <c r="AC120" s="34"/>
      <c r="AD120" s="34"/>
    </row>
    <row r="121" ht="15.75" customHeight="1">
      <c r="A121" s="13"/>
      <c r="B121" s="13"/>
      <c r="C121" s="13"/>
      <c r="D121" s="13"/>
      <c r="E121" s="14"/>
      <c r="F121" s="13"/>
      <c r="G121" s="13"/>
      <c r="H121" s="13"/>
      <c r="I121" s="13"/>
      <c r="J121" s="13"/>
      <c r="K121" s="13"/>
      <c r="L121" s="13"/>
      <c r="M121" s="13"/>
      <c r="N121" s="30"/>
      <c r="O121" s="13"/>
      <c r="P121" s="13"/>
      <c r="Q121" s="13"/>
      <c r="R121" s="14"/>
      <c r="S121" s="45"/>
      <c r="T121" s="34"/>
      <c r="U121" s="34"/>
      <c r="V121" s="34"/>
      <c r="W121" s="34"/>
      <c r="X121" s="34"/>
      <c r="Y121" s="34"/>
      <c r="Z121" s="34"/>
      <c r="AA121" s="34"/>
      <c r="AB121" s="34"/>
      <c r="AC121" s="34"/>
      <c r="AD121" s="34"/>
    </row>
    <row r="122" ht="15.75" customHeight="1">
      <c r="A122" s="13"/>
      <c r="B122" s="13"/>
      <c r="C122" s="13"/>
      <c r="D122" s="13"/>
      <c r="E122" s="14"/>
      <c r="F122" s="13"/>
      <c r="G122" s="13"/>
      <c r="H122" s="13"/>
      <c r="I122" s="13"/>
      <c r="J122" s="13"/>
      <c r="K122" s="13"/>
      <c r="L122" s="13"/>
      <c r="M122" s="13"/>
      <c r="N122" s="30"/>
      <c r="O122" s="13"/>
      <c r="P122" s="13"/>
      <c r="Q122" s="13"/>
      <c r="R122" s="14"/>
      <c r="S122" s="45"/>
      <c r="T122" s="34"/>
      <c r="U122" s="34"/>
      <c r="V122" s="34"/>
      <c r="W122" s="34"/>
      <c r="X122" s="34"/>
      <c r="Y122" s="34"/>
      <c r="Z122" s="34"/>
      <c r="AA122" s="34"/>
      <c r="AB122" s="34"/>
      <c r="AC122" s="34"/>
      <c r="AD122" s="34"/>
    </row>
    <row r="123" ht="15.75" customHeight="1">
      <c r="A123" s="13"/>
      <c r="B123" s="13"/>
      <c r="C123" s="13"/>
      <c r="D123" s="13"/>
      <c r="E123" s="14"/>
      <c r="F123" s="13"/>
      <c r="G123" s="13"/>
      <c r="H123" s="13"/>
      <c r="I123" s="13"/>
      <c r="J123" s="13"/>
      <c r="K123" s="13"/>
      <c r="L123" s="13"/>
      <c r="M123" s="13"/>
      <c r="N123" s="30"/>
      <c r="O123" s="13"/>
      <c r="P123" s="13"/>
      <c r="Q123" s="13"/>
      <c r="R123" s="14"/>
      <c r="S123" s="45"/>
      <c r="T123" s="34"/>
      <c r="U123" s="34"/>
      <c r="V123" s="34"/>
      <c r="W123" s="34"/>
      <c r="X123" s="34"/>
      <c r="Y123" s="34"/>
      <c r="Z123" s="34"/>
      <c r="AA123" s="34"/>
      <c r="AB123" s="34"/>
      <c r="AC123" s="34"/>
      <c r="AD123" s="34"/>
    </row>
    <row r="124" ht="15.75" customHeight="1">
      <c r="A124" s="13"/>
      <c r="B124" s="13"/>
      <c r="C124" s="13"/>
      <c r="D124" s="13"/>
      <c r="E124" s="14"/>
      <c r="F124" s="13"/>
      <c r="G124" s="13"/>
      <c r="H124" s="13"/>
      <c r="I124" s="13"/>
      <c r="J124" s="13"/>
      <c r="K124" s="13"/>
      <c r="L124" s="13"/>
      <c r="M124" s="13"/>
      <c r="N124" s="30"/>
      <c r="O124" s="13"/>
      <c r="P124" s="13"/>
      <c r="Q124" s="13"/>
      <c r="R124" s="14"/>
      <c r="S124" s="45"/>
      <c r="T124" s="34"/>
      <c r="U124" s="34"/>
      <c r="V124" s="34"/>
      <c r="W124" s="34"/>
      <c r="X124" s="34"/>
      <c r="Y124" s="34"/>
      <c r="Z124" s="34"/>
      <c r="AA124" s="34"/>
      <c r="AB124" s="34"/>
      <c r="AC124" s="34"/>
      <c r="AD124" s="34"/>
    </row>
    <row r="125" ht="15.75" customHeight="1">
      <c r="A125" s="13"/>
      <c r="B125" s="13"/>
      <c r="C125" s="13"/>
      <c r="D125" s="13"/>
      <c r="E125" s="14"/>
      <c r="F125" s="13"/>
      <c r="G125" s="13"/>
      <c r="H125" s="13"/>
      <c r="I125" s="13"/>
      <c r="J125" s="13"/>
      <c r="K125" s="13"/>
      <c r="L125" s="13"/>
      <c r="M125" s="13"/>
      <c r="N125" s="30"/>
      <c r="O125" s="13"/>
      <c r="P125" s="13"/>
      <c r="Q125" s="13"/>
      <c r="R125" s="14"/>
      <c r="S125" s="45"/>
      <c r="T125" s="34"/>
      <c r="U125" s="34"/>
      <c r="V125" s="34"/>
      <c r="W125" s="34"/>
      <c r="X125" s="34"/>
      <c r="Y125" s="34"/>
      <c r="Z125" s="34"/>
      <c r="AA125" s="34"/>
      <c r="AB125" s="34"/>
      <c r="AC125" s="34"/>
      <c r="AD125" s="34"/>
    </row>
    <row r="126" ht="15.75" customHeight="1">
      <c r="A126" s="13"/>
      <c r="B126" s="13"/>
      <c r="C126" s="13"/>
      <c r="D126" s="13"/>
      <c r="E126" s="14"/>
      <c r="F126" s="13"/>
      <c r="G126" s="13"/>
      <c r="H126" s="13"/>
      <c r="I126" s="13"/>
      <c r="J126" s="13"/>
      <c r="K126" s="13"/>
      <c r="L126" s="13"/>
      <c r="M126" s="13"/>
      <c r="N126" s="30"/>
      <c r="O126" s="13"/>
      <c r="P126" s="13"/>
      <c r="Q126" s="13"/>
      <c r="R126" s="14"/>
      <c r="S126" s="45"/>
      <c r="T126" s="34"/>
      <c r="U126" s="34"/>
      <c r="V126" s="34"/>
      <c r="W126" s="34"/>
      <c r="X126" s="34"/>
      <c r="Y126" s="34"/>
      <c r="Z126" s="34"/>
      <c r="AA126" s="34"/>
      <c r="AB126" s="34"/>
      <c r="AC126" s="34"/>
      <c r="AD126" s="34"/>
    </row>
    <row r="127" ht="15.75" customHeight="1">
      <c r="A127" s="13"/>
      <c r="B127" s="13"/>
      <c r="C127" s="13"/>
      <c r="D127" s="13"/>
      <c r="E127" s="14"/>
      <c r="F127" s="13"/>
      <c r="G127" s="13"/>
      <c r="H127" s="13"/>
      <c r="I127" s="13"/>
      <c r="J127" s="13"/>
      <c r="K127" s="13"/>
      <c r="L127" s="13"/>
      <c r="M127" s="13"/>
      <c r="N127" s="30"/>
      <c r="O127" s="13"/>
      <c r="P127" s="13"/>
      <c r="Q127" s="13"/>
      <c r="R127" s="14"/>
      <c r="S127" s="45"/>
      <c r="T127" s="34"/>
      <c r="U127" s="34"/>
      <c r="V127" s="34"/>
      <c r="W127" s="34"/>
      <c r="X127" s="34"/>
      <c r="Y127" s="34"/>
      <c r="Z127" s="34"/>
      <c r="AA127" s="34"/>
      <c r="AB127" s="34"/>
      <c r="AC127" s="34"/>
      <c r="AD127" s="34"/>
    </row>
    <row r="128" ht="15.75" customHeight="1">
      <c r="A128" s="13"/>
      <c r="B128" s="13"/>
      <c r="C128" s="13"/>
      <c r="D128" s="13"/>
      <c r="E128" s="14"/>
      <c r="F128" s="13"/>
      <c r="G128" s="13"/>
      <c r="H128" s="13"/>
      <c r="I128" s="13"/>
      <c r="J128" s="13"/>
      <c r="K128" s="13"/>
      <c r="L128" s="13"/>
      <c r="M128" s="13"/>
      <c r="N128" s="30"/>
      <c r="O128" s="13"/>
      <c r="P128" s="13"/>
      <c r="Q128" s="13"/>
      <c r="R128" s="14"/>
      <c r="S128" s="45"/>
      <c r="T128" s="34"/>
      <c r="U128" s="34"/>
      <c r="V128" s="34"/>
      <c r="W128" s="34"/>
      <c r="X128" s="34"/>
      <c r="Y128" s="34"/>
      <c r="Z128" s="34"/>
      <c r="AA128" s="34"/>
      <c r="AB128" s="34"/>
      <c r="AC128" s="34"/>
      <c r="AD128" s="34"/>
    </row>
    <row r="129" ht="15.75" customHeight="1">
      <c r="A129" s="13"/>
      <c r="B129" s="13"/>
      <c r="C129" s="13"/>
      <c r="D129" s="13"/>
      <c r="E129" s="14"/>
      <c r="F129" s="13"/>
      <c r="G129" s="13"/>
      <c r="H129" s="13"/>
      <c r="I129" s="13"/>
      <c r="J129" s="13"/>
      <c r="K129" s="13"/>
      <c r="L129" s="13"/>
      <c r="M129" s="13"/>
      <c r="N129" s="30"/>
      <c r="O129" s="13"/>
      <c r="P129" s="13"/>
      <c r="Q129" s="13"/>
      <c r="R129" s="14"/>
      <c r="S129" s="45"/>
      <c r="T129" s="34"/>
      <c r="U129" s="34"/>
      <c r="V129" s="34"/>
      <c r="W129" s="34"/>
      <c r="X129" s="34"/>
      <c r="Y129" s="34"/>
      <c r="Z129" s="34"/>
      <c r="AA129" s="34"/>
      <c r="AB129" s="34"/>
      <c r="AC129" s="34"/>
      <c r="AD129" s="34"/>
    </row>
    <row r="130" ht="15.75" customHeight="1">
      <c r="A130" s="13"/>
      <c r="B130" s="13"/>
      <c r="C130" s="13"/>
      <c r="D130" s="13"/>
      <c r="E130" s="14"/>
      <c r="F130" s="13"/>
      <c r="G130" s="13"/>
      <c r="H130" s="13"/>
      <c r="I130" s="13"/>
      <c r="J130" s="13"/>
      <c r="K130" s="13"/>
      <c r="L130" s="13"/>
      <c r="M130" s="13"/>
      <c r="N130" s="30"/>
      <c r="O130" s="13"/>
      <c r="P130" s="13"/>
      <c r="Q130" s="13"/>
      <c r="R130" s="14"/>
      <c r="S130" s="45"/>
      <c r="T130" s="34"/>
      <c r="U130" s="34"/>
      <c r="V130" s="34"/>
      <c r="W130" s="34"/>
      <c r="X130" s="34"/>
      <c r="Y130" s="34"/>
      <c r="Z130" s="34"/>
      <c r="AA130" s="34"/>
      <c r="AB130" s="34"/>
      <c r="AC130" s="34"/>
      <c r="AD130" s="34"/>
    </row>
    <row r="131" ht="15.75" customHeight="1">
      <c r="A131" s="13"/>
      <c r="B131" s="13"/>
      <c r="C131" s="13"/>
      <c r="D131" s="13"/>
      <c r="E131" s="14"/>
      <c r="F131" s="13"/>
      <c r="G131" s="13"/>
      <c r="H131" s="13"/>
      <c r="I131" s="13"/>
      <c r="J131" s="13"/>
      <c r="K131" s="13"/>
      <c r="L131" s="13"/>
      <c r="M131" s="13"/>
      <c r="N131" s="30"/>
      <c r="O131" s="13"/>
      <c r="P131" s="13"/>
      <c r="Q131" s="13"/>
      <c r="R131" s="14"/>
      <c r="S131" s="45"/>
      <c r="T131" s="34"/>
      <c r="U131" s="34"/>
      <c r="V131" s="34"/>
      <c r="W131" s="34"/>
      <c r="X131" s="34"/>
      <c r="Y131" s="34"/>
      <c r="Z131" s="34"/>
      <c r="AA131" s="34"/>
      <c r="AB131" s="34"/>
      <c r="AC131" s="34"/>
      <c r="AD131" s="34"/>
    </row>
    <row r="132" ht="15.75" customHeight="1">
      <c r="A132" s="13"/>
      <c r="B132" s="13"/>
      <c r="C132" s="13"/>
      <c r="D132" s="13"/>
      <c r="E132" s="14"/>
      <c r="F132" s="13"/>
      <c r="G132" s="13"/>
      <c r="H132" s="13"/>
      <c r="I132" s="13"/>
      <c r="J132" s="13"/>
      <c r="K132" s="13"/>
      <c r="L132" s="13"/>
      <c r="M132" s="13"/>
      <c r="N132" s="30"/>
      <c r="O132" s="13"/>
      <c r="P132" s="13"/>
      <c r="Q132" s="13"/>
      <c r="R132" s="14"/>
      <c r="S132" s="45"/>
      <c r="T132" s="34"/>
      <c r="U132" s="34"/>
      <c r="V132" s="34"/>
      <c r="W132" s="34"/>
      <c r="X132" s="34"/>
      <c r="Y132" s="34"/>
      <c r="Z132" s="34"/>
      <c r="AA132" s="34"/>
      <c r="AB132" s="34"/>
      <c r="AC132" s="34"/>
      <c r="AD132" s="34"/>
    </row>
    <row r="133" ht="15.75" customHeight="1">
      <c r="A133" s="13"/>
      <c r="B133" s="13"/>
      <c r="C133" s="13"/>
      <c r="D133" s="13"/>
      <c r="E133" s="14"/>
      <c r="F133" s="13"/>
      <c r="G133" s="13"/>
      <c r="H133" s="13"/>
      <c r="I133" s="13"/>
      <c r="J133" s="13"/>
      <c r="K133" s="13"/>
      <c r="L133" s="13"/>
      <c r="M133" s="13"/>
      <c r="N133" s="30"/>
      <c r="O133" s="13"/>
      <c r="P133" s="13"/>
      <c r="Q133" s="13"/>
      <c r="R133" s="14"/>
      <c r="S133" s="45"/>
      <c r="T133" s="34"/>
      <c r="U133" s="34"/>
      <c r="V133" s="34"/>
      <c r="W133" s="34"/>
      <c r="X133" s="34"/>
      <c r="Y133" s="34"/>
      <c r="Z133" s="34"/>
      <c r="AA133" s="34"/>
      <c r="AB133" s="34"/>
      <c r="AC133" s="34"/>
      <c r="AD133" s="34"/>
    </row>
    <row r="134" ht="15.75" customHeight="1">
      <c r="A134" s="13"/>
      <c r="B134" s="13"/>
      <c r="C134" s="13"/>
      <c r="D134" s="13"/>
      <c r="E134" s="14"/>
      <c r="F134" s="13"/>
      <c r="G134" s="13"/>
      <c r="H134" s="13"/>
      <c r="I134" s="13"/>
      <c r="J134" s="13"/>
      <c r="K134" s="13"/>
      <c r="L134" s="13"/>
      <c r="M134" s="13"/>
      <c r="N134" s="30"/>
      <c r="O134" s="13"/>
      <c r="P134" s="13"/>
      <c r="Q134" s="13"/>
      <c r="R134" s="14"/>
      <c r="S134" s="45"/>
      <c r="T134" s="34"/>
      <c r="U134" s="34"/>
      <c r="V134" s="34"/>
      <c r="W134" s="34"/>
      <c r="X134" s="34"/>
      <c r="Y134" s="34"/>
      <c r="Z134" s="34"/>
      <c r="AA134" s="34"/>
      <c r="AB134" s="34"/>
      <c r="AC134" s="34"/>
      <c r="AD134" s="34"/>
    </row>
    <row r="135" ht="15.75" customHeight="1">
      <c r="A135" s="13"/>
      <c r="B135" s="13"/>
      <c r="C135" s="13"/>
      <c r="D135" s="13"/>
      <c r="E135" s="14"/>
      <c r="F135" s="13"/>
      <c r="G135" s="13"/>
      <c r="H135" s="13"/>
      <c r="I135" s="13"/>
      <c r="J135" s="13"/>
      <c r="K135" s="13"/>
      <c r="L135" s="13"/>
      <c r="M135" s="13"/>
      <c r="N135" s="30"/>
      <c r="O135" s="13"/>
      <c r="P135" s="13"/>
      <c r="Q135" s="13"/>
      <c r="R135" s="14"/>
      <c r="S135" s="45"/>
      <c r="T135" s="34"/>
      <c r="U135" s="34"/>
      <c r="V135" s="34"/>
      <c r="W135" s="34"/>
      <c r="X135" s="34"/>
      <c r="Y135" s="34"/>
      <c r="Z135" s="34"/>
      <c r="AA135" s="34"/>
      <c r="AB135" s="34"/>
      <c r="AC135" s="34"/>
      <c r="AD135" s="34"/>
    </row>
    <row r="136" ht="15.75" customHeight="1">
      <c r="A136" s="13"/>
      <c r="B136" s="13"/>
      <c r="C136" s="13"/>
      <c r="D136" s="13"/>
      <c r="E136" s="14"/>
      <c r="F136" s="13"/>
      <c r="G136" s="13"/>
      <c r="H136" s="13"/>
      <c r="I136" s="13"/>
      <c r="J136" s="13"/>
      <c r="K136" s="13"/>
      <c r="L136" s="13"/>
      <c r="M136" s="13"/>
      <c r="N136" s="30"/>
      <c r="O136" s="13"/>
      <c r="P136" s="13"/>
      <c r="Q136" s="13"/>
      <c r="R136" s="14"/>
      <c r="S136" s="45"/>
      <c r="T136" s="34"/>
      <c r="U136" s="34"/>
      <c r="V136" s="34"/>
      <c r="W136" s="34"/>
      <c r="X136" s="34"/>
      <c r="Y136" s="34"/>
      <c r="Z136" s="34"/>
      <c r="AA136" s="34"/>
      <c r="AB136" s="34"/>
      <c r="AC136" s="34"/>
      <c r="AD136" s="34"/>
    </row>
    <row r="137" ht="15.75" customHeight="1">
      <c r="A137" s="13"/>
      <c r="B137" s="13"/>
      <c r="C137" s="13"/>
      <c r="D137" s="13"/>
      <c r="E137" s="14"/>
      <c r="F137" s="13"/>
      <c r="G137" s="13"/>
      <c r="H137" s="13"/>
      <c r="I137" s="13"/>
      <c r="J137" s="13"/>
      <c r="K137" s="13"/>
      <c r="L137" s="13"/>
      <c r="M137" s="13"/>
      <c r="N137" s="30"/>
      <c r="O137" s="13"/>
      <c r="P137" s="13"/>
      <c r="Q137" s="13"/>
      <c r="R137" s="14"/>
      <c r="S137" s="45"/>
      <c r="T137" s="34"/>
      <c r="U137" s="34"/>
      <c r="V137" s="34"/>
      <c r="W137" s="34"/>
      <c r="X137" s="34"/>
      <c r="Y137" s="34"/>
      <c r="Z137" s="34"/>
      <c r="AA137" s="34"/>
      <c r="AB137" s="34"/>
      <c r="AC137" s="34"/>
      <c r="AD137" s="34"/>
    </row>
    <row r="138" ht="15.75" customHeight="1">
      <c r="A138" s="13"/>
      <c r="B138" s="13"/>
      <c r="C138" s="13"/>
      <c r="D138" s="13"/>
      <c r="E138" s="14"/>
      <c r="F138" s="13"/>
      <c r="G138" s="13"/>
      <c r="H138" s="13"/>
      <c r="I138" s="13"/>
      <c r="J138" s="13"/>
      <c r="K138" s="13"/>
      <c r="L138" s="13"/>
      <c r="M138" s="13"/>
      <c r="N138" s="30"/>
      <c r="O138" s="13"/>
      <c r="P138" s="13"/>
      <c r="Q138" s="13"/>
      <c r="R138" s="14"/>
      <c r="S138" s="45"/>
      <c r="T138" s="34"/>
      <c r="U138" s="34"/>
      <c r="V138" s="34"/>
      <c r="W138" s="34"/>
      <c r="X138" s="34"/>
      <c r="Y138" s="34"/>
      <c r="Z138" s="34"/>
      <c r="AA138" s="34"/>
      <c r="AB138" s="34"/>
      <c r="AC138" s="34"/>
      <c r="AD138" s="34"/>
    </row>
    <row r="139" ht="15.75" customHeight="1">
      <c r="A139" s="13"/>
      <c r="B139" s="13"/>
      <c r="C139" s="13"/>
      <c r="D139" s="13"/>
      <c r="E139" s="14"/>
      <c r="F139" s="13"/>
      <c r="G139" s="13"/>
      <c r="H139" s="13"/>
      <c r="I139" s="13"/>
      <c r="J139" s="13"/>
      <c r="K139" s="13"/>
      <c r="L139" s="13"/>
      <c r="M139" s="13"/>
      <c r="N139" s="30"/>
      <c r="O139" s="13"/>
      <c r="P139" s="13"/>
      <c r="Q139" s="13"/>
      <c r="R139" s="14"/>
      <c r="S139" s="45"/>
      <c r="T139" s="34"/>
      <c r="U139" s="34"/>
      <c r="V139" s="34"/>
      <c r="W139" s="34"/>
      <c r="X139" s="34"/>
      <c r="Y139" s="34"/>
      <c r="Z139" s="34"/>
      <c r="AA139" s="34"/>
      <c r="AB139" s="34"/>
      <c r="AC139" s="34"/>
      <c r="AD139" s="34"/>
    </row>
    <row r="140" ht="15.75" customHeight="1">
      <c r="A140" s="13"/>
      <c r="B140" s="13"/>
      <c r="C140" s="13"/>
      <c r="D140" s="13"/>
      <c r="E140" s="14"/>
      <c r="F140" s="13"/>
      <c r="G140" s="13"/>
      <c r="H140" s="13"/>
      <c r="I140" s="13"/>
      <c r="J140" s="13"/>
      <c r="K140" s="13"/>
      <c r="L140" s="13"/>
      <c r="M140" s="13"/>
      <c r="N140" s="30"/>
      <c r="O140" s="13"/>
      <c r="P140" s="13"/>
      <c r="Q140" s="13"/>
      <c r="R140" s="14"/>
      <c r="S140" s="45"/>
      <c r="T140" s="34"/>
      <c r="U140" s="34"/>
      <c r="V140" s="34"/>
      <c r="W140" s="34"/>
      <c r="X140" s="34"/>
      <c r="Y140" s="34"/>
      <c r="Z140" s="34"/>
      <c r="AA140" s="34"/>
      <c r="AB140" s="34"/>
      <c r="AC140" s="34"/>
      <c r="AD140" s="34"/>
    </row>
    <row r="141" ht="15.75" customHeight="1">
      <c r="A141" s="13"/>
      <c r="B141" s="13"/>
      <c r="C141" s="13"/>
      <c r="D141" s="13"/>
      <c r="E141" s="14"/>
      <c r="F141" s="13"/>
      <c r="G141" s="13"/>
      <c r="H141" s="13"/>
      <c r="I141" s="13"/>
      <c r="J141" s="13"/>
      <c r="K141" s="13"/>
      <c r="L141" s="13"/>
      <c r="M141" s="13"/>
      <c r="N141" s="30"/>
      <c r="O141" s="13"/>
      <c r="P141" s="13"/>
      <c r="Q141" s="13"/>
      <c r="R141" s="14"/>
      <c r="S141" s="45"/>
      <c r="T141" s="34"/>
      <c r="U141" s="34"/>
      <c r="V141" s="34"/>
      <c r="W141" s="34"/>
      <c r="X141" s="34"/>
      <c r="Y141" s="34"/>
      <c r="Z141" s="34"/>
      <c r="AA141" s="34"/>
      <c r="AB141" s="34"/>
      <c r="AC141" s="34"/>
      <c r="AD141" s="34"/>
    </row>
    <row r="142" ht="15.75" customHeight="1">
      <c r="A142" s="13"/>
      <c r="B142" s="13"/>
      <c r="C142" s="13"/>
      <c r="D142" s="13"/>
      <c r="E142" s="14"/>
      <c r="F142" s="13"/>
      <c r="G142" s="13"/>
      <c r="H142" s="13"/>
      <c r="I142" s="13"/>
      <c r="J142" s="13"/>
      <c r="K142" s="13"/>
      <c r="L142" s="13"/>
      <c r="M142" s="13"/>
      <c r="N142" s="30"/>
      <c r="O142" s="13"/>
      <c r="P142" s="13"/>
      <c r="Q142" s="13"/>
      <c r="R142" s="14"/>
      <c r="S142" s="45"/>
      <c r="T142" s="34"/>
      <c r="U142" s="34"/>
      <c r="V142" s="34"/>
      <c r="W142" s="34"/>
      <c r="X142" s="34"/>
      <c r="Y142" s="34"/>
      <c r="Z142" s="34"/>
      <c r="AA142" s="34"/>
      <c r="AB142" s="34"/>
      <c r="AC142" s="34"/>
      <c r="AD142" s="34"/>
    </row>
    <row r="143" ht="15.75" customHeight="1">
      <c r="A143" s="13"/>
      <c r="B143" s="13"/>
      <c r="C143" s="13"/>
      <c r="D143" s="13"/>
      <c r="E143" s="14"/>
      <c r="F143" s="13"/>
      <c r="G143" s="13"/>
      <c r="H143" s="13"/>
      <c r="I143" s="13"/>
      <c r="J143" s="13"/>
      <c r="K143" s="13"/>
      <c r="L143" s="13"/>
      <c r="M143" s="13"/>
      <c r="N143" s="30"/>
      <c r="O143" s="13"/>
      <c r="P143" s="13"/>
      <c r="Q143" s="13"/>
      <c r="R143" s="14"/>
      <c r="S143" s="45"/>
      <c r="T143" s="34"/>
      <c r="U143" s="34"/>
      <c r="V143" s="34"/>
      <c r="W143" s="34"/>
      <c r="X143" s="34"/>
      <c r="Y143" s="34"/>
      <c r="Z143" s="34"/>
      <c r="AA143" s="34"/>
      <c r="AB143" s="34"/>
      <c r="AC143" s="34"/>
      <c r="AD143" s="34"/>
    </row>
    <row r="144" ht="15.75" customHeight="1">
      <c r="A144" s="13"/>
      <c r="B144" s="13"/>
      <c r="C144" s="13"/>
      <c r="D144" s="13"/>
      <c r="E144" s="14"/>
      <c r="F144" s="13"/>
      <c r="G144" s="13"/>
      <c r="H144" s="13"/>
      <c r="I144" s="13"/>
      <c r="J144" s="13"/>
      <c r="K144" s="13"/>
      <c r="L144" s="13"/>
      <c r="M144" s="13"/>
      <c r="N144" s="30"/>
      <c r="O144" s="13"/>
      <c r="P144" s="13"/>
      <c r="Q144" s="13"/>
      <c r="R144" s="14"/>
      <c r="S144" s="45"/>
      <c r="T144" s="34"/>
      <c r="U144" s="34"/>
      <c r="V144" s="34"/>
      <c r="W144" s="34"/>
      <c r="X144" s="34"/>
      <c r="Y144" s="34"/>
      <c r="Z144" s="34"/>
      <c r="AA144" s="34"/>
      <c r="AB144" s="34"/>
      <c r="AC144" s="34"/>
      <c r="AD144" s="34"/>
    </row>
    <row r="145" ht="15.75" customHeight="1">
      <c r="A145" s="13"/>
      <c r="B145" s="13"/>
      <c r="C145" s="13"/>
      <c r="D145" s="13"/>
      <c r="E145" s="14"/>
      <c r="F145" s="13"/>
      <c r="G145" s="13"/>
      <c r="H145" s="13"/>
      <c r="I145" s="13"/>
      <c r="J145" s="13"/>
      <c r="K145" s="13"/>
      <c r="L145" s="13"/>
      <c r="M145" s="13"/>
      <c r="N145" s="30"/>
      <c r="O145" s="13"/>
      <c r="P145" s="13"/>
      <c r="Q145" s="13"/>
      <c r="R145" s="14"/>
      <c r="S145" s="45"/>
      <c r="T145" s="34"/>
      <c r="U145" s="34"/>
      <c r="V145" s="34"/>
      <c r="W145" s="34"/>
      <c r="X145" s="34"/>
      <c r="Y145" s="34"/>
      <c r="Z145" s="34"/>
      <c r="AA145" s="34"/>
      <c r="AB145" s="34"/>
      <c r="AC145" s="34"/>
      <c r="AD145" s="34"/>
    </row>
    <row r="146" ht="15.75" customHeight="1">
      <c r="A146" s="13"/>
      <c r="B146" s="13"/>
      <c r="C146" s="13"/>
      <c r="D146" s="13"/>
      <c r="E146" s="14"/>
      <c r="F146" s="13"/>
      <c r="G146" s="13"/>
      <c r="H146" s="13"/>
      <c r="I146" s="13"/>
      <c r="J146" s="13"/>
      <c r="K146" s="13"/>
      <c r="L146" s="13"/>
      <c r="M146" s="13"/>
      <c r="N146" s="30"/>
      <c r="O146" s="13"/>
      <c r="P146" s="13"/>
      <c r="Q146" s="13"/>
      <c r="R146" s="14"/>
      <c r="S146" s="45"/>
      <c r="T146" s="34"/>
      <c r="U146" s="34"/>
      <c r="V146" s="34"/>
      <c r="W146" s="34"/>
      <c r="X146" s="34"/>
      <c r="Y146" s="34"/>
      <c r="Z146" s="34"/>
      <c r="AA146" s="34"/>
      <c r="AB146" s="34"/>
      <c r="AC146" s="34"/>
      <c r="AD146" s="34"/>
    </row>
    <row r="147" ht="15.75" customHeight="1">
      <c r="A147" s="13"/>
      <c r="B147" s="13"/>
      <c r="C147" s="13"/>
      <c r="D147" s="13"/>
      <c r="E147" s="14"/>
      <c r="F147" s="13"/>
      <c r="G147" s="13"/>
      <c r="H147" s="13"/>
      <c r="I147" s="13"/>
      <c r="J147" s="13"/>
      <c r="K147" s="13"/>
      <c r="L147" s="13"/>
      <c r="M147" s="13"/>
      <c r="N147" s="30"/>
      <c r="O147" s="13"/>
      <c r="P147" s="13"/>
      <c r="Q147" s="13"/>
      <c r="R147" s="14"/>
      <c r="S147" s="45"/>
      <c r="T147" s="34"/>
      <c r="U147" s="34"/>
      <c r="V147" s="34"/>
      <c r="W147" s="34"/>
      <c r="X147" s="34"/>
      <c r="Y147" s="34"/>
      <c r="Z147" s="34"/>
      <c r="AA147" s="34"/>
      <c r="AB147" s="34"/>
      <c r="AC147" s="34"/>
      <c r="AD147" s="34"/>
    </row>
    <row r="148" ht="15.75" customHeight="1">
      <c r="A148" s="13"/>
      <c r="B148" s="13"/>
      <c r="C148" s="13"/>
      <c r="D148" s="13"/>
      <c r="E148" s="14"/>
      <c r="F148" s="13"/>
      <c r="G148" s="13"/>
      <c r="H148" s="13"/>
      <c r="I148" s="13"/>
      <c r="J148" s="13"/>
      <c r="K148" s="13"/>
      <c r="L148" s="13"/>
      <c r="M148" s="13"/>
      <c r="N148" s="30"/>
      <c r="O148" s="13"/>
      <c r="P148" s="13"/>
      <c r="Q148" s="13"/>
      <c r="R148" s="14"/>
      <c r="S148" s="45"/>
      <c r="T148" s="34"/>
      <c r="U148" s="34"/>
      <c r="V148" s="34"/>
      <c r="W148" s="34"/>
      <c r="X148" s="34"/>
      <c r="Y148" s="34"/>
      <c r="Z148" s="34"/>
      <c r="AA148" s="34"/>
      <c r="AB148" s="34"/>
      <c r="AC148" s="34"/>
      <c r="AD148" s="34"/>
    </row>
    <row r="149" ht="15.75" customHeight="1">
      <c r="A149" s="13"/>
      <c r="B149" s="13"/>
      <c r="C149" s="13"/>
      <c r="D149" s="13"/>
      <c r="E149" s="14"/>
      <c r="F149" s="13"/>
      <c r="G149" s="13"/>
      <c r="H149" s="13"/>
      <c r="I149" s="13"/>
      <c r="J149" s="13"/>
      <c r="K149" s="13"/>
      <c r="L149" s="13"/>
      <c r="M149" s="13"/>
      <c r="N149" s="30"/>
      <c r="O149" s="13"/>
      <c r="P149" s="13"/>
      <c r="Q149" s="13"/>
      <c r="R149" s="14"/>
      <c r="S149" s="45"/>
      <c r="T149" s="34"/>
      <c r="U149" s="34"/>
      <c r="V149" s="34"/>
      <c r="W149" s="34"/>
      <c r="X149" s="34"/>
      <c r="Y149" s="34"/>
      <c r="Z149" s="34"/>
      <c r="AA149" s="34"/>
      <c r="AB149" s="34"/>
      <c r="AC149" s="34"/>
      <c r="AD149" s="34"/>
    </row>
    <row r="150" ht="15.75" customHeight="1">
      <c r="A150" s="13"/>
      <c r="B150" s="13"/>
      <c r="C150" s="13"/>
      <c r="D150" s="13"/>
      <c r="E150" s="14"/>
      <c r="F150" s="13"/>
      <c r="G150" s="13"/>
      <c r="H150" s="13"/>
      <c r="I150" s="13"/>
      <c r="J150" s="13"/>
      <c r="K150" s="13"/>
      <c r="L150" s="13"/>
      <c r="M150" s="13"/>
      <c r="N150" s="30"/>
      <c r="O150" s="13"/>
      <c r="P150" s="13"/>
      <c r="Q150" s="13"/>
      <c r="R150" s="14"/>
      <c r="S150" s="45"/>
      <c r="T150" s="34"/>
      <c r="U150" s="34"/>
      <c r="V150" s="34"/>
      <c r="W150" s="34"/>
      <c r="X150" s="34"/>
      <c r="Y150" s="34"/>
      <c r="Z150" s="34"/>
      <c r="AA150" s="34"/>
      <c r="AB150" s="34"/>
      <c r="AC150" s="34"/>
      <c r="AD150" s="34"/>
    </row>
    <row r="151" ht="15.75" customHeight="1">
      <c r="A151" s="13"/>
      <c r="B151" s="13"/>
      <c r="C151" s="13"/>
      <c r="D151" s="13"/>
      <c r="E151" s="14"/>
      <c r="F151" s="13"/>
      <c r="G151" s="13"/>
      <c r="H151" s="13"/>
      <c r="I151" s="13"/>
      <c r="J151" s="13"/>
      <c r="K151" s="13"/>
      <c r="L151" s="13"/>
      <c r="M151" s="13"/>
      <c r="N151" s="30"/>
      <c r="O151" s="13"/>
      <c r="P151" s="13"/>
      <c r="Q151" s="13"/>
      <c r="R151" s="14"/>
      <c r="S151" s="45"/>
      <c r="T151" s="34"/>
      <c r="U151" s="34"/>
      <c r="V151" s="34"/>
      <c r="W151" s="34"/>
      <c r="X151" s="34"/>
      <c r="Y151" s="34"/>
      <c r="Z151" s="34"/>
      <c r="AA151" s="34"/>
      <c r="AB151" s="34"/>
      <c r="AC151" s="34"/>
      <c r="AD151" s="34"/>
    </row>
    <row r="152" ht="15.75" customHeight="1">
      <c r="A152" s="13"/>
      <c r="B152" s="13"/>
      <c r="C152" s="13"/>
      <c r="D152" s="13"/>
      <c r="E152" s="14"/>
      <c r="F152" s="13"/>
      <c r="G152" s="13"/>
      <c r="H152" s="13"/>
      <c r="I152" s="13"/>
      <c r="J152" s="13"/>
      <c r="K152" s="13"/>
      <c r="L152" s="13"/>
      <c r="M152" s="13"/>
      <c r="N152" s="30"/>
      <c r="O152" s="13"/>
      <c r="P152" s="13"/>
      <c r="Q152" s="13"/>
      <c r="R152" s="14"/>
      <c r="S152" s="45"/>
      <c r="T152" s="34"/>
      <c r="U152" s="34"/>
      <c r="V152" s="34"/>
      <c r="W152" s="34"/>
      <c r="X152" s="34"/>
      <c r="Y152" s="34"/>
      <c r="Z152" s="34"/>
      <c r="AA152" s="34"/>
      <c r="AB152" s="34"/>
      <c r="AC152" s="34"/>
      <c r="AD152" s="34"/>
    </row>
    <row r="153" ht="15.75" customHeight="1">
      <c r="A153" s="13"/>
      <c r="B153" s="13"/>
      <c r="C153" s="13"/>
      <c r="D153" s="13"/>
      <c r="E153" s="14"/>
      <c r="F153" s="13"/>
      <c r="G153" s="13"/>
      <c r="H153" s="13"/>
      <c r="I153" s="13"/>
      <c r="J153" s="13"/>
      <c r="K153" s="13"/>
      <c r="L153" s="13"/>
      <c r="M153" s="13"/>
      <c r="N153" s="30"/>
      <c r="O153" s="13"/>
      <c r="P153" s="13"/>
      <c r="Q153" s="13"/>
      <c r="R153" s="14"/>
      <c r="S153" s="45"/>
      <c r="T153" s="34"/>
      <c r="U153" s="34"/>
      <c r="V153" s="34"/>
      <c r="W153" s="34"/>
      <c r="X153" s="34"/>
      <c r="Y153" s="34"/>
      <c r="Z153" s="34"/>
      <c r="AA153" s="34"/>
      <c r="AB153" s="34"/>
      <c r="AC153" s="34"/>
      <c r="AD153" s="34"/>
    </row>
    <row r="154" ht="15.75" customHeight="1">
      <c r="A154" s="13"/>
      <c r="B154" s="13"/>
      <c r="C154" s="13"/>
      <c r="D154" s="13"/>
      <c r="E154" s="14"/>
      <c r="F154" s="13"/>
      <c r="G154" s="13"/>
      <c r="H154" s="13"/>
      <c r="I154" s="13"/>
      <c r="J154" s="13"/>
      <c r="K154" s="13"/>
      <c r="L154" s="13"/>
      <c r="M154" s="13"/>
      <c r="N154" s="30"/>
      <c r="O154" s="13"/>
      <c r="P154" s="13"/>
      <c r="Q154" s="13"/>
      <c r="R154" s="14"/>
      <c r="S154" s="45"/>
      <c r="T154" s="34"/>
      <c r="U154" s="34"/>
      <c r="V154" s="34"/>
      <c r="W154" s="34"/>
      <c r="X154" s="34"/>
      <c r="Y154" s="34"/>
      <c r="Z154" s="34"/>
      <c r="AA154" s="34"/>
      <c r="AB154" s="34"/>
      <c r="AC154" s="34"/>
      <c r="AD154" s="34"/>
    </row>
    <row r="155" ht="15.75" customHeight="1">
      <c r="A155" s="13"/>
      <c r="B155" s="13"/>
      <c r="C155" s="13"/>
      <c r="D155" s="13"/>
      <c r="E155" s="14"/>
      <c r="F155" s="13"/>
      <c r="G155" s="13"/>
      <c r="H155" s="13"/>
      <c r="I155" s="13"/>
      <c r="J155" s="13"/>
      <c r="K155" s="13"/>
      <c r="L155" s="13"/>
      <c r="M155" s="13"/>
      <c r="N155" s="30"/>
      <c r="O155" s="13"/>
      <c r="P155" s="13"/>
      <c r="Q155" s="13"/>
      <c r="R155" s="14"/>
      <c r="S155" s="45"/>
      <c r="T155" s="34"/>
      <c r="U155" s="34"/>
      <c r="V155" s="34"/>
      <c r="W155" s="34"/>
      <c r="X155" s="34"/>
      <c r="Y155" s="34"/>
      <c r="Z155" s="34"/>
      <c r="AA155" s="34"/>
      <c r="AB155" s="34"/>
      <c r="AC155" s="34"/>
      <c r="AD155" s="34"/>
    </row>
    <row r="156" ht="15.75" customHeight="1">
      <c r="A156" s="13"/>
      <c r="B156" s="13"/>
      <c r="C156" s="13"/>
      <c r="D156" s="13"/>
      <c r="E156" s="14"/>
      <c r="F156" s="13"/>
      <c r="G156" s="13"/>
      <c r="H156" s="13"/>
      <c r="I156" s="13"/>
      <c r="J156" s="13"/>
      <c r="K156" s="13"/>
      <c r="L156" s="13"/>
      <c r="M156" s="13"/>
      <c r="N156" s="30"/>
      <c r="O156" s="13"/>
      <c r="P156" s="13"/>
      <c r="Q156" s="13"/>
      <c r="R156" s="14"/>
      <c r="S156" s="45"/>
      <c r="T156" s="34"/>
      <c r="U156" s="34"/>
      <c r="V156" s="34"/>
      <c r="W156" s="34"/>
      <c r="X156" s="34"/>
      <c r="Y156" s="34"/>
      <c r="Z156" s="34"/>
      <c r="AA156" s="34"/>
      <c r="AB156" s="34"/>
      <c r="AC156" s="34"/>
      <c r="AD156" s="34"/>
    </row>
    <row r="157" ht="15.75" customHeight="1">
      <c r="A157" s="13"/>
      <c r="B157" s="13"/>
      <c r="C157" s="13"/>
      <c r="D157" s="13"/>
      <c r="E157" s="14"/>
      <c r="F157" s="13"/>
      <c r="G157" s="13"/>
      <c r="H157" s="13"/>
      <c r="I157" s="13"/>
      <c r="J157" s="13"/>
      <c r="K157" s="13"/>
      <c r="L157" s="13"/>
      <c r="M157" s="13"/>
      <c r="N157" s="30"/>
      <c r="O157" s="13"/>
      <c r="P157" s="13"/>
      <c r="Q157" s="13"/>
      <c r="R157" s="14"/>
      <c r="S157" s="45"/>
      <c r="T157" s="34"/>
      <c r="U157" s="34"/>
      <c r="V157" s="34"/>
      <c r="W157" s="34"/>
      <c r="X157" s="34"/>
      <c r="Y157" s="34"/>
      <c r="Z157" s="34"/>
      <c r="AA157" s="34"/>
      <c r="AB157" s="34"/>
      <c r="AC157" s="34"/>
      <c r="AD157" s="34"/>
    </row>
    <row r="158" ht="15.75" customHeight="1">
      <c r="A158" s="13"/>
      <c r="B158" s="13"/>
      <c r="C158" s="13"/>
      <c r="D158" s="13"/>
      <c r="E158" s="14"/>
      <c r="F158" s="13"/>
      <c r="G158" s="13"/>
      <c r="H158" s="13"/>
      <c r="I158" s="13"/>
      <c r="J158" s="13"/>
      <c r="K158" s="13"/>
      <c r="L158" s="13"/>
      <c r="M158" s="13"/>
      <c r="N158" s="30"/>
      <c r="O158" s="13"/>
      <c r="P158" s="13"/>
      <c r="Q158" s="13"/>
      <c r="R158" s="14"/>
      <c r="S158" s="45"/>
      <c r="T158" s="34"/>
      <c r="U158" s="34"/>
      <c r="V158" s="34"/>
      <c r="W158" s="34"/>
      <c r="X158" s="34"/>
      <c r="Y158" s="34"/>
      <c r="Z158" s="34"/>
      <c r="AA158" s="34"/>
      <c r="AB158" s="34"/>
      <c r="AC158" s="34"/>
      <c r="AD158" s="34"/>
    </row>
    <row r="159" ht="15.75" customHeight="1">
      <c r="A159" s="13"/>
      <c r="B159" s="13"/>
      <c r="C159" s="13"/>
      <c r="D159" s="13"/>
      <c r="E159" s="14"/>
      <c r="F159" s="13"/>
      <c r="G159" s="13"/>
      <c r="H159" s="13"/>
      <c r="I159" s="13"/>
      <c r="J159" s="13"/>
      <c r="K159" s="13"/>
      <c r="L159" s="13"/>
      <c r="M159" s="13"/>
      <c r="N159" s="30"/>
      <c r="O159" s="13"/>
      <c r="P159" s="13"/>
      <c r="Q159" s="13"/>
      <c r="R159" s="14"/>
      <c r="S159" s="45"/>
      <c r="T159" s="34"/>
      <c r="U159" s="34"/>
      <c r="V159" s="34"/>
      <c r="W159" s="34"/>
      <c r="X159" s="34"/>
      <c r="Y159" s="34"/>
      <c r="Z159" s="34"/>
      <c r="AA159" s="34"/>
      <c r="AB159" s="34"/>
      <c r="AC159" s="34"/>
      <c r="AD159" s="34"/>
    </row>
    <row r="160" ht="15.75" customHeight="1">
      <c r="A160" s="13"/>
      <c r="B160" s="13"/>
      <c r="C160" s="13"/>
      <c r="D160" s="13"/>
      <c r="E160" s="14"/>
      <c r="F160" s="13"/>
      <c r="G160" s="13"/>
      <c r="H160" s="13"/>
      <c r="I160" s="13"/>
      <c r="J160" s="13"/>
      <c r="K160" s="13"/>
      <c r="L160" s="13"/>
      <c r="M160" s="13"/>
      <c r="N160" s="30"/>
      <c r="O160" s="13"/>
      <c r="P160" s="13"/>
      <c r="Q160" s="13"/>
      <c r="R160" s="14"/>
      <c r="S160" s="45"/>
      <c r="T160" s="34"/>
      <c r="U160" s="34"/>
      <c r="V160" s="34"/>
      <c r="W160" s="34"/>
      <c r="X160" s="34"/>
      <c r="Y160" s="34"/>
      <c r="Z160" s="34"/>
      <c r="AA160" s="34"/>
      <c r="AB160" s="34"/>
      <c r="AC160" s="34"/>
      <c r="AD160" s="34"/>
    </row>
    <row r="161" ht="15.75" customHeight="1">
      <c r="A161" s="13"/>
      <c r="B161" s="13"/>
      <c r="C161" s="13"/>
      <c r="D161" s="13"/>
      <c r="E161" s="14"/>
      <c r="F161" s="13"/>
      <c r="G161" s="13"/>
      <c r="H161" s="13"/>
      <c r="I161" s="13"/>
      <c r="J161" s="13"/>
      <c r="K161" s="13"/>
      <c r="L161" s="13"/>
      <c r="M161" s="13"/>
      <c r="N161" s="30"/>
      <c r="O161" s="13"/>
      <c r="P161" s="13"/>
      <c r="Q161" s="13"/>
      <c r="R161" s="14"/>
      <c r="S161" s="45"/>
      <c r="T161" s="34"/>
      <c r="U161" s="34"/>
      <c r="V161" s="34"/>
      <c r="W161" s="34"/>
      <c r="X161" s="34"/>
      <c r="Y161" s="34"/>
      <c r="Z161" s="34"/>
      <c r="AA161" s="34"/>
      <c r="AB161" s="34"/>
      <c r="AC161" s="34"/>
      <c r="AD161" s="34"/>
    </row>
    <row r="162" ht="15.75" customHeight="1">
      <c r="A162" s="13"/>
      <c r="B162" s="13"/>
      <c r="C162" s="13"/>
      <c r="D162" s="13"/>
      <c r="E162" s="14"/>
      <c r="F162" s="13"/>
      <c r="G162" s="13"/>
      <c r="H162" s="13"/>
      <c r="I162" s="13"/>
      <c r="J162" s="13"/>
      <c r="K162" s="13"/>
      <c r="L162" s="13"/>
      <c r="M162" s="13"/>
      <c r="N162" s="30"/>
      <c r="O162" s="13"/>
      <c r="P162" s="13"/>
      <c r="Q162" s="13"/>
      <c r="R162" s="14"/>
      <c r="S162" s="45"/>
      <c r="T162" s="34"/>
      <c r="U162" s="34"/>
      <c r="V162" s="34"/>
      <c r="W162" s="34"/>
      <c r="X162" s="34"/>
      <c r="Y162" s="34"/>
      <c r="Z162" s="34"/>
      <c r="AA162" s="34"/>
      <c r="AB162" s="34"/>
      <c r="AC162" s="34"/>
      <c r="AD162" s="34"/>
    </row>
    <row r="163" ht="15.75" customHeight="1">
      <c r="A163" s="13"/>
      <c r="B163" s="13"/>
      <c r="C163" s="13"/>
      <c r="D163" s="13"/>
      <c r="E163" s="14"/>
      <c r="F163" s="13"/>
      <c r="G163" s="13"/>
      <c r="H163" s="13"/>
      <c r="I163" s="13"/>
      <c r="J163" s="13"/>
      <c r="K163" s="13"/>
      <c r="L163" s="13"/>
      <c r="M163" s="13"/>
      <c r="N163" s="30"/>
      <c r="O163" s="13"/>
      <c r="P163" s="13"/>
      <c r="Q163" s="13"/>
      <c r="R163" s="14"/>
      <c r="S163" s="45"/>
      <c r="T163" s="34"/>
      <c r="U163" s="34"/>
      <c r="V163" s="34"/>
      <c r="W163" s="34"/>
      <c r="X163" s="34"/>
      <c r="Y163" s="34"/>
      <c r="Z163" s="34"/>
      <c r="AA163" s="34"/>
      <c r="AB163" s="34"/>
      <c r="AC163" s="34"/>
      <c r="AD163" s="34"/>
    </row>
    <row r="164" ht="15.75" customHeight="1">
      <c r="A164" s="13"/>
      <c r="B164" s="13"/>
      <c r="C164" s="13"/>
      <c r="D164" s="13"/>
      <c r="E164" s="14"/>
      <c r="F164" s="13"/>
      <c r="G164" s="13"/>
      <c r="H164" s="13"/>
      <c r="I164" s="13"/>
      <c r="J164" s="13"/>
      <c r="K164" s="13"/>
      <c r="L164" s="13"/>
      <c r="M164" s="13"/>
      <c r="N164" s="30"/>
      <c r="O164" s="13"/>
      <c r="P164" s="13"/>
      <c r="Q164" s="13"/>
      <c r="R164" s="14"/>
      <c r="S164" s="45"/>
      <c r="T164" s="34"/>
      <c r="U164" s="34"/>
      <c r="V164" s="34"/>
      <c r="W164" s="34"/>
      <c r="X164" s="34"/>
      <c r="Y164" s="34"/>
      <c r="Z164" s="34"/>
      <c r="AA164" s="34"/>
      <c r="AB164" s="34"/>
      <c r="AC164" s="34"/>
      <c r="AD164" s="34"/>
    </row>
    <row r="165" ht="15.75" customHeight="1">
      <c r="A165" s="13"/>
      <c r="B165" s="13"/>
      <c r="C165" s="13"/>
      <c r="D165" s="13"/>
      <c r="E165" s="14"/>
      <c r="F165" s="13"/>
      <c r="G165" s="13"/>
      <c r="H165" s="13"/>
      <c r="I165" s="13"/>
      <c r="J165" s="13"/>
      <c r="K165" s="13"/>
      <c r="L165" s="13"/>
      <c r="M165" s="13"/>
      <c r="N165" s="30"/>
      <c r="O165" s="13"/>
      <c r="P165" s="13"/>
      <c r="Q165" s="13"/>
      <c r="R165" s="14"/>
      <c r="S165" s="45"/>
      <c r="T165" s="34"/>
      <c r="U165" s="34"/>
      <c r="V165" s="34"/>
      <c r="W165" s="34"/>
      <c r="X165" s="34"/>
      <c r="Y165" s="34"/>
      <c r="Z165" s="34"/>
      <c r="AA165" s="34"/>
      <c r="AB165" s="34"/>
      <c r="AC165" s="34"/>
      <c r="AD165" s="34"/>
    </row>
    <row r="166" ht="15.75" customHeight="1">
      <c r="A166" s="13"/>
      <c r="B166" s="13"/>
      <c r="C166" s="13"/>
      <c r="D166" s="13"/>
      <c r="E166" s="14"/>
      <c r="F166" s="13"/>
      <c r="G166" s="13"/>
      <c r="H166" s="13"/>
      <c r="I166" s="13"/>
      <c r="J166" s="13"/>
      <c r="K166" s="13"/>
      <c r="L166" s="13"/>
      <c r="M166" s="13"/>
      <c r="N166" s="30"/>
      <c r="O166" s="13"/>
      <c r="P166" s="13"/>
      <c r="Q166" s="13"/>
      <c r="R166" s="14"/>
      <c r="S166" s="45"/>
      <c r="T166" s="34"/>
      <c r="U166" s="34"/>
      <c r="V166" s="34"/>
      <c r="W166" s="34"/>
      <c r="X166" s="34"/>
      <c r="Y166" s="34"/>
      <c r="Z166" s="34"/>
      <c r="AA166" s="34"/>
      <c r="AB166" s="34"/>
      <c r="AC166" s="34"/>
      <c r="AD166" s="34"/>
    </row>
    <row r="167" ht="15.75" customHeight="1">
      <c r="A167" s="13"/>
      <c r="B167" s="13"/>
      <c r="C167" s="13"/>
      <c r="D167" s="13"/>
      <c r="E167" s="14"/>
      <c r="F167" s="13"/>
      <c r="G167" s="13"/>
      <c r="H167" s="13"/>
      <c r="I167" s="13"/>
      <c r="J167" s="13"/>
      <c r="K167" s="13"/>
      <c r="L167" s="13"/>
      <c r="M167" s="13"/>
      <c r="N167" s="30"/>
      <c r="O167" s="13"/>
      <c r="P167" s="13"/>
      <c r="Q167" s="13"/>
      <c r="R167" s="14"/>
      <c r="S167" s="45"/>
      <c r="T167" s="34"/>
      <c r="U167" s="34"/>
      <c r="V167" s="34"/>
      <c r="W167" s="34"/>
      <c r="X167" s="34"/>
      <c r="Y167" s="34"/>
      <c r="Z167" s="34"/>
      <c r="AA167" s="34"/>
      <c r="AB167" s="34"/>
      <c r="AC167" s="34"/>
      <c r="AD167" s="34"/>
    </row>
    <row r="168" ht="15.75" customHeight="1">
      <c r="A168" s="13"/>
      <c r="B168" s="13"/>
      <c r="C168" s="13"/>
      <c r="D168" s="13"/>
      <c r="E168" s="14"/>
      <c r="F168" s="13"/>
      <c r="G168" s="13"/>
      <c r="H168" s="13"/>
      <c r="I168" s="13"/>
      <c r="J168" s="13"/>
      <c r="K168" s="13"/>
      <c r="L168" s="13"/>
      <c r="M168" s="13"/>
      <c r="N168" s="30"/>
      <c r="O168" s="13"/>
      <c r="P168" s="13"/>
      <c r="Q168" s="13"/>
      <c r="R168" s="14"/>
      <c r="S168" s="45"/>
      <c r="T168" s="34"/>
      <c r="U168" s="34"/>
      <c r="V168" s="34"/>
      <c r="W168" s="34"/>
      <c r="X168" s="34"/>
      <c r="Y168" s="34"/>
      <c r="Z168" s="34"/>
      <c r="AA168" s="34"/>
      <c r="AB168" s="34"/>
      <c r="AC168" s="34"/>
      <c r="AD168" s="34"/>
    </row>
    <row r="169" ht="15.75" customHeight="1">
      <c r="A169" s="13"/>
      <c r="B169" s="13"/>
      <c r="C169" s="13"/>
      <c r="D169" s="13"/>
      <c r="E169" s="14"/>
      <c r="F169" s="13"/>
      <c r="G169" s="13"/>
      <c r="H169" s="13"/>
      <c r="I169" s="13"/>
      <c r="J169" s="13"/>
      <c r="K169" s="13"/>
      <c r="L169" s="13"/>
      <c r="M169" s="13"/>
      <c r="N169" s="30"/>
      <c r="O169" s="13"/>
      <c r="P169" s="13"/>
      <c r="Q169" s="13"/>
      <c r="R169" s="14"/>
      <c r="S169" s="45"/>
      <c r="T169" s="34"/>
      <c r="U169" s="34"/>
      <c r="V169" s="34"/>
      <c r="W169" s="34"/>
      <c r="X169" s="34"/>
      <c r="Y169" s="34"/>
      <c r="Z169" s="34"/>
      <c r="AA169" s="34"/>
      <c r="AB169" s="34"/>
      <c r="AC169" s="34"/>
      <c r="AD169" s="34"/>
    </row>
    <row r="170" ht="15.75" customHeight="1">
      <c r="A170" s="13"/>
      <c r="B170" s="13"/>
      <c r="C170" s="13"/>
      <c r="D170" s="13"/>
      <c r="E170" s="14"/>
      <c r="F170" s="13"/>
      <c r="G170" s="13"/>
      <c r="H170" s="13"/>
      <c r="I170" s="13"/>
      <c r="J170" s="13"/>
      <c r="K170" s="13"/>
      <c r="L170" s="13"/>
      <c r="M170" s="13"/>
      <c r="N170" s="30"/>
      <c r="O170" s="13"/>
      <c r="P170" s="13"/>
      <c r="Q170" s="13"/>
      <c r="R170" s="14"/>
      <c r="S170" s="45"/>
      <c r="T170" s="34"/>
      <c r="U170" s="34"/>
      <c r="V170" s="34"/>
      <c r="W170" s="34"/>
      <c r="X170" s="34"/>
      <c r="Y170" s="34"/>
      <c r="Z170" s="34"/>
      <c r="AA170" s="34"/>
      <c r="AB170" s="34"/>
      <c r="AC170" s="34"/>
      <c r="AD170" s="34"/>
    </row>
    <row r="171" ht="15.75" customHeight="1">
      <c r="A171" s="13"/>
      <c r="B171" s="13"/>
      <c r="C171" s="13"/>
      <c r="D171" s="13"/>
      <c r="E171" s="14"/>
      <c r="F171" s="13"/>
      <c r="G171" s="13"/>
      <c r="H171" s="13"/>
      <c r="I171" s="13"/>
      <c r="J171" s="13"/>
      <c r="K171" s="13"/>
      <c r="L171" s="13"/>
      <c r="M171" s="13"/>
      <c r="N171" s="30"/>
      <c r="O171" s="13"/>
      <c r="P171" s="13"/>
      <c r="Q171" s="13"/>
      <c r="R171" s="14"/>
      <c r="S171" s="45"/>
      <c r="T171" s="34"/>
      <c r="U171" s="34"/>
      <c r="V171" s="34"/>
      <c r="W171" s="34"/>
      <c r="X171" s="34"/>
      <c r="Y171" s="34"/>
      <c r="Z171" s="34"/>
      <c r="AA171" s="34"/>
      <c r="AB171" s="34"/>
      <c r="AC171" s="34"/>
      <c r="AD171" s="34"/>
    </row>
    <row r="172" ht="15.75" customHeight="1">
      <c r="A172" s="13"/>
      <c r="B172" s="13"/>
      <c r="C172" s="13"/>
      <c r="D172" s="13"/>
      <c r="E172" s="14"/>
      <c r="F172" s="13"/>
      <c r="G172" s="13"/>
      <c r="H172" s="13"/>
      <c r="I172" s="13"/>
      <c r="J172" s="13"/>
      <c r="K172" s="13"/>
      <c r="L172" s="13"/>
      <c r="M172" s="13"/>
      <c r="N172" s="30"/>
      <c r="O172" s="13"/>
      <c r="P172" s="13"/>
      <c r="Q172" s="13"/>
      <c r="R172" s="14"/>
      <c r="S172" s="45"/>
      <c r="T172" s="34"/>
      <c r="U172" s="34"/>
      <c r="V172" s="34"/>
      <c r="W172" s="34"/>
      <c r="X172" s="34"/>
      <c r="Y172" s="34"/>
      <c r="Z172" s="34"/>
      <c r="AA172" s="34"/>
      <c r="AB172" s="34"/>
      <c r="AC172" s="34"/>
      <c r="AD172" s="34"/>
    </row>
    <row r="173" ht="15.75" customHeight="1">
      <c r="A173" s="13"/>
      <c r="B173" s="13"/>
      <c r="C173" s="13"/>
      <c r="D173" s="13"/>
      <c r="E173" s="14"/>
      <c r="F173" s="13"/>
      <c r="G173" s="13"/>
      <c r="H173" s="13"/>
      <c r="I173" s="13"/>
      <c r="J173" s="13"/>
      <c r="K173" s="13"/>
      <c r="L173" s="13"/>
      <c r="M173" s="13"/>
      <c r="N173" s="30"/>
      <c r="O173" s="13"/>
      <c r="P173" s="13"/>
      <c r="Q173" s="13"/>
      <c r="R173" s="14"/>
      <c r="S173" s="45"/>
      <c r="T173" s="34"/>
      <c r="U173" s="34"/>
      <c r="V173" s="34"/>
      <c r="W173" s="34"/>
      <c r="X173" s="34"/>
      <c r="Y173" s="34"/>
      <c r="Z173" s="34"/>
      <c r="AA173" s="34"/>
      <c r="AB173" s="34"/>
      <c r="AC173" s="34"/>
      <c r="AD173" s="34"/>
    </row>
    <row r="174" ht="15.75" customHeight="1">
      <c r="A174" s="13"/>
      <c r="B174" s="13"/>
      <c r="C174" s="13"/>
      <c r="D174" s="13"/>
      <c r="E174" s="14"/>
      <c r="F174" s="13"/>
      <c r="G174" s="13"/>
      <c r="H174" s="13"/>
      <c r="I174" s="13"/>
      <c r="J174" s="13"/>
      <c r="K174" s="13"/>
      <c r="L174" s="13"/>
      <c r="M174" s="13"/>
      <c r="N174" s="30"/>
      <c r="O174" s="13"/>
      <c r="P174" s="13"/>
      <c r="Q174" s="13"/>
      <c r="R174" s="14"/>
      <c r="S174" s="45"/>
      <c r="T174" s="34"/>
      <c r="U174" s="34"/>
      <c r="V174" s="34"/>
      <c r="W174" s="34"/>
      <c r="X174" s="34"/>
      <c r="Y174" s="34"/>
      <c r="Z174" s="34"/>
      <c r="AA174" s="34"/>
      <c r="AB174" s="34"/>
      <c r="AC174" s="34"/>
      <c r="AD174" s="34"/>
    </row>
    <row r="175" ht="15.75" customHeight="1">
      <c r="A175" s="13"/>
      <c r="B175" s="13"/>
      <c r="C175" s="13"/>
      <c r="D175" s="13"/>
      <c r="E175" s="14"/>
      <c r="F175" s="13"/>
      <c r="G175" s="13"/>
      <c r="H175" s="13"/>
      <c r="I175" s="13"/>
      <c r="J175" s="13"/>
      <c r="K175" s="13"/>
      <c r="L175" s="13"/>
      <c r="M175" s="13"/>
      <c r="N175" s="30"/>
      <c r="O175" s="13"/>
      <c r="P175" s="13"/>
      <c r="Q175" s="13"/>
      <c r="R175" s="14"/>
      <c r="S175" s="45"/>
      <c r="T175" s="34"/>
      <c r="U175" s="34"/>
      <c r="V175" s="34"/>
      <c r="W175" s="34"/>
      <c r="X175" s="34"/>
      <c r="Y175" s="34"/>
      <c r="Z175" s="34"/>
      <c r="AA175" s="34"/>
      <c r="AB175" s="34"/>
      <c r="AC175" s="34"/>
      <c r="AD175" s="34"/>
    </row>
    <row r="176" ht="15.75" customHeight="1">
      <c r="A176" s="13"/>
      <c r="B176" s="13"/>
      <c r="C176" s="13"/>
      <c r="D176" s="13"/>
      <c r="E176" s="14"/>
      <c r="F176" s="13"/>
      <c r="G176" s="13"/>
      <c r="H176" s="13"/>
      <c r="I176" s="13"/>
      <c r="J176" s="13"/>
      <c r="K176" s="13"/>
      <c r="L176" s="13"/>
      <c r="M176" s="13"/>
      <c r="N176" s="30"/>
      <c r="O176" s="13"/>
      <c r="P176" s="13"/>
      <c r="Q176" s="13"/>
      <c r="R176" s="14"/>
      <c r="S176" s="45"/>
      <c r="T176" s="34"/>
      <c r="U176" s="34"/>
      <c r="V176" s="34"/>
      <c r="W176" s="34"/>
      <c r="X176" s="34"/>
      <c r="Y176" s="34"/>
      <c r="Z176" s="34"/>
      <c r="AA176" s="34"/>
      <c r="AB176" s="34"/>
      <c r="AC176" s="34"/>
      <c r="AD176" s="34"/>
    </row>
    <row r="177" ht="15.75" customHeight="1">
      <c r="A177" s="13"/>
      <c r="B177" s="13"/>
      <c r="C177" s="13"/>
      <c r="D177" s="13"/>
      <c r="E177" s="14"/>
      <c r="F177" s="13"/>
      <c r="G177" s="13"/>
      <c r="H177" s="13"/>
      <c r="I177" s="13"/>
      <c r="J177" s="13"/>
      <c r="K177" s="13"/>
      <c r="L177" s="13"/>
      <c r="M177" s="13"/>
      <c r="N177" s="30"/>
      <c r="O177" s="13"/>
      <c r="P177" s="13"/>
      <c r="Q177" s="13"/>
      <c r="R177" s="14"/>
      <c r="S177" s="45"/>
      <c r="T177" s="34"/>
      <c r="U177" s="34"/>
      <c r="V177" s="34"/>
      <c r="W177" s="34"/>
      <c r="X177" s="34"/>
      <c r="Y177" s="34"/>
      <c r="Z177" s="34"/>
      <c r="AA177" s="34"/>
      <c r="AB177" s="34"/>
      <c r="AC177" s="34"/>
      <c r="AD177" s="34"/>
    </row>
    <row r="178" ht="15.75" customHeight="1">
      <c r="A178" s="13"/>
      <c r="B178" s="13"/>
      <c r="C178" s="13"/>
      <c r="D178" s="13"/>
      <c r="E178" s="14"/>
      <c r="F178" s="13"/>
      <c r="G178" s="13"/>
      <c r="H178" s="13"/>
      <c r="I178" s="13"/>
      <c r="J178" s="13"/>
      <c r="K178" s="13"/>
      <c r="L178" s="13"/>
      <c r="M178" s="13"/>
      <c r="N178" s="30"/>
      <c r="O178" s="13"/>
      <c r="P178" s="13"/>
      <c r="Q178" s="13"/>
      <c r="R178" s="14"/>
      <c r="S178" s="45"/>
      <c r="T178" s="34"/>
      <c r="U178" s="34"/>
      <c r="V178" s="34"/>
      <c r="W178" s="34"/>
      <c r="X178" s="34"/>
      <c r="Y178" s="34"/>
      <c r="Z178" s="34"/>
      <c r="AA178" s="34"/>
      <c r="AB178" s="34"/>
      <c r="AC178" s="34"/>
      <c r="AD178" s="34"/>
    </row>
    <row r="179" ht="15.75" customHeight="1">
      <c r="A179" s="13"/>
      <c r="B179" s="13"/>
      <c r="C179" s="13"/>
      <c r="D179" s="13"/>
      <c r="E179" s="14"/>
      <c r="F179" s="13"/>
      <c r="G179" s="13"/>
      <c r="H179" s="13"/>
      <c r="I179" s="13"/>
      <c r="J179" s="13"/>
      <c r="K179" s="13"/>
      <c r="L179" s="13"/>
      <c r="M179" s="13"/>
      <c r="N179" s="30"/>
      <c r="O179" s="13"/>
      <c r="P179" s="13"/>
      <c r="Q179" s="13"/>
      <c r="R179" s="14"/>
      <c r="S179" s="45"/>
      <c r="T179" s="34"/>
      <c r="U179" s="34"/>
      <c r="V179" s="34"/>
      <c r="W179" s="34"/>
      <c r="X179" s="34"/>
      <c r="Y179" s="34"/>
      <c r="Z179" s="34"/>
      <c r="AA179" s="34"/>
      <c r="AB179" s="34"/>
      <c r="AC179" s="34"/>
      <c r="AD179" s="34"/>
    </row>
    <row r="180" ht="15.75" customHeight="1">
      <c r="A180" s="13"/>
      <c r="B180" s="13"/>
      <c r="C180" s="13"/>
      <c r="D180" s="13"/>
      <c r="E180" s="14"/>
      <c r="F180" s="13"/>
      <c r="G180" s="13"/>
      <c r="H180" s="13"/>
      <c r="I180" s="13"/>
      <c r="J180" s="13"/>
      <c r="K180" s="13"/>
      <c r="L180" s="13"/>
      <c r="M180" s="13"/>
      <c r="N180" s="30"/>
      <c r="O180" s="13"/>
      <c r="P180" s="13"/>
      <c r="Q180" s="13"/>
      <c r="R180" s="14"/>
      <c r="S180" s="45"/>
      <c r="T180" s="34"/>
      <c r="U180" s="34"/>
      <c r="V180" s="34"/>
      <c r="W180" s="34"/>
      <c r="X180" s="34"/>
      <c r="Y180" s="34"/>
      <c r="Z180" s="34"/>
      <c r="AA180" s="34"/>
      <c r="AB180" s="34"/>
      <c r="AC180" s="34"/>
      <c r="AD180" s="34"/>
    </row>
    <row r="181" ht="15.75" customHeight="1">
      <c r="A181" s="13"/>
      <c r="B181" s="13"/>
      <c r="C181" s="13"/>
      <c r="D181" s="13"/>
      <c r="E181" s="14"/>
      <c r="F181" s="13"/>
      <c r="G181" s="13"/>
      <c r="H181" s="13"/>
      <c r="I181" s="13"/>
      <c r="J181" s="13"/>
      <c r="K181" s="13"/>
      <c r="L181" s="13"/>
      <c r="M181" s="13"/>
      <c r="N181" s="30"/>
      <c r="O181" s="13"/>
      <c r="P181" s="13"/>
      <c r="Q181" s="13"/>
      <c r="R181" s="14"/>
      <c r="S181" s="45"/>
      <c r="T181" s="34"/>
      <c r="U181" s="34"/>
      <c r="V181" s="34"/>
      <c r="W181" s="34"/>
      <c r="X181" s="34"/>
      <c r="Y181" s="34"/>
      <c r="Z181" s="34"/>
      <c r="AA181" s="34"/>
      <c r="AB181" s="34"/>
      <c r="AC181" s="34"/>
      <c r="AD181" s="34"/>
    </row>
    <row r="182" ht="15.75" customHeight="1">
      <c r="A182" s="13"/>
      <c r="B182" s="13"/>
      <c r="C182" s="13"/>
      <c r="D182" s="13"/>
      <c r="E182" s="14"/>
      <c r="F182" s="13"/>
      <c r="G182" s="13"/>
      <c r="H182" s="13"/>
      <c r="I182" s="13"/>
      <c r="J182" s="13"/>
      <c r="K182" s="13"/>
      <c r="L182" s="13"/>
      <c r="M182" s="13"/>
      <c r="N182" s="30"/>
      <c r="O182" s="13"/>
      <c r="P182" s="13"/>
      <c r="Q182" s="13"/>
      <c r="R182" s="14"/>
      <c r="S182" s="45"/>
      <c r="T182" s="34"/>
      <c r="U182" s="34"/>
      <c r="V182" s="34"/>
      <c r="W182" s="34"/>
      <c r="X182" s="34"/>
      <c r="Y182" s="34"/>
      <c r="Z182" s="34"/>
      <c r="AA182" s="34"/>
      <c r="AB182" s="34"/>
      <c r="AC182" s="34"/>
      <c r="AD182" s="34"/>
    </row>
    <row r="183" ht="15.75" customHeight="1">
      <c r="A183" s="13"/>
      <c r="B183" s="13"/>
      <c r="C183" s="13"/>
      <c r="D183" s="13"/>
      <c r="E183" s="14"/>
      <c r="F183" s="13"/>
      <c r="G183" s="13"/>
      <c r="H183" s="13"/>
      <c r="I183" s="13"/>
      <c r="J183" s="13"/>
      <c r="K183" s="13"/>
      <c r="L183" s="13"/>
      <c r="M183" s="13"/>
      <c r="N183" s="30"/>
      <c r="O183" s="13"/>
      <c r="P183" s="13"/>
      <c r="Q183" s="13"/>
      <c r="R183" s="14"/>
      <c r="S183" s="45"/>
      <c r="T183" s="34"/>
      <c r="U183" s="34"/>
      <c r="V183" s="34"/>
      <c r="W183" s="34"/>
      <c r="X183" s="34"/>
      <c r="Y183" s="34"/>
      <c r="Z183" s="34"/>
      <c r="AA183" s="34"/>
      <c r="AB183" s="34"/>
      <c r="AC183" s="34"/>
      <c r="AD183" s="34"/>
    </row>
    <row r="184" ht="15.75" customHeight="1">
      <c r="A184" s="13"/>
      <c r="B184" s="13"/>
      <c r="C184" s="13"/>
      <c r="D184" s="13"/>
      <c r="E184" s="14"/>
      <c r="F184" s="13"/>
      <c r="G184" s="13"/>
      <c r="H184" s="13"/>
      <c r="I184" s="13"/>
      <c r="J184" s="13"/>
      <c r="K184" s="13"/>
      <c r="L184" s="13"/>
      <c r="M184" s="13"/>
      <c r="N184" s="30"/>
      <c r="O184" s="13"/>
      <c r="P184" s="13"/>
      <c r="Q184" s="13"/>
      <c r="R184" s="14"/>
      <c r="S184" s="45"/>
      <c r="T184" s="34"/>
      <c r="U184" s="34"/>
      <c r="V184" s="34"/>
      <c r="W184" s="34"/>
      <c r="X184" s="34"/>
      <c r="Y184" s="34"/>
      <c r="Z184" s="34"/>
      <c r="AA184" s="34"/>
      <c r="AB184" s="34"/>
      <c r="AC184" s="34"/>
      <c r="AD184" s="34"/>
    </row>
    <row r="185" ht="15.75" customHeight="1">
      <c r="A185" s="13"/>
      <c r="B185" s="13"/>
      <c r="C185" s="13"/>
      <c r="D185" s="13"/>
      <c r="E185" s="14"/>
      <c r="F185" s="13"/>
      <c r="G185" s="13"/>
      <c r="H185" s="13"/>
      <c r="I185" s="13"/>
      <c r="J185" s="13"/>
      <c r="K185" s="13"/>
      <c r="L185" s="13"/>
      <c r="M185" s="13"/>
      <c r="N185" s="30"/>
      <c r="O185" s="13"/>
      <c r="P185" s="13"/>
      <c r="Q185" s="13"/>
      <c r="R185" s="14"/>
      <c r="S185" s="45"/>
      <c r="T185" s="34"/>
      <c r="U185" s="34"/>
      <c r="V185" s="34"/>
      <c r="W185" s="34"/>
      <c r="X185" s="34"/>
      <c r="Y185" s="34"/>
      <c r="Z185" s="34"/>
      <c r="AA185" s="34"/>
      <c r="AB185" s="34"/>
      <c r="AC185" s="34"/>
      <c r="AD185" s="34"/>
    </row>
    <row r="186" ht="15.75" customHeight="1">
      <c r="A186" s="13"/>
      <c r="B186" s="13"/>
      <c r="C186" s="13"/>
      <c r="D186" s="13"/>
      <c r="E186" s="14"/>
      <c r="F186" s="13"/>
      <c r="G186" s="13"/>
      <c r="H186" s="13"/>
      <c r="I186" s="13"/>
      <c r="J186" s="13"/>
      <c r="K186" s="13"/>
      <c r="L186" s="13"/>
      <c r="M186" s="13"/>
      <c r="N186" s="30"/>
      <c r="O186" s="13"/>
      <c r="P186" s="13"/>
      <c r="Q186" s="13"/>
      <c r="R186" s="14"/>
      <c r="S186" s="45"/>
      <c r="T186" s="34"/>
      <c r="U186" s="34"/>
      <c r="V186" s="34"/>
      <c r="W186" s="34"/>
      <c r="X186" s="34"/>
      <c r="Y186" s="34"/>
      <c r="Z186" s="34"/>
      <c r="AA186" s="34"/>
      <c r="AB186" s="34"/>
      <c r="AC186" s="34"/>
      <c r="AD186" s="34"/>
    </row>
    <row r="187" ht="15.75" customHeight="1">
      <c r="A187" s="13"/>
      <c r="B187" s="13"/>
      <c r="C187" s="13"/>
      <c r="D187" s="13"/>
      <c r="E187" s="14"/>
      <c r="F187" s="13"/>
      <c r="G187" s="13"/>
      <c r="H187" s="13"/>
      <c r="I187" s="13"/>
      <c r="J187" s="13"/>
      <c r="K187" s="13"/>
      <c r="L187" s="13"/>
      <c r="M187" s="13"/>
      <c r="N187" s="30"/>
      <c r="O187" s="13"/>
      <c r="P187" s="13"/>
      <c r="Q187" s="13"/>
      <c r="R187" s="14"/>
      <c r="S187" s="45"/>
      <c r="T187" s="34"/>
      <c r="U187" s="34"/>
      <c r="V187" s="34"/>
      <c r="W187" s="34"/>
      <c r="X187" s="34"/>
      <c r="Y187" s="34"/>
      <c r="Z187" s="34"/>
      <c r="AA187" s="34"/>
      <c r="AB187" s="34"/>
      <c r="AC187" s="34"/>
      <c r="AD187" s="34"/>
    </row>
    <row r="188" ht="15.75" customHeight="1">
      <c r="A188" s="13"/>
      <c r="B188" s="13"/>
      <c r="C188" s="13"/>
      <c r="D188" s="13"/>
      <c r="E188" s="14"/>
      <c r="F188" s="13"/>
      <c r="G188" s="13"/>
      <c r="H188" s="13"/>
      <c r="I188" s="13"/>
      <c r="J188" s="13"/>
      <c r="K188" s="13"/>
      <c r="L188" s="13"/>
      <c r="M188" s="13"/>
      <c r="N188" s="30"/>
      <c r="O188" s="13"/>
      <c r="P188" s="13"/>
      <c r="Q188" s="13"/>
      <c r="R188" s="14"/>
      <c r="S188" s="45"/>
      <c r="T188" s="34"/>
      <c r="U188" s="34"/>
      <c r="V188" s="34"/>
      <c r="W188" s="34"/>
      <c r="X188" s="34"/>
      <c r="Y188" s="34"/>
      <c r="Z188" s="34"/>
      <c r="AA188" s="34"/>
      <c r="AB188" s="34"/>
      <c r="AC188" s="34"/>
      <c r="AD188" s="34"/>
    </row>
    <row r="189" ht="15.75" customHeight="1">
      <c r="A189" s="13"/>
      <c r="B189" s="13"/>
      <c r="C189" s="13"/>
      <c r="D189" s="13"/>
      <c r="E189" s="14"/>
      <c r="F189" s="13"/>
      <c r="G189" s="13"/>
      <c r="H189" s="13"/>
      <c r="I189" s="13"/>
      <c r="J189" s="13"/>
      <c r="K189" s="13"/>
      <c r="L189" s="13"/>
      <c r="M189" s="13"/>
      <c r="N189" s="30"/>
      <c r="O189" s="13"/>
      <c r="P189" s="13"/>
      <c r="Q189" s="13"/>
      <c r="R189" s="14"/>
      <c r="S189" s="45"/>
      <c r="T189" s="34"/>
      <c r="U189" s="34"/>
      <c r="V189" s="34"/>
      <c r="W189" s="34"/>
      <c r="X189" s="34"/>
      <c r="Y189" s="34"/>
      <c r="Z189" s="34"/>
      <c r="AA189" s="34"/>
      <c r="AB189" s="34"/>
      <c r="AC189" s="34"/>
      <c r="AD189" s="34"/>
    </row>
    <row r="190" ht="15.75" customHeight="1">
      <c r="A190" s="13"/>
      <c r="B190" s="13"/>
      <c r="C190" s="13"/>
      <c r="D190" s="13"/>
      <c r="E190" s="14"/>
      <c r="F190" s="13"/>
      <c r="G190" s="13"/>
      <c r="H190" s="13"/>
      <c r="I190" s="13"/>
      <c r="J190" s="13"/>
      <c r="K190" s="13"/>
      <c r="L190" s="13"/>
      <c r="M190" s="13"/>
      <c r="N190" s="30"/>
      <c r="O190" s="13"/>
      <c r="P190" s="13"/>
      <c r="Q190" s="13"/>
      <c r="R190" s="14"/>
      <c r="S190" s="45"/>
      <c r="T190" s="34"/>
      <c r="U190" s="34"/>
      <c r="V190" s="34"/>
      <c r="W190" s="34"/>
      <c r="X190" s="34"/>
      <c r="Y190" s="34"/>
      <c r="Z190" s="34"/>
      <c r="AA190" s="34"/>
      <c r="AB190" s="34"/>
      <c r="AC190" s="34"/>
      <c r="AD190" s="34"/>
    </row>
    <row r="191" ht="15.75" customHeight="1">
      <c r="A191" s="13"/>
      <c r="B191" s="13"/>
      <c r="C191" s="13"/>
      <c r="D191" s="13"/>
      <c r="E191" s="14"/>
      <c r="F191" s="13"/>
      <c r="G191" s="13"/>
      <c r="H191" s="13"/>
      <c r="I191" s="13"/>
      <c r="J191" s="13"/>
      <c r="K191" s="13"/>
      <c r="L191" s="13"/>
      <c r="M191" s="13"/>
      <c r="N191" s="30"/>
      <c r="O191" s="13"/>
      <c r="P191" s="13"/>
      <c r="Q191" s="13"/>
      <c r="R191" s="14"/>
      <c r="S191" s="45"/>
      <c r="T191" s="34"/>
      <c r="U191" s="34"/>
      <c r="V191" s="34"/>
      <c r="W191" s="34"/>
      <c r="X191" s="34"/>
      <c r="Y191" s="34"/>
      <c r="Z191" s="34"/>
      <c r="AA191" s="34"/>
      <c r="AB191" s="34"/>
      <c r="AC191" s="34"/>
      <c r="AD191" s="34"/>
    </row>
    <row r="192" ht="15.75" customHeight="1">
      <c r="A192" s="13"/>
      <c r="B192" s="13"/>
      <c r="C192" s="13"/>
      <c r="D192" s="13"/>
      <c r="E192" s="14"/>
      <c r="F192" s="13"/>
      <c r="G192" s="13"/>
      <c r="H192" s="13"/>
      <c r="I192" s="13"/>
      <c r="J192" s="13"/>
      <c r="K192" s="13"/>
      <c r="L192" s="13"/>
      <c r="M192" s="13"/>
      <c r="N192" s="30"/>
      <c r="O192" s="13"/>
      <c r="P192" s="13"/>
      <c r="Q192" s="13"/>
      <c r="R192" s="14"/>
      <c r="S192" s="45"/>
      <c r="T192" s="34"/>
      <c r="U192" s="34"/>
      <c r="V192" s="34"/>
      <c r="W192" s="34"/>
      <c r="X192" s="34"/>
      <c r="Y192" s="34"/>
      <c r="Z192" s="34"/>
      <c r="AA192" s="34"/>
      <c r="AB192" s="34"/>
      <c r="AC192" s="34"/>
      <c r="AD192" s="34"/>
    </row>
    <row r="193" ht="15.75" customHeight="1">
      <c r="A193" s="13"/>
      <c r="B193" s="13"/>
      <c r="C193" s="13"/>
      <c r="D193" s="13"/>
      <c r="E193" s="14"/>
      <c r="F193" s="13"/>
      <c r="G193" s="13"/>
      <c r="H193" s="13"/>
      <c r="I193" s="13"/>
      <c r="J193" s="13"/>
      <c r="K193" s="13"/>
      <c r="L193" s="13"/>
      <c r="M193" s="13"/>
      <c r="N193" s="30"/>
      <c r="O193" s="13"/>
      <c r="P193" s="13"/>
      <c r="Q193" s="13"/>
      <c r="R193" s="14"/>
      <c r="S193" s="45"/>
      <c r="T193" s="34"/>
      <c r="U193" s="34"/>
      <c r="V193" s="34"/>
      <c r="W193" s="34"/>
      <c r="X193" s="34"/>
      <c r="Y193" s="34"/>
      <c r="Z193" s="34"/>
      <c r="AA193" s="34"/>
      <c r="AB193" s="34"/>
      <c r="AC193" s="34"/>
      <c r="AD193" s="34"/>
    </row>
    <row r="194" ht="15.75" customHeight="1">
      <c r="A194" s="13"/>
      <c r="B194" s="13"/>
      <c r="C194" s="13"/>
      <c r="D194" s="13"/>
      <c r="E194" s="14"/>
      <c r="F194" s="13"/>
      <c r="G194" s="13"/>
      <c r="H194" s="13"/>
      <c r="I194" s="13"/>
      <c r="J194" s="13"/>
      <c r="K194" s="13"/>
      <c r="L194" s="13"/>
      <c r="M194" s="13"/>
      <c r="N194" s="30"/>
      <c r="O194" s="13"/>
      <c r="P194" s="13"/>
      <c r="Q194" s="13"/>
      <c r="R194" s="14"/>
      <c r="S194" s="45"/>
      <c r="T194" s="34"/>
      <c r="U194" s="34"/>
      <c r="V194" s="34"/>
      <c r="W194" s="34"/>
      <c r="X194" s="34"/>
      <c r="Y194" s="34"/>
      <c r="Z194" s="34"/>
      <c r="AA194" s="34"/>
      <c r="AB194" s="34"/>
      <c r="AC194" s="34"/>
      <c r="AD194" s="34"/>
    </row>
    <row r="195" ht="15.75" customHeight="1">
      <c r="A195" s="13"/>
      <c r="B195" s="13"/>
      <c r="C195" s="13"/>
      <c r="D195" s="13"/>
      <c r="E195" s="14"/>
      <c r="F195" s="13"/>
      <c r="G195" s="13"/>
      <c r="H195" s="13"/>
      <c r="I195" s="13"/>
      <c r="J195" s="13"/>
      <c r="K195" s="13"/>
      <c r="L195" s="13"/>
      <c r="M195" s="13"/>
      <c r="N195" s="30"/>
      <c r="O195" s="13"/>
      <c r="P195" s="13"/>
      <c r="Q195" s="13"/>
      <c r="R195" s="14"/>
      <c r="S195" s="45"/>
      <c r="T195" s="34"/>
      <c r="U195" s="34"/>
      <c r="V195" s="34"/>
      <c r="W195" s="34"/>
      <c r="X195" s="34"/>
      <c r="Y195" s="34"/>
      <c r="Z195" s="34"/>
      <c r="AA195" s="34"/>
      <c r="AB195" s="34"/>
      <c r="AC195" s="34"/>
      <c r="AD195" s="34"/>
    </row>
    <row r="196" ht="15.75" customHeight="1">
      <c r="A196" s="13"/>
      <c r="B196" s="13"/>
      <c r="C196" s="13"/>
      <c r="D196" s="13"/>
      <c r="E196" s="14"/>
      <c r="F196" s="13"/>
      <c r="G196" s="13"/>
      <c r="H196" s="13"/>
      <c r="I196" s="13"/>
      <c r="J196" s="13"/>
      <c r="K196" s="13"/>
      <c r="L196" s="13"/>
      <c r="M196" s="13"/>
      <c r="N196" s="30"/>
      <c r="O196" s="13"/>
      <c r="P196" s="13"/>
      <c r="Q196" s="13"/>
      <c r="R196" s="14"/>
      <c r="S196" s="45"/>
      <c r="T196" s="34"/>
      <c r="U196" s="34"/>
      <c r="V196" s="34"/>
      <c r="W196" s="34"/>
      <c r="X196" s="34"/>
      <c r="Y196" s="34"/>
      <c r="Z196" s="34"/>
      <c r="AA196" s="34"/>
      <c r="AB196" s="34"/>
      <c r="AC196" s="34"/>
      <c r="AD196" s="34"/>
    </row>
    <row r="197" ht="15.75" customHeight="1">
      <c r="A197" s="13"/>
      <c r="B197" s="13"/>
      <c r="C197" s="13"/>
      <c r="D197" s="13"/>
      <c r="E197" s="14"/>
      <c r="F197" s="13"/>
      <c r="G197" s="13"/>
      <c r="H197" s="13"/>
      <c r="I197" s="13"/>
      <c r="J197" s="13"/>
      <c r="K197" s="13"/>
      <c r="L197" s="13"/>
      <c r="M197" s="13"/>
      <c r="N197" s="30"/>
      <c r="O197" s="13"/>
      <c r="P197" s="13"/>
      <c r="Q197" s="13"/>
      <c r="R197" s="14"/>
      <c r="S197" s="45"/>
      <c r="T197" s="34"/>
      <c r="U197" s="34"/>
      <c r="V197" s="34"/>
      <c r="W197" s="34"/>
      <c r="X197" s="34"/>
      <c r="Y197" s="34"/>
      <c r="Z197" s="34"/>
      <c r="AA197" s="34"/>
      <c r="AB197" s="34"/>
      <c r="AC197" s="34"/>
      <c r="AD197" s="34"/>
    </row>
    <row r="198" ht="15.75" customHeight="1">
      <c r="A198" s="13"/>
      <c r="B198" s="13"/>
      <c r="C198" s="13"/>
      <c r="D198" s="13"/>
      <c r="E198" s="14"/>
      <c r="F198" s="13"/>
      <c r="G198" s="13"/>
      <c r="H198" s="13"/>
      <c r="I198" s="13"/>
      <c r="J198" s="13"/>
      <c r="K198" s="13"/>
      <c r="L198" s="13"/>
      <c r="M198" s="13"/>
      <c r="N198" s="30"/>
      <c r="O198" s="13"/>
      <c r="P198" s="13"/>
      <c r="Q198" s="13"/>
      <c r="R198" s="14"/>
      <c r="S198" s="45"/>
      <c r="T198" s="34"/>
      <c r="U198" s="34"/>
      <c r="V198" s="34"/>
      <c r="W198" s="34"/>
      <c r="X198" s="34"/>
      <c r="Y198" s="34"/>
      <c r="Z198" s="34"/>
      <c r="AA198" s="34"/>
      <c r="AB198" s="34"/>
      <c r="AC198" s="34"/>
      <c r="AD198" s="34"/>
    </row>
    <row r="199" ht="15.75" customHeight="1">
      <c r="A199" s="13"/>
      <c r="B199" s="13"/>
      <c r="C199" s="13"/>
      <c r="D199" s="13"/>
      <c r="E199" s="14"/>
      <c r="F199" s="13"/>
      <c r="G199" s="13"/>
      <c r="H199" s="13"/>
      <c r="I199" s="13"/>
      <c r="J199" s="13"/>
      <c r="K199" s="13"/>
      <c r="L199" s="13"/>
      <c r="M199" s="13"/>
      <c r="N199" s="30"/>
      <c r="O199" s="13"/>
      <c r="P199" s="13"/>
      <c r="Q199" s="13"/>
      <c r="R199" s="14"/>
      <c r="S199" s="45"/>
      <c r="T199" s="34"/>
      <c r="U199" s="34"/>
      <c r="V199" s="34"/>
      <c r="W199" s="34"/>
      <c r="X199" s="34"/>
      <c r="Y199" s="34"/>
      <c r="Z199" s="34"/>
      <c r="AA199" s="34"/>
      <c r="AB199" s="34"/>
      <c r="AC199" s="34"/>
      <c r="AD199" s="34"/>
    </row>
    <row r="200" ht="15.75" customHeight="1">
      <c r="A200" s="13"/>
      <c r="B200" s="13"/>
      <c r="C200" s="13"/>
      <c r="D200" s="13"/>
      <c r="E200" s="14"/>
      <c r="F200" s="13"/>
      <c r="G200" s="13"/>
      <c r="H200" s="13"/>
      <c r="I200" s="13"/>
      <c r="J200" s="13"/>
      <c r="K200" s="13"/>
      <c r="L200" s="13"/>
      <c r="M200" s="13"/>
      <c r="N200" s="30"/>
      <c r="O200" s="13"/>
      <c r="P200" s="13"/>
      <c r="Q200" s="13"/>
      <c r="R200" s="14"/>
      <c r="S200" s="45"/>
      <c r="T200" s="34"/>
      <c r="U200" s="34"/>
      <c r="V200" s="34"/>
      <c r="W200" s="34"/>
      <c r="X200" s="34"/>
      <c r="Y200" s="34"/>
      <c r="Z200" s="34"/>
      <c r="AA200" s="34"/>
      <c r="AB200" s="34"/>
      <c r="AC200" s="34"/>
      <c r="AD200" s="34"/>
    </row>
    <row r="201" ht="15.75" customHeight="1">
      <c r="A201" s="13"/>
      <c r="B201" s="13"/>
      <c r="C201" s="13"/>
      <c r="D201" s="13"/>
      <c r="E201" s="14"/>
      <c r="F201" s="13"/>
      <c r="G201" s="13"/>
      <c r="H201" s="13"/>
      <c r="I201" s="13"/>
      <c r="J201" s="13"/>
      <c r="K201" s="13"/>
      <c r="L201" s="13"/>
      <c r="M201" s="13"/>
      <c r="N201" s="30"/>
      <c r="O201" s="13"/>
      <c r="P201" s="13"/>
      <c r="Q201" s="13"/>
      <c r="R201" s="14"/>
      <c r="S201" s="45"/>
      <c r="T201" s="34"/>
      <c r="U201" s="34"/>
      <c r="V201" s="34"/>
      <c r="W201" s="34"/>
      <c r="X201" s="34"/>
      <c r="Y201" s="34"/>
      <c r="Z201" s="34"/>
      <c r="AA201" s="34"/>
      <c r="AB201" s="34"/>
      <c r="AC201" s="34"/>
      <c r="AD201" s="34"/>
    </row>
    <row r="202" ht="15.75" customHeight="1">
      <c r="A202" s="13"/>
      <c r="B202" s="13"/>
      <c r="C202" s="13"/>
      <c r="D202" s="13"/>
      <c r="E202" s="14"/>
      <c r="F202" s="13"/>
      <c r="G202" s="13"/>
      <c r="H202" s="13"/>
      <c r="I202" s="13"/>
      <c r="J202" s="13"/>
      <c r="K202" s="13"/>
      <c r="L202" s="13"/>
      <c r="M202" s="13"/>
      <c r="N202" s="30"/>
      <c r="O202" s="13"/>
      <c r="P202" s="13"/>
      <c r="Q202" s="13"/>
      <c r="R202" s="14"/>
      <c r="S202" s="45"/>
      <c r="T202" s="34"/>
      <c r="U202" s="34"/>
      <c r="V202" s="34"/>
      <c r="W202" s="34"/>
      <c r="X202" s="34"/>
      <c r="Y202" s="34"/>
      <c r="Z202" s="34"/>
      <c r="AA202" s="34"/>
      <c r="AB202" s="34"/>
      <c r="AC202" s="34"/>
      <c r="AD202" s="34"/>
    </row>
    <row r="203" ht="15.75" customHeight="1">
      <c r="A203" s="13"/>
      <c r="B203" s="13"/>
      <c r="C203" s="13"/>
      <c r="D203" s="13"/>
      <c r="E203" s="14"/>
      <c r="F203" s="13"/>
      <c r="G203" s="13"/>
      <c r="H203" s="13"/>
      <c r="I203" s="13"/>
      <c r="J203" s="13"/>
      <c r="K203" s="13"/>
      <c r="L203" s="13"/>
      <c r="M203" s="13"/>
      <c r="N203" s="30"/>
      <c r="O203" s="13"/>
      <c r="P203" s="13"/>
      <c r="Q203" s="13"/>
      <c r="R203" s="14"/>
      <c r="S203" s="45"/>
      <c r="T203" s="34"/>
      <c r="U203" s="34"/>
      <c r="V203" s="34"/>
      <c r="W203" s="34"/>
      <c r="X203" s="34"/>
      <c r="Y203" s="34"/>
      <c r="Z203" s="34"/>
      <c r="AA203" s="34"/>
      <c r="AB203" s="34"/>
      <c r="AC203" s="34"/>
      <c r="AD203" s="34"/>
    </row>
    <row r="204" ht="15.75" customHeight="1">
      <c r="A204" s="13"/>
      <c r="B204" s="13"/>
      <c r="C204" s="13"/>
      <c r="D204" s="13"/>
      <c r="E204" s="14"/>
      <c r="F204" s="13"/>
      <c r="G204" s="13"/>
      <c r="H204" s="13"/>
      <c r="I204" s="13"/>
      <c r="J204" s="13"/>
      <c r="K204" s="13"/>
      <c r="L204" s="13"/>
      <c r="M204" s="13"/>
      <c r="N204" s="30"/>
      <c r="O204" s="13"/>
      <c r="P204" s="13"/>
      <c r="Q204" s="13"/>
      <c r="R204" s="14"/>
      <c r="S204" s="45"/>
      <c r="T204" s="34"/>
      <c r="U204" s="34"/>
      <c r="V204" s="34"/>
      <c r="W204" s="34"/>
      <c r="X204" s="34"/>
      <c r="Y204" s="34"/>
      <c r="Z204" s="34"/>
      <c r="AA204" s="34"/>
      <c r="AB204" s="34"/>
      <c r="AC204" s="34"/>
      <c r="AD204" s="34"/>
    </row>
    <row r="205" ht="15.75" customHeight="1">
      <c r="A205" s="13"/>
      <c r="B205" s="13"/>
      <c r="C205" s="13"/>
      <c r="D205" s="13"/>
      <c r="E205" s="14"/>
      <c r="F205" s="13"/>
      <c r="G205" s="13"/>
      <c r="H205" s="13"/>
      <c r="I205" s="13"/>
      <c r="J205" s="13"/>
      <c r="K205" s="13"/>
      <c r="L205" s="13"/>
      <c r="M205" s="13"/>
      <c r="N205" s="30"/>
      <c r="O205" s="13"/>
      <c r="P205" s="13"/>
      <c r="Q205" s="13"/>
      <c r="R205" s="14"/>
      <c r="S205" s="45"/>
      <c r="T205" s="34"/>
      <c r="U205" s="34"/>
      <c r="V205" s="34"/>
      <c r="W205" s="34"/>
      <c r="X205" s="34"/>
      <c r="Y205" s="34"/>
      <c r="Z205" s="34"/>
      <c r="AA205" s="34"/>
      <c r="AB205" s="34"/>
      <c r="AC205" s="34"/>
      <c r="AD205" s="34"/>
    </row>
    <row r="206" ht="15.75" customHeight="1">
      <c r="A206" s="13"/>
      <c r="B206" s="13"/>
      <c r="C206" s="13"/>
      <c r="D206" s="13"/>
      <c r="E206" s="14"/>
      <c r="F206" s="13"/>
      <c r="G206" s="13"/>
      <c r="H206" s="13"/>
      <c r="I206" s="13"/>
      <c r="J206" s="13"/>
      <c r="K206" s="13"/>
      <c r="L206" s="13"/>
      <c r="M206" s="13"/>
      <c r="N206" s="30"/>
      <c r="O206" s="13"/>
      <c r="P206" s="13"/>
      <c r="Q206" s="13"/>
      <c r="R206" s="14"/>
      <c r="S206" s="45"/>
      <c r="T206" s="34"/>
      <c r="U206" s="34"/>
      <c r="V206" s="34"/>
      <c r="W206" s="34"/>
      <c r="X206" s="34"/>
      <c r="Y206" s="34"/>
      <c r="Z206" s="34"/>
      <c r="AA206" s="34"/>
      <c r="AB206" s="34"/>
      <c r="AC206" s="34"/>
      <c r="AD206" s="34"/>
    </row>
    <row r="207" ht="15.75" customHeight="1">
      <c r="A207" s="13"/>
      <c r="B207" s="13"/>
      <c r="C207" s="13"/>
      <c r="D207" s="13"/>
      <c r="E207" s="14"/>
      <c r="F207" s="13"/>
      <c r="G207" s="13"/>
      <c r="H207" s="13"/>
      <c r="I207" s="13"/>
      <c r="J207" s="13"/>
      <c r="K207" s="13"/>
      <c r="L207" s="13"/>
      <c r="M207" s="13"/>
      <c r="N207" s="30"/>
      <c r="O207" s="13"/>
      <c r="P207" s="13"/>
      <c r="Q207" s="13"/>
      <c r="R207" s="14"/>
      <c r="S207" s="45"/>
      <c r="T207" s="34"/>
      <c r="U207" s="34"/>
      <c r="V207" s="34"/>
      <c r="W207" s="34"/>
      <c r="X207" s="34"/>
      <c r="Y207" s="34"/>
      <c r="Z207" s="34"/>
      <c r="AA207" s="34"/>
      <c r="AB207" s="34"/>
      <c r="AC207" s="34"/>
      <c r="AD207" s="34"/>
    </row>
    <row r="208" ht="15.75" customHeight="1">
      <c r="A208" s="13"/>
      <c r="B208" s="13"/>
      <c r="C208" s="13"/>
      <c r="D208" s="13"/>
      <c r="E208" s="14"/>
      <c r="F208" s="13"/>
      <c r="G208" s="13"/>
      <c r="H208" s="13"/>
      <c r="I208" s="13"/>
      <c r="J208" s="13"/>
      <c r="K208" s="13"/>
      <c r="L208" s="13"/>
      <c r="M208" s="13"/>
      <c r="N208" s="30"/>
      <c r="O208" s="13"/>
      <c r="P208" s="13"/>
      <c r="Q208" s="13"/>
      <c r="R208" s="14"/>
      <c r="S208" s="45"/>
      <c r="T208" s="34"/>
      <c r="U208" s="34"/>
      <c r="V208" s="34"/>
      <c r="W208" s="34"/>
      <c r="X208" s="34"/>
      <c r="Y208" s="34"/>
      <c r="Z208" s="34"/>
      <c r="AA208" s="34"/>
      <c r="AB208" s="34"/>
      <c r="AC208" s="34"/>
      <c r="AD208" s="34"/>
    </row>
    <row r="209" ht="15.75" customHeight="1">
      <c r="A209" s="13"/>
      <c r="B209" s="13"/>
      <c r="C209" s="13"/>
      <c r="D209" s="13"/>
      <c r="E209" s="14"/>
      <c r="F209" s="13"/>
      <c r="G209" s="13"/>
      <c r="H209" s="13"/>
      <c r="I209" s="13"/>
      <c r="J209" s="13"/>
      <c r="K209" s="13"/>
      <c r="L209" s="13"/>
      <c r="M209" s="13"/>
      <c r="N209" s="30"/>
      <c r="O209" s="13"/>
      <c r="P209" s="13"/>
      <c r="Q209" s="13"/>
      <c r="R209" s="14"/>
      <c r="S209" s="45"/>
      <c r="T209" s="34"/>
      <c r="U209" s="34"/>
      <c r="V209" s="34"/>
      <c r="W209" s="34"/>
      <c r="X209" s="34"/>
      <c r="Y209" s="34"/>
      <c r="Z209" s="34"/>
      <c r="AA209" s="34"/>
      <c r="AB209" s="34"/>
      <c r="AC209" s="34"/>
      <c r="AD209" s="34"/>
    </row>
    <row r="210" ht="15.75" customHeight="1">
      <c r="A210" s="13"/>
      <c r="B210" s="13"/>
      <c r="C210" s="13"/>
      <c r="D210" s="13"/>
      <c r="E210" s="14"/>
      <c r="F210" s="13"/>
      <c r="G210" s="13"/>
      <c r="H210" s="13"/>
      <c r="I210" s="13"/>
      <c r="J210" s="13"/>
      <c r="K210" s="13"/>
      <c r="L210" s="13"/>
      <c r="M210" s="13"/>
      <c r="N210" s="30"/>
      <c r="O210" s="13"/>
      <c r="P210" s="13"/>
      <c r="Q210" s="13"/>
      <c r="R210" s="14"/>
      <c r="S210" s="45"/>
      <c r="T210" s="34"/>
      <c r="U210" s="34"/>
      <c r="V210" s="34"/>
      <c r="W210" s="34"/>
      <c r="X210" s="34"/>
      <c r="Y210" s="34"/>
      <c r="Z210" s="34"/>
      <c r="AA210" s="34"/>
      <c r="AB210" s="34"/>
      <c r="AC210" s="34"/>
      <c r="AD210" s="34"/>
    </row>
    <row r="211" ht="15.75" customHeight="1">
      <c r="A211" s="13"/>
      <c r="B211" s="13"/>
      <c r="C211" s="13"/>
      <c r="D211" s="13"/>
      <c r="E211" s="14"/>
      <c r="F211" s="13"/>
      <c r="G211" s="13"/>
      <c r="H211" s="13"/>
      <c r="I211" s="13"/>
      <c r="J211" s="13"/>
      <c r="K211" s="13"/>
      <c r="L211" s="13"/>
      <c r="M211" s="13"/>
      <c r="N211" s="30"/>
      <c r="O211" s="13"/>
      <c r="P211" s="13"/>
      <c r="Q211" s="13"/>
      <c r="R211" s="14"/>
      <c r="S211" s="45"/>
      <c r="T211" s="34"/>
      <c r="U211" s="34"/>
      <c r="V211" s="34"/>
      <c r="W211" s="34"/>
      <c r="X211" s="34"/>
      <c r="Y211" s="34"/>
      <c r="Z211" s="34"/>
      <c r="AA211" s="34"/>
      <c r="AB211" s="34"/>
      <c r="AC211" s="34"/>
      <c r="AD211" s="34"/>
    </row>
    <row r="212" ht="15.75" customHeight="1">
      <c r="A212" s="13"/>
      <c r="B212" s="13"/>
      <c r="C212" s="13"/>
      <c r="D212" s="13"/>
      <c r="E212" s="14"/>
      <c r="F212" s="13"/>
      <c r="G212" s="13"/>
      <c r="H212" s="13"/>
      <c r="I212" s="13"/>
      <c r="J212" s="13"/>
      <c r="K212" s="13"/>
      <c r="L212" s="13"/>
      <c r="M212" s="13"/>
      <c r="N212" s="30"/>
      <c r="O212" s="13"/>
      <c r="P212" s="13"/>
      <c r="Q212" s="13"/>
      <c r="R212" s="14"/>
      <c r="S212" s="45"/>
      <c r="T212" s="34"/>
      <c r="U212" s="34"/>
      <c r="V212" s="34"/>
      <c r="W212" s="34"/>
      <c r="X212" s="34"/>
      <c r="Y212" s="34"/>
      <c r="Z212" s="34"/>
      <c r="AA212" s="34"/>
      <c r="AB212" s="34"/>
      <c r="AC212" s="34"/>
      <c r="AD212" s="34"/>
    </row>
    <row r="213" ht="15.75" customHeight="1">
      <c r="A213" s="13"/>
      <c r="B213" s="13"/>
      <c r="C213" s="13"/>
      <c r="D213" s="13"/>
      <c r="E213" s="14"/>
      <c r="F213" s="13"/>
      <c r="G213" s="13"/>
      <c r="H213" s="13"/>
      <c r="I213" s="13"/>
      <c r="J213" s="13"/>
      <c r="K213" s="13"/>
      <c r="L213" s="13"/>
      <c r="M213" s="13"/>
      <c r="N213" s="30"/>
      <c r="O213" s="13"/>
      <c r="P213" s="13"/>
      <c r="Q213" s="13"/>
      <c r="R213" s="14"/>
      <c r="S213" s="45"/>
      <c r="T213" s="34"/>
      <c r="U213" s="34"/>
      <c r="V213" s="34"/>
      <c r="W213" s="34"/>
      <c r="X213" s="34"/>
      <c r="Y213" s="34"/>
      <c r="Z213" s="34"/>
      <c r="AA213" s="34"/>
      <c r="AB213" s="34"/>
      <c r="AC213" s="34"/>
      <c r="AD213" s="34"/>
    </row>
    <row r="214" ht="15.75" customHeight="1">
      <c r="A214" s="13"/>
      <c r="B214" s="13"/>
      <c r="C214" s="13"/>
      <c r="D214" s="13"/>
      <c r="E214" s="14"/>
      <c r="F214" s="13"/>
      <c r="G214" s="13"/>
      <c r="H214" s="13"/>
      <c r="I214" s="13"/>
      <c r="J214" s="13"/>
      <c r="K214" s="13"/>
      <c r="L214" s="13"/>
      <c r="M214" s="13"/>
      <c r="N214" s="30"/>
      <c r="O214" s="13"/>
      <c r="P214" s="13"/>
      <c r="Q214" s="13"/>
      <c r="R214" s="14"/>
      <c r="S214" s="45"/>
      <c r="T214" s="34"/>
      <c r="U214" s="34"/>
      <c r="V214" s="34"/>
      <c r="W214" s="34"/>
      <c r="X214" s="34"/>
      <c r="Y214" s="34"/>
      <c r="Z214" s="34"/>
      <c r="AA214" s="34"/>
      <c r="AB214" s="34"/>
      <c r="AC214" s="34"/>
      <c r="AD214" s="34"/>
    </row>
    <row r="215" ht="15.75" customHeight="1">
      <c r="A215" s="13"/>
      <c r="B215" s="13"/>
      <c r="C215" s="13"/>
      <c r="D215" s="13"/>
      <c r="E215" s="14"/>
      <c r="F215" s="13"/>
      <c r="G215" s="13"/>
      <c r="H215" s="13"/>
      <c r="I215" s="13"/>
      <c r="J215" s="13"/>
      <c r="K215" s="13"/>
      <c r="L215" s="13"/>
      <c r="M215" s="13"/>
      <c r="N215" s="30"/>
      <c r="O215" s="13"/>
      <c r="P215" s="13"/>
      <c r="Q215" s="13"/>
      <c r="R215" s="14"/>
      <c r="S215" s="45"/>
      <c r="T215" s="34"/>
      <c r="U215" s="34"/>
      <c r="V215" s="34"/>
      <c r="W215" s="34"/>
      <c r="X215" s="34"/>
      <c r="Y215" s="34"/>
      <c r="Z215" s="34"/>
      <c r="AA215" s="34"/>
      <c r="AB215" s="34"/>
      <c r="AC215" s="34"/>
      <c r="AD215" s="34"/>
    </row>
    <row r="216" ht="15.75" customHeight="1">
      <c r="A216" s="13"/>
      <c r="B216" s="13"/>
      <c r="C216" s="13"/>
      <c r="D216" s="13"/>
      <c r="E216" s="14"/>
      <c r="F216" s="13"/>
      <c r="G216" s="13"/>
      <c r="H216" s="13"/>
      <c r="I216" s="13"/>
      <c r="J216" s="13"/>
      <c r="K216" s="13"/>
      <c r="L216" s="13"/>
      <c r="M216" s="13"/>
      <c r="N216" s="30"/>
      <c r="O216" s="13"/>
      <c r="P216" s="13"/>
      <c r="Q216" s="13"/>
      <c r="R216" s="14"/>
      <c r="S216" s="45"/>
      <c r="T216" s="34"/>
      <c r="U216" s="34"/>
      <c r="V216" s="34"/>
      <c r="W216" s="34"/>
      <c r="X216" s="34"/>
      <c r="Y216" s="34"/>
      <c r="Z216" s="34"/>
      <c r="AA216" s="34"/>
      <c r="AB216" s="34"/>
      <c r="AC216" s="34"/>
      <c r="AD216" s="34"/>
    </row>
    <row r="217" ht="15.75" customHeight="1">
      <c r="A217" s="13"/>
      <c r="B217" s="13"/>
      <c r="C217" s="13"/>
      <c r="D217" s="13"/>
      <c r="E217" s="14"/>
      <c r="F217" s="13"/>
      <c r="G217" s="13"/>
      <c r="H217" s="13"/>
      <c r="I217" s="13"/>
      <c r="J217" s="13"/>
      <c r="K217" s="13"/>
      <c r="L217" s="13"/>
      <c r="M217" s="13"/>
      <c r="N217" s="30"/>
      <c r="O217" s="13"/>
      <c r="P217" s="13"/>
      <c r="Q217" s="13"/>
      <c r="R217" s="14"/>
      <c r="S217" s="45"/>
      <c r="T217" s="34"/>
      <c r="U217" s="34"/>
      <c r="V217" s="34"/>
      <c r="W217" s="34"/>
      <c r="X217" s="34"/>
      <c r="Y217" s="34"/>
      <c r="Z217" s="34"/>
      <c r="AA217" s="34"/>
      <c r="AB217" s="34"/>
      <c r="AC217" s="34"/>
      <c r="AD217" s="34"/>
    </row>
    <row r="218" ht="15.75" customHeight="1">
      <c r="A218" s="13"/>
      <c r="B218" s="13"/>
      <c r="C218" s="13"/>
      <c r="D218" s="13"/>
      <c r="E218" s="14"/>
      <c r="F218" s="13"/>
      <c r="G218" s="13"/>
      <c r="H218" s="13"/>
      <c r="I218" s="13"/>
      <c r="J218" s="13"/>
      <c r="K218" s="13"/>
      <c r="L218" s="13"/>
      <c r="M218" s="13"/>
      <c r="N218" s="30"/>
      <c r="O218" s="13"/>
      <c r="P218" s="13"/>
      <c r="Q218" s="13"/>
      <c r="R218" s="14"/>
      <c r="S218" s="45"/>
      <c r="T218" s="34"/>
      <c r="U218" s="34"/>
      <c r="V218" s="34"/>
      <c r="W218" s="34"/>
      <c r="X218" s="34"/>
      <c r="Y218" s="34"/>
      <c r="Z218" s="34"/>
      <c r="AA218" s="34"/>
      <c r="AB218" s="34"/>
      <c r="AC218" s="34"/>
      <c r="AD218" s="34"/>
    </row>
    <row r="219" ht="15.75" customHeight="1">
      <c r="A219" s="13"/>
      <c r="B219" s="13"/>
      <c r="C219" s="13"/>
      <c r="D219" s="13"/>
      <c r="E219" s="14"/>
      <c r="F219" s="13"/>
      <c r="G219" s="13"/>
      <c r="H219" s="13"/>
      <c r="I219" s="13"/>
      <c r="J219" s="13"/>
      <c r="K219" s="13"/>
      <c r="L219" s="13"/>
      <c r="M219" s="13"/>
      <c r="N219" s="30"/>
      <c r="O219" s="13"/>
      <c r="P219" s="13"/>
      <c r="Q219" s="13"/>
      <c r="R219" s="14"/>
      <c r="S219" s="45"/>
      <c r="T219" s="34"/>
      <c r="U219" s="34"/>
      <c r="V219" s="34"/>
      <c r="W219" s="34"/>
      <c r="X219" s="34"/>
      <c r="Y219" s="34"/>
      <c r="Z219" s="34"/>
      <c r="AA219" s="34"/>
      <c r="AB219" s="34"/>
      <c r="AC219" s="34"/>
      <c r="AD219" s="34"/>
    </row>
    <row r="220" ht="15.75" customHeight="1">
      <c r="A220" s="13"/>
      <c r="B220" s="13"/>
      <c r="C220" s="13"/>
      <c r="D220" s="13"/>
      <c r="E220" s="14"/>
      <c r="F220" s="13"/>
      <c r="G220" s="13"/>
      <c r="H220" s="13"/>
      <c r="I220" s="13"/>
      <c r="J220" s="13"/>
      <c r="K220" s="13"/>
      <c r="L220" s="13"/>
      <c r="M220" s="13"/>
      <c r="N220" s="30"/>
      <c r="O220" s="13"/>
      <c r="P220" s="13"/>
      <c r="Q220" s="13"/>
      <c r="R220" s="14"/>
      <c r="S220" s="45"/>
      <c r="T220" s="34"/>
      <c r="U220" s="34"/>
      <c r="V220" s="34"/>
      <c r="W220" s="34"/>
      <c r="X220" s="34"/>
      <c r="Y220" s="34"/>
      <c r="Z220" s="34"/>
      <c r="AA220" s="34"/>
      <c r="AB220" s="34"/>
      <c r="AC220" s="34"/>
      <c r="AD220" s="34"/>
    </row>
    <row r="221" ht="15.75" customHeight="1">
      <c r="A221" s="94"/>
      <c r="B221" s="94"/>
      <c r="C221" s="94"/>
      <c r="D221" s="94"/>
      <c r="E221" s="94"/>
      <c r="F221" s="94"/>
      <c r="G221" s="94"/>
      <c r="H221" s="94"/>
      <c r="I221" s="94"/>
      <c r="J221" s="94"/>
      <c r="K221" s="94"/>
      <c r="L221" s="94"/>
      <c r="M221" s="94"/>
      <c r="N221" s="94"/>
      <c r="O221" s="94"/>
      <c r="P221" s="94"/>
      <c r="Q221" s="94"/>
      <c r="R221" s="94"/>
      <c r="S221" s="95"/>
      <c r="T221" s="34"/>
      <c r="U221" s="34"/>
      <c r="V221" s="34"/>
      <c r="W221" s="34"/>
      <c r="X221" s="34"/>
      <c r="Y221" s="34"/>
      <c r="Z221" s="34"/>
      <c r="AA221" s="34"/>
      <c r="AB221" s="34"/>
      <c r="AC221" s="34"/>
      <c r="AD221" s="34"/>
    </row>
    <row r="222" ht="15.75" customHeight="1">
      <c r="A222" s="94"/>
      <c r="B222" s="94"/>
      <c r="C222" s="94"/>
      <c r="D222" s="94"/>
      <c r="E222" s="94"/>
      <c r="F222" s="94"/>
      <c r="G222" s="94"/>
      <c r="H222" s="94"/>
      <c r="I222" s="94"/>
      <c r="J222" s="94"/>
      <c r="K222" s="94"/>
      <c r="L222" s="94"/>
      <c r="M222" s="94"/>
      <c r="N222" s="94"/>
      <c r="O222" s="94"/>
      <c r="P222" s="94"/>
      <c r="Q222" s="94"/>
      <c r="R222" s="94"/>
      <c r="S222" s="95"/>
      <c r="T222" s="34"/>
      <c r="U222" s="34"/>
      <c r="V222" s="34"/>
      <c r="W222" s="34"/>
      <c r="X222" s="34"/>
      <c r="Y222" s="34"/>
      <c r="Z222" s="34"/>
      <c r="AA222" s="34"/>
      <c r="AB222" s="34"/>
      <c r="AC222" s="34"/>
      <c r="AD222" s="34"/>
    </row>
    <row r="223" ht="15.75" customHeight="1">
      <c r="A223" s="94"/>
      <c r="B223" s="94"/>
      <c r="C223" s="94"/>
      <c r="D223" s="94"/>
      <c r="E223" s="94"/>
      <c r="F223" s="94"/>
      <c r="G223" s="94"/>
      <c r="H223" s="94"/>
      <c r="I223" s="94"/>
      <c r="J223" s="94"/>
      <c r="K223" s="94"/>
      <c r="L223" s="94"/>
      <c r="M223" s="94"/>
      <c r="N223" s="94"/>
      <c r="O223" s="94"/>
      <c r="P223" s="94"/>
      <c r="Q223" s="94"/>
      <c r="R223" s="94"/>
      <c r="S223" s="95"/>
      <c r="T223" s="34"/>
      <c r="U223" s="34"/>
      <c r="V223" s="34"/>
      <c r="W223" s="34"/>
      <c r="X223" s="34"/>
      <c r="Y223" s="34"/>
      <c r="Z223" s="34"/>
      <c r="AA223" s="34"/>
      <c r="AB223" s="34"/>
      <c r="AC223" s="34"/>
      <c r="AD223" s="34"/>
    </row>
    <row r="224" ht="15.75" customHeight="1">
      <c r="A224" s="94"/>
      <c r="B224" s="94"/>
      <c r="C224" s="94"/>
      <c r="D224" s="94"/>
      <c r="E224" s="94"/>
      <c r="F224" s="94"/>
      <c r="G224" s="94"/>
      <c r="H224" s="94"/>
      <c r="I224" s="94"/>
      <c r="J224" s="94"/>
      <c r="K224" s="94"/>
      <c r="L224" s="94"/>
      <c r="M224" s="94"/>
      <c r="N224" s="94"/>
      <c r="O224" s="94"/>
      <c r="P224" s="94"/>
      <c r="Q224" s="94"/>
      <c r="R224" s="94"/>
      <c r="S224" s="95"/>
      <c r="T224" s="34"/>
      <c r="U224" s="34"/>
      <c r="V224" s="34"/>
      <c r="W224" s="34"/>
      <c r="X224" s="34"/>
      <c r="Y224" s="34"/>
      <c r="Z224" s="34"/>
      <c r="AA224" s="34"/>
      <c r="AB224" s="34"/>
      <c r="AC224" s="34"/>
      <c r="AD224" s="34"/>
    </row>
    <row r="225" ht="15.75" customHeight="1">
      <c r="A225" s="94"/>
      <c r="B225" s="94"/>
      <c r="C225" s="94"/>
      <c r="D225" s="94"/>
      <c r="E225" s="94"/>
      <c r="F225" s="94"/>
      <c r="G225" s="94"/>
      <c r="H225" s="94"/>
      <c r="I225" s="94"/>
      <c r="J225" s="94"/>
      <c r="K225" s="94"/>
      <c r="L225" s="94"/>
      <c r="M225" s="94"/>
      <c r="N225" s="94"/>
      <c r="O225" s="94"/>
      <c r="P225" s="94"/>
      <c r="Q225" s="94"/>
      <c r="R225" s="94"/>
      <c r="S225" s="95"/>
      <c r="T225" s="34"/>
      <c r="U225" s="34"/>
      <c r="V225" s="34"/>
      <c r="W225" s="34"/>
      <c r="X225" s="34"/>
      <c r="Y225" s="34"/>
      <c r="Z225" s="34"/>
      <c r="AA225" s="34"/>
      <c r="AB225" s="34"/>
      <c r="AC225" s="34"/>
      <c r="AD225" s="34"/>
    </row>
    <row r="226" ht="15.75" customHeight="1">
      <c r="A226" s="94"/>
      <c r="B226" s="94"/>
      <c r="C226" s="94"/>
      <c r="D226" s="94"/>
      <c r="E226" s="94"/>
      <c r="F226" s="94"/>
      <c r="G226" s="94"/>
      <c r="H226" s="94"/>
      <c r="I226" s="94"/>
      <c r="J226" s="94"/>
      <c r="K226" s="94"/>
      <c r="L226" s="94"/>
      <c r="M226" s="94"/>
      <c r="N226" s="94"/>
      <c r="O226" s="94"/>
      <c r="P226" s="94"/>
      <c r="Q226" s="94"/>
      <c r="R226" s="94"/>
      <c r="S226" s="95"/>
      <c r="T226" s="34"/>
      <c r="U226" s="34"/>
      <c r="V226" s="34"/>
      <c r="W226" s="34"/>
      <c r="X226" s="34"/>
      <c r="Y226" s="34"/>
      <c r="Z226" s="34"/>
      <c r="AA226" s="34"/>
      <c r="AB226" s="34"/>
      <c r="AC226" s="34"/>
      <c r="AD226" s="34"/>
    </row>
    <row r="227" ht="15.75" customHeight="1">
      <c r="A227" s="94"/>
      <c r="B227" s="94"/>
      <c r="C227" s="94"/>
      <c r="D227" s="94"/>
      <c r="E227" s="94"/>
      <c r="F227" s="94"/>
      <c r="G227" s="94"/>
      <c r="H227" s="94"/>
      <c r="I227" s="94"/>
      <c r="J227" s="94"/>
      <c r="K227" s="94"/>
      <c r="L227" s="94"/>
      <c r="M227" s="94"/>
      <c r="N227" s="94"/>
      <c r="O227" s="94"/>
      <c r="P227" s="94"/>
      <c r="Q227" s="94"/>
      <c r="R227" s="94"/>
      <c r="S227" s="95"/>
      <c r="T227" s="34"/>
      <c r="U227" s="34"/>
      <c r="V227" s="34"/>
      <c r="W227" s="34"/>
      <c r="X227" s="34"/>
      <c r="Y227" s="34"/>
      <c r="Z227" s="34"/>
      <c r="AA227" s="34"/>
      <c r="AB227" s="34"/>
      <c r="AC227" s="34"/>
      <c r="AD227" s="34"/>
    </row>
    <row r="228" ht="15.75" customHeight="1">
      <c r="A228" s="94"/>
      <c r="B228" s="94"/>
      <c r="C228" s="94"/>
      <c r="D228" s="94"/>
      <c r="E228" s="94"/>
      <c r="F228" s="94"/>
      <c r="G228" s="94"/>
      <c r="H228" s="94"/>
      <c r="I228" s="94"/>
      <c r="J228" s="94"/>
      <c r="K228" s="94"/>
      <c r="L228" s="94"/>
      <c r="M228" s="94"/>
      <c r="N228" s="94"/>
      <c r="O228" s="94"/>
      <c r="P228" s="94"/>
      <c r="Q228" s="94"/>
      <c r="R228" s="94"/>
      <c r="S228" s="95"/>
      <c r="T228" s="34"/>
      <c r="U228" s="34"/>
      <c r="V228" s="34"/>
      <c r="W228" s="34"/>
      <c r="X228" s="34"/>
      <c r="Y228" s="34"/>
      <c r="Z228" s="34"/>
      <c r="AA228" s="34"/>
      <c r="AB228" s="34"/>
      <c r="AC228" s="34"/>
      <c r="AD228" s="34"/>
    </row>
    <row r="229" ht="15.75" customHeight="1">
      <c r="A229" s="94"/>
      <c r="B229" s="94"/>
      <c r="C229" s="94"/>
      <c r="D229" s="94"/>
      <c r="E229" s="94"/>
      <c r="F229" s="94"/>
      <c r="G229" s="94"/>
      <c r="H229" s="94"/>
      <c r="I229" s="94"/>
      <c r="J229" s="94"/>
      <c r="K229" s="94"/>
      <c r="L229" s="94"/>
      <c r="M229" s="94"/>
      <c r="N229" s="94"/>
      <c r="O229" s="94"/>
      <c r="P229" s="94"/>
      <c r="Q229" s="94"/>
      <c r="R229" s="94"/>
      <c r="S229" s="95"/>
      <c r="T229" s="34"/>
      <c r="U229" s="34"/>
      <c r="V229" s="34"/>
      <c r="W229" s="34"/>
      <c r="X229" s="34"/>
      <c r="Y229" s="34"/>
      <c r="Z229" s="34"/>
      <c r="AA229" s="34"/>
      <c r="AB229" s="34"/>
      <c r="AC229" s="34"/>
      <c r="AD229" s="34"/>
    </row>
    <row r="230" ht="15.75" customHeight="1">
      <c r="A230" s="94"/>
      <c r="B230" s="94"/>
      <c r="C230" s="94"/>
      <c r="D230" s="94"/>
      <c r="E230" s="94"/>
      <c r="F230" s="94"/>
      <c r="G230" s="94"/>
      <c r="H230" s="94"/>
      <c r="I230" s="94"/>
      <c r="J230" s="94"/>
      <c r="K230" s="94"/>
      <c r="L230" s="94"/>
      <c r="M230" s="94"/>
      <c r="N230" s="94"/>
      <c r="O230" s="94"/>
      <c r="P230" s="94"/>
      <c r="Q230" s="94"/>
      <c r="R230" s="94"/>
      <c r="S230" s="95"/>
      <c r="T230" s="34"/>
      <c r="U230" s="34"/>
      <c r="V230" s="34"/>
      <c r="W230" s="34"/>
      <c r="X230" s="34"/>
      <c r="Y230" s="34"/>
      <c r="Z230" s="34"/>
      <c r="AA230" s="34"/>
      <c r="AB230" s="34"/>
      <c r="AC230" s="34"/>
      <c r="AD230" s="34"/>
    </row>
    <row r="231" ht="15.75" customHeight="1">
      <c r="A231" s="94"/>
      <c r="B231" s="94"/>
      <c r="C231" s="94"/>
      <c r="D231" s="94"/>
      <c r="E231" s="94"/>
      <c r="F231" s="94"/>
      <c r="G231" s="94"/>
      <c r="H231" s="94"/>
      <c r="I231" s="94"/>
      <c r="J231" s="94"/>
      <c r="K231" s="94"/>
      <c r="L231" s="94"/>
      <c r="M231" s="94"/>
      <c r="N231" s="94"/>
      <c r="O231" s="94"/>
      <c r="P231" s="94"/>
      <c r="Q231" s="94"/>
      <c r="R231" s="94"/>
      <c r="S231" s="95"/>
      <c r="T231" s="34"/>
      <c r="U231" s="34"/>
      <c r="V231" s="34"/>
      <c r="W231" s="34"/>
      <c r="X231" s="34"/>
      <c r="Y231" s="34"/>
      <c r="Z231" s="34"/>
      <c r="AA231" s="34"/>
      <c r="AB231" s="34"/>
      <c r="AC231" s="34"/>
      <c r="AD231" s="34"/>
    </row>
    <row r="232" ht="15.75" customHeight="1">
      <c r="A232" s="94"/>
      <c r="B232" s="94"/>
      <c r="C232" s="94"/>
      <c r="D232" s="94"/>
      <c r="E232" s="94"/>
      <c r="F232" s="94"/>
      <c r="G232" s="94"/>
      <c r="H232" s="94"/>
      <c r="I232" s="94"/>
      <c r="J232" s="94"/>
      <c r="K232" s="94"/>
      <c r="L232" s="94"/>
      <c r="M232" s="94"/>
      <c r="N232" s="94"/>
      <c r="O232" s="94"/>
      <c r="P232" s="94"/>
      <c r="Q232" s="94"/>
      <c r="R232" s="94"/>
      <c r="S232" s="95"/>
      <c r="T232" s="34"/>
      <c r="U232" s="34"/>
      <c r="V232" s="34"/>
      <c r="W232" s="34"/>
      <c r="X232" s="34"/>
      <c r="Y232" s="34"/>
      <c r="Z232" s="34"/>
      <c r="AA232" s="34"/>
      <c r="AB232" s="34"/>
      <c r="AC232" s="34"/>
      <c r="AD232" s="34"/>
    </row>
    <row r="233" ht="15.75" customHeight="1">
      <c r="A233" s="94"/>
      <c r="B233" s="94"/>
      <c r="C233" s="94"/>
      <c r="D233" s="94"/>
      <c r="E233" s="94"/>
      <c r="F233" s="94"/>
      <c r="G233" s="94"/>
      <c r="H233" s="94"/>
      <c r="I233" s="94"/>
      <c r="J233" s="94"/>
      <c r="K233" s="94"/>
      <c r="L233" s="94"/>
      <c r="M233" s="94"/>
      <c r="N233" s="94"/>
      <c r="O233" s="94"/>
      <c r="P233" s="94"/>
      <c r="Q233" s="94"/>
      <c r="R233" s="94"/>
      <c r="S233" s="95"/>
      <c r="T233" s="34"/>
      <c r="U233" s="34"/>
      <c r="V233" s="34"/>
      <c r="W233" s="34"/>
      <c r="X233" s="34"/>
      <c r="Y233" s="34"/>
      <c r="Z233" s="34"/>
      <c r="AA233" s="34"/>
      <c r="AB233" s="34"/>
      <c r="AC233" s="34"/>
      <c r="AD233" s="34"/>
    </row>
    <row r="234" ht="15.75" customHeight="1">
      <c r="A234" s="94"/>
      <c r="B234" s="94"/>
      <c r="C234" s="94"/>
      <c r="D234" s="94"/>
      <c r="E234" s="94"/>
      <c r="F234" s="94"/>
      <c r="G234" s="94"/>
      <c r="H234" s="94"/>
      <c r="I234" s="94"/>
      <c r="J234" s="94"/>
      <c r="K234" s="94"/>
      <c r="L234" s="94"/>
      <c r="M234" s="94"/>
      <c r="N234" s="94"/>
      <c r="O234" s="94"/>
      <c r="P234" s="94"/>
      <c r="Q234" s="94"/>
      <c r="R234" s="94"/>
      <c r="S234" s="95"/>
      <c r="T234" s="34"/>
      <c r="U234" s="34"/>
      <c r="V234" s="34"/>
      <c r="W234" s="34"/>
      <c r="X234" s="34"/>
      <c r="Y234" s="34"/>
      <c r="Z234" s="34"/>
      <c r="AA234" s="34"/>
      <c r="AB234" s="34"/>
      <c r="AC234" s="34"/>
      <c r="AD234" s="34"/>
    </row>
    <row r="235" ht="15.75" customHeight="1">
      <c r="A235" s="94"/>
      <c r="B235" s="94"/>
      <c r="C235" s="94"/>
      <c r="D235" s="94"/>
      <c r="E235" s="94"/>
      <c r="F235" s="94"/>
      <c r="G235" s="94"/>
      <c r="H235" s="94"/>
      <c r="I235" s="94"/>
      <c r="J235" s="94"/>
      <c r="K235" s="94"/>
      <c r="L235" s="94"/>
      <c r="M235" s="94"/>
      <c r="N235" s="94"/>
      <c r="O235" s="94"/>
      <c r="P235" s="94"/>
      <c r="Q235" s="94"/>
      <c r="R235" s="94"/>
      <c r="S235" s="95"/>
      <c r="T235" s="34"/>
      <c r="U235" s="34"/>
      <c r="V235" s="34"/>
      <c r="W235" s="34"/>
      <c r="X235" s="34"/>
      <c r="Y235" s="34"/>
      <c r="Z235" s="34"/>
      <c r="AA235" s="34"/>
      <c r="AB235" s="34"/>
      <c r="AC235" s="34"/>
      <c r="AD235" s="34"/>
    </row>
    <row r="236" ht="15.75" customHeight="1">
      <c r="A236" s="94"/>
      <c r="B236" s="94"/>
      <c r="C236" s="94"/>
      <c r="D236" s="94"/>
      <c r="E236" s="94"/>
      <c r="F236" s="94"/>
      <c r="G236" s="94"/>
      <c r="H236" s="94"/>
      <c r="I236" s="94"/>
      <c r="J236" s="94"/>
      <c r="K236" s="94"/>
      <c r="L236" s="94"/>
      <c r="M236" s="94"/>
      <c r="N236" s="94"/>
      <c r="O236" s="94"/>
      <c r="P236" s="94"/>
      <c r="Q236" s="94"/>
      <c r="R236" s="94"/>
      <c r="S236" s="95"/>
      <c r="T236" s="34"/>
      <c r="U236" s="34"/>
      <c r="V236" s="34"/>
      <c r="W236" s="34"/>
      <c r="X236" s="34"/>
      <c r="Y236" s="34"/>
      <c r="Z236" s="34"/>
      <c r="AA236" s="34"/>
      <c r="AB236" s="34"/>
      <c r="AC236" s="34"/>
      <c r="AD236" s="34"/>
    </row>
    <row r="237" ht="15.75" customHeight="1">
      <c r="A237" s="94"/>
      <c r="B237" s="94"/>
      <c r="C237" s="94"/>
      <c r="D237" s="94"/>
      <c r="E237" s="94"/>
      <c r="F237" s="94"/>
      <c r="G237" s="94"/>
      <c r="H237" s="94"/>
      <c r="I237" s="94"/>
      <c r="J237" s="94"/>
      <c r="K237" s="94"/>
      <c r="L237" s="94"/>
      <c r="M237" s="94"/>
      <c r="N237" s="94"/>
      <c r="O237" s="94"/>
      <c r="P237" s="94"/>
      <c r="Q237" s="94"/>
      <c r="R237" s="94"/>
      <c r="S237" s="95"/>
      <c r="T237" s="34"/>
      <c r="U237" s="34"/>
      <c r="V237" s="34"/>
      <c r="W237" s="34"/>
      <c r="X237" s="34"/>
      <c r="Y237" s="34"/>
      <c r="Z237" s="34"/>
      <c r="AA237" s="34"/>
      <c r="AB237" s="34"/>
      <c r="AC237" s="34"/>
      <c r="AD237" s="34"/>
    </row>
    <row r="238" ht="15.75" customHeight="1">
      <c r="A238" s="94"/>
      <c r="B238" s="94"/>
      <c r="C238" s="94"/>
      <c r="D238" s="94"/>
      <c r="E238" s="94"/>
      <c r="F238" s="94"/>
      <c r="G238" s="94"/>
      <c r="H238" s="94"/>
      <c r="I238" s="94"/>
      <c r="J238" s="94"/>
      <c r="K238" s="94"/>
      <c r="L238" s="94"/>
      <c r="M238" s="94"/>
      <c r="N238" s="94"/>
      <c r="O238" s="94"/>
      <c r="P238" s="94"/>
      <c r="Q238" s="94"/>
      <c r="R238" s="94"/>
      <c r="S238" s="95"/>
      <c r="T238" s="34"/>
      <c r="U238" s="34"/>
      <c r="V238" s="34"/>
      <c r="W238" s="34"/>
      <c r="X238" s="34"/>
      <c r="Y238" s="34"/>
      <c r="Z238" s="34"/>
      <c r="AA238" s="34"/>
      <c r="AB238" s="34"/>
      <c r="AC238" s="34"/>
      <c r="AD238" s="34"/>
    </row>
    <row r="239" ht="15.75" customHeight="1">
      <c r="A239" s="94"/>
      <c r="B239" s="94"/>
      <c r="C239" s="94"/>
      <c r="D239" s="94"/>
      <c r="E239" s="94"/>
      <c r="F239" s="94"/>
      <c r="G239" s="94"/>
      <c r="H239" s="94"/>
      <c r="I239" s="94"/>
      <c r="J239" s="94"/>
      <c r="K239" s="94"/>
      <c r="L239" s="94"/>
      <c r="M239" s="94"/>
      <c r="N239" s="94"/>
      <c r="O239" s="94"/>
      <c r="P239" s="94"/>
      <c r="Q239" s="94"/>
      <c r="R239" s="94"/>
      <c r="S239" s="95"/>
      <c r="T239" s="34"/>
      <c r="U239" s="34"/>
      <c r="V239" s="34"/>
      <c r="W239" s="34"/>
      <c r="X239" s="34"/>
      <c r="Y239" s="34"/>
      <c r="Z239" s="34"/>
      <c r="AA239" s="34"/>
      <c r="AB239" s="34"/>
      <c r="AC239" s="34"/>
      <c r="AD239" s="34"/>
    </row>
    <row r="240" ht="15.75" customHeight="1">
      <c r="A240" s="94"/>
      <c r="B240" s="94"/>
      <c r="C240" s="94"/>
      <c r="D240" s="94"/>
      <c r="E240" s="94"/>
      <c r="F240" s="94"/>
      <c r="G240" s="94"/>
      <c r="H240" s="94"/>
      <c r="I240" s="94"/>
      <c r="J240" s="94"/>
      <c r="K240" s="94"/>
      <c r="L240" s="94"/>
      <c r="M240" s="94"/>
      <c r="N240" s="94"/>
      <c r="O240" s="94"/>
      <c r="P240" s="94"/>
      <c r="Q240" s="94"/>
      <c r="R240" s="94"/>
      <c r="S240" s="95"/>
      <c r="T240" s="34"/>
      <c r="U240" s="34"/>
      <c r="V240" s="34"/>
      <c r="W240" s="34"/>
      <c r="X240" s="34"/>
      <c r="Y240" s="34"/>
      <c r="Z240" s="34"/>
      <c r="AA240" s="34"/>
      <c r="AB240" s="34"/>
      <c r="AC240" s="34"/>
      <c r="AD240" s="34"/>
    </row>
    <row r="241" ht="15.75" customHeight="1">
      <c r="A241" s="94"/>
      <c r="B241" s="94"/>
      <c r="C241" s="94"/>
      <c r="D241" s="94"/>
      <c r="E241" s="94"/>
      <c r="F241" s="94"/>
      <c r="G241" s="94"/>
      <c r="H241" s="94"/>
      <c r="I241" s="94"/>
      <c r="J241" s="94"/>
      <c r="K241" s="94"/>
      <c r="L241" s="94"/>
      <c r="M241" s="94"/>
      <c r="N241" s="94"/>
      <c r="O241" s="94"/>
      <c r="P241" s="94"/>
      <c r="Q241" s="94"/>
      <c r="R241" s="94"/>
      <c r="S241" s="95"/>
      <c r="T241" s="34"/>
      <c r="U241" s="34"/>
      <c r="V241" s="34"/>
      <c r="W241" s="34"/>
      <c r="X241" s="34"/>
      <c r="Y241" s="34"/>
      <c r="Z241" s="34"/>
      <c r="AA241" s="34"/>
      <c r="AB241" s="34"/>
      <c r="AC241" s="34"/>
      <c r="AD241" s="34"/>
    </row>
    <row r="242" ht="15.75" customHeight="1">
      <c r="A242" s="94"/>
      <c r="B242" s="94"/>
      <c r="C242" s="94"/>
      <c r="D242" s="94"/>
      <c r="E242" s="94"/>
      <c r="F242" s="94"/>
      <c r="G242" s="94"/>
      <c r="H242" s="94"/>
      <c r="I242" s="94"/>
      <c r="J242" s="94"/>
      <c r="K242" s="94"/>
      <c r="L242" s="94"/>
      <c r="M242" s="94"/>
      <c r="N242" s="94"/>
      <c r="O242" s="94"/>
      <c r="P242" s="94"/>
      <c r="Q242" s="94"/>
      <c r="R242" s="94"/>
      <c r="S242" s="95"/>
      <c r="T242" s="34"/>
      <c r="U242" s="34"/>
      <c r="V242" s="34"/>
      <c r="W242" s="34"/>
      <c r="X242" s="34"/>
      <c r="Y242" s="34"/>
      <c r="Z242" s="34"/>
      <c r="AA242" s="34"/>
      <c r="AB242" s="34"/>
      <c r="AC242" s="34"/>
      <c r="AD242" s="34"/>
    </row>
    <row r="243" ht="15.75" customHeight="1">
      <c r="A243" s="94"/>
      <c r="B243" s="94"/>
      <c r="C243" s="94"/>
      <c r="D243" s="94"/>
      <c r="E243" s="94"/>
      <c r="F243" s="94"/>
      <c r="G243" s="94"/>
      <c r="H243" s="94"/>
      <c r="I243" s="94"/>
      <c r="J243" s="94"/>
      <c r="K243" s="94"/>
      <c r="L243" s="94"/>
      <c r="M243" s="94"/>
      <c r="N243" s="94"/>
      <c r="O243" s="94"/>
      <c r="P243" s="94"/>
      <c r="Q243" s="94"/>
      <c r="R243" s="94"/>
      <c r="S243" s="95"/>
      <c r="T243" s="34"/>
      <c r="U243" s="34"/>
      <c r="V243" s="34"/>
      <c r="W243" s="34"/>
      <c r="X243" s="34"/>
      <c r="Y243" s="34"/>
      <c r="Z243" s="34"/>
      <c r="AA243" s="34"/>
      <c r="AB243" s="34"/>
      <c r="AC243" s="34"/>
      <c r="AD243" s="34"/>
    </row>
    <row r="244" ht="15.75" customHeight="1">
      <c r="A244" s="94"/>
      <c r="B244" s="94"/>
      <c r="C244" s="94"/>
      <c r="D244" s="94"/>
      <c r="E244" s="94"/>
      <c r="F244" s="94"/>
      <c r="G244" s="94"/>
      <c r="H244" s="94"/>
      <c r="I244" s="94"/>
      <c r="J244" s="94"/>
      <c r="K244" s="94"/>
      <c r="L244" s="94"/>
      <c r="M244" s="94"/>
      <c r="N244" s="94"/>
      <c r="O244" s="94"/>
      <c r="P244" s="94"/>
      <c r="Q244" s="94"/>
      <c r="R244" s="94"/>
      <c r="S244" s="95"/>
      <c r="T244" s="34"/>
      <c r="U244" s="34"/>
      <c r="V244" s="34"/>
      <c r="W244" s="34"/>
      <c r="X244" s="34"/>
      <c r="Y244" s="34"/>
      <c r="Z244" s="34"/>
      <c r="AA244" s="34"/>
      <c r="AB244" s="34"/>
      <c r="AC244" s="34"/>
      <c r="AD244" s="34"/>
    </row>
    <row r="245" ht="15.75" customHeight="1">
      <c r="A245" s="94"/>
      <c r="B245" s="94"/>
      <c r="C245" s="94"/>
      <c r="D245" s="94"/>
      <c r="E245" s="94"/>
      <c r="F245" s="94"/>
      <c r="G245" s="94"/>
      <c r="H245" s="94"/>
      <c r="I245" s="94"/>
      <c r="J245" s="94"/>
      <c r="K245" s="94"/>
      <c r="L245" s="94"/>
      <c r="M245" s="94"/>
      <c r="N245" s="94"/>
      <c r="O245" s="94"/>
      <c r="P245" s="94"/>
      <c r="Q245" s="94"/>
      <c r="R245" s="94"/>
      <c r="S245" s="95"/>
      <c r="T245" s="34"/>
      <c r="U245" s="34"/>
      <c r="V245" s="34"/>
      <c r="W245" s="34"/>
      <c r="X245" s="34"/>
      <c r="Y245" s="34"/>
      <c r="Z245" s="34"/>
      <c r="AA245" s="34"/>
      <c r="AB245" s="34"/>
      <c r="AC245" s="34"/>
      <c r="AD245" s="34"/>
    </row>
    <row r="246" ht="15.75" customHeight="1">
      <c r="A246" s="94"/>
      <c r="B246" s="94"/>
      <c r="C246" s="94"/>
      <c r="D246" s="94"/>
      <c r="E246" s="94"/>
      <c r="F246" s="94"/>
      <c r="G246" s="94"/>
      <c r="H246" s="94"/>
      <c r="I246" s="94"/>
      <c r="J246" s="94"/>
      <c r="K246" s="94"/>
      <c r="L246" s="94"/>
      <c r="M246" s="94"/>
      <c r="N246" s="94"/>
      <c r="O246" s="94"/>
      <c r="P246" s="94"/>
      <c r="Q246" s="94"/>
      <c r="R246" s="94"/>
      <c r="S246" s="95"/>
      <c r="T246" s="34"/>
      <c r="U246" s="34"/>
      <c r="V246" s="34"/>
      <c r="W246" s="34"/>
      <c r="X246" s="34"/>
      <c r="Y246" s="34"/>
      <c r="Z246" s="34"/>
      <c r="AA246" s="34"/>
      <c r="AB246" s="34"/>
      <c r="AC246" s="34"/>
      <c r="AD246" s="34"/>
    </row>
    <row r="247" ht="15.75" customHeight="1">
      <c r="A247" s="94"/>
      <c r="B247" s="94"/>
      <c r="C247" s="94"/>
      <c r="D247" s="94"/>
      <c r="E247" s="94"/>
      <c r="F247" s="94"/>
      <c r="G247" s="94"/>
      <c r="H247" s="94"/>
      <c r="I247" s="94"/>
      <c r="J247" s="94"/>
      <c r="K247" s="94"/>
      <c r="L247" s="94"/>
      <c r="M247" s="94"/>
      <c r="N247" s="94"/>
      <c r="O247" s="94"/>
      <c r="P247" s="94"/>
      <c r="Q247" s="94"/>
      <c r="R247" s="94"/>
      <c r="S247" s="95"/>
      <c r="T247" s="34"/>
      <c r="U247" s="34"/>
      <c r="V247" s="34"/>
      <c r="W247" s="34"/>
      <c r="X247" s="34"/>
      <c r="Y247" s="34"/>
      <c r="Z247" s="34"/>
      <c r="AA247" s="34"/>
      <c r="AB247" s="34"/>
      <c r="AC247" s="34"/>
      <c r="AD247" s="34"/>
    </row>
    <row r="248" ht="15.75" customHeight="1">
      <c r="A248" s="94"/>
      <c r="B248" s="94"/>
      <c r="C248" s="94"/>
      <c r="D248" s="94"/>
      <c r="E248" s="94"/>
      <c r="F248" s="94"/>
      <c r="G248" s="94"/>
      <c r="H248" s="94"/>
      <c r="I248" s="94"/>
      <c r="J248" s="94"/>
      <c r="K248" s="94"/>
      <c r="L248" s="94"/>
      <c r="M248" s="94"/>
      <c r="N248" s="94"/>
      <c r="O248" s="94"/>
      <c r="P248" s="94"/>
      <c r="Q248" s="94"/>
      <c r="R248" s="94"/>
      <c r="S248" s="95"/>
      <c r="T248" s="34"/>
      <c r="U248" s="34"/>
      <c r="V248" s="34"/>
      <c r="W248" s="34"/>
      <c r="X248" s="34"/>
      <c r="Y248" s="34"/>
      <c r="Z248" s="34"/>
      <c r="AA248" s="34"/>
      <c r="AB248" s="34"/>
      <c r="AC248" s="34"/>
      <c r="AD248" s="34"/>
    </row>
    <row r="249" ht="15.75" customHeight="1">
      <c r="A249" s="94"/>
      <c r="B249" s="94"/>
      <c r="C249" s="94"/>
      <c r="D249" s="94"/>
      <c r="E249" s="94"/>
      <c r="F249" s="94"/>
      <c r="G249" s="94"/>
      <c r="H249" s="94"/>
      <c r="I249" s="94"/>
      <c r="J249" s="94"/>
      <c r="K249" s="94"/>
      <c r="L249" s="94"/>
      <c r="M249" s="94"/>
      <c r="N249" s="94"/>
      <c r="O249" s="94"/>
      <c r="P249" s="94"/>
      <c r="Q249" s="94"/>
      <c r="R249" s="94"/>
      <c r="S249" s="95"/>
      <c r="T249" s="34"/>
      <c r="U249" s="34"/>
      <c r="V249" s="34"/>
      <c r="W249" s="34"/>
      <c r="X249" s="34"/>
      <c r="Y249" s="34"/>
      <c r="Z249" s="34"/>
      <c r="AA249" s="34"/>
      <c r="AB249" s="34"/>
      <c r="AC249" s="34"/>
      <c r="AD249" s="34"/>
    </row>
    <row r="250" ht="15.75" customHeight="1">
      <c r="A250" s="94"/>
      <c r="B250" s="94"/>
      <c r="C250" s="94"/>
      <c r="D250" s="94"/>
      <c r="E250" s="94"/>
      <c r="F250" s="94"/>
      <c r="G250" s="94"/>
      <c r="H250" s="94"/>
      <c r="I250" s="94"/>
      <c r="J250" s="94"/>
      <c r="K250" s="94"/>
      <c r="L250" s="94"/>
      <c r="M250" s="94"/>
      <c r="N250" s="94"/>
      <c r="O250" s="94"/>
      <c r="P250" s="94"/>
      <c r="Q250" s="94"/>
      <c r="R250" s="94"/>
      <c r="S250" s="95"/>
      <c r="T250" s="34"/>
      <c r="U250" s="34"/>
      <c r="V250" s="34"/>
      <c r="W250" s="34"/>
      <c r="X250" s="34"/>
      <c r="Y250" s="34"/>
      <c r="Z250" s="34"/>
      <c r="AA250" s="34"/>
      <c r="AB250" s="34"/>
      <c r="AC250" s="34"/>
      <c r="AD250" s="34"/>
    </row>
    <row r="251" ht="15.75" customHeight="1">
      <c r="A251" s="94"/>
      <c r="B251" s="94"/>
      <c r="C251" s="94"/>
      <c r="D251" s="94"/>
      <c r="E251" s="94"/>
      <c r="F251" s="94"/>
      <c r="G251" s="94"/>
      <c r="H251" s="94"/>
      <c r="I251" s="94"/>
      <c r="J251" s="94"/>
      <c r="K251" s="94"/>
      <c r="L251" s="94"/>
      <c r="M251" s="94"/>
      <c r="N251" s="94"/>
      <c r="O251" s="94"/>
      <c r="P251" s="94"/>
      <c r="Q251" s="94"/>
      <c r="R251" s="94"/>
      <c r="S251" s="95"/>
      <c r="T251" s="34"/>
      <c r="U251" s="34"/>
      <c r="V251" s="34"/>
      <c r="W251" s="34"/>
      <c r="X251" s="34"/>
      <c r="Y251" s="34"/>
      <c r="Z251" s="34"/>
      <c r="AA251" s="34"/>
      <c r="AB251" s="34"/>
      <c r="AC251" s="34"/>
      <c r="AD251" s="34"/>
    </row>
    <row r="252" ht="15.75" customHeight="1">
      <c r="A252" s="94"/>
      <c r="B252" s="94"/>
      <c r="C252" s="94"/>
      <c r="D252" s="94"/>
      <c r="E252" s="94"/>
      <c r="F252" s="94"/>
      <c r="G252" s="94"/>
      <c r="H252" s="94"/>
      <c r="I252" s="94"/>
      <c r="J252" s="94"/>
      <c r="K252" s="94"/>
      <c r="L252" s="94"/>
      <c r="M252" s="94"/>
      <c r="N252" s="94"/>
      <c r="O252" s="94"/>
      <c r="P252" s="94"/>
      <c r="Q252" s="94"/>
      <c r="R252" s="94"/>
      <c r="S252" s="95"/>
      <c r="T252" s="34"/>
      <c r="U252" s="34"/>
      <c r="V252" s="34"/>
      <c r="W252" s="34"/>
      <c r="X252" s="34"/>
      <c r="Y252" s="34"/>
      <c r="Z252" s="34"/>
      <c r="AA252" s="34"/>
      <c r="AB252" s="34"/>
      <c r="AC252" s="34"/>
      <c r="AD252" s="34"/>
    </row>
    <row r="253" ht="15.75" customHeight="1">
      <c r="A253" s="94"/>
      <c r="B253" s="94"/>
      <c r="C253" s="94"/>
      <c r="D253" s="94"/>
      <c r="E253" s="94"/>
      <c r="F253" s="94"/>
      <c r="G253" s="94"/>
      <c r="H253" s="94"/>
      <c r="I253" s="94"/>
      <c r="J253" s="94"/>
      <c r="K253" s="94"/>
      <c r="L253" s="94"/>
      <c r="M253" s="94"/>
      <c r="N253" s="94"/>
      <c r="O253" s="94"/>
      <c r="P253" s="94"/>
      <c r="Q253" s="94"/>
      <c r="R253" s="94"/>
      <c r="S253" s="95"/>
      <c r="T253" s="34"/>
      <c r="U253" s="34"/>
      <c r="V253" s="34"/>
      <c r="W253" s="34"/>
      <c r="X253" s="34"/>
      <c r="Y253" s="34"/>
      <c r="Z253" s="34"/>
      <c r="AA253" s="34"/>
      <c r="AB253" s="34"/>
      <c r="AC253" s="34"/>
      <c r="AD253" s="34"/>
    </row>
    <row r="254" ht="15.75" customHeight="1">
      <c r="A254" s="94"/>
      <c r="B254" s="94"/>
      <c r="C254" s="94"/>
      <c r="D254" s="94"/>
      <c r="E254" s="94"/>
      <c r="F254" s="94"/>
      <c r="G254" s="94"/>
      <c r="H254" s="94"/>
      <c r="I254" s="94"/>
      <c r="J254" s="94"/>
      <c r="K254" s="94"/>
      <c r="L254" s="94"/>
      <c r="M254" s="94"/>
      <c r="N254" s="94"/>
      <c r="O254" s="94"/>
      <c r="P254" s="94"/>
      <c r="Q254" s="94"/>
      <c r="R254" s="94"/>
      <c r="S254" s="95"/>
      <c r="T254" s="34"/>
      <c r="U254" s="34"/>
      <c r="V254" s="34"/>
      <c r="W254" s="34"/>
      <c r="X254" s="34"/>
      <c r="Y254" s="34"/>
      <c r="Z254" s="34"/>
      <c r="AA254" s="34"/>
      <c r="AB254" s="34"/>
      <c r="AC254" s="34"/>
      <c r="AD254" s="34"/>
    </row>
    <row r="255" ht="15.75" customHeight="1">
      <c r="A255" s="94"/>
      <c r="B255" s="94"/>
      <c r="C255" s="94"/>
      <c r="D255" s="94"/>
      <c r="E255" s="94"/>
      <c r="F255" s="94"/>
      <c r="G255" s="94"/>
      <c r="H255" s="94"/>
      <c r="I255" s="94"/>
      <c r="J255" s="94"/>
      <c r="K255" s="94"/>
      <c r="L255" s="94"/>
      <c r="M255" s="94"/>
      <c r="N255" s="94"/>
      <c r="O255" s="94"/>
      <c r="P255" s="94"/>
      <c r="Q255" s="94"/>
      <c r="R255" s="94"/>
      <c r="S255" s="95"/>
      <c r="T255" s="34"/>
      <c r="U255" s="34"/>
      <c r="V255" s="34"/>
      <c r="W255" s="34"/>
      <c r="X255" s="34"/>
      <c r="Y255" s="34"/>
      <c r="Z255" s="34"/>
      <c r="AA255" s="34"/>
      <c r="AB255" s="34"/>
      <c r="AC255" s="34"/>
      <c r="AD255" s="34"/>
    </row>
    <row r="256" ht="15.75" customHeight="1">
      <c r="A256" s="94"/>
      <c r="B256" s="94"/>
      <c r="C256" s="94"/>
      <c r="D256" s="94"/>
      <c r="E256" s="94"/>
      <c r="F256" s="94"/>
      <c r="G256" s="94"/>
      <c r="H256" s="94"/>
      <c r="I256" s="94"/>
      <c r="J256" s="94"/>
      <c r="K256" s="94"/>
      <c r="L256" s="94"/>
      <c r="M256" s="94"/>
      <c r="N256" s="94"/>
      <c r="O256" s="94"/>
      <c r="P256" s="94"/>
      <c r="Q256" s="94"/>
      <c r="R256" s="94"/>
      <c r="S256" s="95"/>
      <c r="T256" s="34"/>
      <c r="U256" s="34"/>
      <c r="V256" s="34"/>
      <c r="W256" s="34"/>
      <c r="X256" s="34"/>
      <c r="Y256" s="34"/>
      <c r="Z256" s="34"/>
      <c r="AA256" s="34"/>
      <c r="AB256" s="34"/>
      <c r="AC256" s="34"/>
      <c r="AD256" s="34"/>
    </row>
    <row r="257" ht="15.75" customHeight="1">
      <c r="A257" s="94"/>
      <c r="B257" s="94"/>
      <c r="C257" s="94"/>
      <c r="D257" s="94"/>
      <c r="E257" s="94"/>
      <c r="F257" s="94"/>
      <c r="G257" s="94"/>
      <c r="H257" s="94"/>
      <c r="I257" s="94"/>
      <c r="J257" s="94"/>
      <c r="K257" s="94"/>
      <c r="L257" s="94"/>
      <c r="M257" s="94"/>
      <c r="N257" s="94"/>
      <c r="O257" s="94"/>
      <c r="P257" s="94"/>
      <c r="Q257" s="94"/>
      <c r="R257" s="94"/>
      <c r="S257" s="95"/>
      <c r="T257" s="34"/>
      <c r="U257" s="34"/>
      <c r="V257" s="34"/>
      <c r="W257" s="34"/>
      <c r="X257" s="34"/>
      <c r="Y257" s="34"/>
      <c r="Z257" s="34"/>
      <c r="AA257" s="34"/>
      <c r="AB257" s="34"/>
      <c r="AC257" s="34"/>
      <c r="AD257" s="34"/>
    </row>
    <row r="258" ht="15.75" customHeight="1">
      <c r="A258" s="94"/>
      <c r="B258" s="94"/>
      <c r="C258" s="94"/>
      <c r="D258" s="94"/>
      <c r="E258" s="94"/>
      <c r="F258" s="94"/>
      <c r="G258" s="94"/>
      <c r="H258" s="94"/>
      <c r="I258" s="94"/>
      <c r="J258" s="94"/>
      <c r="K258" s="94"/>
      <c r="L258" s="94"/>
      <c r="M258" s="94"/>
      <c r="N258" s="94"/>
      <c r="O258" s="94"/>
      <c r="P258" s="94"/>
      <c r="Q258" s="94"/>
      <c r="R258" s="94"/>
      <c r="S258" s="95"/>
      <c r="T258" s="34"/>
      <c r="U258" s="34"/>
      <c r="V258" s="34"/>
      <c r="W258" s="34"/>
      <c r="X258" s="34"/>
      <c r="Y258" s="34"/>
      <c r="Z258" s="34"/>
      <c r="AA258" s="34"/>
      <c r="AB258" s="34"/>
      <c r="AC258" s="34"/>
      <c r="AD258" s="34"/>
    </row>
    <row r="259" ht="15.75" customHeight="1">
      <c r="A259" s="94"/>
      <c r="B259" s="94"/>
      <c r="C259" s="94"/>
      <c r="D259" s="94"/>
      <c r="E259" s="94"/>
      <c r="F259" s="94"/>
      <c r="G259" s="94"/>
      <c r="H259" s="94"/>
      <c r="I259" s="94"/>
      <c r="J259" s="94"/>
      <c r="K259" s="94"/>
      <c r="L259" s="94"/>
      <c r="M259" s="94"/>
      <c r="N259" s="94"/>
      <c r="O259" s="94"/>
      <c r="P259" s="94"/>
      <c r="Q259" s="94"/>
      <c r="R259" s="94"/>
      <c r="S259" s="95"/>
      <c r="T259" s="34"/>
      <c r="U259" s="34"/>
      <c r="V259" s="34"/>
      <c r="W259" s="34"/>
      <c r="X259" s="34"/>
      <c r="Y259" s="34"/>
      <c r="Z259" s="34"/>
      <c r="AA259" s="34"/>
      <c r="AB259" s="34"/>
      <c r="AC259" s="34"/>
      <c r="AD259" s="34"/>
    </row>
    <row r="260" ht="15.75" customHeight="1">
      <c r="A260" s="94"/>
      <c r="B260" s="94"/>
      <c r="C260" s="94"/>
      <c r="D260" s="94"/>
      <c r="E260" s="94"/>
      <c r="F260" s="94"/>
      <c r="G260" s="94"/>
      <c r="H260" s="94"/>
      <c r="I260" s="94"/>
      <c r="J260" s="94"/>
      <c r="K260" s="94"/>
      <c r="L260" s="94"/>
      <c r="M260" s="94"/>
      <c r="N260" s="94"/>
      <c r="O260" s="94"/>
      <c r="P260" s="94"/>
      <c r="Q260" s="94"/>
      <c r="R260" s="94"/>
      <c r="S260" s="95"/>
      <c r="T260" s="34"/>
      <c r="U260" s="34"/>
      <c r="V260" s="34"/>
      <c r="W260" s="34"/>
      <c r="X260" s="34"/>
      <c r="Y260" s="34"/>
      <c r="Z260" s="34"/>
      <c r="AA260" s="34"/>
      <c r="AB260" s="34"/>
      <c r="AC260" s="34"/>
      <c r="AD260" s="34"/>
    </row>
    <row r="261" ht="15.75" customHeight="1">
      <c r="A261" s="94"/>
      <c r="B261" s="94"/>
      <c r="C261" s="94"/>
      <c r="D261" s="94"/>
      <c r="E261" s="94"/>
      <c r="F261" s="94"/>
      <c r="G261" s="94"/>
      <c r="H261" s="94"/>
      <c r="I261" s="94"/>
      <c r="J261" s="94"/>
      <c r="K261" s="94"/>
      <c r="L261" s="94"/>
      <c r="M261" s="94"/>
      <c r="N261" s="94"/>
      <c r="O261" s="94"/>
      <c r="P261" s="94"/>
      <c r="Q261" s="94"/>
      <c r="R261" s="94"/>
      <c r="S261" s="95"/>
      <c r="T261" s="34"/>
      <c r="U261" s="34"/>
      <c r="V261" s="34"/>
      <c r="W261" s="34"/>
      <c r="X261" s="34"/>
      <c r="Y261" s="34"/>
      <c r="Z261" s="34"/>
      <c r="AA261" s="34"/>
      <c r="AB261" s="34"/>
      <c r="AC261" s="34"/>
      <c r="AD261" s="34"/>
    </row>
    <row r="262" ht="15.75" customHeight="1">
      <c r="A262" s="94"/>
      <c r="B262" s="94"/>
      <c r="C262" s="94"/>
      <c r="D262" s="94"/>
      <c r="E262" s="94"/>
      <c r="F262" s="94"/>
      <c r="G262" s="94"/>
      <c r="H262" s="94"/>
      <c r="I262" s="94"/>
      <c r="J262" s="94"/>
      <c r="K262" s="94"/>
      <c r="L262" s="94"/>
      <c r="M262" s="94"/>
      <c r="N262" s="94"/>
      <c r="O262" s="94"/>
      <c r="P262" s="94"/>
      <c r="Q262" s="94"/>
      <c r="R262" s="94"/>
      <c r="S262" s="95"/>
      <c r="T262" s="34"/>
      <c r="U262" s="34"/>
      <c r="V262" s="34"/>
      <c r="W262" s="34"/>
      <c r="X262" s="34"/>
      <c r="Y262" s="34"/>
      <c r="Z262" s="34"/>
      <c r="AA262" s="34"/>
      <c r="AB262" s="34"/>
      <c r="AC262" s="34"/>
      <c r="AD262" s="34"/>
    </row>
    <row r="263" ht="15.75" customHeight="1">
      <c r="A263" s="94"/>
      <c r="B263" s="94"/>
      <c r="C263" s="94"/>
      <c r="D263" s="94"/>
      <c r="E263" s="94"/>
      <c r="F263" s="94"/>
      <c r="G263" s="94"/>
      <c r="H263" s="94"/>
      <c r="I263" s="94"/>
      <c r="J263" s="94"/>
      <c r="K263" s="94"/>
      <c r="L263" s="94"/>
      <c r="M263" s="94"/>
      <c r="N263" s="94"/>
      <c r="O263" s="94"/>
      <c r="P263" s="94"/>
      <c r="Q263" s="94"/>
      <c r="R263" s="94"/>
      <c r="S263" s="95"/>
      <c r="T263" s="34"/>
      <c r="U263" s="34"/>
      <c r="V263" s="34"/>
      <c r="W263" s="34"/>
      <c r="X263" s="34"/>
      <c r="Y263" s="34"/>
      <c r="Z263" s="34"/>
      <c r="AA263" s="34"/>
      <c r="AB263" s="34"/>
      <c r="AC263" s="34"/>
      <c r="AD263" s="34"/>
    </row>
    <row r="264" ht="15.75" customHeight="1">
      <c r="A264" s="94"/>
      <c r="B264" s="94"/>
      <c r="C264" s="94"/>
      <c r="D264" s="94"/>
      <c r="E264" s="94"/>
      <c r="F264" s="94"/>
      <c r="G264" s="94"/>
      <c r="H264" s="94"/>
      <c r="I264" s="94"/>
      <c r="J264" s="94"/>
      <c r="K264" s="94"/>
      <c r="L264" s="94"/>
      <c r="M264" s="94"/>
      <c r="N264" s="94"/>
      <c r="O264" s="94"/>
      <c r="P264" s="94"/>
      <c r="Q264" s="94"/>
      <c r="R264" s="94"/>
      <c r="S264" s="95"/>
      <c r="T264" s="34"/>
      <c r="U264" s="34"/>
      <c r="V264" s="34"/>
      <c r="W264" s="34"/>
      <c r="X264" s="34"/>
      <c r="Y264" s="34"/>
      <c r="Z264" s="34"/>
      <c r="AA264" s="34"/>
      <c r="AB264" s="34"/>
      <c r="AC264" s="34"/>
      <c r="AD264" s="34"/>
    </row>
    <row r="265" ht="15.75" customHeight="1">
      <c r="A265" s="94"/>
      <c r="B265" s="94"/>
      <c r="C265" s="94"/>
      <c r="D265" s="94"/>
      <c r="E265" s="94"/>
      <c r="F265" s="94"/>
      <c r="G265" s="94"/>
      <c r="H265" s="94"/>
      <c r="I265" s="94"/>
      <c r="J265" s="94"/>
      <c r="K265" s="94"/>
      <c r="L265" s="94"/>
      <c r="M265" s="94"/>
      <c r="N265" s="94"/>
      <c r="O265" s="94"/>
      <c r="P265" s="94"/>
      <c r="Q265" s="94"/>
      <c r="R265" s="94"/>
      <c r="S265" s="95"/>
      <c r="T265" s="34"/>
      <c r="U265" s="34"/>
      <c r="V265" s="34"/>
      <c r="W265" s="34"/>
      <c r="X265" s="34"/>
      <c r="Y265" s="34"/>
      <c r="Z265" s="34"/>
      <c r="AA265" s="34"/>
      <c r="AB265" s="34"/>
      <c r="AC265" s="34"/>
      <c r="AD265" s="34"/>
    </row>
    <row r="266" ht="15.75" customHeight="1">
      <c r="A266" s="94"/>
      <c r="B266" s="94"/>
      <c r="C266" s="94"/>
      <c r="D266" s="94"/>
      <c r="E266" s="94"/>
      <c r="F266" s="94"/>
      <c r="G266" s="94"/>
      <c r="H266" s="94"/>
      <c r="I266" s="94"/>
      <c r="J266" s="94"/>
      <c r="K266" s="94"/>
      <c r="L266" s="94"/>
      <c r="M266" s="94"/>
      <c r="N266" s="94"/>
      <c r="O266" s="94"/>
      <c r="P266" s="94"/>
      <c r="Q266" s="94"/>
      <c r="R266" s="94"/>
      <c r="S266" s="95"/>
      <c r="T266" s="34"/>
      <c r="U266" s="34"/>
      <c r="V266" s="34"/>
      <c r="W266" s="34"/>
      <c r="X266" s="34"/>
      <c r="Y266" s="34"/>
      <c r="Z266" s="34"/>
      <c r="AA266" s="34"/>
      <c r="AB266" s="34"/>
      <c r="AC266" s="34"/>
      <c r="AD266" s="34"/>
    </row>
    <row r="267" ht="15.75" customHeight="1">
      <c r="A267" s="94"/>
      <c r="B267" s="94"/>
      <c r="C267" s="94"/>
      <c r="D267" s="94"/>
      <c r="E267" s="94"/>
      <c r="F267" s="94"/>
      <c r="G267" s="94"/>
      <c r="H267" s="94"/>
      <c r="I267" s="94"/>
      <c r="J267" s="94"/>
      <c r="K267" s="94"/>
      <c r="L267" s="94"/>
      <c r="M267" s="94"/>
      <c r="N267" s="94"/>
      <c r="O267" s="94"/>
      <c r="P267" s="94"/>
      <c r="Q267" s="94"/>
      <c r="R267" s="94"/>
      <c r="S267" s="95"/>
      <c r="T267" s="34"/>
      <c r="U267" s="34"/>
      <c r="V267" s="34"/>
      <c r="W267" s="34"/>
      <c r="X267" s="34"/>
      <c r="Y267" s="34"/>
      <c r="Z267" s="34"/>
      <c r="AA267" s="34"/>
      <c r="AB267" s="34"/>
      <c r="AC267" s="34"/>
      <c r="AD267" s="34"/>
    </row>
    <row r="268" ht="15.75" customHeight="1">
      <c r="A268" s="94"/>
      <c r="B268" s="94"/>
      <c r="C268" s="94"/>
      <c r="D268" s="94"/>
      <c r="E268" s="94"/>
      <c r="F268" s="94"/>
      <c r="G268" s="94"/>
      <c r="H268" s="94"/>
      <c r="I268" s="94"/>
      <c r="J268" s="94"/>
      <c r="K268" s="94"/>
      <c r="L268" s="94"/>
      <c r="M268" s="94"/>
      <c r="N268" s="94"/>
      <c r="O268" s="94"/>
      <c r="P268" s="94"/>
      <c r="Q268" s="94"/>
      <c r="R268" s="94"/>
      <c r="S268" s="95"/>
      <c r="T268" s="34"/>
      <c r="U268" s="34"/>
      <c r="V268" s="34"/>
      <c r="W268" s="34"/>
      <c r="X268" s="34"/>
      <c r="Y268" s="34"/>
      <c r="Z268" s="34"/>
      <c r="AA268" s="34"/>
      <c r="AB268" s="34"/>
      <c r="AC268" s="34"/>
      <c r="AD268" s="34"/>
    </row>
    <row r="269" ht="15.75" customHeight="1">
      <c r="A269" s="94"/>
      <c r="B269" s="94"/>
      <c r="C269" s="94"/>
      <c r="D269" s="94"/>
      <c r="E269" s="94"/>
      <c r="F269" s="94"/>
      <c r="G269" s="94"/>
      <c r="H269" s="94"/>
      <c r="I269" s="94"/>
      <c r="J269" s="94"/>
      <c r="K269" s="94"/>
      <c r="L269" s="94"/>
      <c r="M269" s="94"/>
      <c r="N269" s="94"/>
      <c r="O269" s="94"/>
      <c r="P269" s="94"/>
      <c r="Q269" s="94"/>
      <c r="R269" s="94"/>
      <c r="S269" s="95"/>
      <c r="T269" s="34"/>
      <c r="U269" s="34"/>
      <c r="V269" s="34"/>
      <c r="W269" s="34"/>
      <c r="X269" s="34"/>
      <c r="Y269" s="34"/>
      <c r="Z269" s="34"/>
      <c r="AA269" s="34"/>
      <c r="AB269" s="34"/>
      <c r="AC269" s="34"/>
      <c r="AD269" s="34"/>
    </row>
    <row r="270" ht="15.75" customHeight="1">
      <c r="A270" s="94"/>
      <c r="B270" s="94"/>
      <c r="C270" s="94"/>
      <c r="D270" s="94"/>
      <c r="E270" s="94"/>
      <c r="F270" s="94"/>
      <c r="G270" s="94"/>
      <c r="H270" s="94"/>
      <c r="I270" s="94"/>
      <c r="J270" s="94"/>
      <c r="K270" s="94"/>
      <c r="L270" s="94"/>
      <c r="M270" s="94"/>
      <c r="N270" s="94"/>
      <c r="O270" s="94"/>
      <c r="P270" s="94"/>
      <c r="Q270" s="94"/>
      <c r="R270" s="94"/>
      <c r="S270" s="95"/>
      <c r="T270" s="34"/>
      <c r="U270" s="34"/>
      <c r="V270" s="34"/>
      <c r="W270" s="34"/>
      <c r="X270" s="34"/>
      <c r="Y270" s="34"/>
      <c r="Z270" s="34"/>
      <c r="AA270" s="34"/>
      <c r="AB270" s="34"/>
      <c r="AC270" s="34"/>
      <c r="AD270" s="34"/>
    </row>
    <row r="271" ht="15.75" customHeight="1">
      <c r="A271" s="94"/>
      <c r="B271" s="94"/>
      <c r="C271" s="94"/>
      <c r="D271" s="94"/>
      <c r="E271" s="94"/>
      <c r="F271" s="94"/>
      <c r="G271" s="94"/>
      <c r="H271" s="94"/>
      <c r="I271" s="94"/>
      <c r="J271" s="94"/>
      <c r="K271" s="94"/>
      <c r="L271" s="94"/>
      <c r="M271" s="94"/>
      <c r="N271" s="94"/>
      <c r="O271" s="94"/>
      <c r="P271" s="94"/>
      <c r="Q271" s="94"/>
      <c r="R271" s="94"/>
      <c r="S271" s="95"/>
      <c r="T271" s="34"/>
      <c r="U271" s="34"/>
      <c r="V271" s="34"/>
      <c r="W271" s="34"/>
      <c r="X271" s="34"/>
      <c r="Y271" s="34"/>
      <c r="Z271" s="34"/>
      <c r="AA271" s="34"/>
      <c r="AB271" s="34"/>
      <c r="AC271" s="34"/>
      <c r="AD271" s="34"/>
    </row>
    <row r="272" ht="15.75" customHeight="1">
      <c r="A272" s="94"/>
      <c r="B272" s="94"/>
      <c r="C272" s="94"/>
      <c r="D272" s="94"/>
      <c r="E272" s="94"/>
      <c r="F272" s="94"/>
      <c r="G272" s="94"/>
      <c r="H272" s="94"/>
      <c r="I272" s="94"/>
      <c r="J272" s="94"/>
      <c r="K272" s="94"/>
      <c r="L272" s="94"/>
      <c r="M272" s="94"/>
      <c r="N272" s="94"/>
      <c r="O272" s="94"/>
      <c r="P272" s="94"/>
      <c r="Q272" s="94"/>
      <c r="R272" s="94"/>
      <c r="S272" s="95"/>
      <c r="T272" s="34"/>
      <c r="U272" s="34"/>
      <c r="V272" s="34"/>
      <c r="W272" s="34"/>
      <c r="X272" s="34"/>
      <c r="Y272" s="34"/>
      <c r="Z272" s="34"/>
      <c r="AA272" s="34"/>
      <c r="AB272" s="34"/>
      <c r="AC272" s="34"/>
      <c r="AD272" s="34"/>
    </row>
    <row r="273" ht="15.75" customHeight="1">
      <c r="A273" s="94"/>
      <c r="B273" s="94"/>
      <c r="C273" s="94"/>
      <c r="D273" s="94"/>
      <c r="E273" s="94"/>
      <c r="F273" s="94"/>
      <c r="G273" s="94"/>
      <c r="H273" s="94"/>
      <c r="I273" s="94"/>
      <c r="J273" s="94"/>
      <c r="K273" s="94"/>
      <c r="L273" s="94"/>
      <c r="M273" s="94"/>
      <c r="N273" s="94"/>
      <c r="O273" s="94"/>
      <c r="P273" s="94"/>
      <c r="Q273" s="94"/>
      <c r="R273" s="94"/>
      <c r="S273" s="95"/>
      <c r="T273" s="34"/>
      <c r="U273" s="34"/>
      <c r="V273" s="34"/>
      <c r="W273" s="34"/>
      <c r="X273" s="34"/>
      <c r="Y273" s="34"/>
      <c r="Z273" s="34"/>
      <c r="AA273" s="34"/>
      <c r="AB273" s="34"/>
      <c r="AC273" s="34"/>
      <c r="AD273" s="34"/>
    </row>
    <row r="274" ht="15.75" customHeight="1">
      <c r="A274" s="94"/>
      <c r="B274" s="94"/>
      <c r="C274" s="94"/>
      <c r="D274" s="94"/>
      <c r="E274" s="94"/>
      <c r="F274" s="94"/>
      <c r="G274" s="94"/>
      <c r="H274" s="94"/>
      <c r="I274" s="94"/>
      <c r="J274" s="94"/>
      <c r="K274" s="94"/>
      <c r="L274" s="94"/>
      <c r="M274" s="94"/>
      <c r="N274" s="94"/>
      <c r="O274" s="94"/>
      <c r="P274" s="94"/>
      <c r="Q274" s="94"/>
      <c r="R274" s="94"/>
      <c r="S274" s="95"/>
      <c r="T274" s="34"/>
      <c r="U274" s="34"/>
      <c r="V274" s="34"/>
      <c r="W274" s="34"/>
      <c r="X274" s="34"/>
      <c r="Y274" s="34"/>
      <c r="Z274" s="34"/>
      <c r="AA274" s="34"/>
      <c r="AB274" s="34"/>
      <c r="AC274" s="34"/>
      <c r="AD274" s="34"/>
    </row>
    <row r="275" ht="15.75" customHeight="1">
      <c r="A275" s="94"/>
      <c r="B275" s="94"/>
      <c r="C275" s="94"/>
      <c r="D275" s="94"/>
      <c r="E275" s="94"/>
      <c r="F275" s="94"/>
      <c r="G275" s="94"/>
      <c r="H275" s="94"/>
      <c r="I275" s="94"/>
      <c r="J275" s="94"/>
      <c r="K275" s="94"/>
      <c r="L275" s="94"/>
      <c r="M275" s="94"/>
      <c r="N275" s="94"/>
      <c r="O275" s="94"/>
      <c r="P275" s="94"/>
      <c r="Q275" s="94"/>
      <c r="R275" s="94"/>
      <c r="S275" s="95"/>
      <c r="T275" s="34"/>
      <c r="U275" s="34"/>
      <c r="V275" s="34"/>
      <c r="W275" s="34"/>
      <c r="X275" s="34"/>
      <c r="Y275" s="34"/>
      <c r="Z275" s="34"/>
      <c r="AA275" s="34"/>
      <c r="AB275" s="34"/>
      <c r="AC275" s="34"/>
      <c r="AD275" s="34"/>
    </row>
    <row r="276" ht="15.75" customHeight="1">
      <c r="A276" s="94"/>
      <c r="B276" s="94"/>
      <c r="C276" s="94"/>
      <c r="D276" s="94"/>
      <c r="E276" s="94"/>
      <c r="F276" s="94"/>
      <c r="G276" s="94"/>
      <c r="H276" s="94"/>
      <c r="I276" s="94"/>
      <c r="J276" s="94"/>
      <c r="K276" s="94"/>
      <c r="L276" s="94"/>
      <c r="M276" s="94"/>
      <c r="N276" s="94"/>
      <c r="O276" s="94"/>
      <c r="P276" s="94"/>
      <c r="Q276" s="94"/>
      <c r="R276" s="94"/>
      <c r="S276" s="95"/>
      <c r="T276" s="34"/>
      <c r="U276" s="34"/>
      <c r="V276" s="34"/>
      <c r="W276" s="34"/>
      <c r="X276" s="34"/>
      <c r="Y276" s="34"/>
      <c r="Z276" s="34"/>
      <c r="AA276" s="34"/>
      <c r="AB276" s="34"/>
      <c r="AC276" s="34"/>
      <c r="AD276" s="34"/>
    </row>
    <row r="277" ht="15.75" customHeight="1">
      <c r="A277" s="94"/>
      <c r="B277" s="94"/>
      <c r="C277" s="94"/>
      <c r="D277" s="94"/>
      <c r="E277" s="94"/>
      <c r="F277" s="94"/>
      <c r="G277" s="94"/>
      <c r="H277" s="94"/>
      <c r="I277" s="94"/>
      <c r="J277" s="94"/>
      <c r="K277" s="94"/>
      <c r="L277" s="94"/>
      <c r="M277" s="94"/>
      <c r="N277" s="94"/>
      <c r="O277" s="94"/>
      <c r="P277" s="94"/>
      <c r="Q277" s="94"/>
      <c r="R277" s="94"/>
      <c r="S277" s="95"/>
      <c r="T277" s="34"/>
      <c r="U277" s="34"/>
      <c r="V277" s="34"/>
      <c r="W277" s="34"/>
      <c r="X277" s="34"/>
      <c r="Y277" s="34"/>
      <c r="Z277" s="34"/>
      <c r="AA277" s="34"/>
      <c r="AB277" s="34"/>
      <c r="AC277" s="34"/>
      <c r="AD277" s="34"/>
    </row>
    <row r="278" ht="15.75" customHeight="1">
      <c r="A278" s="94"/>
      <c r="B278" s="94"/>
      <c r="C278" s="94"/>
      <c r="D278" s="94"/>
      <c r="E278" s="94"/>
      <c r="F278" s="94"/>
      <c r="G278" s="94"/>
      <c r="H278" s="94"/>
      <c r="I278" s="94"/>
      <c r="J278" s="94"/>
      <c r="K278" s="94"/>
      <c r="L278" s="94"/>
      <c r="M278" s="94"/>
      <c r="N278" s="94"/>
      <c r="O278" s="94"/>
      <c r="P278" s="94"/>
      <c r="Q278" s="94"/>
      <c r="R278" s="94"/>
      <c r="S278" s="95"/>
      <c r="T278" s="34"/>
      <c r="U278" s="34"/>
      <c r="V278" s="34"/>
      <c r="W278" s="34"/>
      <c r="X278" s="34"/>
      <c r="Y278" s="34"/>
      <c r="Z278" s="34"/>
      <c r="AA278" s="34"/>
      <c r="AB278" s="34"/>
      <c r="AC278" s="34"/>
      <c r="AD278" s="34"/>
    </row>
    <row r="279" ht="15.75" customHeight="1">
      <c r="A279" s="94"/>
      <c r="B279" s="94"/>
      <c r="C279" s="94"/>
      <c r="D279" s="94"/>
      <c r="E279" s="94"/>
      <c r="F279" s="94"/>
      <c r="G279" s="94"/>
      <c r="H279" s="94"/>
      <c r="I279" s="94"/>
      <c r="J279" s="94"/>
      <c r="K279" s="94"/>
      <c r="L279" s="94"/>
      <c r="M279" s="94"/>
      <c r="N279" s="94"/>
      <c r="O279" s="94"/>
      <c r="P279" s="94"/>
      <c r="Q279" s="94"/>
      <c r="R279" s="94"/>
      <c r="S279" s="95"/>
      <c r="T279" s="34"/>
      <c r="U279" s="34"/>
      <c r="V279" s="34"/>
      <c r="W279" s="34"/>
      <c r="X279" s="34"/>
      <c r="Y279" s="34"/>
      <c r="Z279" s="34"/>
      <c r="AA279" s="34"/>
      <c r="AB279" s="34"/>
      <c r="AC279" s="34"/>
      <c r="AD279" s="34"/>
    </row>
    <row r="280" ht="15.75" customHeight="1">
      <c r="A280" s="94"/>
      <c r="B280" s="94"/>
      <c r="C280" s="94"/>
      <c r="D280" s="94"/>
      <c r="E280" s="94"/>
      <c r="F280" s="94"/>
      <c r="G280" s="94"/>
      <c r="H280" s="94"/>
      <c r="I280" s="94"/>
      <c r="J280" s="94"/>
      <c r="K280" s="94"/>
      <c r="L280" s="94"/>
      <c r="M280" s="94"/>
      <c r="N280" s="94"/>
      <c r="O280" s="94"/>
      <c r="P280" s="94"/>
      <c r="Q280" s="94"/>
      <c r="R280" s="94"/>
      <c r="S280" s="95"/>
      <c r="T280" s="34"/>
      <c r="U280" s="34"/>
      <c r="V280" s="34"/>
      <c r="W280" s="34"/>
      <c r="X280" s="34"/>
      <c r="Y280" s="34"/>
      <c r="Z280" s="34"/>
      <c r="AA280" s="34"/>
      <c r="AB280" s="34"/>
      <c r="AC280" s="34"/>
      <c r="AD280" s="34"/>
    </row>
    <row r="281" ht="15.75" customHeight="1">
      <c r="A281" s="94"/>
      <c r="B281" s="94"/>
      <c r="C281" s="94"/>
      <c r="D281" s="94"/>
      <c r="E281" s="94"/>
      <c r="F281" s="94"/>
      <c r="G281" s="94"/>
      <c r="H281" s="94"/>
      <c r="I281" s="94"/>
      <c r="J281" s="94"/>
      <c r="K281" s="94"/>
      <c r="L281" s="94"/>
      <c r="M281" s="94"/>
      <c r="N281" s="94"/>
      <c r="O281" s="94"/>
      <c r="P281" s="94"/>
      <c r="Q281" s="94"/>
      <c r="R281" s="94"/>
      <c r="S281" s="95"/>
      <c r="T281" s="34"/>
      <c r="U281" s="34"/>
      <c r="V281" s="34"/>
      <c r="W281" s="34"/>
      <c r="X281" s="34"/>
      <c r="Y281" s="34"/>
      <c r="Z281" s="34"/>
      <c r="AA281" s="34"/>
      <c r="AB281" s="34"/>
      <c r="AC281" s="34"/>
      <c r="AD281" s="34"/>
    </row>
    <row r="282" ht="15.75" customHeight="1">
      <c r="A282" s="94"/>
      <c r="B282" s="94"/>
      <c r="C282" s="94"/>
      <c r="D282" s="94"/>
      <c r="E282" s="94"/>
      <c r="F282" s="94"/>
      <c r="G282" s="94"/>
      <c r="H282" s="94"/>
      <c r="I282" s="94"/>
      <c r="J282" s="94"/>
      <c r="K282" s="94"/>
      <c r="L282" s="94"/>
      <c r="M282" s="94"/>
      <c r="N282" s="94"/>
      <c r="O282" s="94"/>
      <c r="P282" s="94"/>
      <c r="Q282" s="94"/>
      <c r="R282" s="94"/>
      <c r="S282" s="95"/>
      <c r="T282" s="34"/>
      <c r="U282" s="34"/>
      <c r="V282" s="34"/>
      <c r="W282" s="34"/>
      <c r="X282" s="34"/>
      <c r="Y282" s="34"/>
      <c r="Z282" s="34"/>
      <c r="AA282" s="34"/>
      <c r="AB282" s="34"/>
      <c r="AC282" s="34"/>
      <c r="AD282" s="34"/>
    </row>
    <row r="283" ht="15.75" customHeight="1">
      <c r="A283" s="94"/>
      <c r="B283" s="94"/>
      <c r="C283" s="94"/>
      <c r="D283" s="94"/>
      <c r="E283" s="94"/>
      <c r="F283" s="94"/>
      <c r="G283" s="94"/>
      <c r="H283" s="94"/>
      <c r="I283" s="94"/>
      <c r="J283" s="94"/>
      <c r="K283" s="94"/>
      <c r="L283" s="94"/>
      <c r="M283" s="94"/>
      <c r="N283" s="94"/>
      <c r="O283" s="94"/>
      <c r="P283" s="94"/>
      <c r="Q283" s="94"/>
      <c r="R283" s="94"/>
      <c r="S283" s="95"/>
      <c r="T283" s="34"/>
      <c r="U283" s="34"/>
      <c r="V283" s="34"/>
      <c r="W283" s="34"/>
      <c r="X283" s="34"/>
      <c r="Y283" s="34"/>
      <c r="Z283" s="34"/>
      <c r="AA283" s="34"/>
      <c r="AB283" s="34"/>
      <c r="AC283" s="34"/>
      <c r="AD283" s="34"/>
    </row>
    <row r="284" ht="15.75" customHeight="1">
      <c r="A284" s="94"/>
      <c r="B284" s="94"/>
      <c r="C284" s="94"/>
      <c r="D284" s="94"/>
      <c r="E284" s="94"/>
      <c r="F284" s="94"/>
      <c r="G284" s="94"/>
      <c r="H284" s="94"/>
      <c r="I284" s="94"/>
      <c r="J284" s="94"/>
      <c r="K284" s="94"/>
      <c r="L284" s="94"/>
      <c r="M284" s="94"/>
      <c r="N284" s="94"/>
      <c r="O284" s="94"/>
      <c r="P284" s="94"/>
      <c r="Q284" s="94"/>
      <c r="R284" s="94"/>
      <c r="S284" s="95"/>
      <c r="T284" s="34"/>
      <c r="U284" s="34"/>
      <c r="V284" s="34"/>
      <c r="W284" s="34"/>
      <c r="X284" s="34"/>
      <c r="Y284" s="34"/>
      <c r="Z284" s="34"/>
      <c r="AA284" s="34"/>
      <c r="AB284" s="34"/>
      <c r="AC284" s="34"/>
      <c r="AD284" s="34"/>
    </row>
    <row r="285" ht="15.75" customHeight="1">
      <c r="A285" s="94"/>
      <c r="B285" s="94"/>
      <c r="C285" s="94"/>
      <c r="D285" s="94"/>
      <c r="E285" s="94"/>
      <c r="F285" s="94"/>
      <c r="G285" s="94"/>
      <c r="H285" s="94"/>
      <c r="I285" s="94"/>
      <c r="J285" s="94"/>
      <c r="K285" s="94"/>
      <c r="L285" s="94"/>
      <c r="M285" s="94"/>
      <c r="N285" s="94"/>
      <c r="O285" s="94"/>
      <c r="P285" s="94"/>
      <c r="Q285" s="94"/>
      <c r="R285" s="94"/>
      <c r="S285" s="95"/>
      <c r="T285" s="34"/>
      <c r="U285" s="34"/>
      <c r="V285" s="34"/>
      <c r="W285" s="34"/>
      <c r="X285" s="34"/>
      <c r="Y285" s="34"/>
      <c r="Z285" s="34"/>
      <c r="AA285" s="34"/>
      <c r="AB285" s="34"/>
      <c r="AC285" s="34"/>
      <c r="AD285" s="34"/>
    </row>
    <row r="286" ht="15.75" customHeight="1">
      <c r="A286" s="94"/>
      <c r="B286" s="94"/>
      <c r="C286" s="94"/>
      <c r="D286" s="94"/>
      <c r="E286" s="94"/>
      <c r="F286" s="94"/>
      <c r="G286" s="94"/>
      <c r="H286" s="94"/>
      <c r="I286" s="94"/>
      <c r="J286" s="94"/>
      <c r="K286" s="94"/>
      <c r="L286" s="94"/>
      <c r="M286" s="94"/>
      <c r="N286" s="94"/>
      <c r="O286" s="94"/>
      <c r="P286" s="94"/>
      <c r="Q286" s="94"/>
      <c r="R286" s="94"/>
      <c r="S286" s="95"/>
      <c r="T286" s="34"/>
      <c r="U286" s="34"/>
      <c r="V286" s="34"/>
      <c r="W286" s="34"/>
      <c r="X286" s="34"/>
      <c r="Y286" s="34"/>
      <c r="Z286" s="34"/>
      <c r="AA286" s="34"/>
      <c r="AB286" s="34"/>
      <c r="AC286" s="34"/>
      <c r="AD286" s="34"/>
    </row>
    <row r="287" ht="15.75" customHeight="1">
      <c r="A287" s="94"/>
      <c r="B287" s="94"/>
      <c r="C287" s="94"/>
      <c r="D287" s="94"/>
      <c r="E287" s="94"/>
      <c r="F287" s="94"/>
      <c r="G287" s="94"/>
      <c r="H287" s="94"/>
      <c r="I287" s="94"/>
      <c r="J287" s="94"/>
      <c r="K287" s="94"/>
      <c r="L287" s="94"/>
      <c r="M287" s="94"/>
      <c r="N287" s="94"/>
      <c r="O287" s="94"/>
      <c r="P287" s="94"/>
      <c r="Q287" s="94"/>
      <c r="R287" s="94"/>
      <c r="S287" s="95"/>
      <c r="T287" s="34"/>
      <c r="U287" s="34"/>
      <c r="V287" s="34"/>
      <c r="W287" s="34"/>
      <c r="X287" s="34"/>
      <c r="Y287" s="34"/>
      <c r="Z287" s="34"/>
      <c r="AA287" s="34"/>
      <c r="AB287" s="34"/>
      <c r="AC287" s="34"/>
      <c r="AD287" s="34"/>
    </row>
    <row r="288" ht="15.75" customHeight="1">
      <c r="A288" s="94"/>
      <c r="B288" s="94"/>
      <c r="C288" s="94"/>
      <c r="D288" s="94"/>
      <c r="E288" s="94"/>
      <c r="F288" s="94"/>
      <c r="G288" s="94"/>
      <c r="H288" s="94"/>
      <c r="I288" s="94"/>
      <c r="J288" s="94"/>
      <c r="K288" s="94"/>
      <c r="L288" s="94"/>
      <c r="M288" s="94"/>
      <c r="N288" s="94"/>
      <c r="O288" s="94"/>
      <c r="P288" s="94"/>
      <c r="Q288" s="94"/>
      <c r="R288" s="94"/>
      <c r="S288" s="95"/>
      <c r="T288" s="34"/>
      <c r="U288" s="34"/>
      <c r="V288" s="34"/>
      <c r="W288" s="34"/>
      <c r="X288" s="34"/>
      <c r="Y288" s="34"/>
      <c r="Z288" s="34"/>
      <c r="AA288" s="34"/>
      <c r="AB288" s="34"/>
      <c r="AC288" s="34"/>
      <c r="AD288" s="34"/>
    </row>
    <row r="289" ht="15.75" customHeight="1">
      <c r="A289" s="94"/>
      <c r="B289" s="94"/>
      <c r="C289" s="94"/>
      <c r="D289" s="94"/>
      <c r="E289" s="94"/>
      <c r="F289" s="94"/>
      <c r="G289" s="94"/>
      <c r="H289" s="94"/>
      <c r="I289" s="94"/>
      <c r="J289" s="94"/>
      <c r="K289" s="94"/>
      <c r="L289" s="94"/>
      <c r="M289" s="94"/>
      <c r="N289" s="94"/>
      <c r="O289" s="94"/>
      <c r="P289" s="94"/>
      <c r="Q289" s="94"/>
      <c r="R289" s="94"/>
      <c r="S289" s="95"/>
      <c r="T289" s="34"/>
      <c r="U289" s="34"/>
      <c r="V289" s="34"/>
      <c r="W289" s="34"/>
      <c r="X289" s="34"/>
      <c r="Y289" s="34"/>
      <c r="Z289" s="34"/>
      <c r="AA289" s="34"/>
      <c r="AB289" s="34"/>
      <c r="AC289" s="34"/>
      <c r="AD289" s="34"/>
    </row>
    <row r="290" ht="15.75" customHeight="1">
      <c r="A290" s="94"/>
      <c r="B290" s="94"/>
      <c r="C290" s="94"/>
      <c r="D290" s="94"/>
      <c r="E290" s="94"/>
      <c r="F290" s="94"/>
      <c r="G290" s="94"/>
      <c r="H290" s="94"/>
      <c r="I290" s="94"/>
      <c r="J290" s="94"/>
      <c r="K290" s="94"/>
      <c r="L290" s="94"/>
      <c r="M290" s="94"/>
      <c r="N290" s="94"/>
      <c r="O290" s="94"/>
      <c r="P290" s="94"/>
      <c r="Q290" s="94"/>
      <c r="R290" s="94"/>
      <c r="S290" s="95"/>
      <c r="T290" s="34"/>
      <c r="U290" s="34"/>
      <c r="V290" s="34"/>
      <c r="W290" s="34"/>
      <c r="X290" s="34"/>
      <c r="Y290" s="34"/>
      <c r="Z290" s="34"/>
      <c r="AA290" s="34"/>
      <c r="AB290" s="34"/>
      <c r="AC290" s="34"/>
      <c r="AD290" s="34"/>
    </row>
    <row r="291" ht="15.75" customHeight="1">
      <c r="A291" s="94"/>
      <c r="B291" s="94"/>
      <c r="C291" s="94"/>
      <c r="D291" s="94"/>
      <c r="E291" s="94"/>
      <c r="F291" s="94"/>
      <c r="G291" s="94"/>
      <c r="H291" s="94"/>
      <c r="I291" s="94"/>
      <c r="J291" s="94"/>
      <c r="K291" s="94"/>
      <c r="L291" s="94"/>
      <c r="M291" s="94"/>
      <c r="N291" s="94"/>
      <c r="O291" s="94"/>
      <c r="P291" s="94"/>
      <c r="Q291" s="94"/>
      <c r="R291" s="94"/>
      <c r="S291" s="95"/>
      <c r="T291" s="34"/>
      <c r="U291" s="34"/>
      <c r="V291" s="34"/>
      <c r="W291" s="34"/>
      <c r="X291" s="34"/>
      <c r="Y291" s="34"/>
      <c r="Z291" s="34"/>
      <c r="AA291" s="34"/>
      <c r="AB291" s="34"/>
      <c r="AC291" s="34"/>
      <c r="AD291" s="34"/>
    </row>
    <row r="292" ht="15.75" customHeight="1">
      <c r="A292" s="94"/>
      <c r="B292" s="94"/>
      <c r="C292" s="94"/>
      <c r="D292" s="94"/>
      <c r="E292" s="94"/>
      <c r="F292" s="94"/>
      <c r="G292" s="94"/>
      <c r="H292" s="94"/>
      <c r="I292" s="94"/>
      <c r="J292" s="94"/>
      <c r="K292" s="94"/>
      <c r="L292" s="94"/>
      <c r="M292" s="94"/>
      <c r="N292" s="94"/>
      <c r="O292" s="94"/>
      <c r="P292" s="94"/>
      <c r="Q292" s="94"/>
      <c r="R292" s="94"/>
      <c r="S292" s="95"/>
      <c r="T292" s="34"/>
      <c r="U292" s="34"/>
      <c r="V292" s="34"/>
      <c r="W292" s="34"/>
      <c r="X292" s="34"/>
      <c r="Y292" s="34"/>
      <c r="Z292" s="34"/>
      <c r="AA292" s="34"/>
      <c r="AB292" s="34"/>
      <c r="AC292" s="34"/>
      <c r="AD292" s="34"/>
    </row>
    <row r="293" ht="15.75" customHeight="1">
      <c r="A293" s="94"/>
      <c r="B293" s="94"/>
      <c r="C293" s="94"/>
      <c r="D293" s="94"/>
      <c r="E293" s="94"/>
      <c r="F293" s="94"/>
      <c r="G293" s="94"/>
      <c r="H293" s="94"/>
      <c r="I293" s="94"/>
      <c r="J293" s="94"/>
      <c r="K293" s="94"/>
      <c r="L293" s="94"/>
      <c r="M293" s="94"/>
      <c r="N293" s="94"/>
      <c r="O293" s="94"/>
      <c r="P293" s="94"/>
      <c r="Q293" s="94"/>
      <c r="R293" s="94"/>
      <c r="S293" s="95"/>
      <c r="T293" s="34"/>
      <c r="U293" s="34"/>
      <c r="V293" s="34"/>
      <c r="W293" s="34"/>
      <c r="X293" s="34"/>
      <c r="Y293" s="34"/>
      <c r="Z293" s="34"/>
      <c r="AA293" s="34"/>
      <c r="AB293" s="34"/>
      <c r="AC293" s="34"/>
      <c r="AD293" s="34"/>
    </row>
    <row r="294" ht="15.75" customHeight="1">
      <c r="A294" s="94"/>
      <c r="B294" s="94"/>
      <c r="C294" s="94"/>
      <c r="D294" s="94"/>
      <c r="E294" s="94"/>
      <c r="F294" s="94"/>
      <c r="G294" s="94"/>
      <c r="H294" s="94"/>
      <c r="I294" s="94"/>
      <c r="J294" s="94"/>
      <c r="K294" s="94"/>
      <c r="L294" s="94"/>
      <c r="M294" s="94"/>
      <c r="N294" s="94"/>
      <c r="O294" s="94"/>
      <c r="P294" s="94"/>
      <c r="Q294" s="94"/>
      <c r="R294" s="94"/>
      <c r="S294" s="95"/>
      <c r="T294" s="34"/>
      <c r="U294" s="34"/>
      <c r="V294" s="34"/>
      <c r="W294" s="34"/>
      <c r="X294" s="34"/>
      <c r="Y294" s="34"/>
      <c r="Z294" s="34"/>
      <c r="AA294" s="34"/>
      <c r="AB294" s="34"/>
      <c r="AC294" s="34"/>
      <c r="AD294" s="34"/>
    </row>
    <row r="295" ht="15.75" customHeight="1">
      <c r="A295" s="94"/>
      <c r="B295" s="94"/>
      <c r="C295" s="94"/>
      <c r="D295" s="94"/>
      <c r="E295" s="94"/>
      <c r="F295" s="94"/>
      <c r="G295" s="94"/>
      <c r="H295" s="94"/>
      <c r="I295" s="94"/>
      <c r="J295" s="94"/>
      <c r="K295" s="94"/>
      <c r="L295" s="94"/>
      <c r="M295" s="94"/>
      <c r="N295" s="94"/>
      <c r="O295" s="94"/>
      <c r="P295" s="94"/>
      <c r="Q295" s="94"/>
      <c r="R295" s="94"/>
      <c r="S295" s="95"/>
      <c r="T295" s="34"/>
      <c r="U295" s="34"/>
      <c r="V295" s="34"/>
      <c r="W295" s="34"/>
      <c r="X295" s="34"/>
      <c r="Y295" s="34"/>
      <c r="Z295" s="34"/>
      <c r="AA295" s="34"/>
      <c r="AB295" s="34"/>
      <c r="AC295" s="34"/>
      <c r="AD295" s="34"/>
    </row>
    <row r="296" ht="15.75" customHeight="1">
      <c r="A296" s="94"/>
      <c r="B296" s="94"/>
      <c r="C296" s="94"/>
      <c r="D296" s="94"/>
      <c r="E296" s="94"/>
      <c r="F296" s="94"/>
      <c r="G296" s="94"/>
      <c r="H296" s="94"/>
      <c r="I296" s="94"/>
      <c r="J296" s="94"/>
      <c r="K296" s="94"/>
      <c r="L296" s="94"/>
      <c r="M296" s="94"/>
      <c r="N296" s="94"/>
      <c r="O296" s="94"/>
      <c r="P296" s="94"/>
      <c r="Q296" s="94"/>
      <c r="R296" s="94"/>
      <c r="S296" s="95"/>
      <c r="T296" s="34"/>
      <c r="U296" s="34"/>
      <c r="V296" s="34"/>
      <c r="W296" s="34"/>
      <c r="X296" s="34"/>
      <c r="Y296" s="34"/>
      <c r="Z296" s="34"/>
      <c r="AA296" s="34"/>
      <c r="AB296" s="34"/>
      <c r="AC296" s="34"/>
      <c r="AD296" s="34"/>
    </row>
    <row r="297" ht="15.75" customHeight="1">
      <c r="A297" s="94"/>
      <c r="B297" s="94"/>
      <c r="C297" s="94"/>
      <c r="D297" s="94"/>
      <c r="E297" s="94"/>
      <c r="F297" s="94"/>
      <c r="G297" s="94"/>
      <c r="H297" s="94"/>
      <c r="I297" s="94"/>
      <c r="J297" s="94"/>
      <c r="K297" s="94"/>
      <c r="L297" s="94"/>
      <c r="M297" s="94"/>
      <c r="N297" s="94"/>
      <c r="O297" s="94"/>
      <c r="P297" s="94"/>
      <c r="Q297" s="94"/>
      <c r="R297" s="94"/>
      <c r="S297" s="95"/>
      <c r="T297" s="34"/>
      <c r="U297" s="34"/>
      <c r="V297" s="34"/>
      <c r="W297" s="34"/>
      <c r="X297" s="34"/>
      <c r="Y297" s="34"/>
      <c r="Z297" s="34"/>
      <c r="AA297" s="34"/>
      <c r="AB297" s="34"/>
      <c r="AC297" s="34"/>
      <c r="AD297" s="34"/>
    </row>
    <row r="298" ht="15.75" customHeight="1">
      <c r="A298" s="94"/>
      <c r="B298" s="94"/>
      <c r="C298" s="94"/>
      <c r="D298" s="94"/>
      <c r="E298" s="94"/>
      <c r="F298" s="94"/>
      <c r="G298" s="94"/>
      <c r="H298" s="94"/>
      <c r="I298" s="94"/>
      <c r="J298" s="94"/>
      <c r="K298" s="94"/>
      <c r="L298" s="94"/>
      <c r="M298" s="94"/>
      <c r="N298" s="94"/>
      <c r="O298" s="94"/>
      <c r="P298" s="94"/>
      <c r="Q298" s="94"/>
      <c r="R298" s="94"/>
      <c r="S298" s="95"/>
      <c r="T298" s="34"/>
      <c r="U298" s="34"/>
      <c r="V298" s="34"/>
      <c r="W298" s="34"/>
      <c r="X298" s="34"/>
      <c r="Y298" s="34"/>
      <c r="Z298" s="34"/>
      <c r="AA298" s="34"/>
      <c r="AB298" s="34"/>
      <c r="AC298" s="34"/>
      <c r="AD298" s="34"/>
    </row>
    <row r="299" ht="15.75" customHeight="1">
      <c r="A299" s="94"/>
      <c r="B299" s="94"/>
      <c r="C299" s="94"/>
      <c r="D299" s="94"/>
      <c r="E299" s="94"/>
      <c r="F299" s="94"/>
      <c r="G299" s="94"/>
      <c r="H299" s="94"/>
      <c r="I299" s="94"/>
      <c r="J299" s="94"/>
      <c r="K299" s="94"/>
      <c r="L299" s="94"/>
      <c r="M299" s="94"/>
      <c r="N299" s="94"/>
      <c r="O299" s="94"/>
      <c r="P299" s="94"/>
      <c r="Q299" s="94"/>
      <c r="R299" s="94"/>
      <c r="S299" s="95"/>
      <c r="T299" s="34"/>
      <c r="U299" s="34"/>
      <c r="V299" s="34"/>
      <c r="W299" s="34"/>
      <c r="X299" s="34"/>
      <c r="Y299" s="34"/>
      <c r="Z299" s="34"/>
      <c r="AA299" s="34"/>
      <c r="AB299" s="34"/>
      <c r="AC299" s="34"/>
      <c r="AD299" s="34"/>
    </row>
    <row r="300" ht="15.75" customHeight="1">
      <c r="A300" s="94"/>
      <c r="B300" s="94"/>
      <c r="C300" s="94"/>
      <c r="D300" s="94"/>
      <c r="E300" s="94"/>
      <c r="F300" s="94"/>
      <c r="G300" s="94"/>
      <c r="H300" s="94"/>
      <c r="I300" s="94"/>
      <c r="J300" s="94"/>
      <c r="K300" s="94"/>
      <c r="L300" s="94"/>
      <c r="M300" s="94"/>
      <c r="N300" s="94"/>
      <c r="O300" s="94"/>
      <c r="P300" s="94"/>
      <c r="Q300" s="94"/>
      <c r="R300" s="94"/>
      <c r="S300" s="95"/>
      <c r="T300" s="34"/>
      <c r="U300" s="34"/>
      <c r="V300" s="34"/>
      <c r="W300" s="34"/>
      <c r="X300" s="34"/>
      <c r="Y300" s="34"/>
      <c r="Z300" s="34"/>
      <c r="AA300" s="34"/>
      <c r="AB300" s="34"/>
      <c r="AC300" s="34"/>
      <c r="AD300" s="34"/>
    </row>
    <row r="301" ht="15.75" customHeight="1">
      <c r="A301" s="94"/>
      <c r="B301" s="94"/>
      <c r="C301" s="94"/>
      <c r="D301" s="94"/>
      <c r="E301" s="94"/>
      <c r="F301" s="94"/>
      <c r="G301" s="94"/>
      <c r="H301" s="94"/>
      <c r="I301" s="94"/>
      <c r="J301" s="94"/>
      <c r="K301" s="94"/>
      <c r="L301" s="94"/>
      <c r="M301" s="94"/>
      <c r="N301" s="94"/>
      <c r="O301" s="94"/>
      <c r="P301" s="94"/>
      <c r="Q301" s="94"/>
      <c r="R301" s="94"/>
      <c r="S301" s="95"/>
      <c r="T301" s="34"/>
      <c r="U301" s="34"/>
      <c r="V301" s="34"/>
      <c r="W301" s="34"/>
      <c r="X301" s="34"/>
      <c r="Y301" s="34"/>
      <c r="Z301" s="34"/>
      <c r="AA301" s="34"/>
      <c r="AB301" s="34"/>
      <c r="AC301" s="34"/>
      <c r="AD301" s="34"/>
    </row>
    <row r="302" ht="15.75" customHeight="1">
      <c r="A302" s="94"/>
      <c r="B302" s="94"/>
      <c r="C302" s="94"/>
      <c r="D302" s="94"/>
      <c r="E302" s="94"/>
      <c r="F302" s="94"/>
      <c r="G302" s="94"/>
      <c r="H302" s="94"/>
      <c r="I302" s="94"/>
      <c r="J302" s="94"/>
      <c r="K302" s="94"/>
      <c r="L302" s="94"/>
      <c r="M302" s="94"/>
      <c r="N302" s="94"/>
      <c r="O302" s="94"/>
      <c r="P302" s="94"/>
      <c r="Q302" s="94"/>
      <c r="R302" s="94"/>
      <c r="S302" s="95"/>
      <c r="T302" s="34"/>
      <c r="U302" s="34"/>
      <c r="V302" s="34"/>
      <c r="W302" s="34"/>
      <c r="X302" s="34"/>
      <c r="Y302" s="34"/>
      <c r="Z302" s="34"/>
      <c r="AA302" s="34"/>
      <c r="AB302" s="34"/>
      <c r="AC302" s="34"/>
      <c r="AD302" s="34"/>
    </row>
    <row r="303" ht="15.75" customHeight="1">
      <c r="A303" s="94"/>
      <c r="B303" s="94"/>
      <c r="C303" s="94"/>
      <c r="D303" s="94"/>
      <c r="E303" s="94"/>
      <c r="F303" s="94"/>
      <c r="G303" s="94"/>
      <c r="H303" s="94"/>
      <c r="I303" s="94"/>
      <c r="J303" s="94"/>
      <c r="K303" s="94"/>
      <c r="L303" s="94"/>
      <c r="M303" s="94"/>
      <c r="N303" s="94"/>
      <c r="O303" s="94"/>
      <c r="P303" s="94"/>
      <c r="Q303" s="94"/>
      <c r="R303" s="94"/>
      <c r="S303" s="95"/>
      <c r="T303" s="34"/>
      <c r="U303" s="34"/>
      <c r="V303" s="34"/>
      <c r="W303" s="34"/>
      <c r="X303" s="34"/>
      <c r="Y303" s="34"/>
      <c r="Z303" s="34"/>
      <c r="AA303" s="34"/>
      <c r="AB303" s="34"/>
      <c r="AC303" s="34"/>
      <c r="AD303" s="34"/>
    </row>
    <row r="304" ht="15.75" customHeight="1">
      <c r="A304" s="94"/>
      <c r="B304" s="94"/>
      <c r="C304" s="94"/>
      <c r="D304" s="94"/>
      <c r="E304" s="94"/>
      <c r="F304" s="94"/>
      <c r="G304" s="94"/>
      <c r="H304" s="94"/>
      <c r="I304" s="94"/>
      <c r="J304" s="94"/>
      <c r="K304" s="94"/>
      <c r="L304" s="94"/>
      <c r="M304" s="94"/>
      <c r="N304" s="94"/>
      <c r="O304" s="94"/>
      <c r="P304" s="94"/>
      <c r="Q304" s="94"/>
      <c r="R304" s="94"/>
      <c r="S304" s="95"/>
      <c r="T304" s="34"/>
      <c r="U304" s="34"/>
      <c r="V304" s="34"/>
      <c r="W304" s="34"/>
      <c r="X304" s="34"/>
      <c r="Y304" s="34"/>
      <c r="Z304" s="34"/>
      <c r="AA304" s="34"/>
      <c r="AB304" s="34"/>
      <c r="AC304" s="34"/>
      <c r="AD304" s="34"/>
    </row>
    <row r="305" ht="15.75" customHeight="1">
      <c r="A305" s="94"/>
      <c r="B305" s="94"/>
      <c r="C305" s="94"/>
      <c r="D305" s="94"/>
      <c r="E305" s="94"/>
      <c r="F305" s="94"/>
      <c r="G305" s="94"/>
      <c r="H305" s="94"/>
      <c r="I305" s="94"/>
      <c r="J305" s="94"/>
      <c r="K305" s="94"/>
      <c r="L305" s="94"/>
      <c r="M305" s="94"/>
      <c r="N305" s="94"/>
      <c r="O305" s="94"/>
      <c r="P305" s="94"/>
      <c r="Q305" s="94"/>
      <c r="R305" s="94"/>
      <c r="S305" s="95"/>
      <c r="T305" s="34"/>
      <c r="U305" s="34"/>
      <c r="V305" s="34"/>
      <c r="W305" s="34"/>
      <c r="X305" s="34"/>
      <c r="Y305" s="34"/>
      <c r="Z305" s="34"/>
      <c r="AA305" s="34"/>
      <c r="AB305" s="34"/>
      <c r="AC305" s="34"/>
      <c r="AD305" s="34"/>
    </row>
    <row r="306" ht="15.75" customHeight="1">
      <c r="A306" s="94"/>
      <c r="B306" s="94"/>
      <c r="C306" s="94"/>
      <c r="D306" s="94"/>
      <c r="E306" s="94"/>
      <c r="F306" s="94"/>
      <c r="G306" s="94"/>
      <c r="H306" s="94"/>
      <c r="I306" s="94"/>
      <c r="J306" s="94"/>
      <c r="K306" s="94"/>
      <c r="L306" s="94"/>
      <c r="M306" s="94"/>
      <c r="N306" s="94"/>
      <c r="O306" s="94"/>
      <c r="P306" s="94"/>
      <c r="Q306" s="94"/>
      <c r="R306" s="94"/>
      <c r="S306" s="95"/>
      <c r="T306" s="34"/>
      <c r="U306" s="34"/>
      <c r="V306" s="34"/>
      <c r="W306" s="34"/>
      <c r="X306" s="34"/>
      <c r="Y306" s="34"/>
      <c r="Z306" s="34"/>
      <c r="AA306" s="34"/>
      <c r="AB306" s="34"/>
      <c r="AC306" s="34"/>
      <c r="AD306" s="34"/>
    </row>
    <row r="307" ht="15.75" customHeight="1">
      <c r="A307" s="94"/>
      <c r="B307" s="94"/>
      <c r="C307" s="94"/>
      <c r="D307" s="94"/>
      <c r="E307" s="94"/>
      <c r="F307" s="94"/>
      <c r="G307" s="94"/>
      <c r="H307" s="94"/>
      <c r="I307" s="94"/>
      <c r="J307" s="94"/>
      <c r="K307" s="94"/>
      <c r="L307" s="94"/>
      <c r="M307" s="94"/>
      <c r="N307" s="94"/>
      <c r="O307" s="94"/>
      <c r="P307" s="94"/>
      <c r="Q307" s="94"/>
      <c r="R307" s="94"/>
      <c r="S307" s="95"/>
      <c r="T307" s="34"/>
      <c r="U307" s="34"/>
      <c r="V307" s="34"/>
      <c r="W307" s="34"/>
      <c r="X307" s="34"/>
      <c r="Y307" s="34"/>
      <c r="Z307" s="34"/>
      <c r="AA307" s="34"/>
      <c r="AB307" s="34"/>
      <c r="AC307" s="34"/>
      <c r="AD307" s="34"/>
    </row>
    <row r="308" ht="15.75" customHeight="1">
      <c r="A308" s="94"/>
      <c r="B308" s="94"/>
      <c r="C308" s="94"/>
      <c r="D308" s="94"/>
      <c r="E308" s="94"/>
      <c r="F308" s="94"/>
      <c r="G308" s="94"/>
      <c r="H308" s="94"/>
      <c r="I308" s="94"/>
      <c r="J308" s="94"/>
      <c r="K308" s="94"/>
      <c r="L308" s="94"/>
      <c r="M308" s="94"/>
      <c r="N308" s="94"/>
      <c r="O308" s="94"/>
      <c r="P308" s="94"/>
      <c r="Q308" s="94"/>
      <c r="R308" s="94"/>
      <c r="S308" s="95"/>
      <c r="T308" s="34"/>
      <c r="U308" s="34"/>
      <c r="V308" s="34"/>
      <c r="W308" s="34"/>
      <c r="X308" s="34"/>
      <c r="Y308" s="34"/>
      <c r="Z308" s="34"/>
      <c r="AA308" s="34"/>
      <c r="AB308" s="34"/>
      <c r="AC308" s="34"/>
      <c r="AD308" s="34"/>
    </row>
    <row r="309" ht="15.75" customHeight="1">
      <c r="A309" s="94"/>
      <c r="B309" s="94"/>
      <c r="C309" s="94"/>
      <c r="D309" s="94"/>
      <c r="E309" s="94"/>
      <c r="F309" s="94"/>
      <c r="G309" s="94"/>
      <c r="H309" s="94"/>
      <c r="I309" s="94"/>
      <c r="J309" s="94"/>
      <c r="K309" s="94"/>
      <c r="L309" s="94"/>
      <c r="M309" s="94"/>
      <c r="N309" s="94"/>
      <c r="O309" s="94"/>
      <c r="P309" s="94"/>
      <c r="Q309" s="94"/>
      <c r="R309" s="94"/>
      <c r="S309" s="95"/>
      <c r="T309" s="34"/>
      <c r="U309" s="34"/>
      <c r="V309" s="34"/>
      <c r="W309" s="34"/>
      <c r="X309" s="34"/>
      <c r="Y309" s="34"/>
      <c r="Z309" s="34"/>
      <c r="AA309" s="34"/>
      <c r="AB309" s="34"/>
      <c r="AC309" s="34"/>
      <c r="AD309" s="34"/>
    </row>
    <row r="310" ht="15.75" customHeight="1">
      <c r="A310" s="94"/>
      <c r="B310" s="94"/>
      <c r="C310" s="94"/>
      <c r="D310" s="94"/>
      <c r="E310" s="94"/>
      <c r="F310" s="94"/>
      <c r="G310" s="94"/>
      <c r="H310" s="94"/>
      <c r="I310" s="94"/>
      <c r="J310" s="94"/>
      <c r="K310" s="94"/>
      <c r="L310" s="94"/>
      <c r="M310" s="94"/>
      <c r="N310" s="94"/>
      <c r="O310" s="94"/>
      <c r="P310" s="94"/>
      <c r="Q310" s="94"/>
      <c r="R310" s="94"/>
      <c r="S310" s="95"/>
      <c r="T310" s="34"/>
      <c r="U310" s="34"/>
      <c r="V310" s="34"/>
      <c r="W310" s="34"/>
      <c r="X310" s="34"/>
      <c r="Y310" s="34"/>
      <c r="Z310" s="34"/>
      <c r="AA310" s="34"/>
      <c r="AB310" s="34"/>
      <c r="AC310" s="34"/>
      <c r="AD310" s="34"/>
    </row>
    <row r="311" ht="15.75" customHeight="1">
      <c r="A311" s="94"/>
      <c r="B311" s="94"/>
      <c r="C311" s="94"/>
      <c r="D311" s="94"/>
      <c r="E311" s="94"/>
      <c r="F311" s="94"/>
      <c r="G311" s="94"/>
      <c r="H311" s="94"/>
      <c r="I311" s="94"/>
      <c r="J311" s="94"/>
      <c r="K311" s="94"/>
      <c r="L311" s="94"/>
      <c r="M311" s="94"/>
      <c r="N311" s="94"/>
      <c r="O311" s="94"/>
      <c r="P311" s="94"/>
      <c r="Q311" s="94"/>
      <c r="R311" s="94"/>
      <c r="S311" s="95"/>
      <c r="T311" s="34"/>
      <c r="U311" s="34"/>
      <c r="V311" s="34"/>
      <c r="W311" s="34"/>
      <c r="X311" s="34"/>
      <c r="Y311" s="34"/>
      <c r="Z311" s="34"/>
      <c r="AA311" s="34"/>
      <c r="AB311" s="34"/>
      <c r="AC311" s="34"/>
      <c r="AD311" s="34"/>
    </row>
    <row r="312" ht="15.75" customHeight="1">
      <c r="A312" s="94"/>
      <c r="B312" s="94"/>
      <c r="C312" s="94"/>
      <c r="D312" s="94"/>
      <c r="E312" s="94"/>
      <c r="F312" s="94"/>
      <c r="G312" s="94"/>
      <c r="H312" s="94"/>
      <c r="I312" s="94"/>
      <c r="J312" s="94"/>
      <c r="K312" s="94"/>
      <c r="L312" s="94"/>
      <c r="M312" s="94"/>
      <c r="N312" s="94"/>
      <c r="O312" s="94"/>
      <c r="P312" s="94"/>
      <c r="Q312" s="94"/>
      <c r="R312" s="94"/>
      <c r="S312" s="95"/>
      <c r="T312" s="34"/>
      <c r="U312" s="34"/>
      <c r="V312" s="34"/>
      <c r="W312" s="34"/>
      <c r="X312" s="34"/>
      <c r="Y312" s="34"/>
      <c r="Z312" s="34"/>
      <c r="AA312" s="34"/>
      <c r="AB312" s="34"/>
      <c r="AC312" s="34"/>
      <c r="AD312" s="34"/>
    </row>
    <row r="313" ht="15.75" customHeight="1">
      <c r="A313" s="94"/>
      <c r="B313" s="94"/>
      <c r="C313" s="94"/>
      <c r="D313" s="94"/>
      <c r="E313" s="94"/>
      <c r="F313" s="94"/>
      <c r="G313" s="94"/>
      <c r="H313" s="94"/>
      <c r="I313" s="94"/>
      <c r="J313" s="94"/>
      <c r="K313" s="94"/>
      <c r="L313" s="94"/>
      <c r="M313" s="94"/>
      <c r="N313" s="94"/>
      <c r="O313" s="94"/>
      <c r="P313" s="94"/>
      <c r="Q313" s="94"/>
      <c r="R313" s="94"/>
      <c r="S313" s="95"/>
      <c r="T313" s="34"/>
      <c r="U313" s="34"/>
      <c r="V313" s="34"/>
      <c r="W313" s="34"/>
      <c r="X313" s="34"/>
      <c r="Y313" s="34"/>
      <c r="Z313" s="34"/>
      <c r="AA313" s="34"/>
      <c r="AB313" s="34"/>
      <c r="AC313" s="34"/>
      <c r="AD313" s="34"/>
    </row>
    <row r="314" ht="15.75" customHeight="1">
      <c r="A314" s="94"/>
      <c r="B314" s="94"/>
      <c r="C314" s="94"/>
      <c r="D314" s="94"/>
      <c r="E314" s="94"/>
      <c r="F314" s="94"/>
      <c r="G314" s="94"/>
      <c r="H314" s="94"/>
      <c r="I314" s="94"/>
      <c r="J314" s="94"/>
      <c r="K314" s="94"/>
      <c r="L314" s="94"/>
      <c r="M314" s="94"/>
      <c r="N314" s="94"/>
      <c r="O314" s="94"/>
      <c r="P314" s="94"/>
      <c r="Q314" s="94"/>
      <c r="R314" s="94"/>
      <c r="S314" s="95"/>
      <c r="T314" s="34"/>
      <c r="U314" s="34"/>
      <c r="V314" s="34"/>
      <c r="W314" s="34"/>
      <c r="X314" s="34"/>
      <c r="Y314" s="34"/>
      <c r="Z314" s="34"/>
      <c r="AA314" s="34"/>
      <c r="AB314" s="34"/>
      <c r="AC314" s="34"/>
      <c r="AD314" s="34"/>
    </row>
    <row r="315" ht="15.75" customHeight="1">
      <c r="A315" s="94"/>
      <c r="B315" s="94"/>
      <c r="C315" s="94"/>
      <c r="D315" s="94"/>
      <c r="E315" s="94"/>
      <c r="F315" s="94"/>
      <c r="G315" s="94"/>
      <c r="H315" s="94"/>
      <c r="I315" s="94"/>
      <c r="J315" s="94"/>
      <c r="K315" s="94"/>
      <c r="L315" s="94"/>
      <c r="M315" s="94"/>
      <c r="N315" s="94"/>
      <c r="O315" s="94"/>
      <c r="P315" s="94"/>
      <c r="Q315" s="94"/>
      <c r="R315" s="94"/>
      <c r="S315" s="95"/>
      <c r="T315" s="34"/>
      <c r="U315" s="34"/>
      <c r="V315" s="34"/>
      <c r="W315" s="34"/>
      <c r="X315" s="34"/>
      <c r="Y315" s="34"/>
      <c r="Z315" s="34"/>
      <c r="AA315" s="34"/>
      <c r="AB315" s="34"/>
      <c r="AC315" s="34"/>
      <c r="AD315" s="34"/>
    </row>
    <row r="316" ht="15.75" customHeight="1">
      <c r="A316" s="94"/>
      <c r="B316" s="94"/>
      <c r="C316" s="94"/>
      <c r="D316" s="94"/>
      <c r="E316" s="94"/>
      <c r="F316" s="94"/>
      <c r="G316" s="94"/>
      <c r="H316" s="94"/>
      <c r="I316" s="94"/>
      <c r="J316" s="94"/>
      <c r="K316" s="94"/>
      <c r="L316" s="94"/>
      <c r="M316" s="94"/>
      <c r="N316" s="94"/>
      <c r="O316" s="94"/>
      <c r="P316" s="94"/>
      <c r="Q316" s="94"/>
      <c r="R316" s="94"/>
      <c r="S316" s="95"/>
      <c r="T316" s="34"/>
      <c r="U316" s="34"/>
      <c r="V316" s="34"/>
      <c r="W316" s="34"/>
      <c r="X316" s="34"/>
      <c r="Y316" s="34"/>
      <c r="Z316" s="34"/>
      <c r="AA316" s="34"/>
      <c r="AB316" s="34"/>
      <c r="AC316" s="34"/>
      <c r="AD316" s="34"/>
    </row>
    <row r="317" ht="15.75" customHeight="1">
      <c r="A317" s="94"/>
      <c r="B317" s="94"/>
      <c r="C317" s="94"/>
      <c r="D317" s="94"/>
      <c r="E317" s="94"/>
      <c r="F317" s="94"/>
      <c r="G317" s="94"/>
      <c r="H317" s="94"/>
      <c r="I317" s="94"/>
      <c r="J317" s="94"/>
      <c r="K317" s="94"/>
      <c r="L317" s="94"/>
      <c r="M317" s="94"/>
      <c r="N317" s="94"/>
      <c r="O317" s="94"/>
      <c r="P317" s="94"/>
      <c r="Q317" s="94"/>
      <c r="R317" s="94"/>
      <c r="S317" s="95"/>
      <c r="T317" s="34"/>
      <c r="U317" s="34"/>
      <c r="V317" s="34"/>
      <c r="W317" s="34"/>
      <c r="X317" s="34"/>
      <c r="Y317" s="34"/>
      <c r="Z317" s="34"/>
      <c r="AA317" s="34"/>
      <c r="AB317" s="34"/>
      <c r="AC317" s="34"/>
      <c r="AD317" s="34"/>
    </row>
    <row r="318" ht="15.75" customHeight="1">
      <c r="A318" s="94"/>
      <c r="B318" s="94"/>
      <c r="C318" s="94"/>
      <c r="D318" s="94"/>
      <c r="E318" s="94"/>
      <c r="F318" s="94"/>
      <c r="G318" s="94"/>
      <c r="H318" s="94"/>
      <c r="I318" s="94"/>
      <c r="J318" s="94"/>
      <c r="K318" s="94"/>
      <c r="L318" s="94"/>
      <c r="M318" s="94"/>
      <c r="N318" s="94"/>
      <c r="O318" s="94"/>
      <c r="P318" s="94"/>
      <c r="Q318" s="94"/>
      <c r="R318" s="94"/>
      <c r="S318" s="95"/>
      <c r="T318" s="34"/>
      <c r="U318" s="34"/>
      <c r="V318" s="34"/>
      <c r="W318" s="34"/>
      <c r="X318" s="34"/>
      <c r="Y318" s="34"/>
      <c r="Z318" s="34"/>
      <c r="AA318" s="34"/>
      <c r="AB318" s="34"/>
      <c r="AC318" s="34"/>
      <c r="AD318" s="34"/>
    </row>
    <row r="319" ht="15.75" customHeight="1">
      <c r="A319" s="94"/>
      <c r="B319" s="94"/>
      <c r="C319" s="94"/>
      <c r="D319" s="94"/>
      <c r="E319" s="94"/>
      <c r="F319" s="94"/>
      <c r="G319" s="94"/>
      <c r="H319" s="94"/>
      <c r="I319" s="94"/>
      <c r="J319" s="94"/>
      <c r="K319" s="94"/>
      <c r="L319" s="94"/>
      <c r="M319" s="94"/>
      <c r="N319" s="94"/>
      <c r="O319" s="94"/>
      <c r="P319" s="94"/>
      <c r="Q319" s="94"/>
      <c r="R319" s="94"/>
      <c r="S319" s="95"/>
      <c r="T319" s="34"/>
      <c r="U319" s="34"/>
      <c r="V319" s="34"/>
      <c r="W319" s="34"/>
      <c r="X319" s="34"/>
      <c r="Y319" s="34"/>
      <c r="Z319" s="34"/>
      <c r="AA319" s="34"/>
      <c r="AB319" s="34"/>
      <c r="AC319" s="34"/>
      <c r="AD319" s="34"/>
    </row>
    <row r="320" ht="15.75" customHeight="1">
      <c r="A320" s="94"/>
      <c r="B320" s="94"/>
      <c r="C320" s="94"/>
      <c r="D320" s="94"/>
      <c r="E320" s="94"/>
      <c r="F320" s="94"/>
      <c r="G320" s="94"/>
      <c r="H320" s="94"/>
      <c r="I320" s="94"/>
      <c r="J320" s="94"/>
      <c r="K320" s="94"/>
      <c r="L320" s="94"/>
      <c r="M320" s="94"/>
      <c r="N320" s="94"/>
      <c r="O320" s="94"/>
      <c r="P320" s="94"/>
      <c r="Q320" s="94"/>
      <c r="R320" s="94"/>
      <c r="S320" s="95"/>
      <c r="T320" s="34"/>
      <c r="U320" s="34"/>
      <c r="V320" s="34"/>
      <c r="W320" s="34"/>
      <c r="X320" s="34"/>
      <c r="Y320" s="34"/>
      <c r="Z320" s="34"/>
      <c r="AA320" s="34"/>
      <c r="AB320" s="34"/>
      <c r="AC320" s="34"/>
      <c r="AD320" s="34"/>
    </row>
    <row r="321" ht="15.75" customHeight="1">
      <c r="A321" s="94"/>
      <c r="B321" s="94"/>
      <c r="C321" s="94"/>
      <c r="D321" s="94"/>
      <c r="E321" s="94"/>
      <c r="F321" s="94"/>
      <c r="G321" s="94"/>
      <c r="H321" s="94"/>
      <c r="I321" s="94"/>
      <c r="J321" s="94"/>
      <c r="K321" s="94"/>
      <c r="L321" s="94"/>
      <c r="M321" s="94"/>
      <c r="N321" s="94"/>
      <c r="O321" s="94"/>
      <c r="P321" s="94"/>
      <c r="Q321" s="94"/>
      <c r="R321" s="94"/>
      <c r="S321" s="95"/>
      <c r="T321" s="34"/>
      <c r="U321" s="34"/>
      <c r="V321" s="34"/>
      <c r="W321" s="34"/>
      <c r="X321" s="34"/>
      <c r="Y321" s="34"/>
      <c r="Z321" s="34"/>
      <c r="AA321" s="34"/>
      <c r="AB321" s="34"/>
      <c r="AC321" s="34"/>
      <c r="AD321" s="34"/>
    </row>
    <row r="322" ht="15.75" customHeight="1">
      <c r="A322" s="94"/>
      <c r="B322" s="94"/>
      <c r="C322" s="94"/>
      <c r="D322" s="94"/>
      <c r="E322" s="94"/>
      <c r="F322" s="94"/>
      <c r="G322" s="94"/>
      <c r="H322" s="94"/>
      <c r="I322" s="94"/>
      <c r="J322" s="94"/>
      <c r="K322" s="94"/>
      <c r="L322" s="94"/>
      <c r="M322" s="94"/>
      <c r="N322" s="94"/>
      <c r="O322" s="94"/>
      <c r="P322" s="94"/>
      <c r="Q322" s="94"/>
      <c r="R322" s="94"/>
      <c r="S322" s="95"/>
      <c r="T322" s="34"/>
      <c r="U322" s="34"/>
      <c r="V322" s="34"/>
      <c r="W322" s="34"/>
      <c r="X322" s="34"/>
      <c r="Y322" s="34"/>
      <c r="Z322" s="34"/>
      <c r="AA322" s="34"/>
      <c r="AB322" s="34"/>
      <c r="AC322" s="34"/>
      <c r="AD322" s="34"/>
    </row>
    <row r="323" ht="15.75" customHeight="1">
      <c r="A323" s="94"/>
      <c r="B323" s="94"/>
      <c r="C323" s="94"/>
      <c r="D323" s="94"/>
      <c r="E323" s="94"/>
      <c r="F323" s="94"/>
      <c r="G323" s="94"/>
      <c r="H323" s="94"/>
      <c r="I323" s="94"/>
      <c r="J323" s="94"/>
      <c r="K323" s="94"/>
      <c r="L323" s="94"/>
      <c r="M323" s="94"/>
      <c r="N323" s="94"/>
      <c r="O323" s="94"/>
      <c r="P323" s="94"/>
      <c r="Q323" s="94"/>
      <c r="R323" s="94"/>
      <c r="S323" s="95"/>
      <c r="T323" s="34"/>
      <c r="U323" s="34"/>
      <c r="V323" s="34"/>
      <c r="W323" s="34"/>
      <c r="X323" s="34"/>
      <c r="Y323" s="34"/>
      <c r="Z323" s="34"/>
      <c r="AA323" s="34"/>
      <c r="AB323" s="34"/>
      <c r="AC323" s="34"/>
      <c r="AD323" s="34"/>
    </row>
    <row r="324" ht="15.75" customHeight="1">
      <c r="A324" s="94"/>
      <c r="B324" s="94"/>
      <c r="C324" s="94"/>
      <c r="D324" s="94"/>
      <c r="E324" s="94"/>
      <c r="F324" s="94"/>
      <c r="G324" s="94"/>
      <c r="H324" s="94"/>
      <c r="I324" s="94"/>
      <c r="J324" s="94"/>
      <c r="K324" s="94"/>
      <c r="L324" s="94"/>
      <c r="M324" s="94"/>
      <c r="N324" s="94"/>
      <c r="O324" s="94"/>
      <c r="P324" s="94"/>
      <c r="Q324" s="94"/>
      <c r="R324" s="94"/>
      <c r="S324" s="95"/>
      <c r="T324" s="34"/>
      <c r="U324" s="34"/>
      <c r="V324" s="34"/>
      <c r="W324" s="34"/>
      <c r="X324" s="34"/>
      <c r="Y324" s="34"/>
      <c r="Z324" s="34"/>
      <c r="AA324" s="34"/>
      <c r="AB324" s="34"/>
      <c r="AC324" s="34"/>
      <c r="AD324" s="34"/>
    </row>
    <row r="325" ht="15.75" customHeight="1">
      <c r="A325" s="94"/>
      <c r="B325" s="94"/>
      <c r="C325" s="94"/>
      <c r="D325" s="94"/>
      <c r="E325" s="94"/>
      <c r="F325" s="94"/>
      <c r="G325" s="94"/>
      <c r="H325" s="94"/>
      <c r="I325" s="94"/>
      <c r="J325" s="94"/>
      <c r="K325" s="94"/>
      <c r="L325" s="94"/>
      <c r="M325" s="94"/>
      <c r="N325" s="94"/>
      <c r="O325" s="94"/>
      <c r="P325" s="94"/>
      <c r="Q325" s="94"/>
      <c r="R325" s="94"/>
      <c r="S325" s="95"/>
      <c r="T325" s="34"/>
      <c r="U325" s="34"/>
      <c r="V325" s="34"/>
      <c r="W325" s="34"/>
      <c r="X325" s="34"/>
      <c r="Y325" s="34"/>
      <c r="Z325" s="34"/>
      <c r="AA325" s="34"/>
      <c r="AB325" s="34"/>
      <c r="AC325" s="34"/>
      <c r="AD325" s="34"/>
    </row>
    <row r="326" ht="15.75" customHeight="1">
      <c r="A326" s="94"/>
      <c r="B326" s="94"/>
      <c r="C326" s="94"/>
      <c r="D326" s="94"/>
      <c r="E326" s="94"/>
      <c r="F326" s="94"/>
      <c r="G326" s="94"/>
      <c r="H326" s="94"/>
      <c r="I326" s="94"/>
      <c r="J326" s="94"/>
      <c r="K326" s="94"/>
      <c r="L326" s="94"/>
      <c r="M326" s="94"/>
      <c r="N326" s="94"/>
      <c r="O326" s="94"/>
      <c r="P326" s="94"/>
      <c r="Q326" s="94"/>
      <c r="R326" s="94"/>
      <c r="S326" s="95"/>
      <c r="T326" s="34"/>
      <c r="U326" s="34"/>
      <c r="V326" s="34"/>
      <c r="W326" s="34"/>
      <c r="X326" s="34"/>
      <c r="Y326" s="34"/>
      <c r="Z326" s="34"/>
      <c r="AA326" s="34"/>
      <c r="AB326" s="34"/>
      <c r="AC326" s="34"/>
      <c r="AD326" s="34"/>
    </row>
    <row r="327" ht="15.75" customHeight="1">
      <c r="A327" s="94"/>
      <c r="B327" s="94"/>
      <c r="C327" s="94"/>
      <c r="D327" s="94"/>
      <c r="E327" s="94"/>
      <c r="F327" s="94"/>
      <c r="G327" s="94"/>
      <c r="H327" s="94"/>
      <c r="I327" s="94"/>
      <c r="J327" s="94"/>
      <c r="K327" s="94"/>
      <c r="L327" s="94"/>
      <c r="M327" s="94"/>
      <c r="N327" s="94"/>
      <c r="O327" s="94"/>
      <c r="P327" s="94"/>
      <c r="Q327" s="94"/>
      <c r="R327" s="94"/>
      <c r="S327" s="95"/>
      <c r="T327" s="34"/>
      <c r="U327" s="34"/>
      <c r="V327" s="34"/>
      <c r="W327" s="34"/>
      <c r="X327" s="34"/>
      <c r="Y327" s="34"/>
      <c r="Z327" s="34"/>
      <c r="AA327" s="34"/>
      <c r="AB327" s="34"/>
      <c r="AC327" s="34"/>
      <c r="AD327" s="34"/>
    </row>
    <row r="328" ht="15.75" customHeight="1">
      <c r="A328" s="94"/>
      <c r="B328" s="94"/>
      <c r="C328" s="94"/>
      <c r="D328" s="94"/>
      <c r="E328" s="94"/>
      <c r="F328" s="94"/>
      <c r="G328" s="94"/>
      <c r="H328" s="94"/>
      <c r="I328" s="94"/>
      <c r="J328" s="94"/>
      <c r="K328" s="94"/>
      <c r="L328" s="94"/>
      <c r="M328" s="94"/>
      <c r="N328" s="94"/>
      <c r="O328" s="94"/>
      <c r="P328" s="94"/>
      <c r="Q328" s="94"/>
      <c r="R328" s="94"/>
      <c r="S328" s="95"/>
      <c r="T328" s="34"/>
      <c r="U328" s="34"/>
      <c r="V328" s="34"/>
      <c r="W328" s="34"/>
      <c r="X328" s="34"/>
      <c r="Y328" s="34"/>
      <c r="Z328" s="34"/>
      <c r="AA328" s="34"/>
      <c r="AB328" s="34"/>
      <c r="AC328" s="34"/>
      <c r="AD328" s="34"/>
    </row>
    <row r="329" ht="15.75" customHeight="1">
      <c r="A329" s="94"/>
      <c r="B329" s="94"/>
      <c r="C329" s="94"/>
      <c r="D329" s="94"/>
      <c r="E329" s="94"/>
      <c r="F329" s="94"/>
      <c r="G329" s="94"/>
      <c r="H329" s="94"/>
      <c r="I329" s="94"/>
      <c r="J329" s="94"/>
      <c r="K329" s="94"/>
      <c r="L329" s="94"/>
      <c r="M329" s="94"/>
      <c r="N329" s="94"/>
      <c r="O329" s="94"/>
      <c r="P329" s="94"/>
      <c r="Q329" s="94"/>
      <c r="R329" s="94"/>
      <c r="S329" s="95"/>
      <c r="T329" s="34"/>
      <c r="U329" s="34"/>
      <c r="V329" s="34"/>
      <c r="W329" s="34"/>
      <c r="X329" s="34"/>
      <c r="Y329" s="34"/>
      <c r="Z329" s="34"/>
      <c r="AA329" s="34"/>
      <c r="AB329" s="34"/>
      <c r="AC329" s="34"/>
      <c r="AD329" s="34"/>
    </row>
    <row r="330" ht="15.75" customHeight="1">
      <c r="A330" s="94"/>
      <c r="B330" s="94"/>
      <c r="C330" s="94"/>
      <c r="D330" s="94"/>
      <c r="E330" s="94"/>
      <c r="F330" s="94"/>
      <c r="G330" s="94"/>
      <c r="H330" s="94"/>
      <c r="I330" s="94"/>
      <c r="J330" s="94"/>
      <c r="K330" s="94"/>
      <c r="L330" s="94"/>
      <c r="M330" s="94"/>
      <c r="N330" s="94"/>
      <c r="O330" s="94"/>
      <c r="P330" s="94"/>
      <c r="Q330" s="94"/>
      <c r="R330" s="94"/>
      <c r="S330" s="95"/>
      <c r="T330" s="34"/>
      <c r="U330" s="34"/>
      <c r="V330" s="34"/>
      <c r="W330" s="34"/>
      <c r="X330" s="34"/>
      <c r="Y330" s="34"/>
      <c r="Z330" s="34"/>
      <c r="AA330" s="34"/>
      <c r="AB330" s="34"/>
      <c r="AC330" s="34"/>
      <c r="AD330" s="34"/>
    </row>
    <row r="331" ht="15.75" customHeight="1">
      <c r="A331" s="94"/>
      <c r="B331" s="94"/>
      <c r="C331" s="94"/>
      <c r="D331" s="94"/>
      <c r="E331" s="94"/>
      <c r="F331" s="94"/>
      <c r="G331" s="94"/>
      <c r="H331" s="94"/>
      <c r="I331" s="94"/>
      <c r="J331" s="94"/>
      <c r="K331" s="94"/>
      <c r="L331" s="94"/>
      <c r="M331" s="94"/>
      <c r="N331" s="94"/>
      <c r="O331" s="94"/>
      <c r="P331" s="94"/>
      <c r="Q331" s="94"/>
      <c r="R331" s="94"/>
      <c r="S331" s="95"/>
      <c r="T331" s="34"/>
      <c r="U331" s="34"/>
      <c r="V331" s="34"/>
      <c r="W331" s="34"/>
      <c r="X331" s="34"/>
      <c r="Y331" s="34"/>
      <c r="Z331" s="34"/>
      <c r="AA331" s="34"/>
      <c r="AB331" s="34"/>
      <c r="AC331" s="34"/>
      <c r="AD331" s="34"/>
    </row>
    <row r="332" ht="15.75" customHeight="1">
      <c r="A332" s="94"/>
      <c r="B332" s="94"/>
      <c r="C332" s="94"/>
      <c r="D332" s="94"/>
      <c r="E332" s="94"/>
      <c r="F332" s="94"/>
      <c r="G332" s="94"/>
      <c r="H332" s="94"/>
      <c r="I332" s="94"/>
      <c r="J332" s="94"/>
      <c r="K332" s="94"/>
      <c r="L332" s="94"/>
      <c r="M332" s="94"/>
      <c r="N332" s="94"/>
      <c r="O332" s="94"/>
      <c r="P332" s="94"/>
      <c r="Q332" s="94"/>
      <c r="R332" s="94"/>
      <c r="S332" s="95"/>
      <c r="T332" s="34"/>
      <c r="U332" s="34"/>
      <c r="V332" s="34"/>
      <c r="W332" s="34"/>
      <c r="X332" s="34"/>
      <c r="Y332" s="34"/>
      <c r="Z332" s="34"/>
      <c r="AA332" s="34"/>
      <c r="AB332" s="34"/>
      <c r="AC332" s="34"/>
      <c r="AD332" s="34"/>
    </row>
    <row r="333" ht="15.75" customHeight="1">
      <c r="A333" s="94"/>
      <c r="B333" s="94"/>
      <c r="C333" s="94"/>
      <c r="D333" s="94"/>
      <c r="E333" s="94"/>
      <c r="F333" s="94"/>
      <c r="G333" s="94"/>
      <c r="H333" s="94"/>
      <c r="I333" s="94"/>
      <c r="J333" s="94"/>
      <c r="K333" s="94"/>
      <c r="L333" s="94"/>
      <c r="M333" s="94"/>
      <c r="N333" s="94"/>
      <c r="O333" s="94"/>
      <c r="P333" s="94"/>
      <c r="Q333" s="94"/>
      <c r="R333" s="94"/>
      <c r="S333" s="95"/>
      <c r="T333" s="34"/>
      <c r="U333" s="34"/>
      <c r="V333" s="34"/>
      <c r="W333" s="34"/>
      <c r="X333" s="34"/>
      <c r="Y333" s="34"/>
      <c r="Z333" s="34"/>
      <c r="AA333" s="34"/>
      <c r="AB333" s="34"/>
      <c r="AC333" s="34"/>
      <c r="AD333" s="34"/>
    </row>
    <row r="334" ht="15.75" customHeight="1">
      <c r="A334" s="94"/>
      <c r="B334" s="94"/>
      <c r="C334" s="94"/>
      <c r="D334" s="94"/>
      <c r="E334" s="94"/>
      <c r="F334" s="94"/>
      <c r="G334" s="94"/>
      <c r="H334" s="94"/>
      <c r="I334" s="94"/>
      <c r="J334" s="94"/>
      <c r="K334" s="94"/>
      <c r="L334" s="94"/>
      <c r="M334" s="94"/>
      <c r="N334" s="94"/>
      <c r="O334" s="94"/>
      <c r="P334" s="94"/>
      <c r="Q334" s="94"/>
      <c r="R334" s="94"/>
      <c r="S334" s="95"/>
      <c r="T334" s="34"/>
      <c r="U334" s="34"/>
      <c r="V334" s="34"/>
      <c r="W334" s="34"/>
      <c r="X334" s="34"/>
      <c r="Y334" s="34"/>
      <c r="Z334" s="34"/>
      <c r="AA334" s="34"/>
      <c r="AB334" s="34"/>
      <c r="AC334" s="34"/>
      <c r="AD334" s="34"/>
    </row>
    <row r="335" ht="15.75" customHeight="1">
      <c r="A335" s="94"/>
      <c r="B335" s="94"/>
      <c r="C335" s="94"/>
      <c r="D335" s="94"/>
      <c r="E335" s="94"/>
      <c r="F335" s="94"/>
      <c r="G335" s="94"/>
      <c r="H335" s="94"/>
      <c r="I335" s="94"/>
      <c r="J335" s="94"/>
      <c r="K335" s="94"/>
      <c r="L335" s="94"/>
      <c r="M335" s="94"/>
      <c r="N335" s="94"/>
      <c r="O335" s="94"/>
      <c r="P335" s="94"/>
      <c r="Q335" s="94"/>
      <c r="R335" s="94"/>
      <c r="S335" s="95"/>
      <c r="T335" s="34"/>
      <c r="U335" s="34"/>
      <c r="V335" s="34"/>
      <c r="W335" s="34"/>
      <c r="X335" s="34"/>
      <c r="Y335" s="34"/>
      <c r="Z335" s="34"/>
      <c r="AA335" s="34"/>
      <c r="AB335" s="34"/>
      <c r="AC335" s="34"/>
      <c r="AD335" s="34"/>
    </row>
    <row r="336" ht="15.75" customHeight="1">
      <c r="A336" s="94"/>
      <c r="B336" s="94"/>
      <c r="C336" s="94"/>
      <c r="D336" s="94"/>
      <c r="E336" s="94"/>
      <c r="F336" s="94"/>
      <c r="G336" s="94"/>
      <c r="H336" s="94"/>
      <c r="I336" s="94"/>
      <c r="J336" s="94"/>
      <c r="K336" s="94"/>
      <c r="L336" s="94"/>
      <c r="M336" s="94"/>
      <c r="N336" s="94"/>
      <c r="O336" s="94"/>
      <c r="P336" s="94"/>
      <c r="Q336" s="94"/>
      <c r="R336" s="94"/>
      <c r="S336" s="95"/>
      <c r="T336" s="34"/>
      <c r="U336" s="34"/>
      <c r="V336" s="34"/>
      <c r="W336" s="34"/>
      <c r="X336" s="34"/>
      <c r="Y336" s="34"/>
      <c r="Z336" s="34"/>
      <c r="AA336" s="34"/>
      <c r="AB336" s="34"/>
      <c r="AC336" s="34"/>
      <c r="AD336" s="34"/>
    </row>
    <row r="337" ht="15.75" customHeight="1">
      <c r="A337" s="94"/>
      <c r="B337" s="94"/>
      <c r="C337" s="94"/>
      <c r="D337" s="94"/>
      <c r="E337" s="94"/>
      <c r="F337" s="94"/>
      <c r="G337" s="94"/>
      <c r="H337" s="94"/>
      <c r="I337" s="94"/>
      <c r="J337" s="94"/>
      <c r="K337" s="94"/>
      <c r="L337" s="94"/>
      <c r="M337" s="94"/>
      <c r="N337" s="94"/>
      <c r="O337" s="94"/>
      <c r="P337" s="94"/>
      <c r="Q337" s="94"/>
      <c r="R337" s="94"/>
      <c r="S337" s="95"/>
      <c r="T337" s="34"/>
      <c r="U337" s="34"/>
      <c r="V337" s="34"/>
      <c r="W337" s="34"/>
      <c r="X337" s="34"/>
      <c r="Y337" s="34"/>
      <c r="Z337" s="34"/>
      <c r="AA337" s="34"/>
      <c r="AB337" s="34"/>
      <c r="AC337" s="34"/>
      <c r="AD337" s="34"/>
    </row>
    <row r="338" ht="15.75" customHeight="1">
      <c r="A338" s="94"/>
      <c r="B338" s="94"/>
      <c r="C338" s="94"/>
      <c r="D338" s="94"/>
      <c r="E338" s="94"/>
      <c r="F338" s="94"/>
      <c r="G338" s="94"/>
      <c r="H338" s="94"/>
      <c r="I338" s="94"/>
      <c r="J338" s="94"/>
      <c r="K338" s="94"/>
      <c r="L338" s="94"/>
      <c r="M338" s="94"/>
      <c r="N338" s="94"/>
      <c r="O338" s="94"/>
      <c r="P338" s="94"/>
      <c r="Q338" s="94"/>
      <c r="R338" s="94"/>
      <c r="S338" s="95"/>
      <c r="T338" s="34"/>
      <c r="U338" s="34"/>
      <c r="V338" s="34"/>
      <c r="W338" s="34"/>
      <c r="X338" s="34"/>
      <c r="Y338" s="34"/>
      <c r="Z338" s="34"/>
      <c r="AA338" s="34"/>
      <c r="AB338" s="34"/>
      <c r="AC338" s="34"/>
      <c r="AD338" s="34"/>
    </row>
    <row r="339" ht="15.75" customHeight="1">
      <c r="A339" s="94"/>
      <c r="B339" s="94"/>
      <c r="C339" s="94"/>
      <c r="D339" s="94"/>
      <c r="E339" s="94"/>
      <c r="F339" s="94"/>
      <c r="G339" s="94"/>
      <c r="H339" s="94"/>
      <c r="I339" s="94"/>
      <c r="J339" s="94"/>
      <c r="K339" s="94"/>
      <c r="L339" s="94"/>
      <c r="M339" s="94"/>
      <c r="N339" s="94"/>
      <c r="O339" s="94"/>
      <c r="P339" s="94"/>
      <c r="Q339" s="94"/>
      <c r="R339" s="94"/>
      <c r="S339" s="95"/>
      <c r="T339" s="34"/>
      <c r="U339" s="34"/>
      <c r="V339" s="34"/>
      <c r="W339" s="34"/>
      <c r="X339" s="34"/>
      <c r="Y339" s="34"/>
      <c r="Z339" s="34"/>
      <c r="AA339" s="34"/>
      <c r="AB339" s="34"/>
      <c r="AC339" s="34"/>
      <c r="AD339" s="34"/>
    </row>
    <row r="340" ht="15.75" customHeight="1">
      <c r="A340" s="94"/>
      <c r="B340" s="94"/>
      <c r="C340" s="94"/>
      <c r="D340" s="94"/>
      <c r="E340" s="94"/>
      <c r="F340" s="94"/>
      <c r="G340" s="94"/>
      <c r="H340" s="94"/>
      <c r="I340" s="94"/>
      <c r="J340" s="94"/>
      <c r="K340" s="94"/>
      <c r="L340" s="94"/>
      <c r="M340" s="94"/>
      <c r="N340" s="94"/>
      <c r="O340" s="94"/>
      <c r="P340" s="94"/>
      <c r="Q340" s="94"/>
      <c r="R340" s="94"/>
      <c r="S340" s="95"/>
      <c r="T340" s="34"/>
      <c r="U340" s="34"/>
      <c r="V340" s="34"/>
      <c r="W340" s="34"/>
      <c r="X340" s="34"/>
      <c r="Y340" s="34"/>
      <c r="Z340" s="34"/>
      <c r="AA340" s="34"/>
      <c r="AB340" s="34"/>
      <c r="AC340" s="34"/>
      <c r="AD340" s="34"/>
    </row>
    <row r="341" ht="15.75" customHeight="1">
      <c r="A341" s="94"/>
      <c r="B341" s="94"/>
      <c r="C341" s="94"/>
      <c r="D341" s="94"/>
      <c r="E341" s="94"/>
      <c r="F341" s="94"/>
      <c r="G341" s="94"/>
      <c r="H341" s="94"/>
      <c r="I341" s="94"/>
      <c r="J341" s="94"/>
      <c r="K341" s="94"/>
      <c r="L341" s="94"/>
      <c r="M341" s="94"/>
      <c r="N341" s="94"/>
      <c r="O341" s="94"/>
      <c r="P341" s="94"/>
      <c r="Q341" s="94"/>
      <c r="R341" s="94"/>
      <c r="S341" s="95"/>
      <c r="T341" s="34"/>
      <c r="U341" s="34"/>
      <c r="V341" s="34"/>
      <c r="W341" s="34"/>
      <c r="X341" s="34"/>
      <c r="Y341" s="34"/>
      <c r="Z341" s="34"/>
      <c r="AA341" s="34"/>
      <c r="AB341" s="34"/>
      <c r="AC341" s="34"/>
      <c r="AD341" s="34"/>
    </row>
    <row r="342" ht="15.75" customHeight="1">
      <c r="A342" s="94"/>
      <c r="B342" s="94"/>
      <c r="C342" s="94"/>
      <c r="D342" s="94"/>
      <c r="E342" s="94"/>
      <c r="F342" s="94"/>
      <c r="G342" s="94"/>
      <c r="H342" s="94"/>
      <c r="I342" s="94"/>
      <c r="J342" s="94"/>
      <c r="K342" s="94"/>
      <c r="L342" s="94"/>
      <c r="M342" s="94"/>
      <c r="N342" s="94"/>
      <c r="O342" s="94"/>
      <c r="P342" s="94"/>
      <c r="Q342" s="94"/>
      <c r="R342" s="94"/>
      <c r="S342" s="95"/>
      <c r="T342" s="34"/>
      <c r="U342" s="34"/>
      <c r="V342" s="34"/>
      <c r="W342" s="34"/>
      <c r="X342" s="34"/>
      <c r="Y342" s="34"/>
      <c r="Z342" s="34"/>
      <c r="AA342" s="34"/>
      <c r="AB342" s="34"/>
      <c r="AC342" s="34"/>
      <c r="AD342" s="34"/>
    </row>
    <row r="343" ht="15.75" customHeight="1">
      <c r="A343" s="94"/>
      <c r="B343" s="94"/>
      <c r="C343" s="94"/>
      <c r="D343" s="94"/>
      <c r="E343" s="94"/>
      <c r="F343" s="94"/>
      <c r="G343" s="94"/>
      <c r="H343" s="94"/>
      <c r="I343" s="94"/>
      <c r="J343" s="94"/>
      <c r="K343" s="94"/>
      <c r="L343" s="94"/>
      <c r="M343" s="94"/>
      <c r="N343" s="94"/>
      <c r="O343" s="94"/>
      <c r="P343" s="94"/>
      <c r="Q343" s="94"/>
      <c r="R343" s="94"/>
      <c r="S343" s="95"/>
      <c r="T343" s="34"/>
      <c r="U343" s="34"/>
      <c r="V343" s="34"/>
      <c r="W343" s="34"/>
      <c r="X343" s="34"/>
      <c r="Y343" s="34"/>
      <c r="Z343" s="34"/>
      <c r="AA343" s="34"/>
      <c r="AB343" s="34"/>
      <c r="AC343" s="34"/>
      <c r="AD343" s="34"/>
    </row>
    <row r="344" ht="15.75" customHeight="1">
      <c r="A344" s="94"/>
      <c r="B344" s="94"/>
      <c r="C344" s="94"/>
      <c r="D344" s="94"/>
      <c r="E344" s="94"/>
      <c r="F344" s="94"/>
      <c r="G344" s="94"/>
      <c r="H344" s="94"/>
      <c r="I344" s="94"/>
      <c r="J344" s="94"/>
      <c r="K344" s="94"/>
      <c r="L344" s="94"/>
      <c r="M344" s="94"/>
      <c r="N344" s="94"/>
      <c r="O344" s="94"/>
      <c r="P344" s="94"/>
      <c r="Q344" s="94"/>
      <c r="R344" s="94"/>
      <c r="S344" s="95"/>
      <c r="T344" s="34"/>
      <c r="U344" s="34"/>
      <c r="V344" s="34"/>
      <c r="W344" s="34"/>
      <c r="X344" s="34"/>
      <c r="Y344" s="34"/>
      <c r="Z344" s="34"/>
      <c r="AA344" s="34"/>
      <c r="AB344" s="34"/>
      <c r="AC344" s="34"/>
      <c r="AD344" s="34"/>
    </row>
    <row r="345" ht="15.75" customHeight="1">
      <c r="A345" s="94"/>
      <c r="B345" s="94"/>
      <c r="C345" s="94"/>
      <c r="D345" s="94"/>
      <c r="E345" s="94"/>
      <c r="F345" s="94"/>
      <c r="G345" s="94"/>
      <c r="H345" s="94"/>
      <c r="I345" s="94"/>
      <c r="J345" s="94"/>
      <c r="K345" s="94"/>
      <c r="L345" s="94"/>
      <c r="M345" s="94"/>
      <c r="N345" s="94"/>
      <c r="O345" s="94"/>
      <c r="P345" s="94"/>
      <c r="Q345" s="94"/>
      <c r="R345" s="94"/>
      <c r="S345" s="95"/>
      <c r="T345" s="34"/>
      <c r="U345" s="34"/>
      <c r="V345" s="34"/>
      <c r="W345" s="34"/>
      <c r="X345" s="34"/>
      <c r="Y345" s="34"/>
      <c r="Z345" s="34"/>
      <c r="AA345" s="34"/>
      <c r="AB345" s="34"/>
      <c r="AC345" s="34"/>
      <c r="AD345" s="34"/>
    </row>
    <row r="346" ht="15.75" customHeight="1">
      <c r="A346" s="94"/>
      <c r="B346" s="94"/>
      <c r="C346" s="94"/>
      <c r="D346" s="94"/>
      <c r="E346" s="94"/>
      <c r="F346" s="94"/>
      <c r="G346" s="94"/>
      <c r="H346" s="94"/>
      <c r="I346" s="94"/>
      <c r="J346" s="94"/>
      <c r="K346" s="94"/>
      <c r="L346" s="94"/>
      <c r="M346" s="94"/>
      <c r="N346" s="94"/>
      <c r="O346" s="94"/>
      <c r="P346" s="94"/>
      <c r="Q346" s="94"/>
      <c r="R346" s="94"/>
      <c r="S346" s="95"/>
      <c r="T346" s="34"/>
      <c r="U346" s="34"/>
      <c r="V346" s="34"/>
      <c r="W346" s="34"/>
      <c r="X346" s="34"/>
      <c r="Y346" s="34"/>
      <c r="Z346" s="34"/>
      <c r="AA346" s="34"/>
      <c r="AB346" s="34"/>
      <c r="AC346" s="34"/>
      <c r="AD346" s="34"/>
    </row>
    <row r="347" ht="15.75" customHeight="1">
      <c r="A347" s="94"/>
      <c r="B347" s="94"/>
      <c r="C347" s="94"/>
      <c r="D347" s="94"/>
      <c r="E347" s="94"/>
      <c r="F347" s="94"/>
      <c r="G347" s="94"/>
      <c r="H347" s="94"/>
      <c r="I347" s="94"/>
      <c r="J347" s="94"/>
      <c r="K347" s="94"/>
      <c r="L347" s="94"/>
      <c r="M347" s="94"/>
      <c r="N347" s="94"/>
      <c r="O347" s="94"/>
      <c r="P347" s="94"/>
      <c r="Q347" s="94"/>
      <c r="R347" s="94"/>
      <c r="S347" s="95"/>
      <c r="T347" s="34"/>
      <c r="U347" s="34"/>
      <c r="V347" s="34"/>
      <c r="W347" s="34"/>
      <c r="X347" s="34"/>
      <c r="Y347" s="34"/>
      <c r="Z347" s="34"/>
      <c r="AA347" s="34"/>
      <c r="AB347" s="34"/>
      <c r="AC347" s="34"/>
      <c r="AD347" s="34"/>
    </row>
    <row r="348" ht="15.75" customHeight="1">
      <c r="A348" s="94"/>
      <c r="B348" s="94"/>
      <c r="C348" s="94"/>
      <c r="D348" s="94"/>
      <c r="E348" s="94"/>
      <c r="F348" s="94"/>
      <c r="G348" s="94"/>
      <c r="H348" s="94"/>
      <c r="I348" s="94"/>
      <c r="J348" s="94"/>
      <c r="K348" s="94"/>
      <c r="L348" s="94"/>
      <c r="M348" s="94"/>
      <c r="N348" s="94"/>
      <c r="O348" s="94"/>
      <c r="P348" s="94"/>
      <c r="Q348" s="94"/>
      <c r="R348" s="94"/>
      <c r="S348" s="95"/>
      <c r="T348" s="34"/>
      <c r="U348" s="34"/>
      <c r="V348" s="34"/>
      <c r="W348" s="34"/>
      <c r="X348" s="34"/>
      <c r="Y348" s="34"/>
      <c r="Z348" s="34"/>
      <c r="AA348" s="34"/>
      <c r="AB348" s="34"/>
      <c r="AC348" s="34"/>
      <c r="AD348" s="34"/>
    </row>
    <row r="349" ht="15.75" customHeight="1">
      <c r="A349" s="94"/>
      <c r="B349" s="94"/>
      <c r="C349" s="94"/>
      <c r="D349" s="94"/>
      <c r="E349" s="94"/>
      <c r="F349" s="94"/>
      <c r="G349" s="94"/>
      <c r="H349" s="94"/>
      <c r="I349" s="94"/>
      <c r="J349" s="94"/>
      <c r="K349" s="94"/>
      <c r="L349" s="94"/>
      <c r="M349" s="94"/>
      <c r="N349" s="94"/>
      <c r="O349" s="94"/>
      <c r="P349" s="94"/>
      <c r="Q349" s="94"/>
      <c r="R349" s="94"/>
      <c r="S349" s="95"/>
      <c r="T349" s="34"/>
      <c r="U349" s="34"/>
      <c r="V349" s="34"/>
      <c r="W349" s="34"/>
      <c r="X349" s="34"/>
      <c r="Y349" s="34"/>
      <c r="Z349" s="34"/>
      <c r="AA349" s="34"/>
      <c r="AB349" s="34"/>
      <c r="AC349" s="34"/>
      <c r="AD349" s="34"/>
    </row>
    <row r="350" ht="15.75" customHeight="1">
      <c r="A350" s="94"/>
      <c r="B350" s="94"/>
      <c r="C350" s="94"/>
      <c r="D350" s="94"/>
      <c r="E350" s="94"/>
      <c r="F350" s="94"/>
      <c r="G350" s="94"/>
      <c r="H350" s="94"/>
      <c r="I350" s="94"/>
      <c r="J350" s="94"/>
      <c r="K350" s="94"/>
      <c r="L350" s="94"/>
      <c r="M350" s="94"/>
      <c r="N350" s="94"/>
      <c r="O350" s="94"/>
      <c r="P350" s="94"/>
      <c r="Q350" s="94"/>
      <c r="R350" s="94"/>
      <c r="S350" s="95"/>
      <c r="T350" s="34"/>
      <c r="U350" s="34"/>
      <c r="V350" s="34"/>
      <c r="W350" s="34"/>
      <c r="X350" s="34"/>
      <c r="Y350" s="34"/>
      <c r="Z350" s="34"/>
      <c r="AA350" s="34"/>
      <c r="AB350" s="34"/>
      <c r="AC350" s="34"/>
      <c r="AD350" s="34"/>
    </row>
    <row r="351" ht="15.75" customHeight="1">
      <c r="A351" s="94"/>
      <c r="B351" s="94"/>
      <c r="C351" s="94"/>
      <c r="D351" s="94"/>
      <c r="E351" s="94"/>
      <c r="F351" s="94"/>
      <c r="G351" s="94"/>
      <c r="H351" s="94"/>
      <c r="I351" s="94"/>
      <c r="J351" s="94"/>
      <c r="K351" s="94"/>
      <c r="L351" s="94"/>
      <c r="M351" s="94"/>
      <c r="N351" s="94"/>
      <c r="O351" s="94"/>
      <c r="P351" s="94"/>
      <c r="Q351" s="94"/>
      <c r="R351" s="94"/>
      <c r="S351" s="95"/>
      <c r="T351" s="34"/>
      <c r="U351" s="34"/>
      <c r="V351" s="34"/>
      <c r="W351" s="34"/>
      <c r="X351" s="34"/>
      <c r="Y351" s="34"/>
      <c r="Z351" s="34"/>
      <c r="AA351" s="34"/>
      <c r="AB351" s="34"/>
      <c r="AC351" s="34"/>
      <c r="AD351" s="34"/>
    </row>
    <row r="352" ht="15.75" customHeight="1">
      <c r="A352" s="94"/>
      <c r="B352" s="94"/>
      <c r="C352" s="94"/>
      <c r="D352" s="94"/>
      <c r="E352" s="94"/>
      <c r="F352" s="94"/>
      <c r="G352" s="94"/>
      <c r="H352" s="94"/>
      <c r="I352" s="94"/>
      <c r="J352" s="94"/>
      <c r="K352" s="94"/>
      <c r="L352" s="94"/>
      <c r="M352" s="94"/>
      <c r="N352" s="94"/>
      <c r="O352" s="94"/>
      <c r="P352" s="94"/>
      <c r="Q352" s="94"/>
      <c r="R352" s="94"/>
      <c r="S352" s="95"/>
      <c r="T352" s="34"/>
      <c r="U352" s="34"/>
      <c r="V352" s="34"/>
      <c r="W352" s="34"/>
      <c r="X352" s="34"/>
      <c r="Y352" s="34"/>
      <c r="Z352" s="34"/>
      <c r="AA352" s="34"/>
      <c r="AB352" s="34"/>
      <c r="AC352" s="34"/>
      <c r="AD352" s="34"/>
    </row>
    <row r="353" ht="15.75" customHeight="1">
      <c r="A353" s="94"/>
      <c r="B353" s="94"/>
      <c r="C353" s="94"/>
      <c r="D353" s="94"/>
      <c r="E353" s="94"/>
      <c r="F353" s="94"/>
      <c r="G353" s="94"/>
      <c r="H353" s="94"/>
      <c r="I353" s="94"/>
      <c r="J353" s="94"/>
      <c r="K353" s="94"/>
      <c r="L353" s="94"/>
      <c r="M353" s="94"/>
      <c r="N353" s="94"/>
      <c r="O353" s="94"/>
      <c r="P353" s="94"/>
      <c r="Q353" s="94"/>
      <c r="R353" s="94"/>
      <c r="S353" s="95"/>
      <c r="T353" s="34"/>
      <c r="U353" s="34"/>
      <c r="V353" s="34"/>
      <c r="W353" s="34"/>
      <c r="X353" s="34"/>
      <c r="Y353" s="34"/>
      <c r="Z353" s="34"/>
      <c r="AA353" s="34"/>
      <c r="AB353" s="34"/>
      <c r="AC353" s="34"/>
      <c r="AD353" s="34"/>
    </row>
    <row r="354" ht="15.75" customHeight="1">
      <c r="A354" s="94"/>
      <c r="B354" s="94"/>
      <c r="C354" s="94"/>
      <c r="D354" s="94"/>
      <c r="E354" s="94"/>
      <c r="F354" s="94"/>
      <c r="G354" s="94"/>
      <c r="H354" s="94"/>
      <c r="I354" s="94"/>
      <c r="J354" s="94"/>
      <c r="K354" s="94"/>
      <c r="L354" s="94"/>
      <c r="M354" s="94"/>
      <c r="N354" s="94"/>
      <c r="O354" s="94"/>
      <c r="P354" s="94"/>
      <c r="Q354" s="94"/>
      <c r="R354" s="94"/>
      <c r="S354" s="95"/>
      <c r="T354" s="34"/>
      <c r="U354" s="34"/>
      <c r="V354" s="34"/>
      <c r="W354" s="34"/>
      <c r="X354" s="34"/>
      <c r="Y354" s="34"/>
      <c r="Z354" s="34"/>
      <c r="AA354" s="34"/>
      <c r="AB354" s="34"/>
      <c r="AC354" s="34"/>
      <c r="AD354" s="34"/>
    </row>
    <row r="355" ht="15.75" customHeight="1">
      <c r="A355" s="94"/>
      <c r="B355" s="94"/>
      <c r="C355" s="94"/>
      <c r="D355" s="94"/>
      <c r="E355" s="94"/>
      <c r="F355" s="94"/>
      <c r="G355" s="94"/>
      <c r="H355" s="94"/>
      <c r="I355" s="94"/>
      <c r="J355" s="94"/>
      <c r="K355" s="94"/>
      <c r="L355" s="94"/>
      <c r="M355" s="94"/>
      <c r="N355" s="94"/>
      <c r="O355" s="94"/>
      <c r="P355" s="94"/>
      <c r="Q355" s="94"/>
      <c r="R355" s="94"/>
      <c r="S355" s="95"/>
      <c r="T355" s="34"/>
      <c r="U355" s="34"/>
      <c r="V355" s="34"/>
      <c r="W355" s="34"/>
      <c r="X355" s="34"/>
      <c r="Y355" s="34"/>
      <c r="Z355" s="34"/>
      <c r="AA355" s="34"/>
      <c r="AB355" s="34"/>
      <c r="AC355" s="34"/>
      <c r="AD355" s="34"/>
    </row>
    <row r="356" ht="15.75" customHeight="1">
      <c r="A356" s="94"/>
      <c r="B356" s="94"/>
      <c r="C356" s="94"/>
      <c r="D356" s="94"/>
      <c r="E356" s="94"/>
      <c r="F356" s="94"/>
      <c r="G356" s="94"/>
      <c r="H356" s="94"/>
      <c r="I356" s="94"/>
      <c r="J356" s="94"/>
      <c r="K356" s="94"/>
      <c r="L356" s="94"/>
      <c r="M356" s="94"/>
      <c r="N356" s="94"/>
      <c r="O356" s="94"/>
      <c r="P356" s="94"/>
      <c r="Q356" s="94"/>
      <c r="R356" s="94"/>
      <c r="S356" s="95"/>
      <c r="T356" s="34"/>
      <c r="U356" s="34"/>
      <c r="V356" s="34"/>
      <c r="W356" s="34"/>
      <c r="X356" s="34"/>
      <c r="Y356" s="34"/>
      <c r="Z356" s="34"/>
      <c r="AA356" s="34"/>
      <c r="AB356" s="34"/>
      <c r="AC356" s="34"/>
      <c r="AD356" s="34"/>
    </row>
    <row r="357" ht="15.75" customHeight="1">
      <c r="A357" s="94"/>
      <c r="B357" s="94"/>
      <c r="C357" s="94"/>
      <c r="D357" s="94"/>
      <c r="E357" s="94"/>
      <c r="F357" s="94"/>
      <c r="G357" s="94"/>
      <c r="H357" s="94"/>
      <c r="I357" s="94"/>
      <c r="J357" s="94"/>
      <c r="K357" s="94"/>
      <c r="L357" s="94"/>
      <c r="M357" s="94"/>
      <c r="N357" s="94"/>
      <c r="O357" s="94"/>
      <c r="P357" s="94"/>
      <c r="Q357" s="94"/>
      <c r="R357" s="94"/>
      <c r="S357" s="95"/>
      <c r="T357" s="34"/>
      <c r="U357" s="34"/>
      <c r="V357" s="34"/>
      <c r="W357" s="34"/>
      <c r="X357" s="34"/>
      <c r="Y357" s="34"/>
      <c r="Z357" s="34"/>
      <c r="AA357" s="34"/>
      <c r="AB357" s="34"/>
      <c r="AC357" s="34"/>
      <c r="AD357" s="34"/>
    </row>
    <row r="358" ht="15.75" customHeight="1">
      <c r="A358" s="94"/>
      <c r="B358" s="94"/>
      <c r="C358" s="94"/>
      <c r="D358" s="94"/>
      <c r="E358" s="94"/>
      <c r="F358" s="94"/>
      <c r="G358" s="94"/>
      <c r="H358" s="94"/>
      <c r="I358" s="94"/>
      <c r="J358" s="94"/>
      <c r="K358" s="94"/>
      <c r="L358" s="94"/>
      <c r="M358" s="94"/>
      <c r="N358" s="94"/>
      <c r="O358" s="94"/>
      <c r="P358" s="94"/>
      <c r="Q358" s="94"/>
      <c r="R358" s="94"/>
      <c r="S358" s="95"/>
      <c r="T358" s="34"/>
      <c r="U358" s="34"/>
      <c r="V358" s="34"/>
      <c r="W358" s="34"/>
      <c r="X358" s="34"/>
      <c r="Y358" s="34"/>
      <c r="Z358" s="34"/>
      <c r="AA358" s="34"/>
      <c r="AB358" s="34"/>
      <c r="AC358" s="34"/>
      <c r="AD358" s="34"/>
    </row>
    <row r="359" ht="15.75" customHeight="1">
      <c r="A359" s="94"/>
      <c r="B359" s="94"/>
      <c r="C359" s="94"/>
      <c r="D359" s="94"/>
      <c r="E359" s="94"/>
      <c r="F359" s="94"/>
      <c r="G359" s="94"/>
      <c r="H359" s="94"/>
      <c r="I359" s="94"/>
      <c r="J359" s="94"/>
      <c r="K359" s="94"/>
      <c r="L359" s="94"/>
      <c r="M359" s="94"/>
      <c r="N359" s="94"/>
      <c r="O359" s="94"/>
      <c r="P359" s="94"/>
      <c r="Q359" s="94"/>
      <c r="R359" s="94"/>
      <c r="S359" s="95"/>
      <c r="T359" s="34"/>
      <c r="U359" s="34"/>
      <c r="V359" s="34"/>
      <c r="W359" s="34"/>
      <c r="X359" s="34"/>
      <c r="Y359" s="34"/>
      <c r="Z359" s="34"/>
      <c r="AA359" s="34"/>
      <c r="AB359" s="34"/>
      <c r="AC359" s="34"/>
      <c r="AD359" s="34"/>
    </row>
    <row r="360" ht="15.75" customHeight="1">
      <c r="A360" s="94"/>
      <c r="B360" s="94"/>
      <c r="C360" s="94"/>
      <c r="D360" s="94"/>
      <c r="E360" s="94"/>
      <c r="F360" s="94"/>
      <c r="G360" s="94"/>
      <c r="H360" s="94"/>
      <c r="I360" s="94"/>
      <c r="J360" s="94"/>
      <c r="K360" s="94"/>
      <c r="L360" s="94"/>
      <c r="M360" s="94"/>
      <c r="N360" s="94"/>
      <c r="O360" s="94"/>
      <c r="P360" s="94"/>
      <c r="Q360" s="94"/>
      <c r="R360" s="94"/>
      <c r="S360" s="95"/>
      <c r="T360" s="34"/>
      <c r="U360" s="34"/>
      <c r="V360" s="34"/>
      <c r="W360" s="34"/>
      <c r="X360" s="34"/>
      <c r="Y360" s="34"/>
      <c r="Z360" s="34"/>
      <c r="AA360" s="34"/>
      <c r="AB360" s="34"/>
      <c r="AC360" s="34"/>
      <c r="AD360" s="34"/>
    </row>
    <row r="361" ht="15.75" customHeight="1">
      <c r="A361" s="94"/>
      <c r="B361" s="94"/>
      <c r="C361" s="94"/>
      <c r="D361" s="94"/>
      <c r="E361" s="94"/>
      <c r="F361" s="94"/>
      <c r="G361" s="94"/>
      <c r="H361" s="94"/>
      <c r="I361" s="94"/>
      <c r="J361" s="94"/>
      <c r="K361" s="94"/>
      <c r="L361" s="94"/>
      <c r="M361" s="94"/>
      <c r="N361" s="94"/>
      <c r="O361" s="94"/>
      <c r="P361" s="94"/>
      <c r="Q361" s="94"/>
      <c r="R361" s="94"/>
      <c r="S361" s="95"/>
      <c r="T361" s="34"/>
      <c r="U361" s="34"/>
      <c r="V361" s="34"/>
      <c r="W361" s="34"/>
      <c r="X361" s="34"/>
      <c r="Y361" s="34"/>
      <c r="Z361" s="34"/>
      <c r="AA361" s="34"/>
      <c r="AB361" s="34"/>
      <c r="AC361" s="34"/>
      <c r="AD361" s="34"/>
    </row>
    <row r="362" ht="15.75" customHeight="1">
      <c r="A362" s="94"/>
      <c r="B362" s="94"/>
      <c r="C362" s="94"/>
      <c r="D362" s="94"/>
      <c r="E362" s="94"/>
      <c r="F362" s="94"/>
      <c r="G362" s="94"/>
      <c r="H362" s="94"/>
      <c r="I362" s="94"/>
      <c r="J362" s="94"/>
      <c r="K362" s="94"/>
      <c r="L362" s="94"/>
      <c r="M362" s="94"/>
      <c r="N362" s="94"/>
      <c r="O362" s="94"/>
      <c r="P362" s="94"/>
      <c r="Q362" s="94"/>
      <c r="R362" s="94"/>
      <c r="S362" s="95"/>
      <c r="T362" s="34"/>
      <c r="U362" s="34"/>
      <c r="V362" s="34"/>
      <c r="W362" s="34"/>
      <c r="X362" s="34"/>
      <c r="Y362" s="34"/>
      <c r="Z362" s="34"/>
      <c r="AA362" s="34"/>
      <c r="AB362" s="34"/>
      <c r="AC362" s="34"/>
      <c r="AD362" s="34"/>
    </row>
    <row r="363" ht="15.75" customHeight="1">
      <c r="A363" s="94"/>
      <c r="B363" s="94"/>
      <c r="C363" s="94"/>
      <c r="D363" s="94"/>
      <c r="E363" s="94"/>
      <c r="F363" s="94"/>
      <c r="G363" s="94"/>
      <c r="H363" s="94"/>
      <c r="I363" s="94"/>
      <c r="J363" s="94"/>
      <c r="K363" s="94"/>
      <c r="L363" s="94"/>
      <c r="M363" s="94"/>
      <c r="N363" s="94"/>
      <c r="O363" s="94"/>
      <c r="P363" s="94"/>
      <c r="Q363" s="94"/>
      <c r="R363" s="94"/>
      <c r="S363" s="95"/>
      <c r="T363" s="34"/>
      <c r="U363" s="34"/>
      <c r="V363" s="34"/>
      <c r="W363" s="34"/>
      <c r="X363" s="34"/>
      <c r="Y363" s="34"/>
      <c r="Z363" s="34"/>
      <c r="AA363" s="34"/>
      <c r="AB363" s="34"/>
      <c r="AC363" s="34"/>
      <c r="AD363" s="34"/>
    </row>
    <row r="364" ht="15.75" customHeight="1">
      <c r="A364" s="94"/>
      <c r="B364" s="94"/>
      <c r="C364" s="94"/>
      <c r="D364" s="94"/>
      <c r="E364" s="94"/>
      <c r="F364" s="94"/>
      <c r="G364" s="94"/>
      <c r="H364" s="94"/>
      <c r="I364" s="94"/>
      <c r="J364" s="94"/>
      <c r="K364" s="94"/>
      <c r="L364" s="94"/>
      <c r="M364" s="94"/>
      <c r="N364" s="94"/>
      <c r="O364" s="94"/>
      <c r="P364" s="94"/>
      <c r="Q364" s="94"/>
      <c r="R364" s="94"/>
      <c r="S364" s="95"/>
      <c r="T364" s="34"/>
      <c r="U364" s="34"/>
      <c r="V364" s="34"/>
      <c r="W364" s="34"/>
      <c r="X364" s="34"/>
      <c r="Y364" s="34"/>
      <c r="Z364" s="34"/>
      <c r="AA364" s="34"/>
      <c r="AB364" s="34"/>
      <c r="AC364" s="34"/>
      <c r="AD364" s="34"/>
    </row>
    <row r="365" ht="15.75" customHeight="1">
      <c r="A365" s="94"/>
      <c r="B365" s="94"/>
      <c r="C365" s="94"/>
      <c r="D365" s="94"/>
      <c r="E365" s="94"/>
      <c r="F365" s="94"/>
      <c r="G365" s="94"/>
      <c r="H365" s="94"/>
      <c r="I365" s="94"/>
      <c r="J365" s="94"/>
      <c r="K365" s="94"/>
      <c r="L365" s="94"/>
      <c r="M365" s="94"/>
      <c r="N365" s="94"/>
      <c r="O365" s="94"/>
      <c r="P365" s="94"/>
      <c r="Q365" s="94"/>
      <c r="R365" s="94"/>
      <c r="S365" s="95"/>
      <c r="T365" s="34"/>
      <c r="U365" s="34"/>
      <c r="V365" s="34"/>
      <c r="W365" s="34"/>
      <c r="X365" s="34"/>
      <c r="Y365" s="34"/>
      <c r="Z365" s="34"/>
      <c r="AA365" s="34"/>
      <c r="AB365" s="34"/>
      <c r="AC365" s="34"/>
      <c r="AD365" s="34"/>
    </row>
    <row r="366" ht="15.75" customHeight="1">
      <c r="A366" s="94"/>
      <c r="B366" s="94"/>
      <c r="C366" s="94"/>
      <c r="D366" s="94"/>
      <c r="E366" s="94"/>
      <c r="F366" s="94"/>
      <c r="G366" s="94"/>
      <c r="H366" s="94"/>
      <c r="I366" s="94"/>
      <c r="J366" s="94"/>
      <c r="K366" s="94"/>
      <c r="L366" s="94"/>
      <c r="M366" s="94"/>
      <c r="N366" s="94"/>
      <c r="O366" s="94"/>
      <c r="P366" s="94"/>
      <c r="Q366" s="94"/>
      <c r="R366" s="94"/>
      <c r="S366" s="95"/>
      <c r="T366" s="34"/>
      <c r="U366" s="34"/>
      <c r="V366" s="34"/>
      <c r="W366" s="34"/>
      <c r="X366" s="34"/>
      <c r="Y366" s="34"/>
      <c r="Z366" s="34"/>
      <c r="AA366" s="34"/>
      <c r="AB366" s="34"/>
      <c r="AC366" s="34"/>
      <c r="AD366" s="34"/>
    </row>
    <row r="367" ht="15.75" customHeight="1">
      <c r="A367" s="94"/>
      <c r="B367" s="94"/>
      <c r="C367" s="94"/>
      <c r="D367" s="94"/>
      <c r="E367" s="94"/>
      <c r="F367" s="94"/>
      <c r="G367" s="94"/>
      <c r="H367" s="94"/>
      <c r="I367" s="94"/>
      <c r="J367" s="94"/>
      <c r="K367" s="94"/>
      <c r="L367" s="94"/>
      <c r="M367" s="94"/>
      <c r="N367" s="94"/>
      <c r="O367" s="94"/>
      <c r="P367" s="94"/>
      <c r="Q367" s="94"/>
      <c r="R367" s="94"/>
      <c r="S367" s="95"/>
      <c r="T367" s="34"/>
      <c r="U367" s="34"/>
      <c r="V367" s="34"/>
      <c r="W367" s="34"/>
      <c r="X367" s="34"/>
      <c r="Y367" s="34"/>
      <c r="Z367" s="34"/>
      <c r="AA367" s="34"/>
      <c r="AB367" s="34"/>
      <c r="AC367" s="34"/>
      <c r="AD367" s="34"/>
    </row>
    <row r="368" ht="15.75" customHeight="1">
      <c r="A368" s="94"/>
      <c r="B368" s="94"/>
      <c r="C368" s="94"/>
      <c r="D368" s="94"/>
      <c r="E368" s="94"/>
      <c r="F368" s="94"/>
      <c r="G368" s="94"/>
      <c r="H368" s="94"/>
      <c r="I368" s="94"/>
      <c r="J368" s="94"/>
      <c r="K368" s="94"/>
      <c r="L368" s="94"/>
      <c r="M368" s="94"/>
      <c r="N368" s="94"/>
      <c r="O368" s="94"/>
      <c r="P368" s="94"/>
      <c r="Q368" s="94"/>
      <c r="R368" s="94"/>
      <c r="S368" s="95"/>
      <c r="T368" s="34"/>
      <c r="U368" s="34"/>
      <c r="V368" s="34"/>
      <c r="W368" s="34"/>
      <c r="X368" s="34"/>
      <c r="Y368" s="34"/>
      <c r="Z368" s="34"/>
      <c r="AA368" s="34"/>
      <c r="AB368" s="34"/>
      <c r="AC368" s="34"/>
      <c r="AD368" s="34"/>
    </row>
    <row r="369" ht="15.75" customHeight="1">
      <c r="A369" s="94"/>
      <c r="B369" s="94"/>
      <c r="C369" s="94"/>
      <c r="D369" s="94"/>
      <c r="E369" s="94"/>
      <c r="F369" s="94"/>
      <c r="G369" s="94"/>
      <c r="H369" s="94"/>
      <c r="I369" s="94"/>
      <c r="J369" s="94"/>
      <c r="K369" s="94"/>
      <c r="L369" s="94"/>
      <c r="M369" s="94"/>
      <c r="N369" s="94"/>
      <c r="O369" s="94"/>
      <c r="P369" s="94"/>
      <c r="Q369" s="94"/>
      <c r="R369" s="94"/>
      <c r="S369" s="95"/>
      <c r="T369" s="34"/>
      <c r="U369" s="34"/>
      <c r="V369" s="34"/>
      <c r="W369" s="34"/>
      <c r="X369" s="34"/>
      <c r="Y369" s="34"/>
      <c r="Z369" s="34"/>
      <c r="AA369" s="34"/>
      <c r="AB369" s="34"/>
      <c r="AC369" s="34"/>
      <c r="AD369" s="34"/>
    </row>
    <row r="370" ht="15.75" customHeight="1">
      <c r="A370" s="94"/>
      <c r="B370" s="94"/>
      <c r="C370" s="94"/>
      <c r="D370" s="94"/>
      <c r="E370" s="94"/>
      <c r="F370" s="94"/>
      <c r="G370" s="94"/>
      <c r="H370" s="94"/>
      <c r="I370" s="94"/>
      <c r="J370" s="94"/>
      <c r="K370" s="94"/>
      <c r="L370" s="94"/>
      <c r="M370" s="94"/>
      <c r="N370" s="94"/>
      <c r="O370" s="94"/>
      <c r="P370" s="94"/>
      <c r="Q370" s="94"/>
      <c r="R370" s="94"/>
      <c r="S370" s="95"/>
      <c r="T370" s="34"/>
      <c r="U370" s="34"/>
      <c r="V370" s="34"/>
      <c r="W370" s="34"/>
      <c r="X370" s="34"/>
      <c r="Y370" s="34"/>
      <c r="Z370" s="34"/>
      <c r="AA370" s="34"/>
      <c r="AB370" s="34"/>
      <c r="AC370" s="34"/>
      <c r="AD370" s="34"/>
    </row>
    <row r="371" ht="15.75" customHeight="1">
      <c r="A371" s="94"/>
      <c r="B371" s="94"/>
      <c r="C371" s="94"/>
      <c r="D371" s="94"/>
      <c r="E371" s="94"/>
      <c r="F371" s="94"/>
      <c r="G371" s="94"/>
      <c r="H371" s="94"/>
      <c r="I371" s="94"/>
      <c r="J371" s="94"/>
      <c r="K371" s="94"/>
      <c r="L371" s="94"/>
      <c r="M371" s="94"/>
      <c r="N371" s="94"/>
      <c r="O371" s="94"/>
      <c r="P371" s="94"/>
      <c r="Q371" s="94"/>
      <c r="R371" s="94"/>
      <c r="S371" s="95"/>
      <c r="T371" s="34"/>
      <c r="U371" s="34"/>
      <c r="V371" s="34"/>
      <c r="W371" s="34"/>
      <c r="X371" s="34"/>
      <c r="Y371" s="34"/>
      <c r="Z371" s="34"/>
      <c r="AA371" s="34"/>
      <c r="AB371" s="34"/>
      <c r="AC371" s="34"/>
      <c r="AD371" s="34"/>
    </row>
    <row r="372" ht="15.75" customHeight="1">
      <c r="A372" s="94"/>
      <c r="B372" s="94"/>
      <c r="C372" s="94"/>
      <c r="D372" s="94"/>
      <c r="E372" s="94"/>
      <c r="F372" s="94"/>
      <c r="G372" s="94"/>
      <c r="H372" s="94"/>
      <c r="I372" s="94"/>
      <c r="J372" s="94"/>
      <c r="K372" s="94"/>
      <c r="L372" s="94"/>
      <c r="M372" s="94"/>
      <c r="N372" s="94"/>
      <c r="O372" s="94"/>
      <c r="P372" s="94"/>
      <c r="Q372" s="94"/>
      <c r="R372" s="94"/>
      <c r="S372" s="95"/>
      <c r="T372" s="34"/>
      <c r="U372" s="34"/>
      <c r="V372" s="34"/>
      <c r="W372" s="34"/>
      <c r="X372" s="34"/>
      <c r="Y372" s="34"/>
      <c r="Z372" s="34"/>
      <c r="AA372" s="34"/>
      <c r="AB372" s="34"/>
      <c r="AC372" s="34"/>
      <c r="AD372" s="34"/>
    </row>
    <row r="373" ht="15.75" customHeight="1">
      <c r="A373" s="94"/>
      <c r="B373" s="94"/>
      <c r="C373" s="94"/>
      <c r="D373" s="94"/>
      <c r="E373" s="94"/>
      <c r="F373" s="94"/>
      <c r="G373" s="94"/>
      <c r="H373" s="94"/>
      <c r="I373" s="94"/>
      <c r="J373" s="94"/>
      <c r="K373" s="94"/>
      <c r="L373" s="94"/>
      <c r="M373" s="94"/>
      <c r="N373" s="94"/>
      <c r="O373" s="94"/>
      <c r="P373" s="94"/>
      <c r="Q373" s="94"/>
      <c r="R373" s="94"/>
      <c r="S373" s="95"/>
      <c r="T373" s="34"/>
      <c r="U373" s="34"/>
      <c r="V373" s="34"/>
      <c r="W373" s="34"/>
      <c r="X373" s="34"/>
      <c r="Y373" s="34"/>
      <c r="Z373" s="34"/>
      <c r="AA373" s="34"/>
      <c r="AB373" s="34"/>
      <c r="AC373" s="34"/>
      <c r="AD373" s="34"/>
    </row>
    <row r="374" ht="15.75" customHeight="1">
      <c r="A374" s="94"/>
      <c r="B374" s="94"/>
      <c r="C374" s="94"/>
      <c r="D374" s="94"/>
      <c r="E374" s="94"/>
      <c r="F374" s="94"/>
      <c r="G374" s="94"/>
      <c r="H374" s="94"/>
      <c r="I374" s="94"/>
      <c r="J374" s="94"/>
      <c r="K374" s="94"/>
      <c r="L374" s="94"/>
      <c r="M374" s="94"/>
      <c r="N374" s="94"/>
      <c r="O374" s="94"/>
      <c r="P374" s="94"/>
      <c r="Q374" s="94"/>
      <c r="R374" s="94"/>
      <c r="S374" s="95"/>
      <c r="T374" s="34"/>
      <c r="U374" s="34"/>
      <c r="V374" s="34"/>
      <c r="W374" s="34"/>
      <c r="X374" s="34"/>
      <c r="Y374" s="34"/>
      <c r="Z374" s="34"/>
      <c r="AA374" s="34"/>
      <c r="AB374" s="34"/>
      <c r="AC374" s="34"/>
      <c r="AD374" s="34"/>
    </row>
    <row r="375" ht="15.75" customHeight="1">
      <c r="A375" s="94"/>
      <c r="B375" s="94"/>
      <c r="C375" s="94"/>
      <c r="D375" s="94"/>
      <c r="E375" s="94"/>
      <c r="F375" s="94"/>
      <c r="G375" s="94"/>
      <c r="H375" s="94"/>
      <c r="I375" s="94"/>
      <c r="J375" s="94"/>
      <c r="K375" s="94"/>
      <c r="L375" s="94"/>
      <c r="M375" s="94"/>
      <c r="N375" s="94"/>
      <c r="O375" s="94"/>
      <c r="P375" s="94"/>
      <c r="Q375" s="94"/>
      <c r="R375" s="94"/>
      <c r="S375" s="95"/>
      <c r="T375" s="34"/>
      <c r="U375" s="34"/>
      <c r="V375" s="34"/>
      <c r="W375" s="34"/>
      <c r="X375" s="34"/>
      <c r="Y375" s="34"/>
      <c r="Z375" s="34"/>
      <c r="AA375" s="34"/>
      <c r="AB375" s="34"/>
      <c r="AC375" s="34"/>
      <c r="AD375" s="34"/>
    </row>
    <row r="376" ht="15.75" customHeight="1">
      <c r="A376" s="94"/>
      <c r="B376" s="94"/>
      <c r="C376" s="94"/>
      <c r="D376" s="94"/>
      <c r="E376" s="94"/>
      <c r="F376" s="94"/>
      <c r="G376" s="94"/>
      <c r="H376" s="94"/>
      <c r="I376" s="94"/>
      <c r="J376" s="94"/>
      <c r="K376" s="94"/>
      <c r="L376" s="94"/>
      <c r="M376" s="94"/>
      <c r="N376" s="94"/>
      <c r="O376" s="94"/>
      <c r="P376" s="94"/>
      <c r="Q376" s="94"/>
      <c r="R376" s="94"/>
      <c r="S376" s="95"/>
      <c r="T376" s="34"/>
      <c r="U376" s="34"/>
      <c r="V376" s="34"/>
      <c r="W376" s="34"/>
      <c r="X376" s="34"/>
      <c r="Y376" s="34"/>
      <c r="Z376" s="34"/>
      <c r="AA376" s="34"/>
      <c r="AB376" s="34"/>
      <c r="AC376" s="34"/>
      <c r="AD376" s="34"/>
    </row>
    <row r="377" ht="15.75" customHeight="1">
      <c r="A377" s="94"/>
      <c r="B377" s="94"/>
      <c r="C377" s="94"/>
      <c r="D377" s="94"/>
      <c r="E377" s="94"/>
      <c r="F377" s="94"/>
      <c r="G377" s="94"/>
      <c r="H377" s="94"/>
      <c r="I377" s="94"/>
      <c r="J377" s="94"/>
      <c r="K377" s="94"/>
      <c r="L377" s="94"/>
      <c r="M377" s="94"/>
      <c r="N377" s="94"/>
      <c r="O377" s="94"/>
      <c r="P377" s="94"/>
      <c r="Q377" s="94"/>
      <c r="R377" s="94"/>
      <c r="S377" s="95"/>
      <c r="T377" s="34"/>
      <c r="U377" s="34"/>
      <c r="V377" s="34"/>
      <c r="W377" s="34"/>
      <c r="X377" s="34"/>
      <c r="Y377" s="34"/>
      <c r="Z377" s="34"/>
      <c r="AA377" s="34"/>
      <c r="AB377" s="34"/>
      <c r="AC377" s="34"/>
      <c r="AD377" s="34"/>
    </row>
    <row r="378" ht="15.75" customHeight="1">
      <c r="A378" s="94"/>
      <c r="B378" s="94"/>
      <c r="C378" s="94"/>
      <c r="D378" s="94"/>
      <c r="E378" s="94"/>
      <c r="F378" s="94"/>
      <c r="G378" s="94"/>
      <c r="H378" s="94"/>
      <c r="I378" s="94"/>
      <c r="J378" s="94"/>
      <c r="K378" s="94"/>
      <c r="L378" s="94"/>
      <c r="M378" s="94"/>
      <c r="N378" s="94"/>
      <c r="O378" s="94"/>
      <c r="P378" s="94"/>
      <c r="Q378" s="94"/>
      <c r="R378" s="94"/>
      <c r="S378" s="95"/>
      <c r="T378" s="34"/>
      <c r="U378" s="34"/>
      <c r="V378" s="34"/>
      <c r="W378" s="34"/>
      <c r="X378" s="34"/>
      <c r="Y378" s="34"/>
      <c r="Z378" s="34"/>
      <c r="AA378" s="34"/>
      <c r="AB378" s="34"/>
      <c r="AC378" s="34"/>
      <c r="AD378" s="34"/>
    </row>
    <row r="379" ht="15.75" customHeight="1">
      <c r="A379" s="94"/>
      <c r="B379" s="94"/>
      <c r="C379" s="94"/>
      <c r="D379" s="94"/>
      <c r="E379" s="94"/>
      <c r="F379" s="94"/>
      <c r="G379" s="94"/>
      <c r="H379" s="94"/>
      <c r="I379" s="94"/>
      <c r="J379" s="94"/>
      <c r="K379" s="94"/>
      <c r="L379" s="94"/>
      <c r="M379" s="94"/>
      <c r="N379" s="94"/>
      <c r="O379" s="94"/>
      <c r="P379" s="94"/>
      <c r="Q379" s="94"/>
      <c r="R379" s="94"/>
      <c r="S379" s="95"/>
      <c r="T379" s="34"/>
      <c r="U379" s="34"/>
      <c r="V379" s="34"/>
      <c r="W379" s="34"/>
      <c r="X379" s="34"/>
      <c r="Y379" s="34"/>
      <c r="Z379" s="34"/>
      <c r="AA379" s="34"/>
      <c r="AB379" s="34"/>
      <c r="AC379" s="34"/>
      <c r="AD379" s="34"/>
    </row>
    <row r="380" ht="15.75" customHeight="1">
      <c r="A380" s="94"/>
      <c r="B380" s="94"/>
      <c r="C380" s="94"/>
      <c r="D380" s="94"/>
      <c r="E380" s="94"/>
      <c r="F380" s="94"/>
      <c r="G380" s="94"/>
      <c r="H380" s="94"/>
      <c r="I380" s="94"/>
      <c r="J380" s="94"/>
      <c r="K380" s="94"/>
      <c r="L380" s="94"/>
      <c r="M380" s="94"/>
      <c r="N380" s="94"/>
      <c r="O380" s="94"/>
      <c r="P380" s="94"/>
      <c r="Q380" s="94"/>
      <c r="R380" s="94"/>
      <c r="S380" s="95"/>
      <c r="T380" s="34"/>
      <c r="U380" s="34"/>
      <c r="V380" s="34"/>
      <c r="W380" s="34"/>
      <c r="X380" s="34"/>
      <c r="Y380" s="34"/>
      <c r="Z380" s="34"/>
      <c r="AA380" s="34"/>
      <c r="AB380" s="34"/>
      <c r="AC380" s="34"/>
      <c r="AD380" s="34"/>
    </row>
    <row r="381" ht="15.75" customHeight="1">
      <c r="A381" s="94"/>
      <c r="B381" s="94"/>
      <c r="C381" s="94"/>
      <c r="D381" s="94"/>
      <c r="E381" s="94"/>
      <c r="F381" s="94"/>
      <c r="G381" s="94"/>
      <c r="H381" s="94"/>
      <c r="I381" s="94"/>
      <c r="J381" s="94"/>
      <c r="K381" s="94"/>
      <c r="L381" s="94"/>
      <c r="M381" s="94"/>
      <c r="N381" s="94"/>
      <c r="O381" s="94"/>
      <c r="P381" s="94"/>
      <c r="Q381" s="94"/>
      <c r="R381" s="94"/>
      <c r="S381" s="95"/>
      <c r="T381" s="34"/>
      <c r="U381" s="34"/>
      <c r="V381" s="34"/>
      <c r="W381" s="34"/>
      <c r="X381" s="34"/>
      <c r="Y381" s="34"/>
      <c r="Z381" s="34"/>
      <c r="AA381" s="34"/>
      <c r="AB381" s="34"/>
      <c r="AC381" s="34"/>
      <c r="AD381" s="34"/>
    </row>
    <row r="382" ht="15.75" customHeight="1">
      <c r="A382" s="94"/>
      <c r="B382" s="94"/>
      <c r="C382" s="94"/>
      <c r="D382" s="94"/>
      <c r="E382" s="94"/>
      <c r="F382" s="94"/>
      <c r="G382" s="94"/>
      <c r="H382" s="94"/>
      <c r="I382" s="94"/>
      <c r="J382" s="94"/>
      <c r="K382" s="94"/>
      <c r="L382" s="94"/>
      <c r="M382" s="94"/>
      <c r="N382" s="94"/>
      <c r="O382" s="94"/>
      <c r="P382" s="94"/>
      <c r="Q382" s="94"/>
      <c r="R382" s="94"/>
      <c r="S382" s="95"/>
      <c r="T382" s="34"/>
      <c r="U382" s="34"/>
      <c r="V382" s="34"/>
      <c r="W382" s="34"/>
      <c r="X382" s="34"/>
      <c r="Y382" s="34"/>
      <c r="Z382" s="34"/>
      <c r="AA382" s="34"/>
      <c r="AB382" s="34"/>
      <c r="AC382" s="34"/>
      <c r="AD382" s="34"/>
    </row>
    <row r="383" ht="15.75" customHeight="1">
      <c r="A383" s="94"/>
      <c r="B383" s="94"/>
      <c r="C383" s="94"/>
      <c r="D383" s="94"/>
      <c r="E383" s="94"/>
      <c r="F383" s="94"/>
      <c r="G383" s="94"/>
      <c r="H383" s="94"/>
      <c r="I383" s="94"/>
      <c r="J383" s="94"/>
      <c r="K383" s="94"/>
      <c r="L383" s="94"/>
      <c r="M383" s="94"/>
      <c r="N383" s="94"/>
      <c r="O383" s="94"/>
      <c r="P383" s="94"/>
      <c r="Q383" s="94"/>
      <c r="R383" s="94"/>
      <c r="S383" s="95"/>
      <c r="T383" s="34"/>
      <c r="U383" s="34"/>
      <c r="V383" s="34"/>
      <c r="W383" s="34"/>
      <c r="X383" s="34"/>
      <c r="Y383" s="34"/>
      <c r="Z383" s="34"/>
      <c r="AA383" s="34"/>
      <c r="AB383" s="34"/>
      <c r="AC383" s="34"/>
      <c r="AD383" s="34"/>
    </row>
    <row r="384" ht="15.75" customHeight="1">
      <c r="A384" s="94"/>
      <c r="B384" s="94"/>
      <c r="C384" s="94"/>
      <c r="D384" s="94"/>
      <c r="E384" s="94"/>
      <c r="F384" s="94"/>
      <c r="G384" s="94"/>
      <c r="H384" s="94"/>
      <c r="I384" s="94"/>
      <c r="J384" s="94"/>
      <c r="K384" s="94"/>
      <c r="L384" s="94"/>
      <c r="M384" s="94"/>
      <c r="N384" s="94"/>
      <c r="O384" s="94"/>
      <c r="P384" s="94"/>
      <c r="Q384" s="94"/>
      <c r="R384" s="94"/>
      <c r="S384" s="95"/>
      <c r="T384" s="34"/>
      <c r="U384" s="34"/>
      <c r="V384" s="34"/>
      <c r="W384" s="34"/>
      <c r="X384" s="34"/>
      <c r="Y384" s="34"/>
      <c r="Z384" s="34"/>
      <c r="AA384" s="34"/>
      <c r="AB384" s="34"/>
      <c r="AC384" s="34"/>
      <c r="AD384" s="34"/>
    </row>
    <row r="385" ht="15.75" customHeight="1">
      <c r="A385" s="94"/>
      <c r="B385" s="94"/>
      <c r="C385" s="94"/>
      <c r="D385" s="94"/>
      <c r="E385" s="94"/>
      <c r="F385" s="94"/>
      <c r="G385" s="94"/>
      <c r="H385" s="94"/>
      <c r="I385" s="94"/>
      <c r="J385" s="94"/>
      <c r="K385" s="94"/>
      <c r="L385" s="94"/>
      <c r="M385" s="94"/>
      <c r="N385" s="94"/>
      <c r="O385" s="94"/>
      <c r="P385" s="94"/>
      <c r="Q385" s="94"/>
      <c r="R385" s="94"/>
      <c r="S385" s="95"/>
      <c r="T385" s="34"/>
      <c r="U385" s="34"/>
      <c r="V385" s="34"/>
      <c r="W385" s="34"/>
      <c r="X385" s="34"/>
      <c r="Y385" s="34"/>
      <c r="Z385" s="34"/>
      <c r="AA385" s="34"/>
      <c r="AB385" s="34"/>
      <c r="AC385" s="34"/>
      <c r="AD385" s="34"/>
    </row>
    <row r="386" ht="15.75" customHeight="1">
      <c r="A386" s="94"/>
      <c r="B386" s="94"/>
      <c r="C386" s="94"/>
      <c r="D386" s="94"/>
      <c r="E386" s="94"/>
      <c r="F386" s="94"/>
      <c r="G386" s="94"/>
      <c r="H386" s="94"/>
      <c r="I386" s="94"/>
      <c r="J386" s="94"/>
      <c r="K386" s="94"/>
      <c r="L386" s="94"/>
      <c r="M386" s="94"/>
      <c r="N386" s="94"/>
      <c r="O386" s="94"/>
      <c r="P386" s="94"/>
      <c r="Q386" s="94"/>
      <c r="R386" s="94"/>
      <c r="S386" s="95"/>
      <c r="T386" s="34"/>
      <c r="U386" s="34"/>
      <c r="V386" s="34"/>
      <c r="W386" s="34"/>
      <c r="X386" s="34"/>
      <c r="Y386" s="34"/>
      <c r="Z386" s="34"/>
      <c r="AA386" s="34"/>
      <c r="AB386" s="34"/>
      <c r="AC386" s="34"/>
      <c r="AD386" s="34"/>
    </row>
    <row r="387" ht="15.75" customHeight="1">
      <c r="A387" s="94"/>
      <c r="B387" s="94"/>
      <c r="C387" s="94"/>
      <c r="D387" s="94"/>
      <c r="E387" s="94"/>
      <c r="F387" s="94"/>
      <c r="G387" s="94"/>
      <c r="H387" s="94"/>
      <c r="I387" s="94"/>
      <c r="J387" s="94"/>
      <c r="K387" s="94"/>
      <c r="L387" s="94"/>
      <c r="M387" s="94"/>
      <c r="N387" s="94"/>
      <c r="O387" s="94"/>
      <c r="P387" s="94"/>
      <c r="Q387" s="94"/>
      <c r="R387" s="94"/>
      <c r="S387" s="95"/>
      <c r="T387" s="34"/>
      <c r="U387" s="34"/>
      <c r="V387" s="34"/>
      <c r="W387" s="34"/>
      <c r="X387" s="34"/>
      <c r="Y387" s="34"/>
      <c r="Z387" s="34"/>
      <c r="AA387" s="34"/>
      <c r="AB387" s="34"/>
      <c r="AC387" s="34"/>
      <c r="AD387" s="34"/>
    </row>
    <row r="388" ht="15.75" customHeight="1">
      <c r="A388" s="94"/>
      <c r="B388" s="94"/>
      <c r="C388" s="94"/>
      <c r="D388" s="94"/>
      <c r="E388" s="94"/>
      <c r="F388" s="94"/>
      <c r="G388" s="94"/>
      <c r="H388" s="94"/>
      <c r="I388" s="94"/>
      <c r="J388" s="94"/>
      <c r="K388" s="94"/>
      <c r="L388" s="94"/>
      <c r="M388" s="94"/>
      <c r="N388" s="94"/>
      <c r="O388" s="94"/>
      <c r="P388" s="94"/>
      <c r="Q388" s="94"/>
      <c r="R388" s="94"/>
      <c r="S388" s="95"/>
      <c r="T388" s="34"/>
      <c r="U388" s="34"/>
      <c r="V388" s="34"/>
      <c r="W388" s="34"/>
      <c r="X388" s="34"/>
      <c r="Y388" s="34"/>
      <c r="Z388" s="34"/>
      <c r="AA388" s="34"/>
      <c r="AB388" s="34"/>
      <c r="AC388" s="34"/>
      <c r="AD388" s="34"/>
    </row>
    <row r="389" ht="15.75" customHeight="1">
      <c r="A389" s="94"/>
      <c r="B389" s="94"/>
      <c r="C389" s="94"/>
      <c r="D389" s="94"/>
      <c r="E389" s="94"/>
      <c r="F389" s="94"/>
      <c r="G389" s="94"/>
      <c r="H389" s="94"/>
      <c r="I389" s="94"/>
      <c r="J389" s="94"/>
      <c r="K389" s="94"/>
      <c r="L389" s="94"/>
      <c r="M389" s="94"/>
      <c r="N389" s="94"/>
      <c r="O389" s="94"/>
      <c r="P389" s="94"/>
      <c r="Q389" s="94"/>
      <c r="R389" s="94"/>
      <c r="S389" s="95"/>
      <c r="T389" s="34"/>
      <c r="U389" s="34"/>
      <c r="V389" s="34"/>
      <c r="W389" s="34"/>
      <c r="X389" s="34"/>
      <c r="Y389" s="34"/>
      <c r="Z389" s="34"/>
      <c r="AA389" s="34"/>
      <c r="AB389" s="34"/>
      <c r="AC389" s="34"/>
      <c r="AD389" s="34"/>
    </row>
    <row r="390" ht="15.75" customHeight="1">
      <c r="A390" s="94"/>
      <c r="B390" s="94"/>
      <c r="C390" s="94"/>
      <c r="D390" s="94"/>
      <c r="E390" s="94"/>
      <c r="F390" s="94"/>
      <c r="G390" s="94"/>
      <c r="H390" s="94"/>
      <c r="I390" s="94"/>
      <c r="J390" s="94"/>
      <c r="K390" s="94"/>
      <c r="L390" s="94"/>
      <c r="M390" s="94"/>
      <c r="N390" s="94"/>
      <c r="O390" s="94"/>
      <c r="P390" s="94"/>
      <c r="Q390" s="94"/>
      <c r="R390" s="94"/>
      <c r="S390" s="95"/>
      <c r="T390" s="34"/>
      <c r="U390" s="34"/>
      <c r="V390" s="34"/>
      <c r="W390" s="34"/>
      <c r="X390" s="34"/>
      <c r="Y390" s="34"/>
      <c r="Z390" s="34"/>
      <c r="AA390" s="34"/>
      <c r="AB390" s="34"/>
      <c r="AC390" s="34"/>
      <c r="AD390" s="34"/>
    </row>
    <row r="391" ht="15.75" customHeight="1">
      <c r="A391" s="94"/>
      <c r="B391" s="94"/>
      <c r="C391" s="94"/>
      <c r="D391" s="94"/>
      <c r="E391" s="94"/>
      <c r="F391" s="94"/>
      <c r="G391" s="94"/>
      <c r="H391" s="94"/>
      <c r="I391" s="94"/>
      <c r="J391" s="94"/>
      <c r="K391" s="94"/>
      <c r="L391" s="94"/>
      <c r="M391" s="94"/>
      <c r="N391" s="94"/>
      <c r="O391" s="94"/>
      <c r="P391" s="94"/>
      <c r="Q391" s="94"/>
      <c r="R391" s="94"/>
      <c r="S391" s="95"/>
      <c r="T391" s="34"/>
      <c r="U391" s="34"/>
      <c r="V391" s="34"/>
      <c r="W391" s="34"/>
      <c r="X391" s="34"/>
      <c r="Y391" s="34"/>
      <c r="Z391" s="34"/>
      <c r="AA391" s="34"/>
      <c r="AB391" s="34"/>
      <c r="AC391" s="34"/>
      <c r="AD391" s="34"/>
    </row>
    <row r="392" ht="15.75" customHeight="1">
      <c r="A392" s="94"/>
      <c r="B392" s="94"/>
      <c r="C392" s="94"/>
      <c r="D392" s="94"/>
      <c r="E392" s="94"/>
      <c r="F392" s="94"/>
      <c r="G392" s="94"/>
      <c r="H392" s="94"/>
      <c r="I392" s="94"/>
      <c r="J392" s="94"/>
      <c r="K392" s="94"/>
      <c r="L392" s="94"/>
      <c r="M392" s="94"/>
      <c r="N392" s="94"/>
      <c r="O392" s="94"/>
      <c r="P392" s="94"/>
      <c r="Q392" s="94"/>
      <c r="R392" s="94"/>
      <c r="S392" s="95"/>
      <c r="T392" s="34"/>
      <c r="U392" s="34"/>
      <c r="V392" s="34"/>
      <c r="W392" s="34"/>
      <c r="X392" s="34"/>
      <c r="Y392" s="34"/>
      <c r="Z392" s="34"/>
      <c r="AA392" s="34"/>
      <c r="AB392" s="34"/>
      <c r="AC392" s="34"/>
      <c r="AD392" s="34"/>
    </row>
    <row r="393" ht="15.75" customHeight="1">
      <c r="A393" s="94"/>
      <c r="B393" s="94"/>
      <c r="C393" s="94"/>
      <c r="D393" s="94"/>
      <c r="E393" s="94"/>
      <c r="F393" s="94"/>
      <c r="G393" s="94"/>
      <c r="H393" s="94"/>
      <c r="I393" s="94"/>
      <c r="J393" s="94"/>
      <c r="K393" s="94"/>
      <c r="L393" s="94"/>
      <c r="M393" s="94"/>
      <c r="N393" s="94"/>
      <c r="O393" s="94"/>
      <c r="P393" s="94"/>
      <c r="Q393" s="94"/>
      <c r="R393" s="94"/>
      <c r="S393" s="95"/>
      <c r="T393" s="34"/>
      <c r="U393" s="34"/>
      <c r="V393" s="34"/>
      <c r="W393" s="34"/>
      <c r="X393" s="34"/>
      <c r="Y393" s="34"/>
      <c r="Z393" s="34"/>
      <c r="AA393" s="34"/>
      <c r="AB393" s="34"/>
      <c r="AC393" s="34"/>
      <c r="AD393" s="34"/>
    </row>
    <row r="394" ht="15.75" customHeight="1">
      <c r="A394" s="94"/>
      <c r="B394" s="94"/>
      <c r="C394" s="94"/>
      <c r="D394" s="94"/>
      <c r="E394" s="94"/>
      <c r="F394" s="94"/>
      <c r="G394" s="94"/>
      <c r="H394" s="94"/>
      <c r="I394" s="94"/>
      <c r="J394" s="94"/>
      <c r="K394" s="94"/>
      <c r="L394" s="94"/>
      <c r="M394" s="94"/>
      <c r="N394" s="94"/>
      <c r="O394" s="94"/>
      <c r="P394" s="94"/>
      <c r="Q394" s="94"/>
      <c r="R394" s="94"/>
      <c r="S394" s="95"/>
      <c r="T394" s="34"/>
      <c r="U394" s="34"/>
      <c r="V394" s="34"/>
      <c r="W394" s="34"/>
      <c r="X394" s="34"/>
      <c r="Y394" s="34"/>
      <c r="Z394" s="34"/>
      <c r="AA394" s="34"/>
      <c r="AB394" s="34"/>
      <c r="AC394" s="34"/>
      <c r="AD394" s="34"/>
    </row>
    <row r="395" ht="15.75" customHeight="1">
      <c r="A395" s="94"/>
      <c r="B395" s="94"/>
      <c r="C395" s="94"/>
      <c r="D395" s="94"/>
      <c r="E395" s="94"/>
      <c r="F395" s="94"/>
      <c r="G395" s="94"/>
      <c r="H395" s="94"/>
      <c r="I395" s="94"/>
      <c r="J395" s="94"/>
      <c r="K395" s="94"/>
      <c r="L395" s="94"/>
      <c r="M395" s="94"/>
      <c r="N395" s="94"/>
      <c r="O395" s="94"/>
      <c r="P395" s="94"/>
      <c r="Q395" s="94"/>
      <c r="R395" s="94"/>
      <c r="S395" s="95"/>
      <c r="T395" s="34"/>
      <c r="U395" s="34"/>
      <c r="V395" s="34"/>
      <c r="W395" s="34"/>
      <c r="X395" s="34"/>
      <c r="Y395" s="34"/>
      <c r="Z395" s="34"/>
      <c r="AA395" s="34"/>
      <c r="AB395" s="34"/>
      <c r="AC395" s="34"/>
      <c r="AD395" s="34"/>
    </row>
    <row r="396" ht="15.75" customHeight="1">
      <c r="A396" s="94"/>
      <c r="B396" s="94"/>
      <c r="C396" s="94"/>
      <c r="D396" s="94"/>
      <c r="E396" s="94"/>
      <c r="F396" s="94"/>
      <c r="G396" s="94"/>
      <c r="H396" s="94"/>
      <c r="I396" s="94"/>
      <c r="J396" s="94"/>
      <c r="K396" s="94"/>
      <c r="L396" s="94"/>
      <c r="M396" s="94"/>
      <c r="N396" s="94"/>
      <c r="O396" s="94"/>
      <c r="P396" s="94"/>
      <c r="Q396" s="94"/>
      <c r="R396" s="94"/>
      <c r="S396" s="95"/>
      <c r="T396" s="34"/>
      <c r="U396" s="34"/>
      <c r="V396" s="34"/>
      <c r="W396" s="34"/>
      <c r="X396" s="34"/>
      <c r="Y396" s="34"/>
      <c r="Z396" s="34"/>
      <c r="AA396" s="34"/>
      <c r="AB396" s="34"/>
      <c r="AC396" s="34"/>
      <c r="AD396" s="34"/>
    </row>
    <row r="397" ht="15.75" customHeight="1">
      <c r="A397" s="94"/>
      <c r="B397" s="94"/>
      <c r="C397" s="94"/>
      <c r="D397" s="94"/>
      <c r="E397" s="94"/>
      <c r="F397" s="94"/>
      <c r="G397" s="94"/>
      <c r="H397" s="94"/>
      <c r="I397" s="94"/>
      <c r="J397" s="94"/>
      <c r="K397" s="94"/>
      <c r="L397" s="94"/>
      <c r="M397" s="94"/>
      <c r="N397" s="94"/>
      <c r="O397" s="94"/>
      <c r="P397" s="94"/>
      <c r="Q397" s="94"/>
      <c r="R397" s="94"/>
      <c r="S397" s="95"/>
      <c r="T397" s="34"/>
      <c r="U397" s="34"/>
      <c r="V397" s="34"/>
      <c r="W397" s="34"/>
      <c r="X397" s="34"/>
      <c r="Y397" s="34"/>
      <c r="Z397" s="34"/>
      <c r="AA397" s="34"/>
      <c r="AB397" s="34"/>
      <c r="AC397" s="34"/>
      <c r="AD397" s="34"/>
    </row>
    <row r="398" ht="15.75" customHeight="1">
      <c r="A398" s="94"/>
      <c r="B398" s="94"/>
      <c r="C398" s="94"/>
      <c r="D398" s="94"/>
      <c r="E398" s="94"/>
      <c r="F398" s="94"/>
      <c r="G398" s="94"/>
      <c r="H398" s="94"/>
      <c r="I398" s="94"/>
      <c r="J398" s="94"/>
      <c r="K398" s="94"/>
      <c r="L398" s="94"/>
      <c r="M398" s="94"/>
      <c r="N398" s="94"/>
      <c r="O398" s="94"/>
      <c r="P398" s="94"/>
      <c r="Q398" s="94"/>
      <c r="R398" s="94"/>
      <c r="S398" s="95"/>
      <c r="T398" s="34"/>
      <c r="U398" s="34"/>
      <c r="V398" s="34"/>
      <c r="W398" s="34"/>
      <c r="X398" s="34"/>
      <c r="Y398" s="34"/>
      <c r="Z398" s="34"/>
      <c r="AA398" s="34"/>
      <c r="AB398" s="34"/>
      <c r="AC398" s="34"/>
      <c r="AD398" s="34"/>
    </row>
    <row r="399" ht="15.75" customHeight="1">
      <c r="A399" s="94"/>
      <c r="B399" s="94"/>
      <c r="C399" s="94"/>
      <c r="D399" s="94"/>
      <c r="E399" s="94"/>
      <c r="F399" s="94"/>
      <c r="G399" s="94"/>
      <c r="H399" s="94"/>
      <c r="I399" s="94"/>
      <c r="J399" s="94"/>
      <c r="K399" s="94"/>
      <c r="L399" s="94"/>
      <c r="M399" s="94"/>
      <c r="N399" s="94"/>
      <c r="O399" s="94"/>
      <c r="P399" s="94"/>
      <c r="Q399" s="94"/>
      <c r="R399" s="94"/>
      <c r="S399" s="95"/>
      <c r="T399" s="34"/>
      <c r="U399" s="34"/>
      <c r="V399" s="34"/>
      <c r="W399" s="34"/>
      <c r="X399" s="34"/>
      <c r="Y399" s="34"/>
      <c r="Z399" s="34"/>
      <c r="AA399" s="34"/>
      <c r="AB399" s="34"/>
      <c r="AC399" s="34"/>
      <c r="AD399" s="34"/>
    </row>
    <row r="400" ht="15.75" customHeight="1">
      <c r="A400" s="94"/>
      <c r="B400" s="94"/>
      <c r="C400" s="94"/>
      <c r="D400" s="94"/>
      <c r="E400" s="94"/>
      <c r="F400" s="94"/>
      <c r="G400" s="94"/>
      <c r="H400" s="94"/>
      <c r="I400" s="94"/>
      <c r="J400" s="94"/>
      <c r="K400" s="94"/>
      <c r="L400" s="94"/>
      <c r="M400" s="94"/>
      <c r="N400" s="94"/>
      <c r="O400" s="94"/>
      <c r="P400" s="94"/>
      <c r="Q400" s="94"/>
      <c r="R400" s="94"/>
      <c r="S400" s="95"/>
      <c r="T400" s="34"/>
      <c r="U400" s="34"/>
      <c r="V400" s="34"/>
      <c r="W400" s="34"/>
      <c r="X400" s="34"/>
      <c r="Y400" s="34"/>
      <c r="Z400" s="34"/>
      <c r="AA400" s="34"/>
      <c r="AB400" s="34"/>
      <c r="AC400" s="34"/>
      <c r="AD400" s="34"/>
    </row>
    <row r="401" ht="15.75" customHeight="1">
      <c r="A401" s="94"/>
      <c r="B401" s="94"/>
      <c r="C401" s="94"/>
      <c r="D401" s="94"/>
      <c r="E401" s="94"/>
      <c r="F401" s="94"/>
      <c r="G401" s="94"/>
      <c r="H401" s="94"/>
      <c r="I401" s="94"/>
      <c r="J401" s="94"/>
      <c r="K401" s="94"/>
      <c r="L401" s="94"/>
      <c r="M401" s="94"/>
      <c r="N401" s="94"/>
      <c r="O401" s="94"/>
      <c r="P401" s="94"/>
      <c r="Q401" s="94"/>
      <c r="R401" s="94"/>
      <c r="S401" s="95"/>
      <c r="T401" s="34"/>
      <c r="U401" s="34"/>
      <c r="V401" s="34"/>
      <c r="W401" s="34"/>
      <c r="X401" s="34"/>
      <c r="Y401" s="34"/>
      <c r="Z401" s="34"/>
      <c r="AA401" s="34"/>
      <c r="AB401" s="34"/>
      <c r="AC401" s="34"/>
      <c r="AD401" s="34"/>
    </row>
    <row r="402" ht="15.75" customHeight="1">
      <c r="A402" s="94"/>
      <c r="B402" s="94"/>
      <c r="C402" s="94"/>
      <c r="D402" s="94"/>
      <c r="E402" s="94"/>
      <c r="F402" s="94"/>
      <c r="G402" s="94"/>
      <c r="H402" s="94"/>
      <c r="I402" s="94"/>
      <c r="J402" s="94"/>
      <c r="K402" s="94"/>
      <c r="L402" s="94"/>
      <c r="M402" s="94"/>
      <c r="N402" s="94"/>
      <c r="O402" s="94"/>
      <c r="P402" s="94"/>
      <c r="Q402" s="94"/>
      <c r="R402" s="94"/>
      <c r="S402" s="95"/>
      <c r="T402" s="34"/>
      <c r="U402" s="34"/>
      <c r="V402" s="34"/>
      <c r="W402" s="34"/>
      <c r="X402" s="34"/>
      <c r="Y402" s="34"/>
      <c r="Z402" s="34"/>
      <c r="AA402" s="34"/>
      <c r="AB402" s="34"/>
      <c r="AC402" s="34"/>
      <c r="AD402" s="34"/>
    </row>
    <row r="403" ht="15.75" customHeight="1">
      <c r="A403" s="94"/>
      <c r="B403" s="94"/>
      <c r="C403" s="94"/>
      <c r="D403" s="94"/>
      <c r="E403" s="94"/>
      <c r="F403" s="94"/>
      <c r="G403" s="94"/>
      <c r="H403" s="94"/>
      <c r="I403" s="94"/>
      <c r="J403" s="94"/>
      <c r="K403" s="94"/>
      <c r="L403" s="94"/>
      <c r="M403" s="94"/>
      <c r="N403" s="94"/>
      <c r="O403" s="94"/>
      <c r="P403" s="94"/>
      <c r="Q403" s="94"/>
      <c r="R403" s="94"/>
      <c r="S403" s="95"/>
      <c r="T403" s="34"/>
      <c r="U403" s="34"/>
      <c r="V403" s="34"/>
      <c r="W403" s="34"/>
      <c r="X403" s="34"/>
      <c r="Y403" s="34"/>
      <c r="Z403" s="34"/>
      <c r="AA403" s="34"/>
      <c r="AB403" s="34"/>
      <c r="AC403" s="34"/>
      <c r="AD403" s="34"/>
    </row>
    <row r="404" ht="15.75" customHeight="1">
      <c r="A404" s="94"/>
      <c r="B404" s="94"/>
      <c r="C404" s="94"/>
      <c r="D404" s="94"/>
      <c r="E404" s="94"/>
      <c r="F404" s="94"/>
      <c r="G404" s="94"/>
      <c r="H404" s="94"/>
      <c r="I404" s="94"/>
      <c r="J404" s="94"/>
      <c r="K404" s="94"/>
      <c r="L404" s="94"/>
      <c r="M404" s="94"/>
      <c r="N404" s="94"/>
      <c r="O404" s="94"/>
      <c r="P404" s="94"/>
      <c r="Q404" s="94"/>
      <c r="R404" s="94"/>
      <c r="S404" s="95"/>
      <c r="T404" s="34"/>
      <c r="U404" s="34"/>
      <c r="V404" s="34"/>
      <c r="W404" s="34"/>
      <c r="X404" s="34"/>
      <c r="Y404" s="34"/>
      <c r="Z404" s="34"/>
      <c r="AA404" s="34"/>
      <c r="AB404" s="34"/>
      <c r="AC404" s="34"/>
      <c r="AD404" s="34"/>
    </row>
    <row r="405" ht="15.75" customHeight="1">
      <c r="A405" s="94"/>
      <c r="B405" s="94"/>
      <c r="C405" s="94"/>
      <c r="D405" s="94"/>
      <c r="E405" s="94"/>
      <c r="F405" s="94"/>
      <c r="G405" s="94"/>
      <c r="H405" s="94"/>
      <c r="I405" s="94"/>
      <c r="J405" s="94"/>
      <c r="K405" s="94"/>
      <c r="L405" s="94"/>
      <c r="M405" s="94"/>
      <c r="N405" s="94"/>
      <c r="O405" s="94"/>
      <c r="P405" s="94"/>
      <c r="Q405" s="94"/>
      <c r="R405" s="94"/>
      <c r="S405" s="95"/>
      <c r="T405" s="34"/>
      <c r="U405" s="34"/>
      <c r="V405" s="34"/>
      <c r="W405" s="34"/>
      <c r="X405" s="34"/>
      <c r="Y405" s="34"/>
      <c r="Z405" s="34"/>
      <c r="AA405" s="34"/>
      <c r="AB405" s="34"/>
      <c r="AC405" s="34"/>
      <c r="AD405" s="34"/>
    </row>
    <row r="406" ht="15.75" customHeight="1">
      <c r="A406" s="94"/>
      <c r="B406" s="94"/>
      <c r="C406" s="94"/>
      <c r="D406" s="94"/>
      <c r="E406" s="94"/>
      <c r="F406" s="94"/>
      <c r="G406" s="94"/>
      <c r="H406" s="94"/>
      <c r="I406" s="94"/>
      <c r="J406" s="94"/>
      <c r="K406" s="94"/>
      <c r="L406" s="94"/>
      <c r="M406" s="94"/>
      <c r="N406" s="94"/>
      <c r="O406" s="94"/>
      <c r="P406" s="94"/>
      <c r="Q406" s="94"/>
      <c r="R406" s="94"/>
      <c r="S406" s="95"/>
      <c r="T406" s="34"/>
      <c r="U406" s="34"/>
      <c r="V406" s="34"/>
      <c r="W406" s="34"/>
      <c r="X406" s="34"/>
      <c r="Y406" s="34"/>
      <c r="Z406" s="34"/>
      <c r="AA406" s="34"/>
      <c r="AB406" s="34"/>
      <c r="AC406" s="34"/>
      <c r="AD406" s="34"/>
    </row>
    <row r="407" ht="15.75" customHeight="1">
      <c r="A407" s="94"/>
      <c r="B407" s="94"/>
      <c r="C407" s="94"/>
      <c r="D407" s="94"/>
      <c r="E407" s="94"/>
      <c r="F407" s="94"/>
      <c r="G407" s="94"/>
      <c r="H407" s="94"/>
      <c r="I407" s="94"/>
      <c r="J407" s="94"/>
      <c r="K407" s="94"/>
      <c r="L407" s="94"/>
      <c r="M407" s="94"/>
      <c r="N407" s="94"/>
      <c r="O407" s="94"/>
      <c r="P407" s="94"/>
      <c r="Q407" s="94"/>
      <c r="R407" s="94"/>
      <c r="S407" s="95"/>
      <c r="T407" s="34"/>
      <c r="U407" s="34"/>
      <c r="V407" s="34"/>
      <c r="W407" s="34"/>
      <c r="X407" s="34"/>
      <c r="Y407" s="34"/>
      <c r="Z407" s="34"/>
      <c r="AA407" s="34"/>
      <c r="AB407" s="34"/>
      <c r="AC407" s="34"/>
      <c r="AD407" s="34"/>
    </row>
    <row r="408" ht="15.75" customHeight="1">
      <c r="A408" s="94"/>
      <c r="B408" s="94"/>
      <c r="C408" s="94"/>
      <c r="D408" s="94"/>
      <c r="E408" s="94"/>
      <c r="F408" s="94"/>
      <c r="G408" s="94"/>
      <c r="H408" s="94"/>
      <c r="I408" s="94"/>
      <c r="J408" s="94"/>
      <c r="K408" s="94"/>
      <c r="L408" s="94"/>
      <c r="M408" s="94"/>
      <c r="N408" s="94"/>
      <c r="O408" s="94"/>
      <c r="P408" s="94"/>
      <c r="Q408" s="94"/>
      <c r="R408" s="94"/>
      <c r="S408" s="95"/>
      <c r="T408" s="34"/>
      <c r="U408" s="34"/>
      <c r="V408" s="34"/>
      <c r="W408" s="34"/>
      <c r="X408" s="34"/>
      <c r="Y408" s="34"/>
      <c r="Z408" s="34"/>
      <c r="AA408" s="34"/>
      <c r="AB408" s="34"/>
      <c r="AC408" s="34"/>
      <c r="AD408" s="34"/>
    </row>
    <row r="409" ht="15.75" customHeight="1">
      <c r="A409" s="94"/>
      <c r="B409" s="94"/>
      <c r="C409" s="94"/>
      <c r="D409" s="94"/>
      <c r="E409" s="94"/>
      <c r="F409" s="94"/>
      <c r="G409" s="94"/>
      <c r="H409" s="94"/>
      <c r="I409" s="94"/>
      <c r="J409" s="94"/>
      <c r="K409" s="94"/>
      <c r="L409" s="94"/>
      <c r="M409" s="94"/>
      <c r="N409" s="94"/>
      <c r="O409" s="94"/>
      <c r="P409" s="94"/>
      <c r="Q409" s="94"/>
      <c r="R409" s="94"/>
      <c r="S409" s="95"/>
      <c r="T409" s="34"/>
      <c r="U409" s="34"/>
      <c r="V409" s="34"/>
      <c r="W409" s="34"/>
      <c r="X409" s="34"/>
      <c r="Y409" s="34"/>
      <c r="Z409" s="34"/>
      <c r="AA409" s="34"/>
      <c r="AB409" s="34"/>
      <c r="AC409" s="34"/>
      <c r="AD409" s="34"/>
    </row>
    <row r="410" ht="15.75" customHeight="1">
      <c r="A410" s="94"/>
      <c r="B410" s="94"/>
      <c r="C410" s="94"/>
      <c r="D410" s="94"/>
      <c r="E410" s="94"/>
      <c r="F410" s="94"/>
      <c r="G410" s="94"/>
      <c r="H410" s="94"/>
      <c r="I410" s="94"/>
      <c r="J410" s="94"/>
      <c r="K410" s="94"/>
      <c r="L410" s="94"/>
      <c r="M410" s="94"/>
      <c r="N410" s="94"/>
      <c r="O410" s="94"/>
      <c r="P410" s="94"/>
      <c r="Q410" s="94"/>
      <c r="R410" s="94"/>
      <c r="S410" s="95"/>
      <c r="T410" s="34"/>
      <c r="U410" s="34"/>
      <c r="V410" s="34"/>
      <c r="W410" s="34"/>
      <c r="X410" s="34"/>
      <c r="Y410" s="34"/>
      <c r="Z410" s="34"/>
      <c r="AA410" s="34"/>
      <c r="AB410" s="34"/>
      <c r="AC410" s="34"/>
      <c r="AD410" s="34"/>
    </row>
    <row r="411" ht="15.75" customHeight="1">
      <c r="A411" s="94"/>
      <c r="B411" s="94"/>
      <c r="C411" s="94"/>
      <c r="D411" s="94"/>
      <c r="E411" s="94"/>
      <c r="F411" s="94"/>
      <c r="G411" s="94"/>
      <c r="H411" s="94"/>
      <c r="I411" s="94"/>
      <c r="J411" s="94"/>
      <c r="K411" s="94"/>
      <c r="L411" s="94"/>
      <c r="M411" s="94"/>
      <c r="N411" s="94"/>
      <c r="O411" s="94"/>
      <c r="P411" s="94"/>
      <c r="Q411" s="94"/>
      <c r="R411" s="94"/>
      <c r="S411" s="95"/>
      <c r="T411" s="34"/>
      <c r="U411" s="34"/>
      <c r="V411" s="34"/>
      <c r="W411" s="34"/>
      <c r="X411" s="34"/>
      <c r="Y411" s="34"/>
      <c r="Z411" s="34"/>
      <c r="AA411" s="34"/>
      <c r="AB411" s="34"/>
      <c r="AC411" s="34"/>
      <c r="AD411" s="34"/>
    </row>
    <row r="412" ht="15.75" customHeight="1">
      <c r="A412" s="94"/>
      <c r="B412" s="94"/>
      <c r="C412" s="94"/>
      <c r="D412" s="94"/>
      <c r="E412" s="94"/>
      <c r="F412" s="94"/>
      <c r="G412" s="94"/>
      <c r="H412" s="94"/>
      <c r="I412" s="94"/>
      <c r="J412" s="94"/>
      <c r="K412" s="94"/>
      <c r="L412" s="94"/>
      <c r="M412" s="94"/>
      <c r="N412" s="94"/>
      <c r="O412" s="94"/>
      <c r="P412" s="94"/>
      <c r="Q412" s="94"/>
      <c r="R412" s="94"/>
      <c r="S412" s="95"/>
      <c r="T412" s="34"/>
      <c r="U412" s="34"/>
      <c r="V412" s="34"/>
      <c r="W412" s="34"/>
      <c r="X412" s="34"/>
      <c r="Y412" s="34"/>
      <c r="Z412" s="34"/>
      <c r="AA412" s="34"/>
      <c r="AB412" s="34"/>
      <c r="AC412" s="34"/>
      <c r="AD412" s="34"/>
    </row>
    <row r="413" ht="15.75" customHeight="1">
      <c r="A413" s="94"/>
      <c r="B413" s="94"/>
      <c r="C413" s="94"/>
      <c r="D413" s="94"/>
      <c r="E413" s="94"/>
      <c r="F413" s="94"/>
      <c r="G413" s="94"/>
      <c r="H413" s="94"/>
      <c r="I413" s="94"/>
      <c r="J413" s="94"/>
      <c r="K413" s="94"/>
      <c r="L413" s="94"/>
      <c r="M413" s="94"/>
      <c r="N413" s="94"/>
      <c r="O413" s="94"/>
      <c r="P413" s="94"/>
      <c r="Q413" s="94"/>
      <c r="R413" s="94"/>
      <c r="S413" s="95"/>
      <c r="T413" s="34"/>
      <c r="U413" s="34"/>
      <c r="V413" s="34"/>
      <c r="W413" s="34"/>
      <c r="X413" s="34"/>
      <c r="Y413" s="34"/>
      <c r="Z413" s="34"/>
      <c r="AA413" s="34"/>
      <c r="AB413" s="34"/>
      <c r="AC413" s="34"/>
      <c r="AD413" s="34"/>
    </row>
    <row r="414" ht="15.75" customHeight="1">
      <c r="A414" s="94"/>
      <c r="B414" s="94"/>
      <c r="C414" s="94"/>
      <c r="D414" s="94"/>
      <c r="E414" s="94"/>
      <c r="F414" s="94"/>
      <c r="G414" s="94"/>
      <c r="H414" s="94"/>
      <c r="I414" s="94"/>
      <c r="J414" s="94"/>
      <c r="K414" s="94"/>
      <c r="L414" s="94"/>
      <c r="M414" s="94"/>
      <c r="N414" s="94"/>
      <c r="O414" s="94"/>
      <c r="P414" s="94"/>
      <c r="Q414" s="94"/>
      <c r="R414" s="94"/>
      <c r="S414" s="95"/>
      <c r="T414" s="34"/>
      <c r="U414" s="34"/>
      <c r="V414" s="34"/>
      <c r="W414" s="34"/>
      <c r="X414" s="34"/>
      <c r="Y414" s="34"/>
      <c r="Z414" s="34"/>
      <c r="AA414" s="34"/>
      <c r="AB414" s="34"/>
      <c r="AC414" s="34"/>
      <c r="AD414" s="34"/>
    </row>
    <row r="415" ht="15.75" customHeight="1">
      <c r="A415" s="94"/>
      <c r="B415" s="94"/>
      <c r="C415" s="94"/>
      <c r="D415" s="94"/>
      <c r="E415" s="94"/>
      <c r="F415" s="94"/>
      <c r="G415" s="94"/>
      <c r="H415" s="94"/>
      <c r="I415" s="94"/>
      <c r="J415" s="94"/>
      <c r="K415" s="94"/>
      <c r="L415" s="94"/>
      <c r="M415" s="94"/>
      <c r="N415" s="94"/>
      <c r="O415" s="94"/>
      <c r="P415" s="94"/>
      <c r="Q415" s="94"/>
      <c r="R415" s="94"/>
      <c r="S415" s="95"/>
      <c r="T415" s="34"/>
      <c r="U415" s="34"/>
      <c r="V415" s="34"/>
      <c r="W415" s="34"/>
      <c r="X415" s="34"/>
      <c r="Y415" s="34"/>
      <c r="Z415" s="34"/>
      <c r="AA415" s="34"/>
      <c r="AB415" s="34"/>
      <c r="AC415" s="34"/>
      <c r="AD415" s="34"/>
    </row>
    <row r="416" ht="15.75" customHeight="1">
      <c r="A416" s="94"/>
      <c r="B416" s="94"/>
      <c r="C416" s="94"/>
      <c r="D416" s="94"/>
      <c r="E416" s="94"/>
      <c r="F416" s="94"/>
      <c r="G416" s="94"/>
      <c r="H416" s="94"/>
      <c r="I416" s="94"/>
      <c r="J416" s="94"/>
      <c r="K416" s="94"/>
      <c r="L416" s="94"/>
      <c r="M416" s="94"/>
      <c r="N416" s="94"/>
      <c r="O416" s="94"/>
      <c r="P416" s="94"/>
      <c r="Q416" s="94"/>
      <c r="R416" s="94"/>
      <c r="S416" s="95"/>
      <c r="T416" s="34"/>
      <c r="U416" s="34"/>
      <c r="V416" s="34"/>
      <c r="W416" s="34"/>
      <c r="X416" s="34"/>
      <c r="Y416" s="34"/>
      <c r="Z416" s="34"/>
      <c r="AA416" s="34"/>
      <c r="AB416" s="34"/>
      <c r="AC416" s="34"/>
      <c r="AD416" s="34"/>
    </row>
    <row r="417" ht="15.75" customHeight="1">
      <c r="A417" s="94"/>
      <c r="B417" s="94"/>
      <c r="C417" s="94"/>
      <c r="D417" s="94"/>
      <c r="E417" s="94"/>
      <c r="F417" s="94"/>
      <c r="G417" s="94"/>
      <c r="H417" s="94"/>
      <c r="I417" s="94"/>
      <c r="J417" s="94"/>
      <c r="K417" s="94"/>
      <c r="L417" s="94"/>
      <c r="M417" s="94"/>
      <c r="N417" s="94"/>
      <c r="O417" s="94"/>
      <c r="P417" s="94"/>
      <c r="Q417" s="94"/>
      <c r="R417" s="94"/>
      <c r="S417" s="95"/>
      <c r="T417" s="34"/>
      <c r="U417" s="34"/>
      <c r="V417" s="34"/>
      <c r="W417" s="34"/>
      <c r="X417" s="34"/>
      <c r="Y417" s="34"/>
      <c r="Z417" s="34"/>
      <c r="AA417" s="34"/>
      <c r="AB417" s="34"/>
      <c r="AC417" s="34"/>
      <c r="AD417" s="34"/>
    </row>
    <row r="418" ht="15.75" customHeight="1">
      <c r="A418" s="94"/>
      <c r="B418" s="94"/>
      <c r="C418" s="94"/>
      <c r="D418" s="94"/>
      <c r="E418" s="94"/>
      <c r="F418" s="94"/>
      <c r="G418" s="94"/>
      <c r="H418" s="94"/>
      <c r="I418" s="94"/>
      <c r="J418" s="94"/>
      <c r="K418" s="94"/>
      <c r="L418" s="94"/>
      <c r="M418" s="94"/>
      <c r="N418" s="94"/>
      <c r="O418" s="94"/>
      <c r="P418" s="94"/>
      <c r="Q418" s="94"/>
      <c r="R418" s="94"/>
      <c r="S418" s="95"/>
      <c r="T418" s="34"/>
      <c r="U418" s="34"/>
      <c r="V418" s="34"/>
      <c r="W418" s="34"/>
      <c r="X418" s="34"/>
      <c r="Y418" s="34"/>
      <c r="Z418" s="34"/>
      <c r="AA418" s="34"/>
      <c r="AB418" s="34"/>
      <c r="AC418" s="34"/>
      <c r="AD418" s="34"/>
    </row>
    <row r="419" ht="15.75" customHeight="1">
      <c r="A419" s="94"/>
      <c r="B419" s="94"/>
      <c r="C419" s="94"/>
      <c r="D419" s="94"/>
      <c r="E419" s="94"/>
      <c r="F419" s="94"/>
      <c r="G419" s="94"/>
      <c r="H419" s="94"/>
      <c r="I419" s="94"/>
      <c r="J419" s="94"/>
      <c r="K419" s="94"/>
      <c r="L419" s="94"/>
      <c r="M419" s="94"/>
      <c r="N419" s="94"/>
      <c r="O419" s="94"/>
      <c r="P419" s="94"/>
      <c r="Q419" s="94"/>
      <c r="R419" s="94"/>
      <c r="S419" s="95"/>
      <c r="T419" s="34"/>
      <c r="U419" s="34"/>
      <c r="V419" s="34"/>
      <c r="W419" s="34"/>
      <c r="X419" s="34"/>
      <c r="Y419" s="34"/>
      <c r="Z419" s="34"/>
      <c r="AA419" s="34"/>
      <c r="AB419" s="34"/>
      <c r="AC419" s="34"/>
      <c r="AD419" s="34"/>
    </row>
    <row r="420" ht="15.75" customHeight="1">
      <c r="A420" s="94"/>
      <c r="B420" s="94"/>
      <c r="C420" s="94"/>
      <c r="D420" s="94"/>
      <c r="E420" s="94"/>
      <c r="F420" s="94"/>
      <c r="G420" s="94"/>
      <c r="H420" s="94"/>
      <c r="I420" s="94"/>
      <c r="J420" s="94"/>
      <c r="K420" s="94"/>
      <c r="L420" s="94"/>
      <c r="M420" s="94"/>
      <c r="N420" s="94"/>
      <c r="O420" s="94"/>
      <c r="P420" s="94"/>
      <c r="Q420" s="94"/>
      <c r="R420" s="94"/>
      <c r="S420" s="95"/>
      <c r="T420" s="34"/>
      <c r="U420" s="34"/>
      <c r="V420" s="34"/>
      <c r="W420" s="34"/>
      <c r="X420" s="34"/>
      <c r="Y420" s="34"/>
      <c r="Z420" s="34"/>
      <c r="AA420" s="34"/>
      <c r="AB420" s="34"/>
      <c r="AC420" s="34"/>
      <c r="AD420" s="34"/>
    </row>
    <row r="421" ht="15.75" customHeight="1">
      <c r="A421" s="94"/>
      <c r="B421" s="94"/>
      <c r="C421" s="94"/>
      <c r="D421" s="94"/>
      <c r="E421" s="94"/>
      <c r="F421" s="94"/>
      <c r="G421" s="94"/>
      <c r="H421" s="94"/>
      <c r="I421" s="94"/>
      <c r="J421" s="94"/>
      <c r="K421" s="94"/>
      <c r="L421" s="94"/>
      <c r="M421" s="94"/>
      <c r="N421" s="94"/>
      <c r="O421" s="94"/>
      <c r="P421" s="94"/>
      <c r="Q421" s="94"/>
      <c r="R421" s="94"/>
      <c r="S421" s="95"/>
      <c r="T421" s="34"/>
      <c r="U421" s="34"/>
      <c r="V421" s="34"/>
      <c r="W421" s="34"/>
      <c r="X421" s="34"/>
      <c r="Y421" s="34"/>
      <c r="Z421" s="34"/>
      <c r="AA421" s="34"/>
      <c r="AB421" s="34"/>
      <c r="AC421" s="34"/>
      <c r="AD421" s="34"/>
    </row>
    <row r="422" ht="15.75" customHeight="1">
      <c r="A422" s="94"/>
      <c r="B422" s="94"/>
      <c r="C422" s="94"/>
      <c r="D422" s="94"/>
      <c r="E422" s="94"/>
      <c r="F422" s="94"/>
      <c r="G422" s="94"/>
      <c r="H422" s="94"/>
      <c r="I422" s="94"/>
      <c r="J422" s="94"/>
      <c r="K422" s="94"/>
      <c r="L422" s="94"/>
      <c r="M422" s="94"/>
      <c r="N422" s="94"/>
      <c r="O422" s="94"/>
      <c r="P422" s="94"/>
      <c r="Q422" s="94"/>
      <c r="R422" s="94"/>
      <c r="S422" s="95"/>
      <c r="T422" s="34"/>
      <c r="U422" s="34"/>
      <c r="V422" s="34"/>
      <c r="W422" s="34"/>
      <c r="X422" s="34"/>
      <c r="Y422" s="34"/>
      <c r="Z422" s="34"/>
      <c r="AA422" s="34"/>
      <c r="AB422" s="34"/>
      <c r="AC422" s="34"/>
      <c r="AD422" s="34"/>
    </row>
    <row r="423" ht="15.75" customHeight="1">
      <c r="A423" s="94"/>
      <c r="B423" s="94"/>
      <c r="C423" s="94"/>
      <c r="D423" s="94"/>
      <c r="E423" s="94"/>
      <c r="F423" s="94"/>
      <c r="G423" s="94"/>
      <c r="H423" s="94"/>
      <c r="I423" s="94"/>
      <c r="J423" s="94"/>
      <c r="K423" s="94"/>
      <c r="L423" s="94"/>
      <c r="M423" s="94"/>
      <c r="N423" s="94"/>
      <c r="O423" s="94"/>
      <c r="P423" s="94"/>
      <c r="Q423" s="94"/>
      <c r="R423" s="94"/>
      <c r="S423" s="95"/>
      <c r="T423" s="34"/>
      <c r="U423" s="34"/>
      <c r="V423" s="34"/>
      <c r="W423" s="34"/>
      <c r="X423" s="34"/>
      <c r="Y423" s="34"/>
      <c r="Z423" s="34"/>
      <c r="AA423" s="34"/>
      <c r="AB423" s="34"/>
      <c r="AC423" s="34"/>
      <c r="AD423" s="34"/>
    </row>
    <row r="424" ht="15.75" customHeight="1">
      <c r="A424" s="94"/>
      <c r="B424" s="94"/>
      <c r="C424" s="94"/>
      <c r="D424" s="94"/>
      <c r="E424" s="94"/>
      <c r="F424" s="94"/>
      <c r="G424" s="94"/>
      <c r="H424" s="94"/>
      <c r="I424" s="94"/>
      <c r="J424" s="94"/>
      <c r="K424" s="94"/>
      <c r="L424" s="94"/>
      <c r="M424" s="94"/>
      <c r="N424" s="94"/>
      <c r="O424" s="94"/>
      <c r="P424" s="94"/>
      <c r="Q424" s="94"/>
      <c r="R424" s="94"/>
      <c r="S424" s="95"/>
      <c r="T424" s="34"/>
      <c r="U424" s="34"/>
      <c r="V424" s="34"/>
      <c r="W424" s="34"/>
      <c r="X424" s="34"/>
      <c r="Y424" s="34"/>
      <c r="Z424" s="34"/>
      <c r="AA424" s="34"/>
      <c r="AB424" s="34"/>
      <c r="AC424" s="34"/>
      <c r="AD424" s="34"/>
    </row>
    <row r="425" ht="15.75" customHeight="1">
      <c r="A425" s="94"/>
      <c r="B425" s="94"/>
      <c r="C425" s="94"/>
      <c r="D425" s="94"/>
      <c r="E425" s="94"/>
      <c r="F425" s="94"/>
      <c r="G425" s="94"/>
      <c r="H425" s="94"/>
      <c r="I425" s="94"/>
      <c r="J425" s="94"/>
      <c r="K425" s="94"/>
      <c r="L425" s="94"/>
      <c r="M425" s="94"/>
      <c r="N425" s="94"/>
      <c r="O425" s="94"/>
      <c r="P425" s="94"/>
      <c r="Q425" s="94"/>
      <c r="R425" s="94"/>
      <c r="S425" s="95"/>
      <c r="T425" s="34"/>
      <c r="U425" s="34"/>
      <c r="V425" s="34"/>
      <c r="W425" s="34"/>
      <c r="X425" s="34"/>
      <c r="Y425" s="34"/>
      <c r="Z425" s="34"/>
      <c r="AA425" s="34"/>
      <c r="AB425" s="34"/>
      <c r="AC425" s="34"/>
      <c r="AD425" s="34"/>
    </row>
    <row r="426" ht="15.75" customHeight="1">
      <c r="A426" s="94"/>
      <c r="B426" s="94"/>
      <c r="C426" s="94"/>
      <c r="D426" s="94"/>
      <c r="E426" s="94"/>
      <c r="F426" s="94"/>
      <c r="G426" s="94"/>
      <c r="H426" s="94"/>
      <c r="I426" s="94"/>
      <c r="J426" s="94"/>
      <c r="K426" s="94"/>
      <c r="L426" s="94"/>
      <c r="M426" s="94"/>
      <c r="N426" s="94"/>
      <c r="O426" s="94"/>
      <c r="P426" s="94"/>
      <c r="Q426" s="94"/>
      <c r="R426" s="94"/>
      <c r="S426" s="95"/>
      <c r="T426" s="34"/>
      <c r="U426" s="34"/>
      <c r="V426" s="34"/>
      <c r="W426" s="34"/>
      <c r="X426" s="34"/>
      <c r="Y426" s="34"/>
      <c r="Z426" s="34"/>
      <c r="AA426" s="34"/>
      <c r="AB426" s="34"/>
      <c r="AC426" s="34"/>
      <c r="AD426" s="34"/>
    </row>
    <row r="427" ht="15.75" customHeight="1">
      <c r="A427" s="94"/>
      <c r="B427" s="94"/>
      <c r="C427" s="94"/>
      <c r="D427" s="94"/>
      <c r="E427" s="94"/>
      <c r="F427" s="94"/>
      <c r="G427" s="94"/>
      <c r="H427" s="94"/>
      <c r="I427" s="94"/>
      <c r="J427" s="94"/>
      <c r="K427" s="94"/>
      <c r="L427" s="94"/>
      <c r="M427" s="94"/>
      <c r="N427" s="94"/>
      <c r="O427" s="94"/>
      <c r="P427" s="94"/>
      <c r="Q427" s="94"/>
      <c r="R427" s="94"/>
      <c r="S427" s="95"/>
      <c r="T427" s="34"/>
      <c r="U427" s="34"/>
      <c r="V427" s="34"/>
      <c r="W427" s="34"/>
      <c r="X427" s="34"/>
      <c r="Y427" s="34"/>
      <c r="Z427" s="34"/>
      <c r="AA427" s="34"/>
      <c r="AB427" s="34"/>
      <c r="AC427" s="34"/>
      <c r="AD427" s="34"/>
    </row>
    <row r="428" ht="15.75" customHeight="1">
      <c r="A428" s="94"/>
      <c r="B428" s="94"/>
      <c r="C428" s="94"/>
      <c r="D428" s="94"/>
      <c r="E428" s="94"/>
      <c r="F428" s="94"/>
      <c r="G428" s="94"/>
      <c r="H428" s="94"/>
      <c r="I428" s="94"/>
      <c r="J428" s="94"/>
      <c r="K428" s="94"/>
      <c r="L428" s="94"/>
      <c r="M428" s="94"/>
      <c r="N428" s="94"/>
      <c r="O428" s="94"/>
      <c r="P428" s="94"/>
      <c r="Q428" s="94"/>
      <c r="R428" s="94"/>
      <c r="S428" s="95"/>
      <c r="T428" s="34"/>
      <c r="U428" s="34"/>
      <c r="V428" s="34"/>
      <c r="W428" s="34"/>
      <c r="X428" s="34"/>
      <c r="Y428" s="34"/>
      <c r="Z428" s="34"/>
      <c r="AA428" s="34"/>
      <c r="AB428" s="34"/>
      <c r="AC428" s="34"/>
      <c r="AD428" s="34"/>
    </row>
    <row r="429" ht="15.75" customHeight="1">
      <c r="A429" s="94"/>
      <c r="B429" s="94"/>
      <c r="C429" s="94"/>
      <c r="D429" s="94"/>
      <c r="E429" s="94"/>
      <c r="F429" s="94"/>
      <c r="G429" s="94"/>
      <c r="H429" s="94"/>
      <c r="I429" s="94"/>
      <c r="J429" s="94"/>
      <c r="K429" s="94"/>
      <c r="L429" s="94"/>
      <c r="M429" s="94"/>
      <c r="N429" s="94"/>
      <c r="O429" s="94"/>
      <c r="P429" s="94"/>
      <c r="Q429" s="94"/>
      <c r="R429" s="94"/>
      <c r="S429" s="95"/>
      <c r="T429" s="34"/>
      <c r="U429" s="34"/>
      <c r="V429" s="34"/>
      <c r="W429" s="34"/>
      <c r="X429" s="34"/>
      <c r="Y429" s="34"/>
      <c r="Z429" s="34"/>
      <c r="AA429" s="34"/>
      <c r="AB429" s="34"/>
      <c r="AC429" s="34"/>
      <c r="AD429" s="34"/>
    </row>
    <row r="430" ht="15.75" customHeight="1">
      <c r="A430" s="94"/>
      <c r="B430" s="94"/>
      <c r="C430" s="94"/>
      <c r="D430" s="94"/>
      <c r="E430" s="94"/>
      <c r="F430" s="94"/>
      <c r="G430" s="94"/>
      <c r="H430" s="94"/>
      <c r="I430" s="94"/>
      <c r="J430" s="94"/>
      <c r="K430" s="94"/>
      <c r="L430" s="94"/>
      <c r="M430" s="94"/>
      <c r="N430" s="94"/>
      <c r="O430" s="94"/>
      <c r="P430" s="94"/>
      <c r="Q430" s="94"/>
      <c r="R430" s="94"/>
      <c r="S430" s="95"/>
      <c r="T430" s="34"/>
      <c r="U430" s="34"/>
      <c r="V430" s="34"/>
      <c r="W430" s="34"/>
      <c r="X430" s="34"/>
      <c r="Y430" s="34"/>
      <c r="Z430" s="34"/>
      <c r="AA430" s="34"/>
      <c r="AB430" s="34"/>
      <c r="AC430" s="34"/>
      <c r="AD430" s="34"/>
    </row>
    <row r="431" ht="15.75" customHeight="1">
      <c r="A431" s="94"/>
      <c r="B431" s="94"/>
      <c r="C431" s="94"/>
      <c r="D431" s="94"/>
      <c r="E431" s="94"/>
      <c r="F431" s="94"/>
      <c r="G431" s="94"/>
      <c r="H431" s="94"/>
      <c r="I431" s="94"/>
      <c r="J431" s="94"/>
      <c r="K431" s="94"/>
      <c r="L431" s="94"/>
      <c r="M431" s="94"/>
      <c r="N431" s="94"/>
      <c r="O431" s="94"/>
      <c r="P431" s="94"/>
      <c r="Q431" s="94"/>
      <c r="R431" s="94"/>
      <c r="S431" s="95"/>
      <c r="T431" s="34"/>
      <c r="U431" s="34"/>
      <c r="V431" s="34"/>
      <c r="W431" s="34"/>
      <c r="X431" s="34"/>
      <c r="Y431" s="34"/>
      <c r="Z431" s="34"/>
      <c r="AA431" s="34"/>
      <c r="AB431" s="34"/>
      <c r="AC431" s="34"/>
      <c r="AD431" s="34"/>
    </row>
    <row r="432" ht="15.75" customHeight="1">
      <c r="A432" s="94"/>
      <c r="B432" s="94"/>
      <c r="C432" s="94"/>
      <c r="D432" s="94"/>
      <c r="E432" s="94"/>
      <c r="F432" s="94"/>
      <c r="G432" s="94"/>
      <c r="H432" s="94"/>
      <c r="I432" s="94"/>
      <c r="J432" s="94"/>
      <c r="K432" s="94"/>
      <c r="L432" s="94"/>
      <c r="M432" s="94"/>
      <c r="N432" s="94"/>
      <c r="O432" s="94"/>
      <c r="P432" s="94"/>
      <c r="Q432" s="94"/>
      <c r="R432" s="94"/>
      <c r="S432" s="95"/>
      <c r="T432" s="34"/>
      <c r="U432" s="34"/>
      <c r="V432" s="34"/>
      <c r="W432" s="34"/>
      <c r="X432" s="34"/>
      <c r="Y432" s="34"/>
      <c r="Z432" s="34"/>
      <c r="AA432" s="34"/>
      <c r="AB432" s="34"/>
      <c r="AC432" s="34"/>
      <c r="AD432" s="34"/>
    </row>
    <row r="433" ht="15.75" customHeight="1">
      <c r="A433" s="94"/>
      <c r="B433" s="94"/>
      <c r="C433" s="94"/>
      <c r="D433" s="94"/>
      <c r="E433" s="94"/>
      <c r="F433" s="94"/>
      <c r="G433" s="94"/>
      <c r="H433" s="94"/>
      <c r="I433" s="94"/>
      <c r="J433" s="94"/>
      <c r="K433" s="94"/>
      <c r="L433" s="94"/>
      <c r="M433" s="94"/>
      <c r="N433" s="94"/>
      <c r="O433" s="94"/>
      <c r="P433" s="94"/>
      <c r="Q433" s="94"/>
      <c r="R433" s="94"/>
      <c r="S433" s="95"/>
      <c r="T433" s="34"/>
      <c r="U433" s="34"/>
      <c r="V433" s="34"/>
      <c r="W433" s="34"/>
      <c r="X433" s="34"/>
      <c r="Y433" s="34"/>
      <c r="Z433" s="34"/>
      <c r="AA433" s="34"/>
      <c r="AB433" s="34"/>
      <c r="AC433" s="34"/>
      <c r="AD433" s="34"/>
    </row>
    <row r="434" ht="15.75" customHeight="1">
      <c r="A434" s="94"/>
      <c r="B434" s="94"/>
      <c r="C434" s="94"/>
      <c r="D434" s="94"/>
      <c r="E434" s="94"/>
      <c r="F434" s="94"/>
      <c r="G434" s="94"/>
      <c r="H434" s="94"/>
      <c r="I434" s="94"/>
      <c r="J434" s="94"/>
      <c r="K434" s="94"/>
      <c r="L434" s="94"/>
      <c r="M434" s="94"/>
      <c r="N434" s="94"/>
      <c r="O434" s="94"/>
      <c r="P434" s="94"/>
      <c r="Q434" s="94"/>
      <c r="R434" s="94"/>
      <c r="S434" s="95"/>
      <c r="T434" s="34"/>
      <c r="U434" s="34"/>
      <c r="V434" s="34"/>
      <c r="W434" s="34"/>
      <c r="X434" s="34"/>
      <c r="Y434" s="34"/>
      <c r="Z434" s="34"/>
      <c r="AA434" s="34"/>
      <c r="AB434" s="34"/>
      <c r="AC434" s="34"/>
      <c r="AD434" s="34"/>
    </row>
    <row r="435" ht="15.75" customHeight="1">
      <c r="A435" s="94"/>
      <c r="B435" s="94"/>
      <c r="C435" s="94"/>
      <c r="D435" s="94"/>
      <c r="E435" s="94"/>
      <c r="F435" s="94"/>
      <c r="G435" s="94"/>
      <c r="H435" s="94"/>
      <c r="I435" s="94"/>
      <c r="J435" s="94"/>
      <c r="K435" s="94"/>
      <c r="L435" s="94"/>
      <c r="M435" s="94"/>
      <c r="N435" s="94"/>
      <c r="O435" s="94"/>
      <c r="P435" s="94"/>
      <c r="Q435" s="94"/>
      <c r="R435" s="94"/>
      <c r="S435" s="95"/>
      <c r="T435" s="34"/>
      <c r="U435" s="34"/>
      <c r="V435" s="34"/>
      <c r="W435" s="34"/>
      <c r="X435" s="34"/>
      <c r="Y435" s="34"/>
      <c r="Z435" s="34"/>
      <c r="AA435" s="34"/>
      <c r="AB435" s="34"/>
      <c r="AC435" s="34"/>
      <c r="AD435" s="34"/>
    </row>
    <row r="436" ht="15.75" customHeight="1">
      <c r="A436" s="94"/>
      <c r="B436" s="94"/>
      <c r="C436" s="94"/>
      <c r="D436" s="94"/>
      <c r="E436" s="94"/>
      <c r="F436" s="94"/>
      <c r="G436" s="94"/>
      <c r="H436" s="94"/>
      <c r="I436" s="94"/>
      <c r="J436" s="94"/>
      <c r="K436" s="94"/>
      <c r="L436" s="94"/>
      <c r="M436" s="94"/>
      <c r="N436" s="94"/>
      <c r="O436" s="94"/>
      <c r="P436" s="94"/>
      <c r="Q436" s="94"/>
      <c r="R436" s="94"/>
      <c r="S436" s="95"/>
      <c r="T436" s="34"/>
      <c r="U436" s="34"/>
      <c r="V436" s="34"/>
      <c r="W436" s="34"/>
      <c r="X436" s="34"/>
      <c r="Y436" s="34"/>
      <c r="Z436" s="34"/>
      <c r="AA436" s="34"/>
      <c r="AB436" s="34"/>
      <c r="AC436" s="34"/>
      <c r="AD436" s="34"/>
    </row>
    <row r="437" ht="15.75" customHeight="1">
      <c r="A437" s="94"/>
      <c r="B437" s="94"/>
      <c r="C437" s="94"/>
      <c r="D437" s="94"/>
      <c r="E437" s="94"/>
      <c r="F437" s="94"/>
      <c r="G437" s="94"/>
      <c r="H437" s="94"/>
      <c r="I437" s="94"/>
      <c r="J437" s="94"/>
      <c r="K437" s="94"/>
      <c r="L437" s="94"/>
      <c r="M437" s="94"/>
      <c r="N437" s="94"/>
      <c r="O437" s="94"/>
      <c r="P437" s="94"/>
      <c r="Q437" s="94"/>
      <c r="R437" s="94"/>
      <c r="S437" s="95"/>
      <c r="T437" s="34"/>
      <c r="U437" s="34"/>
      <c r="V437" s="34"/>
      <c r="W437" s="34"/>
      <c r="X437" s="34"/>
      <c r="Y437" s="34"/>
      <c r="Z437" s="34"/>
      <c r="AA437" s="34"/>
      <c r="AB437" s="34"/>
      <c r="AC437" s="34"/>
      <c r="AD437" s="34"/>
    </row>
    <row r="438" ht="15.75" customHeight="1">
      <c r="A438" s="94"/>
      <c r="B438" s="94"/>
      <c r="C438" s="94"/>
      <c r="D438" s="94"/>
      <c r="E438" s="94"/>
      <c r="F438" s="94"/>
      <c r="G438" s="94"/>
      <c r="H438" s="94"/>
      <c r="I438" s="94"/>
      <c r="J438" s="94"/>
      <c r="K438" s="94"/>
      <c r="L438" s="94"/>
      <c r="M438" s="94"/>
      <c r="N438" s="94"/>
      <c r="O438" s="94"/>
      <c r="P438" s="94"/>
      <c r="Q438" s="94"/>
      <c r="R438" s="94"/>
      <c r="S438" s="95"/>
      <c r="T438" s="34"/>
      <c r="U438" s="34"/>
      <c r="V438" s="34"/>
      <c r="W438" s="34"/>
      <c r="X438" s="34"/>
      <c r="Y438" s="34"/>
      <c r="Z438" s="34"/>
      <c r="AA438" s="34"/>
      <c r="AB438" s="34"/>
      <c r="AC438" s="34"/>
      <c r="AD438" s="34"/>
    </row>
    <row r="439" ht="15.75" customHeight="1">
      <c r="A439" s="94"/>
      <c r="B439" s="94"/>
      <c r="C439" s="94"/>
      <c r="D439" s="94"/>
      <c r="E439" s="94"/>
      <c r="F439" s="94"/>
      <c r="G439" s="94"/>
      <c r="H439" s="94"/>
      <c r="I439" s="94"/>
      <c r="J439" s="94"/>
      <c r="K439" s="94"/>
      <c r="L439" s="94"/>
      <c r="M439" s="94"/>
      <c r="N439" s="94"/>
      <c r="O439" s="94"/>
      <c r="P439" s="94"/>
      <c r="Q439" s="94"/>
      <c r="R439" s="94"/>
      <c r="S439" s="95"/>
      <c r="T439" s="34"/>
      <c r="U439" s="34"/>
      <c r="V439" s="34"/>
      <c r="W439" s="34"/>
      <c r="X439" s="34"/>
      <c r="Y439" s="34"/>
      <c r="Z439" s="34"/>
      <c r="AA439" s="34"/>
      <c r="AB439" s="34"/>
      <c r="AC439" s="34"/>
      <c r="AD439" s="34"/>
    </row>
    <row r="440" ht="15.75" customHeight="1">
      <c r="A440" s="94"/>
      <c r="B440" s="94"/>
      <c r="C440" s="94"/>
      <c r="D440" s="94"/>
      <c r="E440" s="94"/>
      <c r="F440" s="94"/>
      <c r="G440" s="94"/>
      <c r="H440" s="94"/>
      <c r="I440" s="94"/>
      <c r="J440" s="94"/>
      <c r="K440" s="94"/>
      <c r="L440" s="94"/>
      <c r="M440" s="94"/>
      <c r="N440" s="94"/>
      <c r="O440" s="94"/>
      <c r="P440" s="94"/>
      <c r="Q440" s="94"/>
      <c r="R440" s="94"/>
      <c r="S440" s="95"/>
      <c r="T440" s="34"/>
      <c r="U440" s="34"/>
      <c r="V440" s="34"/>
      <c r="W440" s="34"/>
      <c r="X440" s="34"/>
      <c r="Y440" s="34"/>
      <c r="Z440" s="34"/>
      <c r="AA440" s="34"/>
      <c r="AB440" s="34"/>
      <c r="AC440" s="34"/>
      <c r="AD440" s="34"/>
    </row>
    <row r="441" ht="15.75" customHeight="1">
      <c r="A441" s="94"/>
      <c r="B441" s="94"/>
      <c r="C441" s="94"/>
      <c r="D441" s="94"/>
      <c r="E441" s="94"/>
      <c r="F441" s="94"/>
      <c r="G441" s="94"/>
      <c r="H441" s="94"/>
      <c r="I441" s="94"/>
      <c r="J441" s="94"/>
      <c r="K441" s="94"/>
      <c r="L441" s="94"/>
      <c r="M441" s="94"/>
      <c r="N441" s="94"/>
      <c r="O441" s="94"/>
      <c r="P441" s="94"/>
      <c r="Q441" s="94"/>
      <c r="R441" s="94"/>
      <c r="S441" s="95"/>
      <c r="T441" s="34"/>
      <c r="U441" s="34"/>
      <c r="V441" s="34"/>
      <c r="W441" s="34"/>
      <c r="X441" s="34"/>
      <c r="Y441" s="34"/>
      <c r="Z441" s="34"/>
      <c r="AA441" s="34"/>
      <c r="AB441" s="34"/>
      <c r="AC441" s="34"/>
      <c r="AD441" s="34"/>
    </row>
    <row r="442" ht="15.75" customHeight="1">
      <c r="A442" s="94"/>
      <c r="B442" s="94"/>
      <c r="C442" s="94"/>
      <c r="D442" s="94"/>
      <c r="E442" s="94"/>
      <c r="F442" s="94"/>
      <c r="G442" s="94"/>
      <c r="H442" s="94"/>
      <c r="I442" s="94"/>
      <c r="J442" s="94"/>
      <c r="K442" s="94"/>
      <c r="L442" s="94"/>
      <c r="M442" s="94"/>
      <c r="N442" s="94"/>
      <c r="O442" s="94"/>
      <c r="P442" s="94"/>
      <c r="Q442" s="94"/>
      <c r="R442" s="94"/>
      <c r="S442" s="95"/>
      <c r="T442" s="34"/>
      <c r="U442" s="34"/>
      <c r="V442" s="34"/>
      <c r="W442" s="34"/>
      <c r="X442" s="34"/>
      <c r="Y442" s="34"/>
      <c r="Z442" s="34"/>
      <c r="AA442" s="34"/>
      <c r="AB442" s="34"/>
      <c r="AC442" s="34"/>
      <c r="AD442" s="34"/>
    </row>
    <row r="443" ht="15.75" customHeight="1">
      <c r="A443" s="94"/>
      <c r="B443" s="94"/>
      <c r="C443" s="94"/>
      <c r="D443" s="94"/>
      <c r="E443" s="94"/>
      <c r="F443" s="94"/>
      <c r="G443" s="94"/>
      <c r="H443" s="94"/>
      <c r="I443" s="94"/>
      <c r="J443" s="94"/>
      <c r="K443" s="94"/>
      <c r="L443" s="94"/>
      <c r="M443" s="94"/>
      <c r="N443" s="94"/>
      <c r="O443" s="94"/>
      <c r="P443" s="94"/>
      <c r="Q443" s="94"/>
      <c r="R443" s="94"/>
      <c r="S443" s="95"/>
      <c r="T443" s="34"/>
      <c r="U443" s="34"/>
      <c r="V443" s="34"/>
      <c r="W443" s="34"/>
      <c r="X443" s="34"/>
      <c r="Y443" s="34"/>
      <c r="Z443" s="34"/>
      <c r="AA443" s="34"/>
      <c r="AB443" s="34"/>
      <c r="AC443" s="34"/>
      <c r="AD443" s="34"/>
    </row>
    <row r="444" ht="15.75" customHeight="1">
      <c r="A444" s="94"/>
      <c r="B444" s="94"/>
      <c r="C444" s="94"/>
      <c r="D444" s="94"/>
      <c r="E444" s="94"/>
      <c r="F444" s="94"/>
      <c r="G444" s="94"/>
      <c r="H444" s="94"/>
      <c r="I444" s="94"/>
      <c r="J444" s="94"/>
      <c r="K444" s="94"/>
      <c r="L444" s="94"/>
      <c r="M444" s="94"/>
      <c r="N444" s="94"/>
      <c r="O444" s="94"/>
      <c r="P444" s="94"/>
      <c r="Q444" s="94"/>
      <c r="R444" s="94"/>
      <c r="S444" s="95"/>
      <c r="T444" s="34"/>
      <c r="U444" s="34"/>
      <c r="V444" s="34"/>
      <c r="W444" s="34"/>
      <c r="X444" s="34"/>
      <c r="Y444" s="34"/>
      <c r="Z444" s="34"/>
      <c r="AA444" s="34"/>
      <c r="AB444" s="34"/>
      <c r="AC444" s="34"/>
      <c r="AD444" s="34"/>
    </row>
    <row r="445" ht="15.75" customHeight="1">
      <c r="A445" s="94"/>
      <c r="B445" s="94"/>
      <c r="C445" s="94"/>
      <c r="D445" s="94"/>
      <c r="E445" s="94"/>
      <c r="F445" s="94"/>
      <c r="G445" s="94"/>
      <c r="H445" s="94"/>
      <c r="I445" s="94"/>
      <c r="J445" s="94"/>
      <c r="K445" s="94"/>
      <c r="L445" s="94"/>
      <c r="M445" s="94"/>
      <c r="N445" s="94"/>
      <c r="O445" s="94"/>
      <c r="P445" s="94"/>
      <c r="Q445" s="94"/>
      <c r="R445" s="94"/>
      <c r="S445" s="95"/>
      <c r="T445" s="34"/>
      <c r="U445" s="34"/>
      <c r="V445" s="34"/>
      <c r="W445" s="34"/>
      <c r="X445" s="34"/>
      <c r="Y445" s="34"/>
      <c r="Z445" s="34"/>
      <c r="AA445" s="34"/>
      <c r="AB445" s="34"/>
      <c r="AC445" s="34"/>
      <c r="AD445" s="34"/>
    </row>
    <row r="446" ht="15.75" customHeight="1">
      <c r="A446" s="94"/>
      <c r="B446" s="94"/>
      <c r="C446" s="94"/>
      <c r="D446" s="94"/>
      <c r="E446" s="94"/>
      <c r="F446" s="94"/>
      <c r="G446" s="94"/>
      <c r="H446" s="94"/>
      <c r="I446" s="94"/>
      <c r="J446" s="94"/>
      <c r="K446" s="94"/>
      <c r="L446" s="94"/>
      <c r="M446" s="94"/>
      <c r="N446" s="94"/>
      <c r="O446" s="94"/>
      <c r="P446" s="94"/>
      <c r="Q446" s="94"/>
      <c r="R446" s="94"/>
      <c r="S446" s="95"/>
      <c r="T446" s="34"/>
      <c r="U446" s="34"/>
      <c r="V446" s="34"/>
      <c r="W446" s="34"/>
      <c r="X446" s="34"/>
      <c r="Y446" s="34"/>
      <c r="Z446" s="34"/>
      <c r="AA446" s="34"/>
      <c r="AB446" s="34"/>
      <c r="AC446" s="34"/>
      <c r="AD446" s="34"/>
    </row>
    <row r="447" ht="15.75" customHeight="1">
      <c r="A447" s="94"/>
      <c r="B447" s="94"/>
      <c r="C447" s="94"/>
      <c r="D447" s="94"/>
      <c r="E447" s="94"/>
      <c r="F447" s="94"/>
      <c r="G447" s="94"/>
      <c r="H447" s="94"/>
      <c r="I447" s="94"/>
      <c r="J447" s="94"/>
      <c r="K447" s="94"/>
      <c r="L447" s="94"/>
      <c r="M447" s="94"/>
      <c r="N447" s="94"/>
      <c r="O447" s="94"/>
      <c r="P447" s="94"/>
      <c r="Q447" s="94"/>
      <c r="R447" s="94"/>
      <c r="S447" s="95"/>
      <c r="T447" s="34"/>
      <c r="U447" s="34"/>
      <c r="V447" s="34"/>
      <c r="W447" s="34"/>
      <c r="X447" s="34"/>
      <c r="Y447" s="34"/>
      <c r="Z447" s="34"/>
      <c r="AA447" s="34"/>
      <c r="AB447" s="34"/>
      <c r="AC447" s="34"/>
      <c r="AD447" s="34"/>
    </row>
    <row r="448" ht="15.75" customHeight="1">
      <c r="A448" s="94"/>
      <c r="B448" s="94"/>
      <c r="C448" s="94"/>
      <c r="D448" s="94"/>
      <c r="E448" s="94"/>
      <c r="F448" s="94"/>
      <c r="G448" s="94"/>
      <c r="H448" s="94"/>
      <c r="I448" s="94"/>
      <c r="J448" s="94"/>
      <c r="K448" s="94"/>
      <c r="L448" s="94"/>
      <c r="M448" s="94"/>
      <c r="N448" s="94"/>
      <c r="O448" s="94"/>
      <c r="P448" s="94"/>
      <c r="Q448" s="94"/>
      <c r="R448" s="94"/>
      <c r="S448" s="95"/>
      <c r="T448" s="34"/>
      <c r="U448" s="34"/>
      <c r="V448" s="34"/>
      <c r="W448" s="34"/>
      <c r="X448" s="34"/>
      <c r="Y448" s="34"/>
      <c r="Z448" s="34"/>
      <c r="AA448" s="34"/>
      <c r="AB448" s="34"/>
      <c r="AC448" s="34"/>
      <c r="AD448" s="34"/>
    </row>
    <row r="449" ht="15.75" customHeight="1">
      <c r="A449" s="94"/>
      <c r="B449" s="94"/>
      <c r="C449" s="94"/>
      <c r="D449" s="94"/>
      <c r="E449" s="94"/>
      <c r="F449" s="94"/>
      <c r="G449" s="94"/>
      <c r="H449" s="94"/>
      <c r="I449" s="94"/>
      <c r="J449" s="94"/>
      <c r="K449" s="94"/>
      <c r="L449" s="94"/>
      <c r="M449" s="94"/>
      <c r="N449" s="94"/>
      <c r="O449" s="94"/>
      <c r="P449" s="94"/>
      <c r="Q449" s="94"/>
      <c r="R449" s="94"/>
      <c r="S449" s="95"/>
      <c r="T449" s="34"/>
      <c r="U449" s="34"/>
      <c r="V449" s="34"/>
      <c r="W449" s="34"/>
      <c r="X449" s="34"/>
      <c r="Y449" s="34"/>
      <c r="Z449" s="34"/>
      <c r="AA449" s="34"/>
      <c r="AB449" s="34"/>
      <c r="AC449" s="34"/>
      <c r="AD449" s="34"/>
    </row>
    <row r="450" ht="15.75" customHeight="1">
      <c r="A450" s="94"/>
      <c r="B450" s="94"/>
      <c r="C450" s="94"/>
      <c r="D450" s="94"/>
      <c r="E450" s="94"/>
      <c r="F450" s="94"/>
      <c r="G450" s="94"/>
      <c r="H450" s="94"/>
      <c r="I450" s="94"/>
      <c r="J450" s="94"/>
      <c r="K450" s="94"/>
      <c r="L450" s="94"/>
      <c r="M450" s="94"/>
      <c r="N450" s="94"/>
      <c r="O450" s="94"/>
      <c r="P450" s="94"/>
      <c r="Q450" s="94"/>
      <c r="R450" s="94"/>
      <c r="S450" s="95"/>
      <c r="T450" s="34"/>
      <c r="U450" s="34"/>
      <c r="V450" s="34"/>
      <c r="W450" s="34"/>
      <c r="X450" s="34"/>
      <c r="Y450" s="34"/>
      <c r="Z450" s="34"/>
      <c r="AA450" s="34"/>
      <c r="AB450" s="34"/>
      <c r="AC450" s="34"/>
      <c r="AD450" s="34"/>
    </row>
    <row r="451" ht="15.75" customHeight="1">
      <c r="A451" s="94"/>
      <c r="B451" s="94"/>
      <c r="C451" s="94"/>
      <c r="D451" s="94"/>
      <c r="E451" s="94"/>
      <c r="F451" s="94"/>
      <c r="G451" s="94"/>
      <c r="H451" s="94"/>
      <c r="I451" s="94"/>
      <c r="J451" s="94"/>
      <c r="K451" s="94"/>
      <c r="L451" s="94"/>
      <c r="M451" s="94"/>
      <c r="N451" s="94"/>
      <c r="O451" s="94"/>
      <c r="P451" s="94"/>
      <c r="Q451" s="94"/>
      <c r="R451" s="94"/>
      <c r="S451" s="95"/>
      <c r="T451" s="34"/>
      <c r="U451" s="34"/>
      <c r="V451" s="34"/>
      <c r="W451" s="34"/>
      <c r="X451" s="34"/>
      <c r="Y451" s="34"/>
      <c r="Z451" s="34"/>
      <c r="AA451" s="34"/>
      <c r="AB451" s="34"/>
      <c r="AC451" s="34"/>
      <c r="AD451" s="34"/>
    </row>
    <row r="452" ht="15.75" customHeight="1">
      <c r="A452" s="94"/>
      <c r="B452" s="94"/>
      <c r="C452" s="94"/>
      <c r="D452" s="94"/>
      <c r="E452" s="94"/>
      <c r="F452" s="94"/>
      <c r="G452" s="94"/>
      <c r="H452" s="94"/>
      <c r="I452" s="94"/>
      <c r="J452" s="94"/>
      <c r="K452" s="94"/>
      <c r="L452" s="94"/>
      <c r="M452" s="94"/>
      <c r="N452" s="94"/>
      <c r="O452" s="94"/>
      <c r="P452" s="94"/>
      <c r="Q452" s="94"/>
      <c r="R452" s="94"/>
      <c r="S452" s="95"/>
      <c r="T452" s="34"/>
      <c r="U452" s="34"/>
      <c r="V452" s="34"/>
      <c r="W452" s="34"/>
      <c r="X452" s="34"/>
      <c r="Y452" s="34"/>
      <c r="Z452" s="34"/>
      <c r="AA452" s="34"/>
      <c r="AB452" s="34"/>
      <c r="AC452" s="34"/>
      <c r="AD452" s="34"/>
    </row>
    <row r="453" ht="15.75" customHeight="1">
      <c r="A453" s="94"/>
      <c r="B453" s="94"/>
      <c r="C453" s="94"/>
      <c r="D453" s="94"/>
      <c r="E453" s="94"/>
      <c r="F453" s="94"/>
      <c r="G453" s="94"/>
      <c r="H453" s="94"/>
      <c r="I453" s="94"/>
      <c r="J453" s="94"/>
      <c r="K453" s="94"/>
      <c r="L453" s="94"/>
      <c r="M453" s="94"/>
      <c r="N453" s="94"/>
      <c r="O453" s="94"/>
      <c r="P453" s="94"/>
      <c r="Q453" s="94"/>
      <c r="R453" s="94"/>
      <c r="S453" s="95"/>
      <c r="T453" s="34"/>
      <c r="U453" s="34"/>
      <c r="V453" s="34"/>
      <c r="W453" s="34"/>
      <c r="X453" s="34"/>
      <c r="Y453" s="34"/>
      <c r="Z453" s="34"/>
      <c r="AA453" s="34"/>
      <c r="AB453" s="34"/>
      <c r="AC453" s="34"/>
      <c r="AD453" s="34"/>
    </row>
    <row r="454" ht="15.75" customHeight="1">
      <c r="A454" s="94"/>
      <c r="B454" s="94"/>
      <c r="C454" s="94"/>
      <c r="D454" s="94"/>
      <c r="E454" s="94"/>
      <c r="F454" s="94"/>
      <c r="G454" s="94"/>
      <c r="H454" s="94"/>
      <c r="I454" s="94"/>
      <c r="J454" s="94"/>
      <c r="K454" s="94"/>
      <c r="L454" s="94"/>
      <c r="M454" s="94"/>
      <c r="N454" s="94"/>
      <c r="O454" s="94"/>
      <c r="P454" s="94"/>
      <c r="Q454" s="94"/>
      <c r="R454" s="94"/>
      <c r="S454" s="95"/>
      <c r="T454" s="34"/>
      <c r="U454" s="34"/>
      <c r="V454" s="34"/>
      <c r="W454" s="34"/>
      <c r="X454" s="34"/>
      <c r="Y454" s="34"/>
      <c r="Z454" s="34"/>
      <c r="AA454" s="34"/>
      <c r="AB454" s="34"/>
      <c r="AC454" s="34"/>
      <c r="AD454" s="34"/>
    </row>
    <row r="455" ht="15.75" customHeight="1">
      <c r="A455" s="94"/>
      <c r="B455" s="94"/>
      <c r="C455" s="94"/>
      <c r="D455" s="94"/>
      <c r="E455" s="94"/>
      <c r="F455" s="94"/>
      <c r="G455" s="94"/>
      <c r="H455" s="94"/>
      <c r="I455" s="94"/>
      <c r="J455" s="94"/>
      <c r="K455" s="94"/>
      <c r="L455" s="94"/>
      <c r="M455" s="94"/>
      <c r="N455" s="94"/>
      <c r="O455" s="94"/>
      <c r="P455" s="94"/>
      <c r="Q455" s="94"/>
      <c r="R455" s="94"/>
      <c r="S455" s="95"/>
      <c r="T455" s="34"/>
      <c r="U455" s="34"/>
      <c r="V455" s="34"/>
      <c r="W455" s="34"/>
      <c r="X455" s="34"/>
      <c r="Y455" s="34"/>
      <c r="Z455" s="34"/>
      <c r="AA455" s="34"/>
      <c r="AB455" s="34"/>
      <c r="AC455" s="34"/>
      <c r="AD455" s="34"/>
    </row>
    <row r="456" ht="15.75" customHeight="1">
      <c r="A456" s="94"/>
      <c r="B456" s="94"/>
      <c r="C456" s="94"/>
      <c r="D456" s="94"/>
      <c r="E456" s="94"/>
      <c r="F456" s="94"/>
      <c r="G456" s="94"/>
      <c r="H456" s="94"/>
      <c r="I456" s="94"/>
      <c r="J456" s="94"/>
      <c r="K456" s="94"/>
      <c r="L456" s="94"/>
      <c r="M456" s="94"/>
      <c r="N456" s="94"/>
      <c r="O456" s="94"/>
      <c r="P456" s="94"/>
      <c r="Q456" s="94"/>
      <c r="R456" s="94"/>
      <c r="S456" s="95"/>
      <c r="T456" s="34"/>
      <c r="U456" s="34"/>
      <c r="V456" s="34"/>
      <c r="W456" s="34"/>
      <c r="X456" s="34"/>
      <c r="Y456" s="34"/>
      <c r="Z456" s="34"/>
      <c r="AA456" s="34"/>
      <c r="AB456" s="34"/>
      <c r="AC456" s="34"/>
      <c r="AD456" s="34"/>
    </row>
    <row r="457" ht="15.75" customHeight="1">
      <c r="A457" s="94"/>
      <c r="B457" s="94"/>
      <c r="C457" s="94"/>
      <c r="D457" s="94"/>
      <c r="E457" s="94"/>
      <c r="F457" s="94"/>
      <c r="G457" s="94"/>
      <c r="H457" s="94"/>
      <c r="I457" s="94"/>
      <c r="J457" s="94"/>
      <c r="K457" s="94"/>
      <c r="L457" s="94"/>
      <c r="M457" s="94"/>
      <c r="N457" s="94"/>
      <c r="O457" s="94"/>
      <c r="P457" s="94"/>
      <c r="Q457" s="94"/>
      <c r="R457" s="94"/>
      <c r="S457" s="95"/>
      <c r="T457" s="34"/>
      <c r="U457" s="34"/>
      <c r="V457" s="34"/>
      <c r="W457" s="34"/>
      <c r="X457" s="34"/>
      <c r="Y457" s="34"/>
      <c r="Z457" s="34"/>
      <c r="AA457" s="34"/>
      <c r="AB457" s="34"/>
      <c r="AC457" s="34"/>
      <c r="AD457" s="34"/>
    </row>
    <row r="458" ht="15.75" customHeight="1">
      <c r="A458" s="94"/>
      <c r="B458" s="94"/>
      <c r="C458" s="94"/>
      <c r="D458" s="94"/>
      <c r="E458" s="94"/>
      <c r="F458" s="94"/>
      <c r="G458" s="94"/>
      <c r="H458" s="94"/>
      <c r="I458" s="94"/>
      <c r="J458" s="94"/>
      <c r="K458" s="94"/>
      <c r="L458" s="94"/>
      <c r="M458" s="94"/>
      <c r="N458" s="94"/>
      <c r="O458" s="94"/>
      <c r="P458" s="94"/>
      <c r="Q458" s="94"/>
      <c r="R458" s="94"/>
      <c r="S458" s="95"/>
      <c r="T458" s="34"/>
      <c r="U458" s="34"/>
      <c r="V458" s="34"/>
      <c r="W458" s="34"/>
      <c r="X458" s="34"/>
      <c r="Y458" s="34"/>
      <c r="Z458" s="34"/>
      <c r="AA458" s="34"/>
      <c r="AB458" s="34"/>
      <c r="AC458" s="34"/>
      <c r="AD458" s="34"/>
    </row>
    <row r="459" ht="15.75" customHeight="1">
      <c r="A459" s="94"/>
      <c r="B459" s="94"/>
      <c r="C459" s="94"/>
      <c r="D459" s="94"/>
      <c r="E459" s="94"/>
      <c r="F459" s="94"/>
      <c r="G459" s="94"/>
      <c r="H459" s="94"/>
      <c r="I459" s="94"/>
      <c r="J459" s="94"/>
      <c r="K459" s="94"/>
      <c r="L459" s="94"/>
      <c r="M459" s="94"/>
      <c r="N459" s="94"/>
      <c r="O459" s="94"/>
      <c r="P459" s="94"/>
      <c r="Q459" s="94"/>
      <c r="R459" s="94"/>
      <c r="S459" s="95"/>
      <c r="T459" s="34"/>
      <c r="U459" s="34"/>
      <c r="V459" s="34"/>
      <c r="W459" s="34"/>
      <c r="X459" s="34"/>
      <c r="Y459" s="34"/>
      <c r="Z459" s="34"/>
      <c r="AA459" s="34"/>
      <c r="AB459" s="34"/>
      <c r="AC459" s="34"/>
      <c r="AD459" s="34"/>
    </row>
    <row r="460" ht="15.75" customHeight="1">
      <c r="A460" s="94"/>
      <c r="B460" s="94"/>
      <c r="C460" s="94"/>
      <c r="D460" s="94"/>
      <c r="E460" s="94"/>
      <c r="F460" s="94"/>
      <c r="G460" s="94"/>
      <c r="H460" s="94"/>
      <c r="I460" s="94"/>
      <c r="J460" s="94"/>
      <c r="K460" s="94"/>
      <c r="L460" s="94"/>
      <c r="M460" s="94"/>
      <c r="N460" s="94"/>
      <c r="O460" s="94"/>
      <c r="P460" s="94"/>
      <c r="Q460" s="94"/>
      <c r="R460" s="94"/>
      <c r="S460" s="95"/>
      <c r="T460" s="34"/>
      <c r="U460" s="34"/>
      <c r="V460" s="34"/>
      <c r="W460" s="34"/>
      <c r="X460" s="34"/>
      <c r="Y460" s="34"/>
      <c r="Z460" s="34"/>
      <c r="AA460" s="34"/>
      <c r="AB460" s="34"/>
      <c r="AC460" s="34"/>
      <c r="AD460" s="34"/>
    </row>
    <row r="461" ht="15.75" customHeight="1">
      <c r="A461" s="94"/>
      <c r="B461" s="94"/>
      <c r="C461" s="94"/>
      <c r="D461" s="94"/>
      <c r="E461" s="94"/>
      <c r="F461" s="94"/>
      <c r="G461" s="94"/>
      <c r="H461" s="94"/>
      <c r="I461" s="94"/>
      <c r="J461" s="94"/>
      <c r="K461" s="94"/>
      <c r="L461" s="94"/>
      <c r="M461" s="94"/>
      <c r="N461" s="94"/>
      <c r="O461" s="94"/>
      <c r="P461" s="94"/>
      <c r="Q461" s="94"/>
      <c r="R461" s="94"/>
      <c r="S461" s="95"/>
      <c r="T461" s="34"/>
      <c r="U461" s="34"/>
      <c r="V461" s="34"/>
      <c r="W461" s="34"/>
      <c r="X461" s="34"/>
      <c r="Y461" s="34"/>
      <c r="Z461" s="34"/>
      <c r="AA461" s="34"/>
      <c r="AB461" s="34"/>
      <c r="AC461" s="34"/>
      <c r="AD461" s="34"/>
    </row>
    <row r="462" ht="15.75" customHeight="1">
      <c r="A462" s="94"/>
      <c r="B462" s="94"/>
      <c r="C462" s="94"/>
      <c r="D462" s="94"/>
      <c r="E462" s="94"/>
      <c r="F462" s="94"/>
      <c r="G462" s="94"/>
      <c r="H462" s="94"/>
      <c r="I462" s="94"/>
      <c r="J462" s="94"/>
      <c r="K462" s="94"/>
      <c r="L462" s="94"/>
      <c r="M462" s="94"/>
      <c r="N462" s="94"/>
      <c r="O462" s="94"/>
      <c r="P462" s="94"/>
      <c r="Q462" s="94"/>
      <c r="R462" s="94"/>
      <c r="S462" s="95"/>
      <c r="T462" s="34"/>
      <c r="U462" s="34"/>
      <c r="V462" s="34"/>
      <c r="W462" s="34"/>
      <c r="X462" s="34"/>
      <c r="Y462" s="34"/>
      <c r="Z462" s="34"/>
      <c r="AA462" s="34"/>
      <c r="AB462" s="34"/>
      <c r="AC462" s="34"/>
      <c r="AD462" s="34"/>
    </row>
    <row r="463" ht="15.75" customHeight="1">
      <c r="A463" s="94"/>
      <c r="B463" s="94"/>
      <c r="C463" s="94"/>
      <c r="D463" s="94"/>
      <c r="E463" s="94"/>
      <c r="F463" s="94"/>
      <c r="G463" s="94"/>
      <c r="H463" s="94"/>
      <c r="I463" s="94"/>
      <c r="J463" s="94"/>
      <c r="K463" s="94"/>
      <c r="L463" s="94"/>
      <c r="M463" s="94"/>
      <c r="N463" s="94"/>
      <c r="O463" s="94"/>
      <c r="P463" s="94"/>
      <c r="Q463" s="94"/>
      <c r="R463" s="94"/>
      <c r="S463" s="95"/>
      <c r="T463" s="34"/>
      <c r="U463" s="34"/>
      <c r="V463" s="34"/>
      <c r="W463" s="34"/>
      <c r="X463" s="34"/>
      <c r="Y463" s="34"/>
      <c r="Z463" s="34"/>
      <c r="AA463" s="34"/>
      <c r="AB463" s="34"/>
      <c r="AC463" s="34"/>
      <c r="AD463" s="34"/>
    </row>
    <row r="464" ht="15.75" customHeight="1">
      <c r="A464" s="94"/>
      <c r="B464" s="94"/>
      <c r="C464" s="94"/>
      <c r="D464" s="94"/>
      <c r="E464" s="94"/>
      <c r="F464" s="94"/>
      <c r="G464" s="94"/>
      <c r="H464" s="94"/>
      <c r="I464" s="94"/>
      <c r="J464" s="94"/>
      <c r="K464" s="94"/>
      <c r="L464" s="94"/>
      <c r="M464" s="94"/>
      <c r="N464" s="94"/>
      <c r="O464" s="94"/>
      <c r="P464" s="94"/>
      <c r="Q464" s="94"/>
      <c r="R464" s="94"/>
      <c r="S464" s="95"/>
      <c r="T464" s="34"/>
      <c r="U464" s="34"/>
      <c r="V464" s="34"/>
      <c r="W464" s="34"/>
      <c r="X464" s="34"/>
      <c r="Y464" s="34"/>
      <c r="Z464" s="34"/>
      <c r="AA464" s="34"/>
      <c r="AB464" s="34"/>
      <c r="AC464" s="34"/>
      <c r="AD464" s="34"/>
    </row>
    <row r="465" ht="15.75" customHeight="1">
      <c r="A465" s="94"/>
      <c r="B465" s="94"/>
      <c r="C465" s="94"/>
      <c r="D465" s="94"/>
      <c r="E465" s="94"/>
      <c r="F465" s="94"/>
      <c r="G465" s="94"/>
      <c r="H465" s="94"/>
      <c r="I465" s="94"/>
      <c r="J465" s="94"/>
      <c r="K465" s="94"/>
      <c r="L465" s="94"/>
      <c r="M465" s="94"/>
      <c r="N465" s="94"/>
      <c r="O465" s="94"/>
      <c r="P465" s="94"/>
      <c r="Q465" s="94"/>
      <c r="R465" s="94"/>
      <c r="S465" s="95"/>
      <c r="T465" s="34"/>
      <c r="U465" s="34"/>
      <c r="V465" s="34"/>
      <c r="W465" s="34"/>
      <c r="X465" s="34"/>
      <c r="Y465" s="34"/>
      <c r="Z465" s="34"/>
      <c r="AA465" s="34"/>
      <c r="AB465" s="34"/>
      <c r="AC465" s="34"/>
      <c r="AD465" s="34"/>
    </row>
    <row r="466" ht="15.75" customHeight="1">
      <c r="A466" s="94"/>
      <c r="B466" s="94"/>
      <c r="C466" s="94"/>
      <c r="D466" s="94"/>
      <c r="E466" s="94"/>
      <c r="F466" s="94"/>
      <c r="G466" s="94"/>
      <c r="H466" s="94"/>
      <c r="I466" s="94"/>
      <c r="J466" s="94"/>
      <c r="K466" s="94"/>
      <c r="L466" s="94"/>
      <c r="M466" s="94"/>
      <c r="N466" s="94"/>
      <c r="O466" s="94"/>
      <c r="P466" s="94"/>
      <c r="Q466" s="94"/>
      <c r="R466" s="94"/>
      <c r="S466" s="95"/>
      <c r="T466" s="34"/>
      <c r="U466" s="34"/>
      <c r="V466" s="34"/>
      <c r="W466" s="34"/>
      <c r="X466" s="34"/>
      <c r="Y466" s="34"/>
      <c r="Z466" s="34"/>
      <c r="AA466" s="34"/>
      <c r="AB466" s="34"/>
      <c r="AC466" s="34"/>
      <c r="AD466" s="34"/>
    </row>
    <row r="467" ht="15.75" customHeight="1">
      <c r="A467" s="94"/>
      <c r="B467" s="94"/>
      <c r="C467" s="94"/>
      <c r="D467" s="94"/>
      <c r="E467" s="94"/>
      <c r="F467" s="94"/>
      <c r="G467" s="94"/>
      <c r="H467" s="94"/>
      <c r="I467" s="94"/>
      <c r="J467" s="94"/>
      <c r="K467" s="94"/>
      <c r="L467" s="94"/>
      <c r="M467" s="94"/>
      <c r="N467" s="94"/>
      <c r="O467" s="94"/>
      <c r="P467" s="94"/>
      <c r="Q467" s="94"/>
      <c r="R467" s="94"/>
      <c r="S467" s="95"/>
      <c r="T467" s="34"/>
      <c r="U467" s="34"/>
      <c r="V467" s="34"/>
      <c r="W467" s="34"/>
      <c r="X467" s="34"/>
      <c r="Y467" s="34"/>
      <c r="Z467" s="34"/>
      <c r="AA467" s="34"/>
      <c r="AB467" s="34"/>
      <c r="AC467" s="34"/>
      <c r="AD467" s="34"/>
    </row>
    <row r="468" ht="15.75" customHeight="1">
      <c r="A468" s="94"/>
      <c r="B468" s="94"/>
      <c r="C468" s="94"/>
      <c r="D468" s="94"/>
      <c r="E468" s="94"/>
      <c r="F468" s="94"/>
      <c r="G468" s="94"/>
      <c r="H468" s="94"/>
      <c r="I468" s="94"/>
      <c r="J468" s="94"/>
      <c r="K468" s="94"/>
      <c r="L468" s="94"/>
      <c r="M468" s="94"/>
      <c r="N468" s="94"/>
      <c r="O468" s="94"/>
      <c r="P468" s="94"/>
      <c r="Q468" s="94"/>
      <c r="R468" s="94"/>
      <c r="S468" s="95"/>
      <c r="T468" s="34"/>
      <c r="U468" s="34"/>
      <c r="V468" s="34"/>
      <c r="W468" s="34"/>
      <c r="X468" s="34"/>
      <c r="Y468" s="34"/>
      <c r="Z468" s="34"/>
      <c r="AA468" s="34"/>
      <c r="AB468" s="34"/>
      <c r="AC468" s="34"/>
      <c r="AD468" s="34"/>
    </row>
    <row r="469" ht="15.75" customHeight="1">
      <c r="A469" s="94"/>
      <c r="B469" s="94"/>
      <c r="C469" s="94"/>
      <c r="D469" s="94"/>
      <c r="E469" s="94"/>
      <c r="F469" s="94"/>
      <c r="G469" s="94"/>
      <c r="H469" s="94"/>
      <c r="I469" s="94"/>
      <c r="J469" s="94"/>
      <c r="K469" s="94"/>
      <c r="L469" s="94"/>
      <c r="M469" s="94"/>
      <c r="N469" s="94"/>
      <c r="O469" s="94"/>
      <c r="P469" s="94"/>
      <c r="Q469" s="94"/>
      <c r="R469" s="94"/>
      <c r="S469" s="95"/>
      <c r="T469" s="34"/>
      <c r="U469" s="34"/>
      <c r="V469" s="34"/>
      <c r="W469" s="34"/>
      <c r="X469" s="34"/>
      <c r="Y469" s="34"/>
      <c r="Z469" s="34"/>
      <c r="AA469" s="34"/>
      <c r="AB469" s="34"/>
      <c r="AC469" s="34"/>
      <c r="AD469" s="34"/>
    </row>
    <row r="470" ht="15.75" customHeight="1">
      <c r="A470" s="94"/>
      <c r="B470" s="94"/>
      <c r="C470" s="94"/>
      <c r="D470" s="94"/>
      <c r="E470" s="94"/>
      <c r="F470" s="94"/>
      <c r="G470" s="94"/>
      <c r="H470" s="94"/>
      <c r="I470" s="94"/>
      <c r="J470" s="94"/>
      <c r="K470" s="94"/>
      <c r="L470" s="94"/>
      <c r="M470" s="94"/>
      <c r="N470" s="94"/>
      <c r="O470" s="94"/>
      <c r="P470" s="94"/>
      <c r="Q470" s="94"/>
      <c r="R470" s="94"/>
      <c r="S470" s="95"/>
      <c r="T470" s="34"/>
      <c r="U470" s="34"/>
      <c r="V470" s="34"/>
      <c r="W470" s="34"/>
      <c r="X470" s="34"/>
      <c r="Y470" s="34"/>
      <c r="Z470" s="34"/>
      <c r="AA470" s="34"/>
      <c r="AB470" s="34"/>
      <c r="AC470" s="34"/>
      <c r="AD470" s="34"/>
    </row>
    <row r="471" ht="15.75" customHeight="1">
      <c r="A471" s="94"/>
      <c r="B471" s="94"/>
      <c r="C471" s="94"/>
      <c r="D471" s="94"/>
      <c r="E471" s="94"/>
      <c r="F471" s="94"/>
      <c r="G471" s="94"/>
      <c r="H471" s="94"/>
      <c r="I471" s="94"/>
      <c r="J471" s="94"/>
      <c r="K471" s="94"/>
      <c r="L471" s="94"/>
      <c r="M471" s="94"/>
      <c r="N471" s="94"/>
      <c r="O471" s="94"/>
      <c r="P471" s="94"/>
      <c r="Q471" s="94"/>
      <c r="R471" s="94"/>
      <c r="S471" s="95"/>
      <c r="T471" s="34"/>
      <c r="U471" s="34"/>
      <c r="V471" s="34"/>
      <c r="W471" s="34"/>
      <c r="X471" s="34"/>
      <c r="Y471" s="34"/>
      <c r="Z471" s="34"/>
      <c r="AA471" s="34"/>
      <c r="AB471" s="34"/>
      <c r="AC471" s="34"/>
      <c r="AD471" s="34"/>
    </row>
    <row r="472" ht="15.75" customHeight="1">
      <c r="A472" s="94"/>
      <c r="B472" s="94"/>
      <c r="C472" s="94"/>
      <c r="D472" s="94"/>
      <c r="E472" s="94"/>
      <c r="F472" s="94"/>
      <c r="G472" s="94"/>
      <c r="H472" s="94"/>
      <c r="I472" s="94"/>
      <c r="J472" s="94"/>
      <c r="K472" s="94"/>
      <c r="L472" s="94"/>
      <c r="M472" s="94"/>
      <c r="N472" s="94"/>
      <c r="O472" s="94"/>
      <c r="P472" s="94"/>
      <c r="Q472" s="94"/>
      <c r="R472" s="94"/>
      <c r="S472" s="95"/>
      <c r="T472" s="34"/>
      <c r="U472" s="34"/>
      <c r="V472" s="34"/>
      <c r="W472" s="34"/>
      <c r="X472" s="34"/>
      <c r="Y472" s="34"/>
      <c r="Z472" s="34"/>
      <c r="AA472" s="34"/>
      <c r="AB472" s="34"/>
      <c r="AC472" s="34"/>
      <c r="AD472" s="34"/>
    </row>
    <row r="473" ht="15.75" customHeight="1">
      <c r="A473" s="94"/>
      <c r="B473" s="94"/>
      <c r="C473" s="94"/>
      <c r="D473" s="94"/>
      <c r="E473" s="94"/>
      <c r="F473" s="94"/>
      <c r="G473" s="94"/>
      <c r="H473" s="94"/>
      <c r="I473" s="94"/>
      <c r="J473" s="94"/>
      <c r="K473" s="94"/>
      <c r="L473" s="94"/>
      <c r="M473" s="94"/>
      <c r="N473" s="94"/>
      <c r="O473" s="94"/>
      <c r="P473" s="94"/>
      <c r="Q473" s="94"/>
      <c r="R473" s="94"/>
      <c r="S473" s="95"/>
      <c r="T473" s="34"/>
      <c r="U473" s="34"/>
      <c r="V473" s="34"/>
      <c r="W473" s="34"/>
      <c r="X473" s="34"/>
      <c r="Y473" s="34"/>
      <c r="Z473" s="34"/>
      <c r="AA473" s="34"/>
      <c r="AB473" s="34"/>
      <c r="AC473" s="34"/>
      <c r="AD473" s="34"/>
    </row>
    <row r="474" ht="15.75" customHeight="1">
      <c r="A474" s="94"/>
      <c r="B474" s="94"/>
      <c r="C474" s="94"/>
      <c r="D474" s="94"/>
      <c r="E474" s="94"/>
      <c r="F474" s="94"/>
      <c r="G474" s="94"/>
      <c r="H474" s="94"/>
      <c r="I474" s="94"/>
      <c r="J474" s="94"/>
      <c r="K474" s="94"/>
      <c r="L474" s="94"/>
      <c r="M474" s="94"/>
      <c r="N474" s="94"/>
      <c r="O474" s="94"/>
      <c r="P474" s="94"/>
      <c r="Q474" s="94"/>
      <c r="R474" s="94"/>
      <c r="S474" s="95"/>
      <c r="T474" s="34"/>
      <c r="U474" s="34"/>
      <c r="V474" s="34"/>
      <c r="W474" s="34"/>
      <c r="X474" s="34"/>
      <c r="Y474" s="34"/>
      <c r="Z474" s="34"/>
      <c r="AA474" s="34"/>
      <c r="AB474" s="34"/>
      <c r="AC474" s="34"/>
      <c r="AD474" s="34"/>
    </row>
    <row r="475" ht="15.75" customHeight="1">
      <c r="A475" s="94"/>
      <c r="B475" s="94"/>
      <c r="C475" s="94"/>
      <c r="D475" s="94"/>
      <c r="E475" s="94"/>
      <c r="F475" s="94"/>
      <c r="G475" s="94"/>
      <c r="H475" s="94"/>
      <c r="I475" s="94"/>
      <c r="J475" s="94"/>
      <c r="K475" s="94"/>
      <c r="L475" s="94"/>
      <c r="M475" s="94"/>
      <c r="N475" s="94"/>
      <c r="O475" s="94"/>
      <c r="P475" s="94"/>
      <c r="Q475" s="94"/>
      <c r="R475" s="94"/>
      <c r="S475" s="95"/>
      <c r="T475" s="34"/>
      <c r="U475" s="34"/>
      <c r="V475" s="34"/>
      <c r="W475" s="34"/>
      <c r="X475" s="34"/>
      <c r="Y475" s="34"/>
      <c r="Z475" s="34"/>
      <c r="AA475" s="34"/>
      <c r="AB475" s="34"/>
      <c r="AC475" s="34"/>
      <c r="AD475" s="34"/>
    </row>
    <row r="476" ht="15.75" customHeight="1">
      <c r="A476" s="94"/>
      <c r="B476" s="94"/>
      <c r="C476" s="94"/>
      <c r="D476" s="94"/>
      <c r="E476" s="94"/>
      <c r="F476" s="94"/>
      <c r="G476" s="94"/>
      <c r="H476" s="94"/>
      <c r="I476" s="94"/>
      <c r="J476" s="94"/>
      <c r="K476" s="94"/>
      <c r="L476" s="94"/>
      <c r="M476" s="94"/>
      <c r="N476" s="94"/>
      <c r="O476" s="94"/>
      <c r="P476" s="94"/>
      <c r="Q476" s="94"/>
      <c r="R476" s="94"/>
      <c r="S476" s="95"/>
      <c r="T476" s="34"/>
      <c r="U476" s="34"/>
      <c r="V476" s="34"/>
      <c r="W476" s="34"/>
      <c r="X476" s="34"/>
      <c r="Y476" s="34"/>
      <c r="Z476" s="34"/>
      <c r="AA476" s="34"/>
      <c r="AB476" s="34"/>
      <c r="AC476" s="34"/>
      <c r="AD476" s="34"/>
    </row>
    <row r="477" ht="15.75" customHeight="1">
      <c r="A477" s="94"/>
      <c r="B477" s="94"/>
      <c r="C477" s="94"/>
      <c r="D477" s="94"/>
      <c r="E477" s="94"/>
      <c r="F477" s="94"/>
      <c r="G477" s="94"/>
      <c r="H477" s="94"/>
      <c r="I477" s="94"/>
      <c r="J477" s="94"/>
      <c r="K477" s="94"/>
      <c r="L477" s="94"/>
      <c r="M477" s="94"/>
      <c r="N477" s="94"/>
      <c r="O477" s="94"/>
      <c r="P477" s="94"/>
      <c r="Q477" s="94"/>
      <c r="R477" s="94"/>
      <c r="S477" s="95"/>
      <c r="T477" s="34"/>
      <c r="U477" s="34"/>
      <c r="V477" s="34"/>
      <c r="W477" s="34"/>
      <c r="X477" s="34"/>
      <c r="Y477" s="34"/>
      <c r="Z477" s="34"/>
      <c r="AA477" s="34"/>
      <c r="AB477" s="34"/>
      <c r="AC477" s="34"/>
      <c r="AD477" s="34"/>
    </row>
    <row r="478" ht="15.75" customHeight="1">
      <c r="A478" s="94"/>
      <c r="B478" s="94"/>
      <c r="C478" s="94"/>
      <c r="D478" s="94"/>
      <c r="E478" s="94"/>
      <c r="F478" s="94"/>
      <c r="G478" s="94"/>
      <c r="H478" s="94"/>
      <c r="I478" s="94"/>
      <c r="J478" s="94"/>
      <c r="K478" s="94"/>
      <c r="L478" s="94"/>
      <c r="M478" s="94"/>
      <c r="N478" s="94"/>
      <c r="O478" s="94"/>
      <c r="P478" s="94"/>
      <c r="Q478" s="94"/>
      <c r="R478" s="94"/>
      <c r="S478" s="95"/>
      <c r="T478" s="34"/>
      <c r="U478" s="34"/>
      <c r="V478" s="34"/>
      <c r="W478" s="34"/>
      <c r="X478" s="34"/>
      <c r="Y478" s="34"/>
      <c r="Z478" s="34"/>
      <c r="AA478" s="34"/>
      <c r="AB478" s="34"/>
      <c r="AC478" s="34"/>
      <c r="AD478" s="34"/>
    </row>
    <row r="479" ht="15.75" customHeight="1">
      <c r="A479" s="94"/>
      <c r="B479" s="94"/>
      <c r="C479" s="94"/>
      <c r="D479" s="94"/>
      <c r="E479" s="94"/>
      <c r="F479" s="94"/>
      <c r="G479" s="94"/>
      <c r="H479" s="94"/>
      <c r="I479" s="94"/>
      <c r="J479" s="94"/>
      <c r="K479" s="94"/>
      <c r="L479" s="94"/>
      <c r="M479" s="94"/>
      <c r="N479" s="94"/>
      <c r="O479" s="94"/>
      <c r="P479" s="94"/>
      <c r="Q479" s="94"/>
      <c r="R479" s="94"/>
      <c r="S479" s="95"/>
      <c r="T479" s="34"/>
      <c r="U479" s="34"/>
      <c r="V479" s="34"/>
      <c r="W479" s="34"/>
      <c r="X479" s="34"/>
      <c r="Y479" s="34"/>
      <c r="Z479" s="34"/>
      <c r="AA479" s="34"/>
      <c r="AB479" s="34"/>
      <c r="AC479" s="34"/>
      <c r="AD479" s="34"/>
    </row>
    <row r="480" ht="15.75" customHeight="1">
      <c r="A480" s="94"/>
      <c r="B480" s="94"/>
      <c r="C480" s="94"/>
      <c r="D480" s="94"/>
      <c r="E480" s="94"/>
      <c r="F480" s="94"/>
      <c r="G480" s="94"/>
      <c r="H480" s="94"/>
      <c r="I480" s="94"/>
      <c r="J480" s="94"/>
      <c r="K480" s="94"/>
      <c r="L480" s="94"/>
      <c r="M480" s="94"/>
      <c r="N480" s="94"/>
      <c r="O480" s="94"/>
      <c r="P480" s="94"/>
      <c r="Q480" s="94"/>
      <c r="R480" s="94"/>
      <c r="S480" s="95"/>
      <c r="T480" s="34"/>
      <c r="U480" s="34"/>
      <c r="V480" s="34"/>
      <c r="W480" s="34"/>
      <c r="X480" s="34"/>
      <c r="Y480" s="34"/>
      <c r="Z480" s="34"/>
      <c r="AA480" s="34"/>
      <c r="AB480" s="34"/>
      <c r="AC480" s="34"/>
      <c r="AD480" s="34"/>
    </row>
    <row r="481" ht="15.75" customHeight="1">
      <c r="A481" s="94"/>
      <c r="B481" s="94"/>
      <c r="C481" s="94"/>
      <c r="D481" s="94"/>
      <c r="E481" s="94"/>
      <c r="F481" s="94"/>
      <c r="G481" s="94"/>
      <c r="H481" s="94"/>
      <c r="I481" s="94"/>
      <c r="J481" s="94"/>
      <c r="K481" s="94"/>
      <c r="L481" s="94"/>
      <c r="M481" s="94"/>
      <c r="N481" s="94"/>
      <c r="O481" s="94"/>
      <c r="P481" s="94"/>
      <c r="Q481" s="94"/>
      <c r="R481" s="94"/>
      <c r="S481" s="95"/>
      <c r="T481" s="34"/>
      <c r="U481" s="34"/>
      <c r="V481" s="34"/>
      <c r="W481" s="34"/>
      <c r="X481" s="34"/>
      <c r="Y481" s="34"/>
      <c r="Z481" s="34"/>
      <c r="AA481" s="34"/>
      <c r="AB481" s="34"/>
      <c r="AC481" s="34"/>
      <c r="AD481" s="34"/>
    </row>
    <row r="482" ht="15.75" customHeight="1">
      <c r="A482" s="94"/>
      <c r="B482" s="94"/>
      <c r="C482" s="94"/>
      <c r="D482" s="94"/>
      <c r="E482" s="94"/>
      <c r="F482" s="94"/>
      <c r="G482" s="94"/>
      <c r="H482" s="94"/>
      <c r="I482" s="94"/>
      <c r="J482" s="94"/>
      <c r="K482" s="94"/>
      <c r="L482" s="94"/>
      <c r="M482" s="94"/>
      <c r="N482" s="94"/>
      <c r="O482" s="94"/>
      <c r="P482" s="94"/>
      <c r="Q482" s="94"/>
      <c r="R482" s="94"/>
      <c r="S482" s="95"/>
      <c r="T482" s="34"/>
      <c r="U482" s="34"/>
      <c r="V482" s="34"/>
      <c r="W482" s="34"/>
      <c r="X482" s="34"/>
      <c r="Y482" s="34"/>
      <c r="Z482" s="34"/>
      <c r="AA482" s="34"/>
      <c r="AB482" s="34"/>
      <c r="AC482" s="34"/>
      <c r="AD482" s="34"/>
    </row>
    <row r="483" ht="15.75" customHeight="1">
      <c r="A483" s="94"/>
      <c r="B483" s="94"/>
      <c r="C483" s="94"/>
      <c r="D483" s="94"/>
      <c r="E483" s="94"/>
      <c r="F483" s="94"/>
      <c r="G483" s="94"/>
      <c r="H483" s="94"/>
      <c r="I483" s="94"/>
      <c r="J483" s="94"/>
      <c r="K483" s="94"/>
      <c r="L483" s="94"/>
      <c r="M483" s="94"/>
      <c r="N483" s="94"/>
      <c r="O483" s="94"/>
      <c r="P483" s="94"/>
      <c r="Q483" s="94"/>
      <c r="R483" s="94"/>
      <c r="S483" s="95"/>
      <c r="T483" s="34"/>
      <c r="U483" s="34"/>
      <c r="V483" s="34"/>
      <c r="W483" s="34"/>
      <c r="X483" s="34"/>
      <c r="Y483" s="34"/>
      <c r="Z483" s="34"/>
      <c r="AA483" s="34"/>
      <c r="AB483" s="34"/>
      <c r="AC483" s="34"/>
      <c r="AD483" s="34"/>
    </row>
    <row r="484" ht="15.75" customHeight="1">
      <c r="A484" s="94"/>
      <c r="B484" s="94"/>
      <c r="C484" s="94"/>
      <c r="D484" s="94"/>
      <c r="E484" s="94"/>
      <c r="F484" s="94"/>
      <c r="G484" s="94"/>
      <c r="H484" s="94"/>
      <c r="I484" s="94"/>
      <c r="J484" s="94"/>
      <c r="K484" s="94"/>
      <c r="L484" s="94"/>
      <c r="M484" s="94"/>
      <c r="N484" s="94"/>
      <c r="O484" s="94"/>
      <c r="P484" s="94"/>
      <c r="Q484" s="94"/>
      <c r="R484" s="94"/>
      <c r="S484" s="95"/>
      <c r="T484" s="34"/>
      <c r="U484" s="34"/>
      <c r="V484" s="34"/>
      <c r="W484" s="34"/>
      <c r="X484" s="34"/>
      <c r="Y484" s="34"/>
      <c r="Z484" s="34"/>
      <c r="AA484" s="34"/>
      <c r="AB484" s="34"/>
      <c r="AC484" s="34"/>
      <c r="AD484" s="34"/>
    </row>
    <row r="485" ht="15.75" customHeight="1">
      <c r="A485" s="94"/>
      <c r="B485" s="94"/>
      <c r="C485" s="94"/>
      <c r="D485" s="94"/>
      <c r="E485" s="94"/>
      <c r="F485" s="94"/>
      <c r="G485" s="94"/>
      <c r="H485" s="94"/>
      <c r="I485" s="94"/>
      <c r="J485" s="94"/>
      <c r="K485" s="94"/>
      <c r="L485" s="94"/>
      <c r="M485" s="94"/>
      <c r="N485" s="94"/>
      <c r="O485" s="94"/>
      <c r="P485" s="94"/>
      <c r="Q485" s="94"/>
      <c r="R485" s="94"/>
      <c r="S485" s="95"/>
      <c r="T485" s="34"/>
      <c r="U485" s="34"/>
      <c r="V485" s="34"/>
      <c r="W485" s="34"/>
      <c r="X485" s="34"/>
      <c r="Y485" s="34"/>
      <c r="Z485" s="34"/>
      <c r="AA485" s="34"/>
      <c r="AB485" s="34"/>
      <c r="AC485" s="34"/>
      <c r="AD485" s="34"/>
    </row>
    <row r="486" ht="15.75" customHeight="1">
      <c r="A486" s="94"/>
      <c r="B486" s="94"/>
      <c r="C486" s="94"/>
      <c r="D486" s="94"/>
      <c r="E486" s="94"/>
      <c r="F486" s="94"/>
      <c r="G486" s="94"/>
      <c r="H486" s="94"/>
      <c r="I486" s="94"/>
      <c r="J486" s="94"/>
      <c r="K486" s="94"/>
      <c r="L486" s="94"/>
      <c r="M486" s="94"/>
      <c r="N486" s="94"/>
      <c r="O486" s="94"/>
      <c r="P486" s="94"/>
      <c r="Q486" s="94"/>
      <c r="R486" s="94"/>
      <c r="S486" s="95"/>
      <c r="T486" s="34"/>
      <c r="U486" s="34"/>
      <c r="V486" s="34"/>
      <c r="W486" s="34"/>
      <c r="X486" s="34"/>
      <c r="Y486" s="34"/>
      <c r="Z486" s="34"/>
      <c r="AA486" s="34"/>
      <c r="AB486" s="34"/>
      <c r="AC486" s="34"/>
      <c r="AD486" s="34"/>
    </row>
    <row r="487" ht="15.75" customHeight="1">
      <c r="A487" s="94"/>
      <c r="B487" s="94"/>
      <c r="C487" s="94"/>
      <c r="D487" s="94"/>
      <c r="E487" s="94"/>
      <c r="F487" s="94"/>
      <c r="G487" s="94"/>
      <c r="H487" s="94"/>
      <c r="I487" s="94"/>
      <c r="J487" s="94"/>
      <c r="K487" s="94"/>
      <c r="L487" s="94"/>
      <c r="M487" s="94"/>
      <c r="N487" s="94"/>
      <c r="O487" s="94"/>
      <c r="P487" s="94"/>
      <c r="Q487" s="94"/>
      <c r="R487" s="94"/>
      <c r="S487" s="95"/>
      <c r="T487" s="34"/>
      <c r="U487" s="34"/>
      <c r="V487" s="34"/>
      <c r="W487" s="34"/>
      <c r="X487" s="34"/>
      <c r="Y487" s="34"/>
      <c r="Z487" s="34"/>
      <c r="AA487" s="34"/>
      <c r="AB487" s="34"/>
      <c r="AC487" s="34"/>
      <c r="AD487" s="34"/>
    </row>
    <row r="488" ht="15.75" customHeight="1">
      <c r="A488" s="94"/>
      <c r="B488" s="94"/>
      <c r="C488" s="94"/>
      <c r="D488" s="94"/>
      <c r="E488" s="94"/>
      <c r="F488" s="94"/>
      <c r="G488" s="94"/>
      <c r="H488" s="94"/>
      <c r="I488" s="94"/>
      <c r="J488" s="94"/>
      <c r="K488" s="94"/>
      <c r="L488" s="94"/>
      <c r="M488" s="94"/>
      <c r="N488" s="94"/>
      <c r="O488" s="94"/>
      <c r="P488" s="94"/>
      <c r="Q488" s="94"/>
      <c r="R488" s="94"/>
      <c r="S488" s="95"/>
      <c r="T488" s="34"/>
      <c r="U488" s="34"/>
      <c r="V488" s="34"/>
      <c r="W488" s="34"/>
      <c r="X488" s="34"/>
      <c r="Y488" s="34"/>
      <c r="Z488" s="34"/>
      <c r="AA488" s="34"/>
      <c r="AB488" s="34"/>
      <c r="AC488" s="34"/>
      <c r="AD488" s="34"/>
    </row>
    <row r="489" ht="15.75" customHeight="1">
      <c r="A489" s="94"/>
      <c r="B489" s="94"/>
      <c r="C489" s="94"/>
      <c r="D489" s="94"/>
      <c r="E489" s="94"/>
      <c r="F489" s="94"/>
      <c r="G489" s="94"/>
      <c r="H489" s="94"/>
      <c r="I489" s="94"/>
      <c r="J489" s="94"/>
      <c r="K489" s="94"/>
      <c r="L489" s="94"/>
      <c r="M489" s="94"/>
      <c r="N489" s="94"/>
      <c r="O489" s="94"/>
      <c r="P489" s="94"/>
      <c r="Q489" s="94"/>
      <c r="R489" s="94"/>
      <c r="S489" s="95"/>
      <c r="T489" s="34"/>
      <c r="U489" s="34"/>
      <c r="V489" s="34"/>
      <c r="W489" s="34"/>
      <c r="X489" s="34"/>
      <c r="Y489" s="34"/>
      <c r="Z489" s="34"/>
      <c r="AA489" s="34"/>
      <c r="AB489" s="34"/>
      <c r="AC489" s="34"/>
      <c r="AD489" s="34"/>
    </row>
    <row r="490" ht="15.75" customHeight="1">
      <c r="A490" s="94"/>
      <c r="B490" s="94"/>
      <c r="C490" s="94"/>
      <c r="D490" s="94"/>
      <c r="E490" s="94"/>
      <c r="F490" s="94"/>
      <c r="G490" s="94"/>
      <c r="H490" s="94"/>
      <c r="I490" s="94"/>
      <c r="J490" s="94"/>
      <c r="K490" s="94"/>
      <c r="L490" s="94"/>
      <c r="M490" s="94"/>
      <c r="N490" s="94"/>
      <c r="O490" s="94"/>
      <c r="P490" s="94"/>
      <c r="Q490" s="94"/>
      <c r="R490" s="94"/>
      <c r="S490" s="95"/>
      <c r="T490" s="34"/>
      <c r="U490" s="34"/>
      <c r="V490" s="34"/>
      <c r="W490" s="34"/>
      <c r="X490" s="34"/>
      <c r="Y490" s="34"/>
      <c r="Z490" s="34"/>
      <c r="AA490" s="34"/>
      <c r="AB490" s="34"/>
      <c r="AC490" s="34"/>
      <c r="AD490" s="34"/>
    </row>
    <row r="491" ht="15.75" customHeight="1">
      <c r="A491" s="94"/>
      <c r="B491" s="94"/>
      <c r="C491" s="94"/>
      <c r="D491" s="94"/>
      <c r="E491" s="94"/>
      <c r="F491" s="94"/>
      <c r="G491" s="94"/>
      <c r="H491" s="94"/>
      <c r="I491" s="94"/>
      <c r="J491" s="94"/>
      <c r="K491" s="94"/>
      <c r="L491" s="94"/>
      <c r="M491" s="94"/>
      <c r="N491" s="94"/>
      <c r="O491" s="94"/>
      <c r="P491" s="94"/>
      <c r="Q491" s="94"/>
      <c r="R491" s="94"/>
      <c r="S491" s="95"/>
      <c r="T491" s="34"/>
      <c r="U491" s="34"/>
      <c r="V491" s="34"/>
      <c r="W491" s="34"/>
      <c r="X491" s="34"/>
      <c r="Y491" s="34"/>
      <c r="Z491" s="34"/>
      <c r="AA491" s="34"/>
      <c r="AB491" s="34"/>
      <c r="AC491" s="34"/>
      <c r="AD491" s="34"/>
    </row>
    <row r="492" ht="15.75" customHeight="1">
      <c r="A492" s="94"/>
      <c r="B492" s="94"/>
      <c r="C492" s="94"/>
      <c r="D492" s="94"/>
      <c r="E492" s="94"/>
      <c r="F492" s="94"/>
      <c r="G492" s="94"/>
      <c r="H492" s="94"/>
      <c r="I492" s="94"/>
      <c r="J492" s="94"/>
      <c r="K492" s="94"/>
      <c r="L492" s="94"/>
      <c r="M492" s="94"/>
      <c r="N492" s="94"/>
      <c r="O492" s="94"/>
      <c r="P492" s="94"/>
      <c r="Q492" s="94"/>
      <c r="R492" s="94"/>
      <c r="S492" s="95"/>
      <c r="T492" s="34"/>
      <c r="U492" s="34"/>
      <c r="V492" s="34"/>
      <c r="W492" s="34"/>
      <c r="X492" s="34"/>
      <c r="Y492" s="34"/>
      <c r="Z492" s="34"/>
      <c r="AA492" s="34"/>
      <c r="AB492" s="34"/>
      <c r="AC492" s="34"/>
      <c r="AD492" s="34"/>
    </row>
    <row r="493" ht="15.75" customHeight="1">
      <c r="A493" s="94"/>
      <c r="B493" s="94"/>
      <c r="C493" s="94"/>
      <c r="D493" s="94"/>
      <c r="E493" s="94"/>
      <c r="F493" s="94"/>
      <c r="G493" s="94"/>
      <c r="H493" s="94"/>
      <c r="I493" s="94"/>
      <c r="J493" s="94"/>
      <c r="K493" s="94"/>
      <c r="L493" s="94"/>
      <c r="M493" s="94"/>
      <c r="N493" s="94"/>
      <c r="O493" s="94"/>
      <c r="P493" s="94"/>
      <c r="Q493" s="94"/>
      <c r="R493" s="94"/>
      <c r="S493" s="95"/>
      <c r="T493" s="34"/>
      <c r="U493" s="34"/>
      <c r="V493" s="34"/>
      <c r="W493" s="34"/>
      <c r="X493" s="34"/>
      <c r="Y493" s="34"/>
      <c r="Z493" s="34"/>
      <c r="AA493" s="34"/>
      <c r="AB493" s="34"/>
      <c r="AC493" s="34"/>
      <c r="AD493" s="34"/>
    </row>
    <row r="494" ht="15.75" customHeight="1">
      <c r="A494" s="94"/>
      <c r="B494" s="94"/>
      <c r="C494" s="94"/>
      <c r="D494" s="94"/>
      <c r="E494" s="94"/>
      <c r="F494" s="94"/>
      <c r="G494" s="94"/>
      <c r="H494" s="94"/>
      <c r="I494" s="94"/>
      <c r="J494" s="94"/>
      <c r="K494" s="94"/>
      <c r="L494" s="94"/>
      <c r="M494" s="94"/>
      <c r="N494" s="94"/>
      <c r="O494" s="94"/>
      <c r="P494" s="94"/>
      <c r="Q494" s="94"/>
      <c r="R494" s="94"/>
      <c r="S494" s="95"/>
      <c r="T494" s="34"/>
      <c r="U494" s="34"/>
      <c r="V494" s="34"/>
      <c r="W494" s="34"/>
      <c r="X494" s="34"/>
      <c r="Y494" s="34"/>
      <c r="Z494" s="34"/>
      <c r="AA494" s="34"/>
      <c r="AB494" s="34"/>
      <c r="AC494" s="34"/>
      <c r="AD494" s="34"/>
    </row>
    <row r="495" ht="15.75" customHeight="1">
      <c r="A495" s="94"/>
      <c r="B495" s="94"/>
      <c r="C495" s="94"/>
      <c r="D495" s="94"/>
      <c r="E495" s="94"/>
      <c r="F495" s="94"/>
      <c r="G495" s="94"/>
      <c r="H495" s="94"/>
      <c r="I495" s="94"/>
      <c r="J495" s="94"/>
      <c r="K495" s="94"/>
      <c r="L495" s="94"/>
      <c r="M495" s="94"/>
      <c r="N495" s="94"/>
      <c r="O495" s="94"/>
      <c r="P495" s="94"/>
      <c r="Q495" s="94"/>
      <c r="R495" s="94"/>
      <c r="S495" s="95"/>
      <c r="T495" s="34"/>
      <c r="U495" s="34"/>
      <c r="V495" s="34"/>
      <c r="W495" s="34"/>
      <c r="X495" s="34"/>
      <c r="Y495" s="34"/>
      <c r="Z495" s="34"/>
      <c r="AA495" s="34"/>
      <c r="AB495" s="34"/>
      <c r="AC495" s="34"/>
      <c r="AD495" s="34"/>
    </row>
    <row r="496" ht="15.75" customHeight="1">
      <c r="A496" s="94"/>
      <c r="B496" s="94"/>
      <c r="C496" s="94"/>
      <c r="D496" s="94"/>
      <c r="E496" s="94"/>
      <c r="F496" s="94"/>
      <c r="G496" s="94"/>
      <c r="H496" s="94"/>
      <c r="I496" s="94"/>
      <c r="J496" s="94"/>
      <c r="K496" s="94"/>
      <c r="L496" s="94"/>
      <c r="M496" s="94"/>
      <c r="N496" s="94"/>
      <c r="O496" s="94"/>
      <c r="P496" s="94"/>
      <c r="Q496" s="94"/>
      <c r="R496" s="94"/>
      <c r="S496" s="95"/>
      <c r="T496" s="34"/>
      <c r="U496" s="34"/>
      <c r="V496" s="34"/>
      <c r="W496" s="34"/>
      <c r="X496" s="34"/>
      <c r="Y496" s="34"/>
      <c r="Z496" s="34"/>
      <c r="AA496" s="34"/>
      <c r="AB496" s="34"/>
      <c r="AC496" s="34"/>
      <c r="AD496" s="34"/>
    </row>
    <row r="497" ht="15.75" customHeight="1">
      <c r="A497" s="94"/>
      <c r="B497" s="94"/>
      <c r="C497" s="94"/>
      <c r="D497" s="94"/>
      <c r="E497" s="94"/>
      <c r="F497" s="94"/>
      <c r="G497" s="94"/>
      <c r="H497" s="94"/>
      <c r="I497" s="94"/>
      <c r="J497" s="94"/>
      <c r="K497" s="94"/>
      <c r="L497" s="94"/>
      <c r="M497" s="94"/>
      <c r="N497" s="94"/>
      <c r="O497" s="94"/>
      <c r="P497" s="94"/>
      <c r="Q497" s="94"/>
      <c r="R497" s="94"/>
      <c r="S497" s="95"/>
      <c r="T497" s="34"/>
      <c r="U497" s="34"/>
      <c r="V497" s="34"/>
      <c r="W497" s="34"/>
      <c r="X497" s="34"/>
      <c r="Y497" s="34"/>
      <c r="Z497" s="34"/>
      <c r="AA497" s="34"/>
      <c r="AB497" s="34"/>
      <c r="AC497" s="34"/>
      <c r="AD497" s="34"/>
    </row>
    <row r="498" ht="15.75" customHeight="1">
      <c r="A498" s="94"/>
      <c r="B498" s="94"/>
      <c r="C498" s="94"/>
      <c r="D498" s="94"/>
      <c r="E498" s="94"/>
      <c r="F498" s="94"/>
      <c r="G498" s="94"/>
      <c r="H498" s="94"/>
      <c r="I498" s="94"/>
      <c r="J498" s="94"/>
      <c r="K498" s="94"/>
      <c r="L498" s="94"/>
      <c r="M498" s="94"/>
      <c r="N498" s="94"/>
      <c r="O498" s="94"/>
      <c r="P498" s="94"/>
      <c r="Q498" s="94"/>
      <c r="R498" s="94"/>
      <c r="S498" s="95"/>
      <c r="T498" s="34"/>
      <c r="U498" s="34"/>
      <c r="V498" s="34"/>
      <c r="W498" s="34"/>
      <c r="X498" s="34"/>
      <c r="Y498" s="34"/>
      <c r="Z498" s="34"/>
      <c r="AA498" s="34"/>
      <c r="AB498" s="34"/>
      <c r="AC498" s="34"/>
      <c r="AD498" s="34"/>
    </row>
    <row r="499" ht="15.75" customHeight="1">
      <c r="A499" s="94"/>
      <c r="B499" s="94"/>
      <c r="C499" s="94"/>
      <c r="D499" s="94"/>
      <c r="E499" s="94"/>
      <c r="F499" s="94"/>
      <c r="G499" s="94"/>
      <c r="H499" s="94"/>
      <c r="I499" s="94"/>
      <c r="J499" s="94"/>
      <c r="K499" s="94"/>
      <c r="L499" s="94"/>
      <c r="M499" s="94"/>
      <c r="N499" s="94"/>
      <c r="O499" s="94"/>
      <c r="P499" s="94"/>
      <c r="Q499" s="94"/>
      <c r="R499" s="94"/>
      <c r="S499" s="95"/>
      <c r="T499" s="34"/>
      <c r="U499" s="34"/>
      <c r="V499" s="34"/>
      <c r="W499" s="34"/>
      <c r="X499" s="34"/>
      <c r="Y499" s="34"/>
      <c r="Z499" s="34"/>
      <c r="AA499" s="34"/>
      <c r="AB499" s="34"/>
      <c r="AC499" s="34"/>
      <c r="AD499" s="34"/>
    </row>
    <row r="500" ht="15.75" customHeight="1">
      <c r="A500" s="94"/>
      <c r="B500" s="94"/>
      <c r="C500" s="94"/>
      <c r="D500" s="94"/>
      <c r="E500" s="94"/>
      <c r="F500" s="94"/>
      <c r="G500" s="94"/>
      <c r="H500" s="94"/>
      <c r="I500" s="94"/>
      <c r="J500" s="94"/>
      <c r="K500" s="94"/>
      <c r="L500" s="94"/>
      <c r="M500" s="94"/>
      <c r="N500" s="94"/>
      <c r="O500" s="94"/>
      <c r="P500" s="94"/>
      <c r="Q500" s="94"/>
      <c r="R500" s="94"/>
      <c r="S500" s="95"/>
      <c r="T500" s="34"/>
      <c r="U500" s="34"/>
      <c r="V500" s="34"/>
      <c r="W500" s="34"/>
      <c r="X500" s="34"/>
      <c r="Y500" s="34"/>
      <c r="Z500" s="34"/>
      <c r="AA500" s="34"/>
      <c r="AB500" s="34"/>
      <c r="AC500" s="34"/>
      <c r="AD500" s="3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500">
      <formula1>"Active,On Hold,Closed,Filled,Cancelled"</formula1>
    </dataValidation>
    <dataValidation type="list" allowBlank="1" sqref="G2:G500">
      <formula1>"High,Medium,Low"</formula1>
    </dataValidation>
  </dataValidations>
  <hyperlinks>
    <hyperlink r:id="rId1" ref="P4"/>
    <hyperlink r:id="rId2" ref="P5"/>
    <hyperlink r:id="rId3" ref="P6"/>
  </hyperlinks>
  <printOptions/>
  <pageMargins bottom="0.75" footer="0.0" header="0.0" left="0.7" right="0.7" top="0.75"/>
  <pageSetup orientation="landscape"/>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9.0"/>
    <col customWidth="1" min="3" max="5" width="22.0"/>
    <col customWidth="1" min="6" max="6" width="24.0"/>
    <col customWidth="1" min="7" max="7" width="22.0"/>
    <col customWidth="1" min="8" max="8" width="18.0"/>
    <col customWidth="1" min="9" max="9" width="14.0"/>
    <col customWidth="1" min="10" max="10" width="16.0"/>
    <col customWidth="1" min="11" max="11" width="14.0"/>
    <col customWidth="1" min="12" max="12" width="13.0"/>
    <col customWidth="1" min="13" max="13" width="12.0"/>
    <col customWidth="1" min="14" max="14" width="15.0"/>
    <col customWidth="1" min="15" max="15" width="20.0"/>
    <col customWidth="1" min="16" max="16" width="60.5"/>
    <col customWidth="1" min="17" max="17" width="72.25"/>
    <col customWidth="1" min="18" max="18" width="38.0"/>
    <col customWidth="1" min="19" max="22" width="18.0"/>
    <col customWidth="1" min="23" max="24" width="16.0"/>
    <col customWidth="1" min="25" max="25" width="32.0"/>
    <col customWidth="1" min="26" max="26" width="30.0"/>
    <col customWidth="1" min="27" max="28" width="16.0"/>
  </cols>
  <sheetData>
    <row r="1">
      <c r="A1" s="9" t="s">
        <v>97</v>
      </c>
      <c r="B1" s="9" t="s">
        <v>84</v>
      </c>
      <c r="C1" s="9" t="s">
        <v>105</v>
      </c>
      <c r="D1" s="9" t="s">
        <v>106</v>
      </c>
      <c r="E1" s="9" t="s">
        <v>107</v>
      </c>
      <c r="F1" s="9" t="s">
        <v>110</v>
      </c>
      <c r="G1" s="9" t="s">
        <v>111</v>
      </c>
      <c r="H1" s="9" t="s">
        <v>93</v>
      </c>
      <c r="I1" s="9" t="s">
        <v>114</v>
      </c>
      <c r="J1" s="9" t="s">
        <v>116</v>
      </c>
      <c r="K1" s="9" t="s">
        <v>117</v>
      </c>
      <c r="L1" s="9" t="s">
        <v>119</v>
      </c>
      <c r="M1" s="9" t="s">
        <v>120</v>
      </c>
      <c r="N1" s="9" t="s">
        <v>8</v>
      </c>
      <c r="O1" s="9" t="s">
        <v>122</v>
      </c>
      <c r="P1" s="9" t="s">
        <v>125</v>
      </c>
      <c r="Q1" s="9" t="s">
        <v>130</v>
      </c>
      <c r="R1" s="9" t="s">
        <v>134</v>
      </c>
      <c r="S1" s="9" t="s">
        <v>4</v>
      </c>
      <c r="T1" s="9" t="s">
        <v>1</v>
      </c>
      <c r="U1" s="9" t="s">
        <v>2</v>
      </c>
      <c r="V1" s="9" t="s">
        <v>3</v>
      </c>
      <c r="W1" s="9" t="s">
        <v>137</v>
      </c>
      <c r="X1" s="9" t="s">
        <v>138</v>
      </c>
      <c r="Y1" s="9" t="s">
        <v>140</v>
      </c>
      <c r="Z1" s="9" t="s">
        <v>141</v>
      </c>
      <c r="AA1" s="9" t="s">
        <v>115</v>
      </c>
      <c r="AB1" s="15" t="s">
        <v>142</v>
      </c>
    </row>
    <row r="2">
      <c r="A2" s="10" t="s">
        <v>143</v>
      </c>
      <c r="B2" s="18" t="s">
        <v>23</v>
      </c>
      <c r="C2" s="10" t="s">
        <v>144</v>
      </c>
      <c r="D2" s="18" t="s">
        <v>146</v>
      </c>
      <c r="E2" s="10" t="s">
        <v>148</v>
      </c>
      <c r="F2" s="10" t="s">
        <v>150</v>
      </c>
      <c r="G2" s="10" t="s">
        <v>151</v>
      </c>
      <c r="H2" s="10" t="s">
        <v>153</v>
      </c>
      <c r="I2" s="19"/>
      <c r="J2" s="19"/>
      <c r="K2" s="20">
        <v>46290.0</v>
      </c>
      <c r="L2" s="21">
        <v>6.0</v>
      </c>
      <c r="M2" s="22">
        <v>0.15</v>
      </c>
      <c r="N2" s="23" t="s">
        <v>48</v>
      </c>
      <c r="O2" s="21">
        <v>4.0</v>
      </c>
      <c r="P2" s="10" t="s">
        <v>160</v>
      </c>
      <c r="Q2" s="10" t="s">
        <v>161</v>
      </c>
      <c r="R2" s="10" t="s">
        <v>163</v>
      </c>
      <c r="S2" s="10" t="str">
        <f>IF($C2="","",IF(OR($M2="",$N2=""),'Lists &amp; Settings'!$O$10,IF($N2="Fail",'Lists &amp; Settings'!$O$9,IF($N2="Insufficient Evidence",'Lists &amp; Settings'!$O$10,IF($N2="Pass",IF($M2&gt;='Lists &amp; Settings'!$N$2,'Lists &amp; Settings'!$O$2,IF($M2&gt;='Lists &amp; Settings'!$N$3,'Lists &amp; Settings'!$O$3,'Lists &amp; Settings'!$O$4)),IF($N2="Partial",IF($M2&gt;='Lists &amp; Settings'!$N$6,'Lists &amp; Settings'!$O$6,IF($M2&gt;='Lists &amp; Settings'!$N$7,'Lists &amp; Settings'!$O$7,'Lists &amp; Settings'!$O$8)),'Lists &amp; Settings'!$O$10))))))</f>
        <v>Reject</v>
      </c>
      <c r="T2" s="10" t="s">
        <v>83</v>
      </c>
      <c r="U2" s="25"/>
      <c r="V2" s="7"/>
      <c r="W2" s="7"/>
      <c r="X2" s="7"/>
      <c r="Y2" s="10" t="s">
        <v>176</v>
      </c>
      <c r="Z2" s="7"/>
      <c r="AA2" s="20">
        <v>46291.0</v>
      </c>
      <c r="AB2" s="20"/>
    </row>
    <row r="3">
      <c r="A3" s="10" t="s">
        <v>179</v>
      </c>
      <c r="B3" s="18" t="s">
        <v>23</v>
      </c>
      <c r="C3" s="10" t="s">
        <v>181</v>
      </c>
      <c r="D3" s="18" t="s">
        <v>183</v>
      </c>
      <c r="E3" s="10" t="s">
        <v>185</v>
      </c>
      <c r="F3" s="10" t="s">
        <v>186</v>
      </c>
      <c r="G3" s="10" t="s">
        <v>188</v>
      </c>
      <c r="H3" s="10" t="s">
        <v>139</v>
      </c>
      <c r="I3" s="21">
        <v>6.0</v>
      </c>
      <c r="J3" s="19"/>
      <c r="K3" s="20">
        <v>46290.0</v>
      </c>
      <c r="L3" s="21">
        <v>7.0</v>
      </c>
      <c r="M3" s="22">
        <v>0.24</v>
      </c>
      <c r="N3" s="23" t="s">
        <v>48</v>
      </c>
      <c r="O3" s="21">
        <v>7.0</v>
      </c>
      <c r="P3" s="10" t="s">
        <v>192</v>
      </c>
      <c r="Q3" s="10" t="s">
        <v>194</v>
      </c>
      <c r="R3" s="10" t="s">
        <v>195</v>
      </c>
      <c r="S3" s="10" t="str">
        <f>IF($C3="","",IF(OR($M3="",$N3=""),'Lists &amp; Settings'!$O$10,IF($N3="Fail",'Lists &amp; Settings'!$O$9,IF($N3="Insufficient Evidence",'Lists &amp; Settings'!$O$10,IF($N3="Pass",IF($M3&gt;='Lists &amp; Settings'!$N$2,'Lists &amp; Settings'!$O$2,IF($M3&gt;='Lists &amp; Settings'!$N$3,'Lists &amp; Settings'!$O$3,'Lists &amp; Settings'!$O$4)),IF($N3="Partial",IF($M3&gt;='Lists &amp; Settings'!$N$6,'Lists &amp; Settings'!$O$6,IF($M3&gt;='Lists &amp; Settings'!$N$7,'Lists &amp; Settings'!$O$7,'Lists &amp; Settings'!$O$8)),'Lists &amp; Settings'!$O$10))))))</f>
        <v>Reject</v>
      </c>
      <c r="T3" s="10" t="s">
        <v>83</v>
      </c>
      <c r="U3" s="7"/>
      <c r="V3" s="7"/>
      <c r="W3" s="7"/>
      <c r="X3" s="7"/>
      <c r="Y3" s="10" t="s">
        <v>205</v>
      </c>
      <c r="Z3" s="7"/>
      <c r="AA3" s="20">
        <v>46291.0</v>
      </c>
      <c r="AB3" s="20"/>
    </row>
    <row r="4">
      <c r="A4" s="10" t="s">
        <v>208</v>
      </c>
      <c r="B4" s="18" t="s">
        <v>23</v>
      </c>
      <c r="C4" s="10" t="s">
        <v>209</v>
      </c>
      <c r="D4" s="18" t="s">
        <v>211</v>
      </c>
      <c r="E4" s="10" t="s">
        <v>212</v>
      </c>
      <c r="F4" s="10" t="s">
        <v>214</v>
      </c>
      <c r="G4" s="10" t="s">
        <v>215</v>
      </c>
      <c r="H4" s="10" t="s">
        <v>139</v>
      </c>
      <c r="I4" s="21">
        <v>8.0</v>
      </c>
      <c r="J4" s="21">
        <v>8.0</v>
      </c>
      <c r="K4" s="20">
        <v>46290.0</v>
      </c>
      <c r="L4" s="21">
        <v>9.5</v>
      </c>
      <c r="M4" s="22">
        <v>0.89</v>
      </c>
      <c r="N4" s="23" t="s">
        <v>24</v>
      </c>
      <c r="O4" s="21">
        <v>7.5</v>
      </c>
      <c r="P4" s="10" t="s">
        <v>218</v>
      </c>
      <c r="Q4" s="10" t="s">
        <v>219</v>
      </c>
      <c r="R4" s="10" t="s">
        <v>221</v>
      </c>
      <c r="S4" s="10" t="str">
        <f>IF($C4="","",IF(OR($M4="",$N4=""),'Lists &amp; Settings'!$O$10,IF($N4="Fail",'Lists &amp; Settings'!$O$9,IF($N4="Insufficient Evidence",'Lists &amp; Settings'!$O$10,IF($N4="Pass",IF($M4&gt;='Lists &amp; Settings'!$N$2,'Lists &amp; Settings'!$O$2,IF($M4&gt;='Lists &amp; Settings'!$N$3,'Lists &amp; Settings'!$O$3,'Lists &amp; Settings'!$O$4)),IF($N4="Partial",IF($M4&gt;='Lists &amp; Settings'!$N$6,'Lists &amp; Settings'!$O$6,IF($M4&gt;='Lists &amp; Settings'!$N$7,'Lists &amp; Settings'!$O$7,'Lists &amp; Settings'!$O$8)),'Lists &amp; Settings'!$O$10))))))</f>
        <v>Priority Shortlist</v>
      </c>
      <c r="T4" s="25" t="s">
        <v>72</v>
      </c>
      <c r="U4" s="25" t="s">
        <v>44</v>
      </c>
      <c r="V4" s="25" t="s">
        <v>68</v>
      </c>
      <c r="W4" s="7"/>
      <c r="X4" s="7"/>
      <c r="Y4" s="10" t="s">
        <v>230</v>
      </c>
      <c r="Z4" s="7"/>
      <c r="AA4" s="20">
        <v>46291.0</v>
      </c>
      <c r="AB4" s="20"/>
    </row>
    <row r="5">
      <c r="A5" s="10" t="s">
        <v>232</v>
      </c>
      <c r="B5" s="18" t="s">
        <v>23</v>
      </c>
      <c r="C5" s="10" t="s">
        <v>234</v>
      </c>
      <c r="D5" s="10" t="s">
        <v>236</v>
      </c>
      <c r="E5" s="10" t="s">
        <v>238</v>
      </c>
      <c r="F5" s="10" t="s">
        <v>239</v>
      </c>
      <c r="G5" s="10" t="s">
        <v>240</v>
      </c>
      <c r="H5" s="10" t="s">
        <v>139</v>
      </c>
      <c r="I5" s="21">
        <v>26.0</v>
      </c>
      <c r="J5" s="21">
        <v>8.0</v>
      </c>
      <c r="K5" s="20">
        <v>46290.0</v>
      </c>
      <c r="L5" s="21">
        <v>8.5</v>
      </c>
      <c r="M5" s="22">
        <v>0.43</v>
      </c>
      <c r="N5" s="23" t="s">
        <v>48</v>
      </c>
      <c r="O5" s="21">
        <v>8.5</v>
      </c>
      <c r="P5" s="10" t="s">
        <v>243</v>
      </c>
      <c r="Q5" s="10" t="s">
        <v>244</v>
      </c>
      <c r="R5" s="10" t="s">
        <v>246</v>
      </c>
      <c r="S5" s="10" t="str">
        <f>IF($C5="","",IF(OR($M5="",$N5=""),'Lists &amp; Settings'!$O$10,IF($N5="Fail",'Lists &amp; Settings'!$O$9,IF($N5="Insufficient Evidence",'Lists &amp; Settings'!$O$10,IF($N5="Pass",IF($M5&gt;='Lists &amp; Settings'!$N$2,'Lists &amp; Settings'!$O$2,IF($M5&gt;='Lists &amp; Settings'!$N$3,'Lists &amp; Settings'!$O$3,'Lists &amp; Settings'!$O$4)),IF($N5="Partial",IF($M5&gt;='Lists &amp; Settings'!$N$6,'Lists &amp; Settings'!$O$6,IF($M5&gt;='Lists &amp; Settings'!$N$7,'Lists &amp; Settings'!$O$7,'Lists &amp; Settings'!$O$8)),'Lists &amp; Settings'!$O$10))))))</f>
        <v>Reject</v>
      </c>
      <c r="T5" s="10" t="s">
        <v>83</v>
      </c>
      <c r="U5" s="7"/>
      <c r="V5" s="7"/>
      <c r="W5" s="7"/>
      <c r="X5" s="7"/>
      <c r="Y5" s="10" t="s">
        <v>253</v>
      </c>
      <c r="Z5" s="7"/>
      <c r="AA5" s="20">
        <v>46291.0</v>
      </c>
      <c r="AB5" s="20"/>
    </row>
    <row r="6">
      <c r="A6" s="10" t="s">
        <v>254</v>
      </c>
      <c r="B6" s="18" t="s">
        <v>23</v>
      </c>
      <c r="C6" s="10" t="s">
        <v>256</v>
      </c>
      <c r="D6" s="18" t="s">
        <v>258</v>
      </c>
      <c r="E6" s="10" t="s">
        <v>259</v>
      </c>
      <c r="F6" s="10" t="s">
        <v>261</v>
      </c>
      <c r="G6" s="10" t="s">
        <v>262</v>
      </c>
      <c r="H6" s="10" t="s">
        <v>263</v>
      </c>
      <c r="I6" s="19"/>
      <c r="J6" s="19"/>
      <c r="K6" s="20">
        <v>46290.0</v>
      </c>
      <c r="L6" s="21">
        <v>7.5</v>
      </c>
      <c r="M6" s="22">
        <v>0.26</v>
      </c>
      <c r="N6" s="23" t="s">
        <v>48</v>
      </c>
      <c r="O6" s="21">
        <v>8.0</v>
      </c>
      <c r="P6" s="10" t="s">
        <v>267</v>
      </c>
      <c r="Q6" s="10" t="s">
        <v>268</v>
      </c>
      <c r="R6" s="10" t="s">
        <v>270</v>
      </c>
      <c r="S6" s="10" t="str">
        <f>IF($C6="","",IF(OR($M6="",$N6=""),'Lists &amp; Settings'!$O$10,IF($N6="Fail",'Lists &amp; Settings'!$O$9,IF($N6="Insufficient Evidence",'Lists &amp; Settings'!$O$10,IF($N6="Pass",IF($M6&gt;='Lists &amp; Settings'!$N$2,'Lists &amp; Settings'!$O$2,IF($M6&gt;='Lists &amp; Settings'!$N$3,'Lists &amp; Settings'!$O$3,'Lists &amp; Settings'!$O$4)),IF($N6="Partial",IF($M6&gt;='Lists &amp; Settings'!$N$6,'Lists &amp; Settings'!$O$6,IF($M6&gt;='Lists &amp; Settings'!$N$7,'Lists &amp; Settings'!$O$7,'Lists &amp; Settings'!$O$8)),'Lists &amp; Settings'!$O$10))))))</f>
        <v>Reject</v>
      </c>
      <c r="T6" s="10" t="s">
        <v>83</v>
      </c>
      <c r="U6" s="7"/>
      <c r="V6" s="7"/>
      <c r="W6" s="7"/>
      <c r="X6" s="7"/>
      <c r="Y6" s="10" t="s">
        <v>277</v>
      </c>
      <c r="Z6" s="7"/>
      <c r="AA6" s="20">
        <v>46291.0</v>
      </c>
      <c r="AB6" s="20"/>
    </row>
    <row r="7">
      <c r="A7" s="10" t="s">
        <v>279</v>
      </c>
      <c r="B7" s="18" t="s">
        <v>23</v>
      </c>
      <c r="C7" s="10" t="s">
        <v>281</v>
      </c>
      <c r="D7" s="10" t="s">
        <v>283</v>
      </c>
      <c r="E7" s="10" t="s">
        <v>284</v>
      </c>
      <c r="F7" s="10" t="s">
        <v>286</v>
      </c>
      <c r="G7" s="10" t="s">
        <v>287</v>
      </c>
      <c r="H7" s="10" t="s">
        <v>289</v>
      </c>
      <c r="I7" s="19"/>
      <c r="J7" s="19"/>
      <c r="K7" s="20">
        <v>46290.0</v>
      </c>
      <c r="L7" s="21">
        <v>7.5</v>
      </c>
      <c r="M7" s="22">
        <v>0.31</v>
      </c>
      <c r="N7" s="23" t="s">
        <v>48</v>
      </c>
      <c r="O7" s="21">
        <v>7.0</v>
      </c>
      <c r="P7" s="10" t="s">
        <v>292</v>
      </c>
      <c r="Q7" s="10" t="s">
        <v>293</v>
      </c>
      <c r="R7" s="10" t="s">
        <v>294</v>
      </c>
      <c r="S7" s="10" t="str">
        <f>IF($C7="","",IF(OR($M7="",$N7=""),'Lists &amp; Settings'!$O$10,IF($N7="Fail",'Lists &amp; Settings'!$O$9,IF($N7="Insufficient Evidence",'Lists &amp; Settings'!$O$10,IF($N7="Pass",IF($M7&gt;='Lists &amp; Settings'!$N$2,'Lists &amp; Settings'!$O$2,IF($M7&gt;='Lists &amp; Settings'!$N$3,'Lists &amp; Settings'!$O$3,'Lists &amp; Settings'!$O$4)),IF($N7="Partial",IF($M7&gt;='Lists &amp; Settings'!$N$6,'Lists &amp; Settings'!$O$6,IF($M7&gt;='Lists &amp; Settings'!$N$7,'Lists &amp; Settings'!$O$7,'Lists &amp; Settings'!$O$8)),'Lists &amp; Settings'!$O$10))))))</f>
        <v>Reject</v>
      </c>
      <c r="T7" s="10" t="s">
        <v>83</v>
      </c>
      <c r="U7" s="7"/>
      <c r="V7" s="7"/>
      <c r="W7" s="7"/>
      <c r="X7" s="7"/>
      <c r="Y7" s="10" t="s">
        <v>298</v>
      </c>
      <c r="Z7" s="7"/>
      <c r="AA7" s="20">
        <v>46291.0</v>
      </c>
      <c r="AB7" s="20"/>
    </row>
    <row r="8">
      <c r="A8" s="10" t="s">
        <v>300</v>
      </c>
      <c r="B8" s="18" t="s">
        <v>23</v>
      </c>
      <c r="C8" s="10" t="s">
        <v>301</v>
      </c>
      <c r="D8" s="18" t="s">
        <v>302</v>
      </c>
      <c r="E8" s="10" t="s">
        <v>303</v>
      </c>
      <c r="F8" s="10" t="s">
        <v>304</v>
      </c>
      <c r="G8" s="10" t="s">
        <v>305</v>
      </c>
      <c r="H8" s="10" t="s">
        <v>306</v>
      </c>
      <c r="I8" s="21">
        <v>22.0</v>
      </c>
      <c r="J8" s="19"/>
      <c r="K8" s="20">
        <v>46290.0</v>
      </c>
      <c r="L8" s="21">
        <v>5.0</v>
      </c>
      <c r="M8" s="22">
        <v>0.36</v>
      </c>
      <c r="N8" s="23" t="s">
        <v>48</v>
      </c>
      <c r="O8" s="21">
        <v>9.0</v>
      </c>
      <c r="P8" s="10" t="s">
        <v>307</v>
      </c>
      <c r="Q8" s="10" t="s">
        <v>308</v>
      </c>
      <c r="R8" s="10" t="s">
        <v>309</v>
      </c>
      <c r="S8" s="10" t="str">
        <f>IF($C8="","",IF(OR($M8="",$N8=""),'Lists &amp; Settings'!$O$10,IF($N8="Fail",'Lists &amp; Settings'!$O$9,IF($N8="Insufficient Evidence",'Lists &amp; Settings'!$O$10,IF($N8="Pass",IF($M8&gt;='Lists &amp; Settings'!$N$2,'Lists &amp; Settings'!$O$2,IF($M8&gt;='Lists &amp; Settings'!$N$3,'Lists &amp; Settings'!$O$3,'Lists &amp; Settings'!$O$4)),IF($N8="Partial",IF($M8&gt;='Lists &amp; Settings'!$N$6,'Lists &amp; Settings'!$O$6,IF($M8&gt;='Lists &amp; Settings'!$N$7,'Lists &amp; Settings'!$O$7,'Lists &amp; Settings'!$O$8)),'Lists &amp; Settings'!$O$10))))))</f>
        <v>Reject</v>
      </c>
      <c r="T8" s="10" t="s">
        <v>83</v>
      </c>
      <c r="U8" s="7"/>
      <c r="V8" s="7"/>
      <c r="W8" s="7"/>
      <c r="X8" s="7"/>
      <c r="Y8" s="10" t="s">
        <v>313</v>
      </c>
      <c r="Z8" s="7"/>
      <c r="AA8" s="20">
        <v>46291.0</v>
      </c>
      <c r="AB8" s="20"/>
    </row>
    <row r="9">
      <c r="A9" s="10" t="s">
        <v>316</v>
      </c>
      <c r="B9" s="18" t="s">
        <v>23</v>
      </c>
      <c r="C9" s="10" t="s">
        <v>317</v>
      </c>
      <c r="D9" s="18" t="s">
        <v>318</v>
      </c>
      <c r="E9" s="10" t="s">
        <v>319</v>
      </c>
      <c r="F9" s="10" t="s">
        <v>320</v>
      </c>
      <c r="G9" s="7"/>
      <c r="H9" s="10" t="s">
        <v>139</v>
      </c>
      <c r="I9" s="21">
        <v>10.0</v>
      </c>
      <c r="J9" s="19"/>
      <c r="K9" s="20">
        <v>46290.0</v>
      </c>
      <c r="L9" s="21">
        <v>8.5</v>
      </c>
      <c r="M9" s="22">
        <v>0.41</v>
      </c>
      <c r="N9" s="23" t="s">
        <v>48</v>
      </c>
      <c r="O9" s="21">
        <v>8.5</v>
      </c>
      <c r="P9" s="10" t="s">
        <v>321</v>
      </c>
      <c r="Q9" s="10" t="s">
        <v>322</v>
      </c>
      <c r="R9" s="10" t="s">
        <v>323</v>
      </c>
      <c r="S9" s="10" t="str">
        <f>IF($C9="","",IF(OR($M9="",$N9=""),'Lists &amp; Settings'!$O$10,IF($N9="Fail",'Lists &amp; Settings'!$O$9,IF($N9="Insufficient Evidence",'Lists &amp; Settings'!$O$10,IF($N9="Pass",IF($M9&gt;='Lists &amp; Settings'!$N$2,'Lists &amp; Settings'!$O$2,IF($M9&gt;='Lists &amp; Settings'!$N$3,'Lists &amp; Settings'!$O$3,'Lists &amp; Settings'!$O$4)),IF($N9="Partial",IF($M9&gt;='Lists &amp; Settings'!$N$6,'Lists &amp; Settings'!$O$6,IF($M9&gt;='Lists &amp; Settings'!$N$7,'Lists &amp; Settings'!$O$7,'Lists &amp; Settings'!$O$8)),'Lists &amp; Settings'!$O$10))))))</f>
        <v>Reject</v>
      </c>
      <c r="T9" s="10" t="s">
        <v>83</v>
      </c>
      <c r="U9" s="7"/>
      <c r="V9" s="7"/>
      <c r="W9" s="7"/>
      <c r="X9" s="7"/>
      <c r="Y9" s="10" t="s">
        <v>325</v>
      </c>
      <c r="Z9" s="7"/>
      <c r="AA9" s="20">
        <v>46291.0</v>
      </c>
      <c r="AB9" s="20"/>
    </row>
    <row r="10">
      <c r="A10" s="10" t="s">
        <v>326</v>
      </c>
      <c r="B10" s="18" t="s">
        <v>23</v>
      </c>
      <c r="C10" s="10" t="s">
        <v>327</v>
      </c>
      <c r="D10" s="10" t="s">
        <v>328</v>
      </c>
      <c r="E10" s="10" t="s">
        <v>329</v>
      </c>
      <c r="F10" s="10" t="s">
        <v>330</v>
      </c>
      <c r="G10" s="10" t="s">
        <v>331</v>
      </c>
      <c r="H10" s="7"/>
      <c r="I10" s="21">
        <v>8.0</v>
      </c>
      <c r="J10" s="21">
        <v>8.0</v>
      </c>
      <c r="K10" s="20">
        <v>46290.0</v>
      </c>
      <c r="L10" s="21">
        <v>9.0</v>
      </c>
      <c r="M10" s="22">
        <v>0.85</v>
      </c>
      <c r="N10" s="23" t="s">
        <v>36</v>
      </c>
      <c r="O10" s="21">
        <v>9.5</v>
      </c>
      <c r="P10" s="10" t="s">
        <v>332</v>
      </c>
      <c r="Q10" s="10" t="s">
        <v>334</v>
      </c>
      <c r="R10" s="10" t="s">
        <v>335</v>
      </c>
      <c r="S10" s="10" t="str">
        <f>IF($C10="","",IF(OR($M10="",$N10=""),'Lists &amp; Settings'!$O$10,IF($N10="Fail",'Lists &amp; Settings'!$O$9,IF($N10="Insufficient Evidence",'Lists &amp; Settings'!$O$10,IF($N10="Pass",IF($M10&gt;='Lists &amp; Settings'!$N$2,'Lists &amp; Settings'!$O$2,IF($M10&gt;='Lists &amp; Settings'!$N$3,'Lists &amp; Settings'!$O$3,'Lists &amp; Settings'!$O$4)),IF($N10="Partial",IF($M10&gt;='Lists &amp; Settings'!$N$6,'Lists &amp; Settings'!$O$6,IF($M10&gt;='Lists &amp; Settings'!$N$7,'Lists &amp; Settings'!$O$7,'Lists &amp; Settings'!$O$8)),'Lists &amp; Settings'!$O$10))))))</f>
        <v>Shortlist</v>
      </c>
      <c r="T10" s="10" t="s">
        <v>56</v>
      </c>
      <c r="U10" s="7"/>
      <c r="V10" s="7"/>
      <c r="W10" s="7"/>
      <c r="X10" s="7"/>
      <c r="Y10" s="10" t="s">
        <v>341</v>
      </c>
      <c r="Z10" s="10" t="s">
        <v>342</v>
      </c>
      <c r="AA10" s="20">
        <v>46291.0</v>
      </c>
      <c r="AB10" s="20"/>
    </row>
    <row r="11">
      <c r="A11" s="10" t="s">
        <v>343</v>
      </c>
      <c r="B11" s="18" t="s">
        <v>23</v>
      </c>
      <c r="C11" s="10" t="s">
        <v>345</v>
      </c>
      <c r="D11" s="18" t="s">
        <v>346</v>
      </c>
      <c r="E11" s="10" t="s">
        <v>348</v>
      </c>
      <c r="F11" s="10" t="s">
        <v>349</v>
      </c>
      <c r="G11" s="10" t="s">
        <v>351</v>
      </c>
      <c r="H11" s="10" t="s">
        <v>139</v>
      </c>
      <c r="I11" s="21">
        <v>5.0</v>
      </c>
      <c r="J11" s="19"/>
      <c r="K11" s="20">
        <v>46290.0</v>
      </c>
      <c r="L11" s="21">
        <v>8.0</v>
      </c>
      <c r="M11" s="22">
        <v>0.37</v>
      </c>
      <c r="N11" s="23" t="s">
        <v>48</v>
      </c>
      <c r="O11" s="21">
        <v>7.5</v>
      </c>
      <c r="P11" s="10" t="s">
        <v>353</v>
      </c>
      <c r="Q11" s="10" t="s">
        <v>355</v>
      </c>
      <c r="R11" s="10" t="s">
        <v>356</v>
      </c>
      <c r="S11" s="10" t="str">
        <f>IF($C11="","",IF(OR($M11="",$N11=""),'Lists &amp; Settings'!$O$10,IF($N11="Fail",'Lists &amp; Settings'!$O$9,IF($N11="Insufficient Evidence",'Lists &amp; Settings'!$O$10,IF($N11="Pass",IF($M11&gt;='Lists &amp; Settings'!$N$2,'Lists &amp; Settings'!$O$2,IF($M11&gt;='Lists &amp; Settings'!$N$3,'Lists &amp; Settings'!$O$3,'Lists &amp; Settings'!$O$4)),IF($N11="Partial",IF($M11&gt;='Lists &amp; Settings'!$N$6,'Lists &amp; Settings'!$O$6,IF($M11&gt;='Lists &amp; Settings'!$N$7,'Lists &amp; Settings'!$O$7,'Lists &amp; Settings'!$O$8)),'Lists &amp; Settings'!$O$10))))))</f>
        <v>Reject</v>
      </c>
      <c r="T11" s="10" t="s">
        <v>83</v>
      </c>
      <c r="U11" s="7"/>
      <c r="V11" s="7"/>
      <c r="W11" s="7"/>
      <c r="X11" s="7"/>
      <c r="Y11" s="10" t="s">
        <v>365</v>
      </c>
      <c r="Z11" s="7"/>
      <c r="AA11" s="20">
        <v>46291.0</v>
      </c>
      <c r="AB11" s="20"/>
    </row>
    <row r="12">
      <c r="A12" s="10" t="s">
        <v>367</v>
      </c>
      <c r="B12" s="18" t="s">
        <v>23</v>
      </c>
      <c r="C12" s="10" t="s">
        <v>369</v>
      </c>
      <c r="D12" s="18" t="s">
        <v>370</v>
      </c>
      <c r="E12" s="10" t="s">
        <v>372</v>
      </c>
      <c r="F12" s="10" t="s">
        <v>373</v>
      </c>
      <c r="G12" s="10" t="s">
        <v>374</v>
      </c>
      <c r="H12" s="10" t="s">
        <v>139</v>
      </c>
      <c r="I12" s="21">
        <v>8.0</v>
      </c>
      <c r="J12" s="21">
        <v>8.0</v>
      </c>
      <c r="K12" s="20">
        <v>46290.0</v>
      </c>
      <c r="L12" s="21">
        <v>8.5</v>
      </c>
      <c r="M12" s="22">
        <v>0.39</v>
      </c>
      <c r="N12" s="23" t="s">
        <v>48</v>
      </c>
      <c r="O12" s="21">
        <v>8.5</v>
      </c>
      <c r="P12" s="10" t="s">
        <v>375</v>
      </c>
      <c r="Q12" s="10" t="s">
        <v>376</v>
      </c>
      <c r="R12" s="10" t="s">
        <v>377</v>
      </c>
      <c r="S12" s="10" t="str">
        <f>IF($C12="","",IF(OR($M12="",$N12=""),'Lists &amp; Settings'!$O$10,IF($N12="Fail",'Lists &amp; Settings'!$O$9,IF($N12="Insufficient Evidence",'Lists &amp; Settings'!$O$10,IF($N12="Pass",IF($M12&gt;='Lists &amp; Settings'!$N$2,'Lists &amp; Settings'!$O$2,IF($M12&gt;='Lists &amp; Settings'!$N$3,'Lists &amp; Settings'!$O$3,'Lists &amp; Settings'!$O$4)),IF($N12="Partial",IF($M12&gt;='Lists &amp; Settings'!$N$6,'Lists &amp; Settings'!$O$6,IF($M12&gt;='Lists &amp; Settings'!$N$7,'Lists &amp; Settings'!$O$7,'Lists &amp; Settings'!$O$8)),'Lists &amp; Settings'!$O$10))))))</f>
        <v>Reject</v>
      </c>
      <c r="T12" s="10" t="s">
        <v>83</v>
      </c>
      <c r="U12" s="7"/>
      <c r="V12" s="7"/>
      <c r="W12" s="7"/>
      <c r="X12" s="7"/>
      <c r="Y12" s="10" t="s">
        <v>390</v>
      </c>
      <c r="Z12" s="7"/>
      <c r="AA12" s="20">
        <v>46291.0</v>
      </c>
      <c r="AB12" s="20"/>
    </row>
    <row r="13">
      <c r="A13" s="10" t="s">
        <v>394</v>
      </c>
      <c r="B13" s="18" t="s">
        <v>23</v>
      </c>
      <c r="C13" s="10" t="s">
        <v>396</v>
      </c>
      <c r="D13" s="18" t="s">
        <v>397</v>
      </c>
      <c r="E13" s="10" t="s">
        <v>399</v>
      </c>
      <c r="F13" s="10" t="s">
        <v>400</v>
      </c>
      <c r="G13" s="10" t="s">
        <v>403</v>
      </c>
      <c r="H13" s="10" t="s">
        <v>405</v>
      </c>
      <c r="I13" s="21">
        <v>8.0</v>
      </c>
      <c r="J13" s="19"/>
      <c r="K13" s="20">
        <v>46290.0</v>
      </c>
      <c r="L13" s="21">
        <v>8.0</v>
      </c>
      <c r="M13" s="22">
        <v>0.27</v>
      </c>
      <c r="N13" s="23" t="s">
        <v>48</v>
      </c>
      <c r="O13" s="21">
        <v>8.0</v>
      </c>
      <c r="P13" s="10" t="s">
        <v>413</v>
      </c>
      <c r="Q13" s="10" t="s">
        <v>415</v>
      </c>
      <c r="R13" s="10" t="s">
        <v>416</v>
      </c>
      <c r="S13" s="10" t="str">
        <f>IF($C13="","",IF(OR($M13="",$N13=""),'Lists &amp; Settings'!$O$10,IF($N13="Fail",'Lists &amp; Settings'!$O$9,IF($N13="Insufficient Evidence",'Lists &amp; Settings'!$O$10,IF($N13="Pass",IF($M13&gt;='Lists &amp; Settings'!$N$2,'Lists &amp; Settings'!$O$2,IF($M13&gt;='Lists &amp; Settings'!$N$3,'Lists &amp; Settings'!$O$3,'Lists &amp; Settings'!$O$4)),IF($N13="Partial",IF($M13&gt;='Lists &amp; Settings'!$N$6,'Lists &amp; Settings'!$O$6,IF($M13&gt;='Lists &amp; Settings'!$N$7,'Lists &amp; Settings'!$O$7,'Lists &amp; Settings'!$O$8)),'Lists &amp; Settings'!$O$10))))))</f>
        <v>Reject</v>
      </c>
      <c r="T13" s="10" t="s">
        <v>83</v>
      </c>
      <c r="U13" s="7"/>
      <c r="V13" s="7"/>
      <c r="W13" s="7"/>
      <c r="X13" s="7"/>
      <c r="Y13" s="10" t="s">
        <v>430</v>
      </c>
      <c r="Z13" s="7"/>
      <c r="AA13" s="20">
        <v>46291.0</v>
      </c>
      <c r="AB13" s="20"/>
    </row>
    <row r="14">
      <c r="A14" s="10" t="s">
        <v>434</v>
      </c>
      <c r="B14" s="18" t="s">
        <v>23</v>
      </c>
      <c r="C14" s="10" t="s">
        <v>436</v>
      </c>
      <c r="D14" s="18" t="s">
        <v>437</v>
      </c>
      <c r="E14" s="10" t="s">
        <v>438</v>
      </c>
      <c r="F14" s="10" t="s">
        <v>440</v>
      </c>
      <c r="G14" s="10" t="s">
        <v>442</v>
      </c>
      <c r="H14" s="10" t="s">
        <v>444</v>
      </c>
      <c r="I14" s="19"/>
      <c r="J14" s="19"/>
      <c r="K14" s="20">
        <v>46290.0</v>
      </c>
      <c r="L14" s="21">
        <v>7.5</v>
      </c>
      <c r="M14" s="22">
        <v>0.21</v>
      </c>
      <c r="N14" s="23" t="s">
        <v>48</v>
      </c>
      <c r="O14" s="21">
        <v>7.5</v>
      </c>
      <c r="P14" s="10" t="s">
        <v>450</v>
      </c>
      <c r="Q14" s="10" t="s">
        <v>453</v>
      </c>
      <c r="R14" s="10" t="s">
        <v>454</v>
      </c>
      <c r="S14" s="10" t="str">
        <f>IF($C14="","",IF(OR($M14="",$N14=""),'Lists &amp; Settings'!$O$10,IF($N14="Fail",'Lists &amp; Settings'!$O$9,IF($N14="Insufficient Evidence",'Lists &amp; Settings'!$O$10,IF($N14="Pass",IF($M14&gt;='Lists &amp; Settings'!$N$2,'Lists &amp; Settings'!$O$2,IF($M14&gt;='Lists &amp; Settings'!$N$3,'Lists &amp; Settings'!$O$3,'Lists &amp; Settings'!$O$4)),IF($N14="Partial",IF($M14&gt;='Lists &amp; Settings'!$N$6,'Lists &amp; Settings'!$O$6,IF($M14&gt;='Lists &amp; Settings'!$N$7,'Lists &amp; Settings'!$O$7,'Lists &amp; Settings'!$O$8)),'Lists &amp; Settings'!$O$10))))))</f>
        <v>Reject</v>
      </c>
      <c r="T14" s="10" t="s">
        <v>83</v>
      </c>
      <c r="U14" s="7"/>
      <c r="V14" s="7"/>
      <c r="W14" s="7"/>
      <c r="X14" s="7"/>
      <c r="Y14" s="10" t="s">
        <v>462</v>
      </c>
      <c r="Z14" s="7"/>
      <c r="AA14" s="20">
        <v>46291.0</v>
      </c>
      <c r="AB14" s="20"/>
    </row>
    <row r="15">
      <c r="A15" s="10" t="s">
        <v>464</v>
      </c>
      <c r="B15" s="18" t="s">
        <v>23</v>
      </c>
      <c r="C15" s="10" t="s">
        <v>465</v>
      </c>
      <c r="D15" s="18" t="s">
        <v>466</v>
      </c>
      <c r="E15" s="10" t="s">
        <v>467</v>
      </c>
      <c r="F15" s="10" t="s">
        <v>469</v>
      </c>
      <c r="G15" s="7"/>
      <c r="H15" s="7"/>
      <c r="I15" s="21">
        <v>10.0</v>
      </c>
      <c r="J15" s="21">
        <v>3.3</v>
      </c>
      <c r="K15" s="20">
        <v>46290.0</v>
      </c>
      <c r="L15" s="21">
        <v>8.5</v>
      </c>
      <c r="M15" s="22">
        <v>0.55</v>
      </c>
      <c r="N15" s="23" t="s">
        <v>48</v>
      </c>
      <c r="O15" s="21">
        <v>8.0</v>
      </c>
      <c r="P15" s="10" t="s">
        <v>471</v>
      </c>
      <c r="Q15" s="10" t="s">
        <v>472</v>
      </c>
      <c r="R15" s="10" t="s">
        <v>473</v>
      </c>
      <c r="S15" s="10" t="str">
        <f>IF($C15="","",IF(OR($M15="",$N15=""),'Lists &amp; Settings'!$O$10,IF($N15="Fail",'Lists &amp; Settings'!$O$9,IF($N15="Insufficient Evidence",'Lists &amp; Settings'!$O$10,IF($N15="Pass",IF($M15&gt;='Lists &amp; Settings'!$N$2,'Lists &amp; Settings'!$O$2,IF($M15&gt;='Lists &amp; Settings'!$N$3,'Lists &amp; Settings'!$O$3,'Lists &amp; Settings'!$O$4)),IF($N15="Partial",IF($M15&gt;='Lists &amp; Settings'!$N$6,'Lists &amp; Settings'!$O$6,IF($M15&gt;='Lists &amp; Settings'!$N$7,'Lists &amp; Settings'!$O$7,'Lists &amp; Settings'!$O$8)),'Lists &amp; Settings'!$O$10))))))</f>
        <v>Reject</v>
      </c>
      <c r="T15" s="10" t="s">
        <v>83</v>
      </c>
      <c r="U15" s="7"/>
      <c r="V15" s="7"/>
      <c r="W15" s="7"/>
      <c r="X15" s="7"/>
      <c r="Y15" s="10" t="s">
        <v>474</v>
      </c>
      <c r="Z15" s="7"/>
      <c r="AA15" s="20">
        <v>46291.0</v>
      </c>
      <c r="AB15" s="20"/>
    </row>
    <row r="16">
      <c r="A16" s="10" t="s">
        <v>475</v>
      </c>
      <c r="B16" s="18" t="s">
        <v>23</v>
      </c>
      <c r="C16" s="10" t="s">
        <v>476</v>
      </c>
      <c r="D16" s="18" t="s">
        <v>477</v>
      </c>
      <c r="E16" s="10" t="s">
        <v>478</v>
      </c>
      <c r="F16" s="10" t="s">
        <v>479</v>
      </c>
      <c r="G16" s="10" t="s">
        <v>480</v>
      </c>
      <c r="H16" s="10" t="s">
        <v>481</v>
      </c>
      <c r="I16" s="19"/>
      <c r="J16" s="21">
        <v>7.3</v>
      </c>
      <c r="K16" s="20">
        <v>46291.0</v>
      </c>
      <c r="L16" s="21">
        <v>9.0</v>
      </c>
      <c r="M16" s="22">
        <v>0.34</v>
      </c>
      <c r="N16" s="23" t="s">
        <v>48</v>
      </c>
      <c r="O16" s="21">
        <v>7.5</v>
      </c>
      <c r="P16" s="10" t="s">
        <v>482</v>
      </c>
      <c r="Q16" s="10" t="s">
        <v>483</v>
      </c>
      <c r="R16" s="10" t="s">
        <v>484</v>
      </c>
      <c r="S16" s="10" t="str">
        <f>IF($C16="","",IF(OR($M16="",$N16=""),'Lists &amp; Settings'!$O$10,IF($N16="Fail",'Lists &amp; Settings'!$O$9,IF($N16="Insufficient Evidence",'Lists &amp; Settings'!$O$10,IF($N16="Pass",IF($M16&gt;='Lists &amp; Settings'!$N$2,'Lists &amp; Settings'!$O$2,IF($M16&gt;='Lists &amp; Settings'!$N$3,'Lists &amp; Settings'!$O$3,'Lists &amp; Settings'!$O$4)),IF($N16="Partial",IF($M16&gt;='Lists &amp; Settings'!$N$6,'Lists &amp; Settings'!$O$6,IF($M16&gt;='Lists &amp; Settings'!$N$7,'Lists &amp; Settings'!$O$7,'Lists &amp; Settings'!$O$8)),'Lists &amp; Settings'!$O$10))))))</f>
        <v>Reject</v>
      </c>
      <c r="T16" s="10" t="s">
        <v>83</v>
      </c>
      <c r="U16" s="7"/>
      <c r="V16" s="7"/>
      <c r="W16" s="7"/>
      <c r="X16" s="7"/>
      <c r="Y16" s="10" t="s">
        <v>485</v>
      </c>
      <c r="Z16" s="7"/>
      <c r="AA16" s="20">
        <v>46291.0</v>
      </c>
      <c r="AB16" s="20"/>
    </row>
    <row r="17">
      <c r="A17" s="10" t="s">
        <v>486</v>
      </c>
      <c r="B17" s="18" t="s">
        <v>23</v>
      </c>
      <c r="C17" s="10" t="s">
        <v>487</v>
      </c>
      <c r="D17" s="18" t="s">
        <v>488</v>
      </c>
      <c r="E17" s="10" t="s">
        <v>489</v>
      </c>
      <c r="F17" s="10" t="s">
        <v>490</v>
      </c>
      <c r="G17" s="10" t="s">
        <v>491</v>
      </c>
      <c r="H17" s="10" t="s">
        <v>139</v>
      </c>
      <c r="I17" s="21">
        <v>23.0</v>
      </c>
      <c r="J17" s="21">
        <v>21.0</v>
      </c>
      <c r="K17" s="20">
        <v>46291.0</v>
      </c>
      <c r="L17" s="21">
        <v>9.0</v>
      </c>
      <c r="M17" s="22">
        <v>0.3</v>
      </c>
      <c r="N17" s="23" t="s">
        <v>48</v>
      </c>
      <c r="O17" s="21">
        <v>8.0</v>
      </c>
      <c r="P17" s="10" t="s">
        <v>492</v>
      </c>
      <c r="Q17" s="10" t="s">
        <v>493</v>
      </c>
      <c r="R17" s="10" t="s">
        <v>494</v>
      </c>
      <c r="S17" s="10" t="str">
        <f>IF($C17="","",IF(OR($M17="",$N17=""),'Lists &amp; Settings'!$O$10,IF($N17="Fail",'Lists &amp; Settings'!$O$9,IF($N17="Insufficient Evidence",'Lists &amp; Settings'!$O$10,IF($N17="Pass",IF($M17&gt;='Lists &amp; Settings'!$N$2,'Lists &amp; Settings'!$O$2,IF($M17&gt;='Lists &amp; Settings'!$N$3,'Lists &amp; Settings'!$O$3,'Lists &amp; Settings'!$O$4)),IF($N17="Partial",IF($M17&gt;='Lists &amp; Settings'!$N$6,'Lists &amp; Settings'!$O$6,IF($M17&gt;='Lists &amp; Settings'!$N$7,'Lists &amp; Settings'!$O$7,'Lists &amp; Settings'!$O$8)),'Lists &amp; Settings'!$O$10))))))</f>
        <v>Reject</v>
      </c>
      <c r="T17" s="10" t="s">
        <v>83</v>
      </c>
      <c r="U17" s="7"/>
      <c r="V17" s="7"/>
      <c r="W17" s="7"/>
      <c r="X17" s="7"/>
      <c r="Y17" s="10" t="s">
        <v>495</v>
      </c>
      <c r="Z17" s="7"/>
      <c r="AA17" s="20">
        <v>46291.0</v>
      </c>
      <c r="AB17" s="20"/>
    </row>
    <row r="18">
      <c r="A18" s="10" t="s">
        <v>496</v>
      </c>
      <c r="B18" s="18" t="s">
        <v>23</v>
      </c>
      <c r="C18" s="10" t="s">
        <v>497</v>
      </c>
      <c r="D18" s="18" t="s">
        <v>498</v>
      </c>
      <c r="E18" s="10" t="s">
        <v>499</v>
      </c>
      <c r="F18" s="10" t="s">
        <v>500</v>
      </c>
      <c r="G18" s="10" t="s">
        <v>501</v>
      </c>
      <c r="H18" s="10" t="s">
        <v>207</v>
      </c>
      <c r="I18" s="19"/>
      <c r="J18" s="21">
        <v>1.8</v>
      </c>
      <c r="K18" s="20">
        <v>46291.0</v>
      </c>
      <c r="L18" s="21">
        <v>8.5</v>
      </c>
      <c r="M18" s="22">
        <v>0.18</v>
      </c>
      <c r="N18" s="23" t="s">
        <v>48</v>
      </c>
      <c r="O18" s="21">
        <v>5.5</v>
      </c>
      <c r="P18" s="10" t="s">
        <v>502</v>
      </c>
      <c r="Q18" s="10" t="s">
        <v>503</v>
      </c>
      <c r="R18" s="10" t="s">
        <v>504</v>
      </c>
      <c r="S18" s="10" t="str">
        <f>IF($C18="","",IF(OR($M18="",$N18=""),'Lists &amp; Settings'!$O$10,IF($N18="Fail",'Lists &amp; Settings'!$O$9,IF($N18="Insufficient Evidence",'Lists &amp; Settings'!$O$10,IF($N18="Pass",IF($M18&gt;='Lists &amp; Settings'!$N$2,'Lists &amp; Settings'!$O$2,IF($M18&gt;='Lists &amp; Settings'!$N$3,'Lists &amp; Settings'!$O$3,'Lists &amp; Settings'!$O$4)),IF($N18="Partial",IF($M18&gt;='Lists &amp; Settings'!$N$6,'Lists &amp; Settings'!$O$6,IF($M18&gt;='Lists &amp; Settings'!$N$7,'Lists &amp; Settings'!$O$7,'Lists &amp; Settings'!$O$8)),'Lists &amp; Settings'!$O$10))))))</f>
        <v>Reject</v>
      </c>
      <c r="T18" s="10" t="s">
        <v>83</v>
      </c>
      <c r="U18" s="7"/>
      <c r="V18" s="7"/>
      <c r="W18" s="7"/>
      <c r="X18" s="7"/>
      <c r="Y18" s="10" t="s">
        <v>505</v>
      </c>
      <c r="Z18" s="7"/>
      <c r="AA18" s="20">
        <v>46291.0</v>
      </c>
      <c r="AB18" s="20"/>
    </row>
    <row r="19">
      <c r="A19" s="10" t="s">
        <v>506</v>
      </c>
      <c r="B19" s="18" t="s">
        <v>23</v>
      </c>
      <c r="C19" s="10" t="s">
        <v>507</v>
      </c>
      <c r="D19" s="18" t="s">
        <v>508</v>
      </c>
      <c r="E19" s="10" t="s">
        <v>509</v>
      </c>
      <c r="F19" s="10" t="s">
        <v>510</v>
      </c>
      <c r="G19" s="10" t="s">
        <v>511</v>
      </c>
      <c r="H19" s="10" t="s">
        <v>139</v>
      </c>
      <c r="I19" s="21">
        <v>10.0</v>
      </c>
      <c r="J19" s="21">
        <v>5.3</v>
      </c>
      <c r="K19" s="20">
        <v>46291.0</v>
      </c>
      <c r="L19" s="21">
        <v>9.0</v>
      </c>
      <c r="M19" s="22">
        <v>0.25</v>
      </c>
      <c r="N19" s="23" t="s">
        <v>48</v>
      </c>
      <c r="O19" s="21">
        <v>7.5</v>
      </c>
      <c r="P19" s="10" t="s">
        <v>512</v>
      </c>
      <c r="Q19" s="10" t="s">
        <v>513</v>
      </c>
      <c r="R19" s="10" t="s">
        <v>514</v>
      </c>
      <c r="S19" s="10" t="str">
        <f>IF($C19="","",IF(OR($M19="",$N19=""),'Lists &amp; Settings'!$O$10,IF($N19="Fail",'Lists &amp; Settings'!$O$9,IF($N19="Insufficient Evidence",'Lists &amp; Settings'!$O$10,IF($N19="Pass",IF($M19&gt;='Lists &amp; Settings'!$N$2,'Lists &amp; Settings'!$O$2,IF($M19&gt;='Lists &amp; Settings'!$N$3,'Lists &amp; Settings'!$O$3,'Lists &amp; Settings'!$O$4)),IF($N19="Partial",IF($M19&gt;='Lists &amp; Settings'!$N$6,'Lists &amp; Settings'!$O$6,IF($M19&gt;='Lists &amp; Settings'!$N$7,'Lists &amp; Settings'!$O$7,'Lists &amp; Settings'!$O$8)),'Lists &amp; Settings'!$O$10))))))</f>
        <v>Reject</v>
      </c>
      <c r="T19" s="10" t="s">
        <v>83</v>
      </c>
      <c r="U19" s="7"/>
      <c r="V19" s="7"/>
      <c r="W19" s="7"/>
      <c r="X19" s="7"/>
      <c r="Y19" s="10" t="s">
        <v>539</v>
      </c>
      <c r="Z19" s="7"/>
      <c r="AA19" s="20">
        <v>46291.0</v>
      </c>
      <c r="AB19" s="20"/>
    </row>
    <row r="20">
      <c r="A20" s="10" t="s">
        <v>541</v>
      </c>
      <c r="B20" s="18" t="s">
        <v>23</v>
      </c>
      <c r="C20" s="10" t="s">
        <v>542</v>
      </c>
      <c r="D20" s="18" t="s">
        <v>543</v>
      </c>
      <c r="E20" s="10" t="s">
        <v>544</v>
      </c>
      <c r="F20" s="10" t="s">
        <v>545</v>
      </c>
      <c r="G20" s="10" t="s">
        <v>546</v>
      </c>
      <c r="H20" s="10" t="s">
        <v>547</v>
      </c>
      <c r="I20" s="19"/>
      <c r="J20" s="21">
        <v>3.0</v>
      </c>
      <c r="K20" s="20">
        <v>46291.0</v>
      </c>
      <c r="L20" s="21">
        <v>8.0</v>
      </c>
      <c r="M20" s="22">
        <v>0.2</v>
      </c>
      <c r="N20" s="23" t="s">
        <v>48</v>
      </c>
      <c r="O20" s="21">
        <v>5.5</v>
      </c>
      <c r="P20" s="10" t="s">
        <v>548</v>
      </c>
      <c r="Q20" s="10" t="s">
        <v>549</v>
      </c>
      <c r="R20" s="10" t="s">
        <v>550</v>
      </c>
      <c r="S20" s="10" t="str">
        <f>IF($C20="","",IF(OR($M20="",$N20=""),'Lists &amp; Settings'!$O$10,IF($N20="Fail",'Lists &amp; Settings'!$O$9,IF($N20="Insufficient Evidence",'Lists &amp; Settings'!$O$10,IF($N20="Pass",IF($M20&gt;='Lists &amp; Settings'!$N$2,'Lists &amp; Settings'!$O$2,IF($M20&gt;='Lists &amp; Settings'!$N$3,'Lists &amp; Settings'!$O$3,'Lists &amp; Settings'!$O$4)),IF($N20="Partial",IF($M20&gt;='Lists &amp; Settings'!$N$6,'Lists &amp; Settings'!$O$6,IF($M20&gt;='Lists &amp; Settings'!$N$7,'Lists &amp; Settings'!$O$7,'Lists &amp; Settings'!$O$8)),'Lists &amp; Settings'!$O$10))))))</f>
        <v>Reject</v>
      </c>
      <c r="T20" s="10" t="s">
        <v>83</v>
      </c>
      <c r="U20" s="7"/>
      <c r="V20" s="7"/>
      <c r="W20" s="7"/>
      <c r="X20" s="7"/>
      <c r="Y20" s="10" t="s">
        <v>505</v>
      </c>
      <c r="Z20" s="7"/>
      <c r="AA20" s="20">
        <v>46291.0</v>
      </c>
      <c r="AB20" s="20"/>
    </row>
    <row r="21" ht="15.75" customHeight="1">
      <c r="A21" s="10" t="s">
        <v>558</v>
      </c>
      <c r="B21" s="18" t="s">
        <v>23</v>
      </c>
      <c r="C21" s="10" t="s">
        <v>559</v>
      </c>
      <c r="D21" s="10" t="s">
        <v>560</v>
      </c>
      <c r="E21" s="10" t="s">
        <v>561</v>
      </c>
      <c r="F21" s="10" t="s">
        <v>562</v>
      </c>
      <c r="G21" s="10" t="s">
        <v>563</v>
      </c>
      <c r="H21" s="10" t="s">
        <v>564</v>
      </c>
      <c r="I21" s="21">
        <v>23.0</v>
      </c>
      <c r="J21" s="21">
        <v>23.0</v>
      </c>
      <c r="K21" s="20">
        <v>46291.0</v>
      </c>
      <c r="L21" s="21">
        <v>9.0</v>
      </c>
      <c r="M21" s="22">
        <v>0.42</v>
      </c>
      <c r="N21" s="23" t="s">
        <v>48</v>
      </c>
      <c r="O21" s="21">
        <v>8.5</v>
      </c>
      <c r="P21" s="10" t="s">
        <v>573</v>
      </c>
      <c r="Q21" s="10" t="s">
        <v>574</v>
      </c>
      <c r="R21" s="10" t="s">
        <v>575</v>
      </c>
      <c r="S21" s="10" t="str">
        <f>IF($C21="","",IF(OR($M21="",$N21=""),'Lists &amp; Settings'!$O$10,IF($N21="Fail",'Lists &amp; Settings'!$O$9,IF($N21="Insufficient Evidence",'Lists &amp; Settings'!$O$10,IF($N21="Pass",IF($M21&gt;='Lists &amp; Settings'!$N$2,'Lists &amp; Settings'!$O$2,IF($M21&gt;='Lists &amp; Settings'!$N$3,'Lists &amp; Settings'!$O$3,'Lists &amp; Settings'!$O$4)),IF($N21="Partial",IF($M21&gt;='Lists &amp; Settings'!$N$6,'Lists &amp; Settings'!$O$6,IF($M21&gt;='Lists &amp; Settings'!$N$7,'Lists &amp; Settings'!$O$7,'Lists &amp; Settings'!$O$8)),'Lists &amp; Settings'!$O$10))))))</f>
        <v>Reject</v>
      </c>
      <c r="T21" s="10" t="s">
        <v>83</v>
      </c>
      <c r="U21" s="7"/>
      <c r="V21" s="7"/>
      <c r="W21" s="7"/>
      <c r="X21" s="7"/>
      <c r="Y21" s="10" t="s">
        <v>583</v>
      </c>
      <c r="Z21" s="7"/>
      <c r="AA21" s="20">
        <v>46291.0</v>
      </c>
      <c r="AB21" s="20"/>
    </row>
    <row r="22" ht="15.75" customHeight="1">
      <c r="A22" s="10" t="s">
        <v>584</v>
      </c>
      <c r="B22" s="18" t="s">
        <v>23</v>
      </c>
      <c r="C22" s="10" t="s">
        <v>586</v>
      </c>
      <c r="D22" s="18" t="s">
        <v>587</v>
      </c>
      <c r="E22" s="10" t="s">
        <v>592</v>
      </c>
      <c r="F22" s="7"/>
      <c r="G22" s="7"/>
      <c r="H22" s="7"/>
      <c r="I22" s="19"/>
      <c r="J22" s="19"/>
      <c r="K22" s="20">
        <v>46291.0</v>
      </c>
      <c r="L22" s="21">
        <v>7.5</v>
      </c>
      <c r="M22" s="22">
        <v>0.34</v>
      </c>
      <c r="N22" s="23" t="s">
        <v>48</v>
      </c>
      <c r="O22" s="21">
        <v>7.5</v>
      </c>
      <c r="P22" s="10" t="s">
        <v>595</v>
      </c>
      <c r="Q22" s="10" t="s">
        <v>596</v>
      </c>
      <c r="R22" s="10" t="s">
        <v>597</v>
      </c>
      <c r="S22" s="10" t="str">
        <f>IF($C22="","",IF(OR($M22="",$N22=""),'Lists &amp; Settings'!$O$10,IF($N22="Fail",'Lists &amp; Settings'!$O$9,IF($N22="Insufficient Evidence",'Lists &amp; Settings'!$O$10,IF($N22="Pass",IF($M22&gt;='Lists &amp; Settings'!$N$2,'Lists &amp; Settings'!$O$2,IF($M22&gt;='Lists &amp; Settings'!$N$3,'Lists &amp; Settings'!$O$3,'Lists &amp; Settings'!$O$4)),IF($N22="Partial",IF($M22&gt;='Lists &amp; Settings'!$N$6,'Lists &amp; Settings'!$O$6,IF($M22&gt;='Lists &amp; Settings'!$N$7,'Lists &amp; Settings'!$O$7,'Lists &amp; Settings'!$O$8)),'Lists &amp; Settings'!$O$10))))))</f>
        <v>Reject</v>
      </c>
      <c r="T22" s="10" t="s">
        <v>83</v>
      </c>
      <c r="U22" s="7"/>
      <c r="V22" s="7"/>
      <c r="W22" s="7"/>
      <c r="X22" s="7"/>
      <c r="Y22" s="10" t="s">
        <v>605</v>
      </c>
      <c r="Z22" s="7"/>
      <c r="AA22" s="20">
        <v>46291.0</v>
      </c>
      <c r="AB22" s="20"/>
    </row>
    <row r="23" ht="15.75" customHeight="1">
      <c r="A23" s="10" t="s">
        <v>610</v>
      </c>
      <c r="B23" s="18" t="s">
        <v>23</v>
      </c>
      <c r="C23" s="10" t="s">
        <v>611</v>
      </c>
      <c r="D23" s="18" t="s">
        <v>612</v>
      </c>
      <c r="E23" s="10" t="s">
        <v>613</v>
      </c>
      <c r="F23" s="10" t="s">
        <v>614</v>
      </c>
      <c r="G23" s="10" t="s">
        <v>615</v>
      </c>
      <c r="H23" s="10" t="s">
        <v>616</v>
      </c>
      <c r="I23" s="19"/>
      <c r="J23" s="21">
        <v>13.0</v>
      </c>
      <c r="K23" s="20">
        <v>46291.0</v>
      </c>
      <c r="L23" s="21">
        <v>9.0</v>
      </c>
      <c r="M23" s="22">
        <v>0.39</v>
      </c>
      <c r="N23" s="23" t="s">
        <v>48</v>
      </c>
      <c r="O23" s="21">
        <v>8.5</v>
      </c>
      <c r="P23" s="10" t="s">
        <v>618</v>
      </c>
      <c r="Q23" s="10" t="s">
        <v>619</v>
      </c>
      <c r="R23" s="10" t="s">
        <v>624</v>
      </c>
      <c r="S23" s="10" t="str">
        <f>IF($C23="","",IF(OR($M23="",$N23=""),'Lists &amp; Settings'!$O$10,IF($N23="Fail",'Lists &amp; Settings'!$O$9,IF($N23="Insufficient Evidence",'Lists &amp; Settings'!$O$10,IF($N23="Pass",IF($M23&gt;='Lists &amp; Settings'!$N$2,'Lists &amp; Settings'!$O$2,IF($M23&gt;='Lists &amp; Settings'!$N$3,'Lists &amp; Settings'!$O$3,'Lists &amp; Settings'!$O$4)),IF($N23="Partial",IF($M23&gt;='Lists &amp; Settings'!$N$6,'Lists &amp; Settings'!$O$6,IF($M23&gt;='Lists &amp; Settings'!$N$7,'Lists &amp; Settings'!$O$7,'Lists &amp; Settings'!$O$8)),'Lists &amp; Settings'!$O$10))))))</f>
        <v>Reject</v>
      </c>
      <c r="T23" s="10" t="s">
        <v>83</v>
      </c>
      <c r="U23" s="7"/>
      <c r="V23" s="7"/>
      <c r="W23" s="7"/>
      <c r="X23" s="7"/>
      <c r="Y23" s="10" t="s">
        <v>628</v>
      </c>
      <c r="Z23" s="7"/>
      <c r="AA23" s="20">
        <v>46291.0</v>
      </c>
      <c r="AB23" s="20"/>
    </row>
    <row r="24" ht="15.75" customHeight="1">
      <c r="A24" s="10" t="s">
        <v>636</v>
      </c>
      <c r="B24" s="18" t="s">
        <v>23</v>
      </c>
      <c r="C24" s="10" t="s">
        <v>637</v>
      </c>
      <c r="D24" s="18" t="s">
        <v>638</v>
      </c>
      <c r="E24" s="10" t="s">
        <v>639</v>
      </c>
      <c r="F24" s="10" t="s">
        <v>640</v>
      </c>
      <c r="G24" s="10" t="s">
        <v>641</v>
      </c>
      <c r="H24" s="10" t="s">
        <v>315</v>
      </c>
      <c r="I24" s="21">
        <v>20.0</v>
      </c>
      <c r="J24" s="19"/>
      <c r="K24" s="20">
        <v>46291.0</v>
      </c>
      <c r="L24" s="21">
        <v>9.0</v>
      </c>
      <c r="M24" s="22">
        <v>0.24</v>
      </c>
      <c r="N24" s="23" t="s">
        <v>48</v>
      </c>
      <c r="O24" s="21">
        <v>7.5</v>
      </c>
      <c r="P24" s="10" t="s">
        <v>642</v>
      </c>
      <c r="Q24" s="10" t="s">
        <v>643</v>
      </c>
      <c r="R24" s="10" t="s">
        <v>644</v>
      </c>
      <c r="S24" s="10" t="str">
        <f>IF($C24="","",IF(OR($M24="",$N24=""),'Lists &amp; Settings'!$O$10,IF($N24="Fail",'Lists &amp; Settings'!$O$9,IF($N24="Insufficient Evidence",'Lists &amp; Settings'!$O$10,IF($N24="Pass",IF($M24&gt;='Lists &amp; Settings'!$N$2,'Lists &amp; Settings'!$O$2,IF($M24&gt;='Lists &amp; Settings'!$N$3,'Lists &amp; Settings'!$O$3,'Lists &amp; Settings'!$O$4)),IF($N24="Partial",IF($M24&gt;='Lists &amp; Settings'!$N$6,'Lists &amp; Settings'!$O$6,IF($M24&gt;='Lists &amp; Settings'!$N$7,'Lists &amp; Settings'!$O$7,'Lists &amp; Settings'!$O$8)),'Lists &amp; Settings'!$O$10))))))</f>
        <v>Reject</v>
      </c>
      <c r="T24" s="10" t="s">
        <v>83</v>
      </c>
      <c r="U24" s="7"/>
      <c r="V24" s="7"/>
      <c r="W24" s="7"/>
      <c r="X24" s="7"/>
      <c r="Y24" s="10" t="s">
        <v>505</v>
      </c>
      <c r="Z24" s="7"/>
      <c r="AA24" s="20">
        <v>46291.0</v>
      </c>
      <c r="AB24" s="20"/>
    </row>
    <row r="25" ht="15.75" customHeight="1">
      <c r="A25" s="10" t="s">
        <v>651</v>
      </c>
      <c r="B25" s="18" t="s">
        <v>23</v>
      </c>
      <c r="C25" s="10" t="s">
        <v>653</v>
      </c>
      <c r="D25" s="18" t="s">
        <v>654</v>
      </c>
      <c r="E25" s="10" t="s">
        <v>655</v>
      </c>
      <c r="F25" s="10" t="s">
        <v>660</v>
      </c>
      <c r="G25" s="10" t="s">
        <v>663</v>
      </c>
      <c r="H25" s="10" t="s">
        <v>664</v>
      </c>
      <c r="I25" s="21">
        <v>10.0</v>
      </c>
      <c r="J25" s="21">
        <v>10.0</v>
      </c>
      <c r="K25" s="20">
        <v>46291.0</v>
      </c>
      <c r="L25" s="21">
        <v>8.5</v>
      </c>
      <c r="M25" s="22">
        <v>0.44</v>
      </c>
      <c r="N25" s="23" t="s">
        <v>48</v>
      </c>
      <c r="O25" s="21">
        <v>8.5</v>
      </c>
      <c r="P25" s="10" t="s">
        <v>665</v>
      </c>
      <c r="Q25" s="10" t="s">
        <v>666</v>
      </c>
      <c r="R25" s="10" t="s">
        <v>667</v>
      </c>
      <c r="S25" s="10" t="str">
        <f>IF($C25="","",IF(OR($M25="",$N25=""),'Lists &amp; Settings'!$O$10,IF($N25="Fail",'Lists &amp; Settings'!$O$9,IF($N25="Insufficient Evidence",'Lists &amp; Settings'!$O$10,IF($N25="Pass",IF($M25&gt;='Lists &amp; Settings'!$N$2,'Lists &amp; Settings'!$O$2,IF($M25&gt;='Lists &amp; Settings'!$N$3,'Lists &amp; Settings'!$O$3,'Lists &amp; Settings'!$O$4)),IF($N25="Partial",IF($M25&gt;='Lists &amp; Settings'!$N$6,'Lists &amp; Settings'!$O$6,IF($M25&gt;='Lists &amp; Settings'!$N$7,'Lists &amp; Settings'!$O$7,'Lists &amp; Settings'!$O$8)),'Lists &amp; Settings'!$O$10))))))</f>
        <v>Reject</v>
      </c>
      <c r="T25" s="10" t="s">
        <v>83</v>
      </c>
      <c r="U25" s="7"/>
      <c r="V25" s="7"/>
      <c r="W25" s="7"/>
      <c r="X25" s="7"/>
      <c r="Y25" s="10" t="s">
        <v>583</v>
      </c>
      <c r="Z25" s="7"/>
      <c r="AA25" s="20">
        <v>46291.0</v>
      </c>
      <c r="AB25" s="20"/>
    </row>
    <row r="26" ht="15.75" customHeight="1">
      <c r="A26" s="10" t="s">
        <v>680</v>
      </c>
      <c r="B26" s="18" t="s">
        <v>23</v>
      </c>
      <c r="C26" s="10" t="s">
        <v>681</v>
      </c>
      <c r="D26" s="18" t="s">
        <v>682</v>
      </c>
      <c r="E26" s="10" t="s">
        <v>683</v>
      </c>
      <c r="F26" s="10" t="s">
        <v>684</v>
      </c>
      <c r="G26" s="10" t="s">
        <v>685</v>
      </c>
      <c r="H26" s="10" t="s">
        <v>686</v>
      </c>
      <c r="I26" s="19"/>
      <c r="J26" s="21">
        <v>5.0</v>
      </c>
      <c r="K26" s="20">
        <v>46291.0</v>
      </c>
      <c r="L26" s="21">
        <v>9.0</v>
      </c>
      <c r="M26" s="22">
        <v>0.33</v>
      </c>
      <c r="N26" s="23" t="s">
        <v>48</v>
      </c>
      <c r="O26" s="21">
        <v>7.0</v>
      </c>
      <c r="P26" s="10" t="s">
        <v>692</v>
      </c>
      <c r="Q26" s="10" t="s">
        <v>696</v>
      </c>
      <c r="R26" s="10" t="s">
        <v>697</v>
      </c>
      <c r="S26" s="10" t="str">
        <f>IF($C26="","",IF(OR($M26="",$N26=""),'Lists &amp; Settings'!$O$10,IF($N26="Fail",'Lists &amp; Settings'!$O$9,IF($N26="Insufficient Evidence",'Lists &amp; Settings'!$O$10,IF($N26="Pass",IF($M26&gt;='Lists &amp; Settings'!$N$2,'Lists &amp; Settings'!$O$2,IF($M26&gt;='Lists &amp; Settings'!$N$3,'Lists &amp; Settings'!$O$3,'Lists &amp; Settings'!$O$4)),IF($N26="Partial",IF($M26&gt;='Lists &amp; Settings'!$N$6,'Lists &amp; Settings'!$O$6,IF($M26&gt;='Lists &amp; Settings'!$N$7,'Lists &amp; Settings'!$O$7,'Lists &amp; Settings'!$O$8)),'Lists &amp; Settings'!$O$10))))))</f>
        <v>Reject</v>
      </c>
      <c r="T26" s="10" t="s">
        <v>83</v>
      </c>
      <c r="U26" s="7"/>
      <c r="V26" s="7"/>
      <c r="W26" s="7"/>
      <c r="X26" s="7"/>
      <c r="Y26" s="10" t="s">
        <v>705</v>
      </c>
      <c r="Z26" s="7"/>
      <c r="AA26" s="20">
        <v>46291.0</v>
      </c>
      <c r="AB26" s="20"/>
    </row>
    <row r="27" ht="15.75" customHeight="1">
      <c r="A27" s="10" t="s">
        <v>713</v>
      </c>
      <c r="B27" s="18" t="s">
        <v>23</v>
      </c>
      <c r="C27" s="10" t="s">
        <v>714</v>
      </c>
      <c r="D27" s="10" t="s">
        <v>715</v>
      </c>
      <c r="E27" s="10" t="s">
        <v>717</v>
      </c>
      <c r="F27" s="10" t="s">
        <v>719</v>
      </c>
      <c r="G27" s="10" t="s">
        <v>724</v>
      </c>
      <c r="H27" s="10" t="s">
        <v>139</v>
      </c>
      <c r="I27" s="21">
        <v>8.6</v>
      </c>
      <c r="J27" s="21">
        <v>3.0</v>
      </c>
      <c r="K27" s="20">
        <v>46291.0</v>
      </c>
      <c r="L27" s="21">
        <v>8.5</v>
      </c>
      <c r="M27" s="22">
        <v>0.27</v>
      </c>
      <c r="N27" s="23" t="s">
        <v>48</v>
      </c>
      <c r="O27" s="21">
        <v>6.5</v>
      </c>
      <c r="P27" s="10" t="s">
        <v>728</v>
      </c>
      <c r="Q27" s="10" t="s">
        <v>731</v>
      </c>
      <c r="R27" s="10" t="s">
        <v>733</v>
      </c>
      <c r="S27" s="7" t="str">
        <f>IF($C27="","",IF(OR($M27="",$N27=""),'Lists &amp; Settings'!$O$10,IF($N27="Fail",'Lists &amp; Settings'!$O$9,IF($N27="Insufficient Evidence",'Lists &amp; Settings'!$O$10,IF($N27="Pass",IF($M27&gt;='Lists &amp; Settings'!$N$2,'Lists &amp; Settings'!$O$2,IF($M27&gt;='Lists &amp; Settings'!$N$3,'Lists &amp; Settings'!$O$3,'Lists &amp; Settings'!$O$4)),IF($N27="Partial",IF($M27&gt;='Lists &amp; Settings'!$N$6,'Lists &amp; Settings'!$O$6,IF($M27&gt;='Lists &amp; Settings'!$N$7,'Lists &amp; Settings'!$O$7,'Lists &amp; Settings'!$O$8)),'Lists &amp; Settings'!$O$10))))))</f>
        <v>Reject</v>
      </c>
      <c r="T27" s="10" t="s">
        <v>83</v>
      </c>
      <c r="U27" s="7"/>
      <c r="V27" s="7"/>
      <c r="W27" s="7"/>
      <c r="X27" s="7"/>
      <c r="Y27" s="10" t="s">
        <v>740</v>
      </c>
      <c r="Z27" s="7"/>
      <c r="AA27" s="20">
        <v>46291.0</v>
      </c>
      <c r="AB27" s="20"/>
    </row>
    <row r="28" ht="15.75" customHeight="1">
      <c r="A28" s="10" t="s">
        <v>742</v>
      </c>
      <c r="B28" s="18" t="s">
        <v>23</v>
      </c>
      <c r="C28" s="10" t="s">
        <v>748</v>
      </c>
      <c r="D28" s="18" t="s">
        <v>749</v>
      </c>
      <c r="E28" s="10" t="s">
        <v>750</v>
      </c>
      <c r="F28" s="10" t="s">
        <v>751</v>
      </c>
      <c r="G28" s="10" t="s">
        <v>752</v>
      </c>
      <c r="H28" s="10" t="s">
        <v>753</v>
      </c>
      <c r="I28" s="21">
        <v>4.0</v>
      </c>
      <c r="J28" s="21">
        <v>4.0</v>
      </c>
      <c r="K28" s="20">
        <v>46291.0</v>
      </c>
      <c r="L28" s="21">
        <v>9.5</v>
      </c>
      <c r="M28" s="22">
        <v>0.9</v>
      </c>
      <c r="N28" s="23" t="s">
        <v>24</v>
      </c>
      <c r="O28" s="21">
        <v>8.5</v>
      </c>
      <c r="P28" s="10" t="s">
        <v>754</v>
      </c>
      <c r="Q28" s="10" t="s">
        <v>756</v>
      </c>
      <c r="R28" s="10" t="s">
        <v>759</v>
      </c>
      <c r="S28" s="7" t="str">
        <f>IF($C28="","",IF(OR($M28="",$N28=""),'Lists &amp; Settings'!$O$10,IF($N28="Fail",'Lists &amp; Settings'!$O$9,IF($N28="Insufficient Evidence",'Lists &amp; Settings'!$O$10,IF($N28="Pass",IF($M28&gt;='Lists &amp; Settings'!$N$2,'Lists &amp; Settings'!$O$2,IF($M28&gt;='Lists &amp; Settings'!$N$3,'Lists &amp; Settings'!$O$3,'Lists &amp; Settings'!$O$4)),IF($N28="Partial",IF($M28&gt;='Lists &amp; Settings'!$N$6,'Lists &amp; Settings'!$O$6,IF($M28&gt;='Lists &amp; Settings'!$N$7,'Lists &amp; Settings'!$O$7,'Lists &amp; Settings'!$O$8)),'Lists &amp; Settings'!$O$10))))))</f>
        <v>Priority Shortlist</v>
      </c>
      <c r="T28" s="10" t="s">
        <v>56</v>
      </c>
      <c r="U28" s="7"/>
      <c r="V28" s="7"/>
      <c r="W28" s="7"/>
      <c r="X28" s="7"/>
      <c r="Y28" s="10" t="s">
        <v>769</v>
      </c>
      <c r="Z28" s="7"/>
      <c r="AA28" s="20">
        <v>46291.0</v>
      </c>
      <c r="AB28" s="20"/>
    </row>
    <row r="29" ht="15.75" customHeight="1">
      <c r="A29" s="25" t="s">
        <v>770</v>
      </c>
      <c r="B29" s="69" t="s">
        <v>171</v>
      </c>
      <c r="C29" s="25" t="s">
        <v>779</v>
      </c>
      <c r="D29" s="41" t="s">
        <v>780</v>
      </c>
      <c r="E29" s="25" t="s">
        <v>781</v>
      </c>
      <c r="F29" s="25" t="s">
        <v>782</v>
      </c>
      <c r="G29" s="25" t="s">
        <v>783</v>
      </c>
      <c r="H29" s="25" t="s">
        <v>784</v>
      </c>
      <c r="I29" s="21">
        <v>9.0</v>
      </c>
      <c r="J29" s="21">
        <v>9.0</v>
      </c>
      <c r="K29" s="20">
        <v>46292.0</v>
      </c>
      <c r="L29" s="21">
        <v>8.8</v>
      </c>
      <c r="M29" s="22">
        <v>0.76</v>
      </c>
      <c r="N29" s="23" t="s">
        <v>24</v>
      </c>
      <c r="O29" s="21">
        <v>6.2</v>
      </c>
      <c r="P29" s="25" t="s">
        <v>793</v>
      </c>
      <c r="Q29" s="25" t="s">
        <v>794</v>
      </c>
      <c r="R29" s="25" t="s">
        <v>795</v>
      </c>
      <c r="S29" s="25" t="s">
        <v>20</v>
      </c>
      <c r="T29" s="25" t="s">
        <v>56</v>
      </c>
      <c r="U29" s="7"/>
      <c r="V29" s="7"/>
      <c r="W29" s="7"/>
      <c r="X29" s="7"/>
      <c r="Y29" s="7"/>
      <c r="Z29" s="7"/>
      <c r="AA29" s="20">
        <v>46292.09649003472</v>
      </c>
      <c r="AB29" s="20"/>
    </row>
    <row r="30" ht="15.75" customHeight="1">
      <c r="A30" s="25" t="s">
        <v>796</v>
      </c>
      <c r="B30" s="69" t="s">
        <v>229</v>
      </c>
      <c r="C30" s="25" t="s">
        <v>799</v>
      </c>
      <c r="D30" s="41" t="s">
        <v>804</v>
      </c>
      <c r="E30" s="25" t="s">
        <v>807</v>
      </c>
      <c r="F30" s="25" t="s">
        <v>808</v>
      </c>
      <c r="G30" s="25" t="s">
        <v>809</v>
      </c>
      <c r="H30" s="25" t="s">
        <v>810</v>
      </c>
      <c r="I30" s="21">
        <v>16.6</v>
      </c>
      <c r="J30" s="21">
        <v>2.0</v>
      </c>
      <c r="K30" s="20">
        <v>46292.0</v>
      </c>
      <c r="L30" s="21">
        <v>9.3</v>
      </c>
      <c r="M30" s="22">
        <v>0.55</v>
      </c>
      <c r="N30" s="23" t="s">
        <v>48</v>
      </c>
      <c r="O30" s="21">
        <v>7.2</v>
      </c>
      <c r="P30" s="25" t="s">
        <v>813</v>
      </c>
      <c r="Q30" s="25" t="s">
        <v>820</v>
      </c>
      <c r="R30" s="25" t="s">
        <v>821</v>
      </c>
      <c r="S30" s="25" t="s">
        <v>59</v>
      </c>
      <c r="T30" s="25" t="s">
        <v>83</v>
      </c>
      <c r="U30" s="7"/>
      <c r="V30" s="7"/>
      <c r="W30" s="7"/>
      <c r="X30" s="7"/>
      <c r="Y30" s="7"/>
      <c r="Z30" s="7"/>
      <c r="AA30" s="20">
        <v>46292.28219482639</v>
      </c>
      <c r="AB30" s="20"/>
    </row>
    <row r="31" ht="15.75" customHeight="1">
      <c r="A31" s="25" t="s">
        <v>822</v>
      </c>
      <c r="B31" s="69" t="s">
        <v>23</v>
      </c>
      <c r="C31" s="25" t="s">
        <v>825</v>
      </c>
      <c r="D31" s="41" t="s">
        <v>826</v>
      </c>
      <c r="E31" s="25" t="s">
        <v>830</v>
      </c>
      <c r="F31" s="25" t="s">
        <v>834</v>
      </c>
      <c r="G31" s="25" t="s">
        <v>835</v>
      </c>
      <c r="H31" s="25" t="s">
        <v>836</v>
      </c>
      <c r="I31" s="21">
        <v>27.4</v>
      </c>
      <c r="J31" s="21">
        <v>22.9</v>
      </c>
      <c r="K31" s="20">
        <v>46292.0</v>
      </c>
      <c r="L31" s="21">
        <v>8.9</v>
      </c>
      <c r="M31" s="22">
        <v>0.34</v>
      </c>
      <c r="N31" s="23" t="s">
        <v>48</v>
      </c>
      <c r="O31" s="21">
        <v>5.6</v>
      </c>
      <c r="P31" s="25" t="s">
        <v>837</v>
      </c>
      <c r="Q31" s="25" t="s">
        <v>838</v>
      </c>
      <c r="R31" s="25" t="s">
        <v>839</v>
      </c>
      <c r="S31" s="25" t="s">
        <v>59</v>
      </c>
      <c r="T31" s="25" t="s">
        <v>83</v>
      </c>
      <c r="U31" s="7"/>
      <c r="V31" s="7"/>
      <c r="W31" s="7"/>
      <c r="X31" s="7"/>
      <c r="Y31" s="7"/>
      <c r="Z31" s="7"/>
      <c r="AA31" s="20">
        <v>46292.49354033565</v>
      </c>
      <c r="AB31" s="20"/>
    </row>
    <row r="32" ht="15.75" customHeight="1">
      <c r="A32" s="25" t="s">
        <v>849</v>
      </c>
      <c r="B32" s="69" t="s">
        <v>171</v>
      </c>
      <c r="C32" s="25" t="s">
        <v>851</v>
      </c>
      <c r="D32" s="25" t="s">
        <v>852</v>
      </c>
      <c r="E32" s="25" t="s">
        <v>855</v>
      </c>
      <c r="F32" s="25" t="s">
        <v>858</v>
      </c>
      <c r="G32" s="25" t="s">
        <v>862</v>
      </c>
      <c r="H32" s="25" t="s">
        <v>863</v>
      </c>
      <c r="I32" s="21">
        <v>4.0</v>
      </c>
      <c r="J32" s="21">
        <v>4.0</v>
      </c>
      <c r="K32" s="20">
        <v>46293.0</v>
      </c>
      <c r="L32" s="21">
        <v>8.4</v>
      </c>
      <c r="M32" s="22">
        <v>0.59</v>
      </c>
      <c r="N32" s="23" t="s">
        <v>36</v>
      </c>
      <c r="O32" s="21">
        <v>5.5</v>
      </c>
      <c r="P32" s="25" t="s">
        <v>882</v>
      </c>
      <c r="Q32" s="25" t="s">
        <v>883</v>
      </c>
      <c r="R32" s="25" t="s">
        <v>884</v>
      </c>
      <c r="S32" s="25" t="s">
        <v>46</v>
      </c>
      <c r="T32" s="25" t="s">
        <v>46</v>
      </c>
      <c r="U32" s="7"/>
      <c r="V32" s="7"/>
      <c r="W32" s="7"/>
      <c r="X32" s="7"/>
      <c r="Y32" s="7"/>
      <c r="Z32" s="7"/>
      <c r="AA32" s="20">
        <v>46292.968732037036</v>
      </c>
      <c r="AB32" s="20"/>
    </row>
    <row r="33" ht="15.75" customHeight="1">
      <c r="A33" s="25" t="s">
        <v>886</v>
      </c>
      <c r="B33" s="69" t="s">
        <v>280</v>
      </c>
      <c r="C33" s="25" t="s">
        <v>887</v>
      </c>
      <c r="D33" s="25" t="s">
        <v>888</v>
      </c>
      <c r="E33" s="25" t="s">
        <v>889</v>
      </c>
      <c r="F33" s="25" t="s">
        <v>890</v>
      </c>
      <c r="G33" s="25" t="s">
        <v>891</v>
      </c>
      <c r="H33" s="7"/>
      <c r="I33" s="21">
        <v>10.0</v>
      </c>
      <c r="J33" s="21">
        <v>6.3</v>
      </c>
      <c r="K33" s="20">
        <v>46296.0</v>
      </c>
      <c r="L33" s="21">
        <v>8.4</v>
      </c>
      <c r="M33" s="22">
        <v>0.52</v>
      </c>
      <c r="N33" s="23" t="s">
        <v>48</v>
      </c>
      <c r="O33" s="21">
        <v>6.2</v>
      </c>
      <c r="P33" s="25" t="s">
        <v>915</v>
      </c>
      <c r="Q33" s="25" t="s">
        <v>922</v>
      </c>
      <c r="R33" s="25" t="s">
        <v>928</v>
      </c>
      <c r="S33" s="25" t="s">
        <v>59</v>
      </c>
      <c r="T33" s="25" t="s">
        <v>83</v>
      </c>
      <c r="U33" s="7"/>
      <c r="V33" s="7"/>
      <c r="W33" s="7"/>
      <c r="X33" s="7"/>
      <c r="Y33" s="7"/>
      <c r="Z33" s="75" t="s">
        <v>899</v>
      </c>
      <c r="AA33" s="20">
        <v>46296.18739603009</v>
      </c>
      <c r="AB33" s="20"/>
    </row>
    <row r="34" ht="15.75" customHeight="1">
      <c r="A34" s="25" t="s">
        <v>901</v>
      </c>
      <c r="B34" s="69" t="s">
        <v>280</v>
      </c>
      <c r="C34" s="25" t="s">
        <v>902</v>
      </c>
      <c r="D34" s="41" t="s">
        <v>903</v>
      </c>
      <c r="E34" s="25" t="s">
        <v>904</v>
      </c>
      <c r="F34" s="25" t="s">
        <v>905</v>
      </c>
      <c r="G34" s="25" t="s">
        <v>906</v>
      </c>
      <c r="H34" s="25" t="s">
        <v>139</v>
      </c>
      <c r="I34" s="21">
        <v>15.1</v>
      </c>
      <c r="J34" s="21">
        <v>15.1</v>
      </c>
      <c r="K34" s="20">
        <v>46296.0</v>
      </c>
      <c r="L34" s="21">
        <v>8.1</v>
      </c>
      <c r="M34" s="22">
        <v>0.35</v>
      </c>
      <c r="N34" s="23" t="s">
        <v>48</v>
      </c>
      <c r="O34" s="21">
        <v>3.9</v>
      </c>
      <c r="P34" s="25" t="s">
        <v>992</v>
      </c>
      <c r="Q34" s="25" t="s">
        <v>993</v>
      </c>
      <c r="R34" s="25" t="s">
        <v>994</v>
      </c>
      <c r="S34" s="25" t="s">
        <v>59</v>
      </c>
      <c r="T34" s="25" t="s">
        <v>83</v>
      </c>
      <c r="U34" s="7"/>
      <c r="V34" s="7"/>
      <c r="W34" s="7"/>
      <c r="X34" s="7"/>
      <c r="Y34" s="7"/>
      <c r="Z34" s="75" t="s">
        <v>914</v>
      </c>
      <c r="AA34" s="20">
        <v>46296.1871162037</v>
      </c>
      <c r="AB34" s="20"/>
    </row>
    <row r="35" ht="15.75" customHeight="1">
      <c r="A35" s="25" t="s">
        <v>917</v>
      </c>
      <c r="B35" s="69" t="s">
        <v>280</v>
      </c>
      <c r="C35" s="25" t="s">
        <v>918</v>
      </c>
      <c r="D35" s="25" t="s">
        <v>919</v>
      </c>
      <c r="E35" s="25" t="s">
        <v>920</v>
      </c>
      <c r="F35" s="25" t="s">
        <v>921</v>
      </c>
      <c r="G35" s="25" t="s">
        <v>923</v>
      </c>
      <c r="H35" s="25" t="s">
        <v>753</v>
      </c>
      <c r="I35" s="21">
        <v>16.7</v>
      </c>
      <c r="J35" s="21">
        <v>6.6</v>
      </c>
      <c r="K35" s="20">
        <v>46294.0</v>
      </c>
      <c r="L35" s="21">
        <v>7.7</v>
      </c>
      <c r="M35" s="22">
        <v>0.49</v>
      </c>
      <c r="N35" s="23" t="s">
        <v>48</v>
      </c>
      <c r="O35" s="21">
        <v>5.8</v>
      </c>
      <c r="P35" s="25" t="s">
        <v>1030</v>
      </c>
      <c r="Q35" s="25" t="s">
        <v>1031</v>
      </c>
      <c r="R35" s="25" t="s">
        <v>1033</v>
      </c>
      <c r="S35" s="25" t="s">
        <v>59</v>
      </c>
      <c r="T35" s="25" t="s">
        <v>83</v>
      </c>
      <c r="U35" s="7"/>
      <c r="V35" s="7"/>
      <c r="W35" s="7"/>
      <c r="X35" s="7"/>
      <c r="Y35" s="7"/>
      <c r="Z35" s="7"/>
      <c r="AA35" s="20">
        <v>46293.958937372685</v>
      </c>
      <c r="AB35" s="20"/>
    </row>
    <row r="36" ht="15.75" customHeight="1">
      <c r="A36" s="25" t="s">
        <v>933</v>
      </c>
      <c r="B36" s="69" t="s">
        <v>23</v>
      </c>
      <c r="C36" s="25" t="s">
        <v>934</v>
      </c>
      <c r="D36" s="25" t="s">
        <v>935</v>
      </c>
      <c r="E36" s="25" t="s">
        <v>936</v>
      </c>
      <c r="F36" s="25" t="s">
        <v>938</v>
      </c>
      <c r="G36" s="25" t="s">
        <v>939</v>
      </c>
      <c r="H36" s="25" t="s">
        <v>937</v>
      </c>
      <c r="I36" s="21">
        <v>14.7</v>
      </c>
      <c r="J36" s="21">
        <v>0.0</v>
      </c>
      <c r="K36" s="20">
        <v>46295.0</v>
      </c>
      <c r="L36" s="21">
        <v>8.8</v>
      </c>
      <c r="M36" s="22">
        <v>0.31</v>
      </c>
      <c r="N36" s="23" t="s">
        <v>48</v>
      </c>
      <c r="O36" s="21">
        <v>6.2</v>
      </c>
      <c r="P36" s="25" t="s">
        <v>1066</v>
      </c>
      <c r="Q36" s="25" t="s">
        <v>1067</v>
      </c>
      <c r="R36" s="25" t="s">
        <v>1068</v>
      </c>
      <c r="S36" s="25" t="s">
        <v>59</v>
      </c>
      <c r="T36" s="25" t="s">
        <v>83</v>
      </c>
      <c r="U36" s="7"/>
      <c r="V36" s="7"/>
      <c r="W36" s="7"/>
      <c r="X36" s="7"/>
      <c r="Y36" s="7"/>
      <c r="Z36" s="7"/>
      <c r="AA36" s="20">
        <v>46295.176213125</v>
      </c>
      <c r="AB36" s="20"/>
    </row>
    <row r="37" ht="15.75" customHeight="1">
      <c r="A37" s="25" t="s">
        <v>948</v>
      </c>
      <c r="B37" s="69" t="s">
        <v>23</v>
      </c>
      <c r="C37" s="25" t="s">
        <v>949</v>
      </c>
      <c r="D37" s="7"/>
      <c r="E37" s="7"/>
      <c r="F37" s="25" t="s">
        <v>951</v>
      </c>
      <c r="G37" s="25" t="s">
        <v>952</v>
      </c>
      <c r="H37" s="25" t="s">
        <v>950</v>
      </c>
      <c r="I37" s="21">
        <v>9.8</v>
      </c>
      <c r="J37" s="21">
        <v>9.8</v>
      </c>
      <c r="K37" s="20">
        <v>46296.0</v>
      </c>
      <c r="L37" s="21">
        <v>8.7</v>
      </c>
      <c r="M37" s="22">
        <v>0.82</v>
      </c>
      <c r="N37" s="23" t="s">
        <v>24</v>
      </c>
      <c r="O37" s="21">
        <v>7.2</v>
      </c>
      <c r="P37" s="25" t="s">
        <v>1073</v>
      </c>
      <c r="Q37" s="25" t="s">
        <v>1074</v>
      </c>
      <c r="R37" s="25" t="s">
        <v>1075</v>
      </c>
      <c r="S37" s="25" t="s">
        <v>20</v>
      </c>
      <c r="T37" s="25" t="s">
        <v>56</v>
      </c>
      <c r="U37" s="7"/>
      <c r="V37" s="7"/>
      <c r="W37" s="7"/>
      <c r="X37" s="7"/>
      <c r="Y37" s="7"/>
      <c r="Z37" s="75" t="s">
        <v>960</v>
      </c>
      <c r="AA37" s="20">
        <v>46296.156746203706</v>
      </c>
      <c r="AB37" s="20"/>
    </row>
    <row r="38" ht="15.75" customHeight="1">
      <c r="A38" s="25" t="s">
        <v>962</v>
      </c>
      <c r="B38" s="69" t="s">
        <v>280</v>
      </c>
      <c r="C38" s="25" t="s">
        <v>963</v>
      </c>
      <c r="D38" s="25" t="s">
        <v>964</v>
      </c>
      <c r="E38" s="25" t="s">
        <v>965</v>
      </c>
      <c r="F38" s="25" t="s">
        <v>966</v>
      </c>
      <c r="G38" s="25" t="s">
        <v>967</v>
      </c>
      <c r="H38" s="25" t="s">
        <v>753</v>
      </c>
      <c r="I38" s="21">
        <v>31.3</v>
      </c>
      <c r="J38" s="21">
        <v>11.5</v>
      </c>
      <c r="K38" s="20">
        <v>46296.0</v>
      </c>
      <c r="L38" s="21">
        <v>8.1</v>
      </c>
      <c r="M38" s="22">
        <v>0.34</v>
      </c>
      <c r="N38" s="23" t="s">
        <v>48</v>
      </c>
      <c r="O38" s="21">
        <v>4.2</v>
      </c>
      <c r="P38" s="25" t="s">
        <v>1076</v>
      </c>
      <c r="Q38" s="25" t="s">
        <v>1077</v>
      </c>
      <c r="R38" s="25" t="s">
        <v>1078</v>
      </c>
      <c r="S38" s="25" t="s">
        <v>59</v>
      </c>
      <c r="T38" s="25" t="s">
        <v>83</v>
      </c>
      <c r="U38" s="7"/>
      <c r="V38" s="7"/>
      <c r="W38" s="7"/>
      <c r="X38" s="7"/>
      <c r="Y38" s="7"/>
      <c r="Z38" s="75" t="s">
        <v>975</v>
      </c>
      <c r="AA38" s="20">
        <v>46296.1872433449</v>
      </c>
      <c r="AB38" s="20"/>
    </row>
    <row r="39" ht="15.75" customHeight="1">
      <c r="A39" s="25" t="s">
        <v>977</v>
      </c>
      <c r="B39" s="69" t="s">
        <v>171</v>
      </c>
      <c r="C39" s="25" t="s">
        <v>978</v>
      </c>
      <c r="D39" s="41" t="s">
        <v>979</v>
      </c>
      <c r="E39" s="25" t="s">
        <v>980</v>
      </c>
      <c r="F39" s="25" t="s">
        <v>982</v>
      </c>
      <c r="G39" s="25" t="s">
        <v>983</v>
      </c>
      <c r="H39" s="25" t="s">
        <v>981</v>
      </c>
      <c r="I39" s="21">
        <v>8.3</v>
      </c>
      <c r="J39" s="21">
        <v>8.0</v>
      </c>
      <c r="K39" s="20">
        <v>46296.0</v>
      </c>
      <c r="L39" s="21">
        <v>7.3</v>
      </c>
      <c r="M39" s="22">
        <v>0.68</v>
      </c>
      <c r="N39" s="23" t="s">
        <v>24</v>
      </c>
      <c r="O39" s="21">
        <v>5.7</v>
      </c>
      <c r="P39" s="25" t="s">
        <v>1079</v>
      </c>
      <c r="Q39" s="25" t="s">
        <v>1080</v>
      </c>
      <c r="R39" s="25" t="s">
        <v>1081</v>
      </c>
      <c r="S39" s="25" t="s">
        <v>33</v>
      </c>
      <c r="T39" s="25" t="s">
        <v>56</v>
      </c>
      <c r="U39" s="7"/>
      <c r="V39" s="7"/>
      <c r="W39" s="7"/>
      <c r="X39" s="7"/>
      <c r="Y39" s="7"/>
      <c r="Z39" s="75" t="s">
        <v>991</v>
      </c>
      <c r="AA39" s="20">
        <v>46296.21360072917</v>
      </c>
      <c r="AB39" s="20"/>
    </row>
    <row r="40" ht="15.75" customHeight="1">
      <c r="A40" s="25" t="s">
        <v>999</v>
      </c>
      <c r="B40" s="69" t="s">
        <v>280</v>
      </c>
      <c r="C40" s="25" t="s">
        <v>1000</v>
      </c>
      <c r="D40" s="41" t="s">
        <v>1001</v>
      </c>
      <c r="E40" s="25" t="s">
        <v>1002</v>
      </c>
      <c r="F40" s="25" t="s">
        <v>1003</v>
      </c>
      <c r="G40" s="25" t="s">
        <v>1004</v>
      </c>
      <c r="H40" s="25" t="s">
        <v>753</v>
      </c>
      <c r="I40" s="21">
        <v>15.0</v>
      </c>
      <c r="J40" s="21">
        <v>15.0</v>
      </c>
      <c r="K40" s="20">
        <v>46296.0</v>
      </c>
      <c r="L40" s="21">
        <v>7.6</v>
      </c>
      <c r="M40" s="22">
        <v>0.44</v>
      </c>
      <c r="N40" s="23" t="s">
        <v>48</v>
      </c>
      <c r="O40" s="21">
        <v>3.4</v>
      </c>
      <c r="P40" s="25" t="s">
        <v>1082</v>
      </c>
      <c r="Q40" s="25" t="s">
        <v>1083</v>
      </c>
      <c r="R40" s="25" t="s">
        <v>1084</v>
      </c>
      <c r="S40" s="25" t="s">
        <v>59</v>
      </c>
      <c r="T40" s="25" t="s">
        <v>83</v>
      </c>
      <c r="U40" s="7"/>
      <c r="V40" s="7"/>
      <c r="W40" s="7"/>
      <c r="X40" s="7"/>
      <c r="Y40" s="7"/>
      <c r="Z40" s="75" t="s">
        <v>1012</v>
      </c>
      <c r="AA40" s="20">
        <v>46296.22747734954</v>
      </c>
      <c r="AB40" s="20"/>
    </row>
    <row r="41" ht="15.75" customHeight="1">
      <c r="A41" s="25" t="s">
        <v>849</v>
      </c>
      <c r="B41" s="69" t="s">
        <v>280</v>
      </c>
      <c r="C41" s="25" t="s">
        <v>851</v>
      </c>
      <c r="D41" s="25" t="s">
        <v>852</v>
      </c>
      <c r="E41" s="25" t="s">
        <v>855</v>
      </c>
      <c r="F41" s="25" t="s">
        <v>858</v>
      </c>
      <c r="G41" s="25" t="s">
        <v>862</v>
      </c>
      <c r="H41" s="25" t="s">
        <v>863</v>
      </c>
      <c r="I41" s="21">
        <v>4.0</v>
      </c>
      <c r="J41" s="21">
        <v>4.0</v>
      </c>
      <c r="K41" s="20">
        <v>46296.0</v>
      </c>
      <c r="L41" s="21">
        <v>8.5</v>
      </c>
      <c r="M41" s="22">
        <v>0.2</v>
      </c>
      <c r="N41" s="23" t="s">
        <v>48</v>
      </c>
      <c r="O41" s="21">
        <v>1.8</v>
      </c>
      <c r="P41" s="25" t="s">
        <v>1085</v>
      </c>
      <c r="Q41" s="25" t="s">
        <v>1086</v>
      </c>
      <c r="R41" s="25" t="s">
        <v>1087</v>
      </c>
      <c r="S41" s="25" t="s">
        <v>59</v>
      </c>
      <c r="T41" s="25" t="s">
        <v>83</v>
      </c>
      <c r="U41" s="7"/>
      <c r="V41" s="7"/>
      <c r="W41" s="7"/>
      <c r="X41" s="7"/>
      <c r="Y41" s="7"/>
      <c r="Z41" s="75" t="s">
        <v>881</v>
      </c>
      <c r="AA41" s="20">
        <v>46296.22787752315</v>
      </c>
      <c r="AB41" s="20"/>
    </row>
    <row r="42" ht="15.75" customHeight="1">
      <c r="A42" s="25" t="s">
        <v>1017</v>
      </c>
      <c r="B42" s="69" t="s">
        <v>280</v>
      </c>
      <c r="C42" s="25" t="s">
        <v>1018</v>
      </c>
      <c r="D42" s="41" t="s">
        <v>1019</v>
      </c>
      <c r="E42" s="25" t="s">
        <v>1020</v>
      </c>
      <c r="F42" s="25" t="s">
        <v>1003</v>
      </c>
      <c r="G42" s="25" t="s">
        <v>1021</v>
      </c>
      <c r="H42" s="25" t="s">
        <v>753</v>
      </c>
      <c r="I42" s="19"/>
      <c r="J42" s="19"/>
      <c r="K42" s="20">
        <v>46296.0</v>
      </c>
      <c r="L42" s="21">
        <v>8.0</v>
      </c>
      <c r="M42" s="22">
        <v>0.35</v>
      </c>
      <c r="N42" s="23" t="s">
        <v>48</v>
      </c>
      <c r="O42" s="21">
        <v>2.1</v>
      </c>
      <c r="P42" s="25" t="s">
        <v>1088</v>
      </c>
      <c r="Q42" s="25" t="s">
        <v>1089</v>
      </c>
      <c r="R42" s="25" t="s">
        <v>994</v>
      </c>
      <c r="S42" s="25" t="s">
        <v>59</v>
      </c>
      <c r="T42" s="25" t="s">
        <v>83</v>
      </c>
      <c r="U42" s="7"/>
      <c r="V42" s="7"/>
      <c r="W42" s="7"/>
      <c r="X42" s="7"/>
      <c r="Y42" s="7"/>
      <c r="Z42" s="75" t="s">
        <v>1029</v>
      </c>
      <c r="AA42" s="20">
        <v>46296.22807030093</v>
      </c>
      <c r="AB42" s="20"/>
    </row>
    <row r="43" ht="15.75" customHeight="1">
      <c r="A43" s="25" t="s">
        <v>1037</v>
      </c>
      <c r="B43" s="69" t="s">
        <v>171</v>
      </c>
      <c r="C43" s="25" t="s">
        <v>1038</v>
      </c>
      <c r="D43" s="41" t="s">
        <v>1039</v>
      </c>
      <c r="E43" s="25" t="s">
        <v>1040</v>
      </c>
      <c r="F43" s="25" t="s">
        <v>1042</v>
      </c>
      <c r="G43" s="25" t="s">
        <v>1043</v>
      </c>
      <c r="H43" s="25" t="s">
        <v>1041</v>
      </c>
      <c r="I43" s="19"/>
      <c r="J43" s="19"/>
      <c r="K43" s="20">
        <v>46296.0</v>
      </c>
      <c r="L43" s="21">
        <v>9.1</v>
      </c>
      <c r="M43" s="22">
        <v>0.62</v>
      </c>
      <c r="N43" s="23" t="s">
        <v>36</v>
      </c>
      <c r="O43" s="21">
        <v>6.2</v>
      </c>
      <c r="P43" s="25" t="s">
        <v>1090</v>
      </c>
      <c r="Q43" s="25" t="s">
        <v>1091</v>
      </c>
      <c r="R43" s="25" t="s">
        <v>1092</v>
      </c>
      <c r="S43" s="25" t="s">
        <v>46</v>
      </c>
      <c r="T43" s="25" t="s">
        <v>46</v>
      </c>
      <c r="U43" s="7"/>
      <c r="V43" s="7"/>
      <c r="W43" s="7"/>
      <c r="X43" s="7"/>
      <c r="Y43" s="7"/>
      <c r="Z43" s="75" t="s">
        <v>1050</v>
      </c>
      <c r="AA43" s="20">
        <v>46296.47092881944</v>
      </c>
      <c r="AB43" s="25" t="s">
        <v>1093</v>
      </c>
    </row>
    <row r="44" ht="15.75" customHeight="1">
      <c r="A44" s="25" t="s">
        <v>1052</v>
      </c>
      <c r="B44" s="69" t="s">
        <v>280</v>
      </c>
      <c r="C44" s="25" t="s">
        <v>1053</v>
      </c>
      <c r="D44" s="41" t="s">
        <v>1054</v>
      </c>
      <c r="E44" s="25" t="s">
        <v>1055</v>
      </c>
      <c r="F44" s="25" t="s">
        <v>1056</v>
      </c>
      <c r="G44" s="25" t="s">
        <v>1057</v>
      </c>
      <c r="H44" s="25" t="s">
        <v>950</v>
      </c>
      <c r="I44" s="21">
        <v>4.2</v>
      </c>
      <c r="J44" s="21">
        <v>3.6</v>
      </c>
      <c r="K44" s="20">
        <v>46297.0</v>
      </c>
      <c r="L44" s="21">
        <v>9.3</v>
      </c>
      <c r="M44" s="22">
        <v>0.6</v>
      </c>
      <c r="N44" s="23" t="s">
        <v>48</v>
      </c>
      <c r="O44" s="21">
        <v>7.4</v>
      </c>
      <c r="P44" s="25" t="s">
        <v>1094</v>
      </c>
      <c r="Q44" s="25" t="s">
        <v>1095</v>
      </c>
      <c r="R44" s="25" t="s">
        <v>1096</v>
      </c>
      <c r="S44" s="25" t="s">
        <v>59</v>
      </c>
      <c r="T44" s="25" t="s">
        <v>83</v>
      </c>
      <c r="U44" s="7"/>
      <c r="V44" s="7"/>
      <c r="W44" s="7"/>
      <c r="X44" s="7"/>
      <c r="Y44" s="7"/>
      <c r="Z44" s="75" t="s">
        <v>1065</v>
      </c>
      <c r="AA44" s="20">
        <v>46296.52584195602</v>
      </c>
      <c r="AB44" s="25" t="s">
        <v>1097</v>
      </c>
    </row>
    <row r="45" ht="15.75" customHeight="1">
      <c r="A45" s="7"/>
      <c r="B45" s="7"/>
      <c r="C45" s="7"/>
      <c r="D45" s="7"/>
      <c r="E45" s="7"/>
      <c r="F45" s="7"/>
      <c r="G45" s="7"/>
      <c r="H45" s="7"/>
      <c r="I45" s="19"/>
      <c r="J45" s="19"/>
      <c r="K45" s="76"/>
      <c r="L45" s="19"/>
      <c r="M45" s="77"/>
      <c r="N45" s="78"/>
      <c r="O45" s="19"/>
      <c r="P45" s="7"/>
      <c r="Q45" s="7"/>
      <c r="R45" s="7"/>
      <c r="S45" s="7" t="str">
        <f>IF($C45="","",IF(OR($M45="",$N45=""),'Lists &amp; Settings'!$O$10,IF($N45="Fail",'Lists &amp; Settings'!$O$9,IF($N45="Insufficient Evidence",'Lists &amp; Settings'!$O$10,IF($N45="Pass",IF($M45&gt;='Lists &amp; Settings'!$N$2,'Lists &amp; Settings'!$O$2,IF($M45&gt;='Lists &amp; Settings'!$N$3,'Lists &amp; Settings'!$O$3,'Lists &amp; Settings'!$O$4)),IF($N45="Partial",IF($M45&gt;='Lists &amp; Settings'!$N$6,'Lists &amp; Settings'!$O$6,IF($M45&gt;='Lists &amp; Settings'!$N$7,'Lists &amp; Settings'!$O$7,'Lists &amp; Settings'!$O$8)),'Lists &amp; Settings'!$O$10))))))</f>
        <v/>
      </c>
      <c r="T45" s="7"/>
      <c r="U45" s="7"/>
      <c r="V45" s="7"/>
      <c r="W45" s="7"/>
      <c r="X45" s="7"/>
      <c r="Y45" s="7"/>
      <c r="Z45" s="7"/>
      <c r="AA45" s="76"/>
      <c r="AB45" s="76"/>
    </row>
    <row r="46" ht="15.75" customHeight="1">
      <c r="A46" s="7"/>
      <c r="B46" s="7"/>
      <c r="C46" s="7"/>
      <c r="D46" s="7"/>
      <c r="E46" s="7"/>
      <c r="F46" s="7"/>
      <c r="G46" s="7"/>
      <c r="H46" s="7"/>
      <c r="I46" s="19"/>
      <c r="J46" s="19"/>
      <c r="K46" s="76"/>
      <c r="L46" s="19"/>
      <c r="M46" s="77"/>
      <c r="N46" s="78"/>
      <c r="O46" s="19"/>
      <c r="P46" s="7"/>
      <c r="Q46" s="7"/>
      <c r="R46" s="7"/>
      <c r="S46" s="7" t="str">
        <f>IF($C46="","",IF(OR($M46="",$N46=""),'Lists &amp; Settings'!$O$10,IF($N46="Fail",'Lists &amp; Settings'!$O$9,IF($N46="Insufficient Evidence",'Lists &amp; Settings'!$O$10,IF($N46="Pass",IF($M46&gt;='Lists &amp; Settings'!$N$2,'Lists &amp; Settings'!$O$2,IF($M46&gt;='Lists &amp; Settings'!$N$3,'Lists &amp; Settings'!$O$3,'Lists &amp; Settings'!$O$4)),IF($N46="Partial",IF($M46&gt;='Lists &amp; Settings'!$N$6,'Lists &amp; Settings'!$O$6,IF($M46&gt;='Lists &amp; Settings'!$N$7,'Lists &amp; Settings'!$O$7,'Lists &amp; Settings'!$O$8)),'Lists &amp; Settings'!$O$10))))))</f>
        <v/>
      </c>
      <c r="T46" s="7"/>
      <c r="U46" s="7"/>
      <c r="V46" s="7"/>
      <c r="W46" s="7"/>
      <c r="X46" s="7"/>
      <c r="Y46" s="7"/>
      <c r="Z46" s="7"/>
      <c r="AA46" s="76"/>
      <c r="AB46" s="76"/>
    </row>
    <row r="47" ht="15.75" customHeight="1">
      <c r="A47" s="7"/>
      <c r="B47" s="7"/>
      <c r="C47" s="7"/>
      <c r="D47" s="7"/>
      <c r="E47" s="7"/>
      <c r="F47" s="7"/>
      <c r="G47" s="7"/>
      <c r="H47" s="7"/>
      <c r="I47" s="19"/>
      <c r="J47" s="19"/>
      <c r="K47" s="76"/>
      <c r="L47" s="19"/>
      <c r="M47" s="77"/>
      <c r="N47" s="78"/>
      <c r="O47" s="19"/>
      <c r="P47" s="7"/>
      <c r="Q47" s="7"/>
      <c r="R47" s="7"/>
      <c r="S47" s="7" t="str">
        <f>IF($C47="","",IF(OR($M47="",$N47=""),'Lists &amp; Settings'!$O$10,IF($N47="Fail",'Lists &amp; Settings'!$O$9,IF($N47="Insufficient Evidence",'Lists &amp; Settings'!$O$10,IF($N47="Pass",IF($M47&gt;='Lists &amp; Settings'!$N$2,'Lists &amp; Settings'!$O$2,IF($M47&gt;='Lists &amp; Settings'!$N$3,'Lists &amp; Settings'!$O$3,'Lists &amp; Settings'!$O$4)),IF($N47="Partial",IF($M47&gt;='Lists &amp; Settings'!$N$6,'Lists &amp; Settings'!$O$6,IF($M47&gt;='Lists &amp; Settings'!$N$7,'Lists &amp; Settings'!$O$7,'Lists &amp; Settings'!$O$8)),'Lists &amp; Settings'!$O$10))))))</f>
        <v/>
      </c>
      <c r="T47" s="7"/>
      <c r="U47" s="7"/>
      <c r="V47" s="7"/>
      <c r="W47" s="7"/>
      <c r="X47" s="7"/>
      <c r="Y47" s="7"/>
      <c r="Z47" s="7"/>
      <c r="AA47" s="76"/>
      <c r="AB47" s="76"/>
    </row>
    <row r="48" ht="15.75" customHeight="1">
      <c r="A48" s="7"/>
      <c r="B48" s="7"/>
      <c r="C48" s="7"/>
      <c r="D48" s="7"/>
      <c r="E48" s="7"/>
      <c r="F48" s="7"/>
      <c r="G48" s="7"/>
      <c r="H48" s="7"/>
      <c r="I48" s="19"/>
      <c r="J48" s="19"/>
      <c r="K48" s="76"/>
      <c r="L48" s="19"/>
      <c r="M48" s="77"/>
      <c r="N48" s="78"/>
      <c r="O48" s="19"/>
      <c r="P48" s="7"/>
      <c r="Q48" s="7"/>
      <c r="R48" s="7"/>
      <c r="S48" s="7" t="str">
        <f>IF($C48="","",IF(OR($M48="",$N48=""),'Lists &amp; Settings'!$O$10,IF($N48="Fail",'Lists &amp; Settings'!$O$9,IF($N48="Insufficient Evidence",'Lists &amp; Settings'!$O$10,IF($N48="Pass",IF($M48&gt;='Lists &amp; Settings'!$N$2,'Lists &amp; Settings'!$O$2,IF($M48&gt;='Lists &amp; Settings'!$N$3,'Lists &amp; Settings'!$O$3,'Lists &amp; Settings'!$O$4)),IF($N48="Partial",IF($M48&gt;='Lists &amp; Settings'!$N$6,'Lists &amp; Settings'!$O$6,IF($M48&gt;='Lists &amp; Settings'!$N$7,'Lists &amp; Settings'!$O$7,'Lists &amp; Settings'!$O$8)),'Lists &amp; Settings'!$O$10))))))</f>
        <v/>
      </c>
      <c r="T48" s="7"/>
      <c r="U48" s="7"/>
      <c r="V48" s="7"/>
      <c r="W48" s="7"/>
      <c r="X48" s="7"/>
      <c r="Y48" s="7"/>
      <c r="Z48" s="7"/>
      <c r="AA48" s="76"/>
      <c r="AB48" s="76"/>
    </row>
    <row r="49" ht="15.75" customHeight="1">
      <c r="A49" s="7"/>
      <c r="B49" s="7"/>
      <c r="C49" s="7"/>
      <c r="D49" s="7"/>
      <c r="E49" s="7"/>
      <c r="F49" s="7"/>
      <c r="G49" s="7"/>
      <c r="H49" s="7"/>
      <c r="I49" s="19"/>
      <c r="J49" s="19"/>
      <c r="K49" s="76"/>
      <c r="L49" s="19"/>
      <c r="M49" s="77"/>
      <c r="N49" s="78"/>
      <c r="O49" s="19"/>
      <c r="P49" s="7"/>
      <c r="Q49" s="7"/>
      <c r="R49" s="7"/>
      <c r="S49" s="7" t="str">
        <f>IF($C49="","",IF(OR($M49="",$N49=""),'Lists &amp; Settings'!$O$10,IF($N49="Fail",'Lists &amp; Settings'!$O$9,IF($N49="Insufficient Evidence",'Lists &amp; Settings'!$O$10,IF($N49="Pass",IF($M49&gt;='Lists &amp; Settings'!$N$2,'Lists &amp; Settings'!$O$2,IF($M49&gt;='Lists &amp; Settings'!$N$3,'Lists &amp; Settings'!$O$3,'Lists &amp; Settings'!$O$4)),IF($N49="Partial",IF($M49&gt;='Lists &amp; Settings'!$N$6,'Lists &amp; Settings'!$O$6,IF($M49&gt;='Lists &amp; Settings'!$N$7,'Lists &amp; Settings'!$O$7,'Lists &amp; Settings'!$O$8)),'Lists &amp; Settings'!$O$10))))))</f>
        <v/>
      </c>
      <c r="T49" s="7"/>
      <c r="U49" s="7"/>
      <c r="V49" s="7"/>
      <c r="W49" s="7"/>
      <c r="X49" s="7"/>
      <c r="Y49" s="7"/>
      <c r="Z49" s="7"/>
      <c r="AA49" s="76"/>
      <c r="AB49" s="76"/>
    </row>
    <row r="50" ht="15.75" customHeight="1">
      <c r="A50" s="7"/>
      <c r="B50" s="7"/>
      <c r="C50" s="7"/>
      <c r="D50" s="7"/>
      <c r="E50" s="7"/>
      <c r="F50" s="7"/>
      <c r="G50" s="7"/>
      <c r="H50" s="7"/>
      <c r="I50" s="19"/>
      <c r="J50" s="19"/>
      <c r="K50" s="76"/>
      <c r="L50" s="19"/>
      <c r="M50" s="77"/>
      <c r="N50" s="78"/>
      <c r="O50" s="19"/>
      <c r="P50" s="7"/>
      <c r="Q50" s="7"/>
      <c r="R50" s="7"/>
      <c r="S50" s="7" t="str">
        <f>IF($C50="","",IF(OR($M50="",$N50=""),'Lists &amp; Settings'!$O$10,IF($N50="Fail",'Lists &amp; Settings'!$O$9,IF($N50="Insufficient Evidence",'Lists &amp; Settings'!$O$10,IF($N50="Pass",IF($M50&gt;='Lists &amp; Settings'!$N$2,'Lists &amp; Settings'!$O$2,IF($M50&gt;='Lists &amp; Settings'!$N$3,'Lists &amp; Settings'!$O$3,'Lists &amp; Settings'!$O$4)),IF($N50="Partial",IF($M50&gt;='Lists &amp; Settings'!$N$6,'Lists &amp; Settings'!$O$6,IF($M50&gt;='Lists &amp; Settings'!$N$7,'Lists &amp; Settings'!$O$7,'Lists &amp; Settings'!$O$8)),'Lists &amp; Settings'!$O$10))))))</f>
        <v/>
      </c>
      <c r="T50" s="7"/>
      <c r="U50" s="7"/>
      <c r="V50" s="7"/>
      <c r="W50" s="7"/>
      <c r="X50" s="7"/>
      <c r="Y50" s="7"/>
      <c r="Z50" s="7"/>
      <c r="AA50" s="76"/>
      <c r="AB50" s="76"/>
    </row>
    <row r="51" ht="15.75" customHeight="1">
      <c r="A51" s="7"/>
      <c r="B51" s="7"/>
      <c r="C51" s="7"/>
      <c r="D51" s="7"/>
      <c r="E51" s="7"/>
      <c r="F51" s="7"/>
      <c r="G51" s="7"/>
      <c r="H51" s="7"/>
      <c r="I51" s="19"/>
      <c r="J51" s="19"/>
      <c r="K51" s="76"/>
      <c r="L51" s="19"/>
      <c r="M51" s="77"/>
      <c r="N51" s="78"/>
      <c r="O51" s="19"/>
      <c r="P51" s="7"/>
      <c r="Q51" s="7"/>
      <c r="R51" s="7"/>
      <c r="S51" s="7" t="str">
        <f>IF($C51="","",IF(OR($M51="",$N51=""),'Lists &amp; Settings'!$O$10,IF($N51="Fail",'Lists &amp; Settings'!$O$9,IF($N51="Insufficient Evidence",'Lists &amp; Settings'!$O$10,IF($N51="Pass",IF($M51&gt;='Lists &amp; Settings'!$N$2,'Lists &amp; Settings'!$O$2,IF($M51&gt;='Lists &amp; Settings'!$N$3,'Lists &amp; Settings'!$O$3,'Lists &amp; Settings'!$O$4)),IF($N51="Partial",IF($M51&gt;='Lists &amp; Settings'!$N$6,'Lists &amp; Settings'!$O$6,IF($M51&gt;='Lists &amp; Settings'!$N$7,'Lists &amp; Settings'!$O$7,'Lists &amp; Settings'!$O$8)),'Lists &amp; Settings'!$O$10))))))</f>
        <v/>
      </c>
      <c r="T51" s="7"/>
      <c r="U51" s="7"/>
      <c r="V51" s="7"/>
      <c r="W51" s="7"/>
      <c r="X51" s="7"/>
      <c r="Y51" s="7"/>
      <c r="Z51" s="7"/>
      <c r="AA51" s="76"/>
      <c r="AB51" s="76"/>
    </row>
    <row r="52" ht="15.75" customHeight="1">
      <c r="A52" s="7"/>
      <c r="B52" s="7"/>
      <c r="C52" s="7"/>
      <c r="D52" s="7"/>
      <c r="E52" s="7"/>
      <c r="F52" s="7"/>
      <c r="G52" s="7"/>
      <c r="H52" s="7"/>
      <c r="I52" s="19"/>
      <c r="J52" s="19"/>
      <c r="K52" s="76"/>
      <c r="L52" s="19"/>
      <c r="M52" s="77"/>
      <c r="N52" s="78"/>
      <c r="O52" s="19"/>
      <c r="P52" s="7"/>
      <c r="Q52" s="7"/>
      <c r="R52" s="7"/>
      <c r="S52" s="7" t="str">
        <f>IF($C52="","",IF(OR($M52="",$N52=""),'Lists &amp; Settings'!$O$10,IF($N52="Fail",'Lists &amp; Settings'!$O$9,IF($N52="Insufficient Evidence",'Lists &amp; Settings'!$O$10,IF($N52="Pass",IF($M52&gt;='Lists &amp; Settings'!$N$2,'Lists &amp; Settings'!$O$2,IF($M52&gt;='Lists &amp; Settings'!$N$3,'Lists &amp; Settings'!$O$3,'Lists &amp; Settings'!$O$4)),IF($N52="Partial",IF($M52&gt;='Lists &amp; Settings'!$N$6,'Lists &amp; Settings'!$O$6,IF($M52&gt;='Lists &amp; Settings'!$N$7,'Lists &amp; Settings'!$O$7,'Lists &amp; Settings'!$O$8)),'Lists &amp; Settings'!$O$10))))))</f>
        <v/>
      </c>
      <c r="T52" s="7"/>
      <c r="U52" s="7"/>
      <c r="V52" s="7"/>
      <c r="W52" s="7"/>
      <c r="X52" s="7"/>
      <c r="Y52" s="7"/>
      <c r="Z52" s="7"/>
      <c r="AA52" s="76"/>
      <c r="AB52" s="76"/>
    </row>
    <row r="53" ht="15.75" customHeight="1">
      <c r="A53" s="7"/>
      <c r="B53" s="7"/>
      <c r="C53" s="7"/>
      <c r="D53" s="7"/>
      <c r="E53" s="7"/>
      <c r="F53" s="7"/>
      <c r="G53" s="7"/>
      <c r="H53" s="7"/>
      <c r="I53" s="19"/>
      <c r="J53" s="19"/>
      <c r="K53" s="76"/>
      <c r="L53" s="19"/>
      <c r="M53" s="77"/>
      <c r="N53" s="78"/>
      <c r="O53" s="19"/>
      <c r="P53" s="7"/>
      <c r="Q53" s="7"/>
      <c r="R53" s="7"/>
      <c r="S53" s="7" t="str">
        <f>IF($C53="","",IF(OR($M53="",$N53=""),'Lists &amp; Settings'!$O$10,IF($N53="Fail",'Lists &amp; Settings'!$O$9,IF($N53="Insufficient Evidence",'Lists &amp; Settings'!$O$10,IF($N53="Pass",IF($M53&gt;='Lists &amp; Settings'!$N$2,'Lists &amp; Settings'!$O$2,IF($M53&gt;='Lists &amp; Settings'!$N$3,'Lists &amp; Settings'!$O$3,'Lists &amp; Settings'!$O$4)),IF($N53="Partial",IF($M53&gt;='Lists &amp; Settings'!$N$6,'Lists &amp; Settings'!$O$6,IF($M53&gt;='Lists &amp; Settings'!$N$7,'Lists &amp; Settings'!$O$7,'Lists &amp; Settings'!$O$8)),'Lists &amp; Settings'!$O$10))))))</f>
        <v/>
      </c>
      <c r="T53" s="7"/>
      <c r="U53" s="7"/>
      <c r="V53" s="7"/>
      <c r="W53" s="7"/>
      <c r="X53" s="7"/>
      <c r="Y53" s="7"/>
      <c r="Z53" s="7"/>
      <c r="AA53" s="76"/>
      <c r="AB53" s="76"/>
    </row>
    <row r="54" ht="15.75" customHeight="1">
      <c r="A54" s="7"/>
      <c r="B54" s="7"/>
      <c r="C54" s="7"/>
      <c r="D54" s="7"/>
      <c r="E54" s="7"/>
      <c r="F54" s="7"/>
      <c r="G54" s="7"/>
      <c r="H54" s="7"/>
      <c r="I54" s="19"/>
      <c r="J54" s="19"/>
      <c r="K54" s="76"/>
      <c r="L54" s="19"/>
      <c r="M54" s="77"/>
      <c r="N54" s="78"/>
      <c r="O54" s="19"/>
      <c r="P54" s="7"/>
      <c r="Q54" s="7"/>
      <c r="R54" s="7"/>
      <c r="S54" s="7" t="str">
        <f>IF($C54="","",IF(OR($M54="",$N54=""),'Lists &amp; Settings'!$O$10,IF($N54="Fail",'Lists &amp; Settings'!$O$9,IF($N54="Insufficient Evidence",'Lists &amp; Settings'!$O$10,IF($N54="Pass",IF($M54&gt;='Lists &amp; Settings'!$N$2,'Lists &amp; Settings'!$O$2,IF($M54&gt;='Lists &amp; Settings'!$N$3,'Lists &amp; Settings'!$O$3,'Lists &amp; Settings'!$O$4)),IF($N54="Partial",IF($M54&gt;='Lists &amp; Settings'!$N$6,'Lists &amp; Settings'!$O$6,IF($M54&gt;='Lists &amp; Settings'!$N$7,'Lists &amp; Settings'!$O$7,'Lists &amp; Settings'!$O$8)),'Lists &amp; Settings'!$O$10))))))</f>
        <v/>
      </c>
      <c r="T54" s="7"/>
      <c r="U54" s="7"/>
      <c r="V54" s="7"/>
      <c r="W54" s="7"/>
      <c r="X54" s="7"/>
      <c r="Y54" s="7"/>
      <c r="Z54" s="7"/>
      <c r="AA54" s="76"/>
      <c r="AB54" s="76"/>
    </row>
    <row r="55" ht="15.75" customHeight="1">
      <c r="A55" s="7"/>
      <c r="B55" s="7"/>
      <c r="C55" s="7"/>
      <c r="D55" s="7"/>
      <c r="E55" s="7"/>
      <c r="F55" s="7"/>
      <c r="G55" s="7"/>
      <c r="H55" s="7"/>
      <c r="I55" s="19"/>
      <c r="J55" s="19"/>
      <c r="K55" s="76"/>
      <c r="L55" s="19"/>
      <c r="M55" s="77"/>
      <c r="N55" s="78"/>
      <c r="O55" s="19"/>
      <c r="P55" s="7"/>
      <c r="Q55" s="7"/>
      <c r="R55" s="7"/>
      <c r="S55" s="7" t="str">
        <f>IF($C55="","",IF(OR($M55="",$N55=""),'Lists &amp; Settings'!$O$10,IF($N55="Fail",'Lists &amp; Settings'!$O$9,IF($N55="Insufficient Evidence",'Lists &amp; Settings'!$O$10,IF($N55="Pass",IF($M55&gt;='Lists &amp; Settings'!$N$2,'Lists &amp; Settings'!$O$2,IF($M55&gt;='Lists &amp; Settings'!$N$3,'Lists &amp; Settings'!$O$3,'Lists &amp; Settings'!$O$4)),IF($N55="Partial",IF($M55&gt;='Lists &amp; Settings'!$N$6,'Lists &amp; Settings'!$O$6,IF($M55&gt;='Lists &amp; Settings'!$N$7,'Lists &amp; Settings'!$O$7,'Lists &amp; Settings'!$O$8)),'Lists &amp; Settings'!$O$10))))))</f>
        <v/>
      </c>
      <c r="T55" s="7"/>
      <c r="U55" s="7"/>
      <c r="V55" s="7"/>
      <c r="W55" s="7"/>
      <c r="X55" s="7"/>
      <c r="Y55" s="7"/>
      <c r="Z55" s="7"/>
      <c r="AA55" s="76"/>
      <c r="AB55" s="76"/>
    </row>
    <row r="56" ht="15.75" customHeight="1">
      <c r="A56" s="7"/>
      <c r="B56" s="7"/>
      <c r="C56" s="7"/>
      <c r="D56" s="7"/>
      <c r="E56" s="7"/>
      <c r="F56" s="7"/>
      <c r="G56" s="7"/>
      <c r="H56" s="7"/>
      <c r="I56" s="19"/>
      <c r="J56" s="19"/>
      <c r="K56" s="76"/>
      <c r="L56" s="19"/>
      <c r="M56" s="77"/>
      <c r="N56" s="78"/>
      <c r="O56" s="19"/>
      <c r="P56" s="7"/>
      <c r="Q56" s="7"/>
      <c r="R56" s="7"/>
      <c r="S56" s="7" t="str">
        <f>IF($C56="","",IF(OR($M56="",$N56=""),'Lists &amp; Settings'!$O$10,IF($N56="Fail",'Lists &amp; Settings'!$O$9,IF($N56="Insufficient Evidence",'Lists &amp; Settings'!$O$10,IF($N56="Pass",IF($M56&gt;='Lists &amp; Settings'!$N$2,'Lists &amp; Settings'!$O$2,IF($M56&gt;='Lists &amp; Settings'!$N$3,'Lists &amp; Settings'!$O$3,'Lists &amp; Settings'!$O$4)),IF($N56="Partial",IF($M56&gt;='Lists &amp; Settings'!$N$6,'Lists &amp; Settings'!$O$6,IF($M56&gt;='Lists &amp; Settings'!$N$7,'Lists &amp; Settings'!$O$7,'Lists &amp; Settings'!$O$8)),'Lists &amp; Settings'!$O$10))))))</f>
        <v/>
      </c>
      <c r="T56" s="7"/>
      <c r="U56" s="7"/>
      <c r="V56" s="7"/>
      <c r="W56" s="7"/>
      <c r="X56" s="7"/>
      <c r="Y56" s="7"/>
      <c r="Z56" s="7"/>
      <c r="AA56" s="76"/>
      <c r="AB56" s="76"/>
    </row>
    <row r="57" ht="15.75" customHeight="1">
      <c r="A57" s="7"/>
      <c r="B57" s="7"/>
      <c r="C57" s="7"/>
      <c r="D57" s="7"/>
      <c r="E57" s="7"/>
      <c r="F57" s="7"/>
      <c r="G57" s="7"/>
      <c r="H57" s="7"/>
      <c r="I57" s="19"/>
      <c r="J57" s="19"/>
      <c r="K57" s="76"/>
      <c r="L57" s="19"/>
      <c r="M57" s="77"/>
      <c r="N57" s="78"/>
      <c r="O57" s="19"/>
      <c r="P57" s="7"/>
      <c r="Q57" s="7"/>
      <c r="R57" s="7"/>
      <c r="S57" s="7" t="str">
        <f>IF($C57="","",IF(OR($M57="",$N57=""),'Lists &amp; Settings'!$O$10,IF($N57="Fail",'Lists &amp; Settings'!$O$9,IF($N57="Insufficient Evidence",'Lists &amp; Settings'!$O$10,IF($N57="Pass",IF($M57&gt;='Lists &amp; Settings'!$N$2,'Lists &amp; Settings'!$O$2,IF($M57&gt;='Lists &amp; Settings'!$N$3,'Lists &amp; Settings'!$O$3,'Lists &amp; Settings'!$O$4)),IF($N57="Partial",IF($M57&gt;='Lists &amp; Settings'!$N$6,'Lists &amp; Settings'!$O$6,IF($M57&gt;='Lists &amp; Settings'!$N$7,'Lists &amp; Settings'!$O$7,'Lists &amp; Settings'!$O$8)),'Lists &amp; Settings'!$O$10))))))</f>
        <v/>
      </c>
      <c r="T57" s="7"/>
      <c r="U57" s="7"/>
      <c r="V57" s="7"/>
      <c r="W57" s="7"/>
      <c r="X57" s="7"/>
      <c r="Y57" s="7"/>
      <c r="Z57" s="7"/>
      <c r="AA57" s="76"/>
      <c r="AB57" s="76"/>
    </row>
    <row r="58" ht="15.75" customHeight="1">
      <c r="A58" s="7"/>
      <c r="B58" s="7"/>
      <c r="C58" s="7"/>
      <c r="D58" s="7"/>
      <c r="E58" s="7"/>
      <c r="F58" s="7"/>
      <c r="G58" s="7"/>
      <c r="H58" s="7"/>
      <c r="I58" s="19"/>
      <c r="J58" s="19"/>
      <c r="K58" s="76"/>
      <c r="L58" s="19"/>
      <c r="M58" s="77"/>
      <c r="N58" s="78"/>
      <c r="O58" s="19"/>
      <c r="P58" s="7"/>
      <c r="Q58" s="7"/>
      <c r="R58" s="7"/>
      <c r="S58" s="7" t="str">
        <f>IF($C58="","",IF(OR($M58="",$N58=""),'Lists &amp; Settings'!$O$10,IF($N58="Fail",'Lists &amp; Settings'!$O$9,IF($N58="Insufficient Evidence",'Lists &amp; Settings'!$O$10,IF($N58="Pass",IF($M58&gt;='Lists &amp; Settings'!$N$2,'Lists &amp; Settings'!$O$2,IF($M58&gt;='Lists &amp; Settings'!$N$3,'Lists &amp; Settings'!$O$3,'Lists &amp; Settings'!$O$4)),IF($N58="Partial",IF($M58&gt;='Lists &amp; Settings'!$N$6,'Lists &amp; Settings'!$O$6,IF($M58&gt;='Lists &amp; Settings'!$N$7,'Lists &amp; Settings'!$O$7,'Lists &amp; Settings'!$O$8)),'Lists &amp; Settings'!$O$10))))))</f>
        <v/>
      </c>
      <c r="T58" s="7"/>
      <c r="U58" s="7"/>
      <c r="V58" s="7"/>
      <c r="W58" s="7"/>
      <c r="X58" s="7"/>
      <c r="Y58" s="7"/>
      <c r="Z58" s="7"/>
      <c r="AA58" s="76"/>
      <c r="AB58" s="76"/>
    </row>
    <row r="59" ht="15.75" customHeight="1">
      <c r="A59" s="7"/>
      <c r="B59" s="7"/>
      <c r="C59" s="7"/>
      <c r="D59" s="7"/>
      <c r="E59" s="7"/>
      <c r="F59" s="7"/>
      <c r="G59" s="7"/>
      <c r="H59" s="7"/>
      <c r="I59" s="19"/>
      <c r="J59" s="19"/>
      <c r="K59" s="76"/>
      <c r="L59" s="19"/>
      <c r="M59" s="77"/>
      <c r="N59" s="78"/>
      <c r="O59" s="19"/>
      <c r="P59" s="7"/>
      <c r="Q59" s="7"/>
      <c r="R59" s="7"/>
      <c r="S59" s="7" t="str">
        <f>IF($C59="","",IF(OR($M59="",$N59=""),'Lists &amp; Settings'!$O$10,IF($N59="Fail",'Lists &amp; Settings'!$O$9,IF($N59="Insufficient Evidence",'Lists &amp; Settings'!$O$10,IF($N59="Pass",IF($M59&gt;='Lists &amp; Settings'!$N$2,'Lists &amp; Settings'!$O$2,IF($M59&gt;='Lists &amp; Settings'!$N$3,'Lists &amp; Settings'!$O$3,'Lists &amp; Settings'!$O$4)),IF($N59="Partial",IF($M59&gt;='Lists &amp; Settings'!$N$6,'Lists &amp; Settings'!$O$6,IF($M59&gt;='Lists &amp; Settings'!$N$7,'Lists &amp; Settings'!$O$7,'Lists &amp; Settings'!$O$8)),'Lists &amp; Settings'!$O$10))))))</f>
        <v/>
      </c>
      <c r="T59" s="7"/>
      <c r="U59" s="7"/>
      <c r="V59" s="7"/>
      <c r="W59" s="7"/>
      <c r="X59" s="7"/>
      <c r="Y59" s="7"/>
      <c r="Z59" s="7"/>
      <c r="AA59" s="76"/>
      <c r="AB59" s="76"/>
    </row>
    <row r="60" ht="15.75" customHeight="1">
      <c r="A60" s="7"/>
      <c r="B60" s="7"/>
      <c r="C60" s="7"/>
      <c r="D60" s="7"/>
      <c r="E60" s="7"/>
      <c r="F60" s="7"/>
      <c r="G60" s="7"/>
      <c r="H60" s="7"/>
      <c r="I60" s="19"/>
      <c r="J60" s="19"/>
      <c r="K60" s="76"/>
      <c r="L60" s="19"/>
      <c r="M60" s="77"/>
      <c r="N60" s="78"/>
      <c r="O60" s="19"/>
      <c r="P60" s="7"/>
      <c r="Q60" s="7"/>
      <c r="R60" s="7"/>
      <c r="S60" s="7" t="str">
        <f>IF($C60="","",IF(OR($M60="",$N60=""),'Lists &amp; Settings'!$O$10,IF($N60="Fail",'Lists &amp; Settings'!$O$9,IF($N60="Insufficient Evidence",'Lists &amp; Settings'!$O$10,IF($N60="Pass",IF($M60&gt;='Lists &amp; Settings'!$N$2,'Lists &amp; Settings'!$O$2,IF($M60&gt;='Lists &amp; Settings'!$N$3,'Lists &amp; Settings'!$O$3,'Lists &amp; Settings'!$O$4)),IF($N60="Partial",IF($M60&gt;='Lists &amp; Settings'!$N$6,'Lists &amp; Settings'!$O$6,IF($M60&gt;='Lists &amp; Settings'!$N$7,'Lists &amp; Settings'!$O$7,'Lists &amp; Settings'!$O$8)),'Lists &amp; Settings'!$O$10))))))</f>
        <v/>
      </c>
      <c r="T60" s="7"/>
      <c r="U60" s="7"/>
      <c r="V60" s="7"/>
      <c r="W60" s="7"/>
      <c r="X60" s="7"/>
      <c r="Y60" s="7"/>
      <c r="Z60" s="7"/>
      <c r="AA60" s="76"/>
      <c r="AB60" s="76"/>
    </row>
    <row r="61" ht="15.75" customHeight="1">
      <c r="A61" s="7"/>
      <c r="B61" s="7"/>
      <c r="C61" s="7"/>
      <c r="D61" s="7"/>
      <c r="E61" s="7"/>
      <c r="F61" s="7"/>
      <c r="G61" s="7"/>
      <c r="H61" s="7"/>
      <c r="I61" s="19"/>
      <c r="J61" s="19"/>
      <c r="K61" s="76"/>
      <c r="L61" s="19"/>
      <c r="M61" s="77"/>
      <c r="N61" s="78"/>
      <c r="O61" s="19"/>
      <c r="P61" s="7"/>
      <c r="Q61" s="7"/>
      <c r="R61" s="7"/>
      <c r="S61" s="7" t="str">
        <f>IF($C61="","",IF(OR($M61="",$N61=""),'Lists &amp; Settings'!$O$10,IF($N61="Fail",'Lists &amp; Settings'!$O$9,IF($N61="Insufficient Evidence",'Lists &amp; Settings'!$O$10,IF($N61="Pass",IF($M61&gt;='Lists &amp; Settings'!$N$2,'Lists &amp; Settings'!$O$2,IF($M61&gt;='Lists &amp; Settings'!$N$3,'Lists &amp; Settings'!$O$3,'Lists &amp; Settings'!$O$4)),IF($N61="Partial",IF($M61&gt;='Lists &amp; Settings'!$N$6,'Lists &amp; Settings'!$O$6,IF($M61&gt;='Lists &amp; Settings'!$N$7,'Lists &amp; Settings'!$O$7,'Lists &amp; Settings'!$O$8)),'Lists &amp; Settings'!$O$10))))))</f>
        <v/>
      </c>
      <c r="T61" s="7"/>
      <c r="U61" s="7"/>
      <c r="V61" s="7"/>
      <c r="W61" s="7"/>
      <c r="X61" s="7"/>
      <c r="Y61" s="7"/>
      <c r="Z61" s="7"/>
      <c r="AA61" s="76"/>
      <c r="AB61" s="76"/>
    </row>
    <row r="62" ht="15.75" customHeight="1">
      <c r="A62" s="7"/>
      <c r="B62" s="7"/>
      <c r="C62" s="7"/>
      <c r="D62" s="7"/>
      <c r="E62" s="7"/>
      <c r="F62" s="7"/>
      <c r="G62" s="7"/>
      <c r="H62" s="7"/>
      <c r="I62" s="19"/>
      <c r="J62" s="19"/>
      <c r="K62" s="76"/>
      <c r="L62" s="19"/>
      <c r="M62" s="77"/>
      <c r="N62" s="78"/>
      <c r="O62" s="19"/>
      <c r="P62" s="7"/>
      <c r="Q62" s="7"/>
      <c r="R62" s="7"/>
      <c r="S62" s="7" t="str">
        <f>IF($C62="","",IF(OR($M62="",$N62=""),'Lists &amp; Settings'!$O$10,IF($N62="Fail",'Lists &amp; Settings'!$O$9,IF($N62="Insufficient Evidence",'Lists &amp; Settings'!$O$10,IF($N62="Pass",IF($M62&gt;='Lists &amp; Settings'!$N$2,'Lists &amp; Settings'!$O$2,IF($M62&gt;='Lists &amp; Settings'!$N$3,'Lists &amp; Settings'!$O$3,'Lists &amp; Settings'!$O$4)),IF($N62="Partial",IF($M62&gt;='Lists &amp; Settings'!$N$6,'Lists &amp; Settings'!$O$6,IF($M62&gt;='Lists &amp; Settings'!$N$7,'Lists &amp; Settings'!$O$7,'Lists &amp; Settings'!$O$8)),'Lists &amp; Settings'!$O$10))))))</f>
        <v/>
      </c>
      <c r="T62" s="7"/>
      <c r="U62" s="7"/>
      <c r="V62" s="7"/>
      <c r="W62" s="7"/>
      <c r="X62" s="7"/>
      <c r="Y62" s="7"/>
      <c r="Z62" s="7"/>
      <c r="AA62" s="76"/>
      <c r="AB62" s="76"/>
    </row>
    <row r="63" ht="15.75" customHeight="1">
      <c r="A63" s="7"/>
      <c r="B63" s="7"/>
      <c r="C63" s="7"/>
      <c r="D63" s="7"/>
      <c r="E63" s="7"/>
      <c r="F63" s="7"/>
      <c r="G63" s="7"/>
      <c r="H63" s="7"/>
      <c r="I63" s="19"/>
      <c r="J63" s="19"/>
      <c r="K63" s="76"/>
      <c r="L63" s="19"/>
      <c r="M63" s="77"/>
      <c r="N63" s="78"/>
      <c r="O63" s="19"/>
      <c r="P63" s="7"/>
      <c r="Q63" s="7"/>
      <c r="R63" s="7"/>
      <c r="S63" s="7" t="str">
        <f>IF($C63="","",IF(OR($M63="",$N63=""),'Lists &amp; Settings'!$O$10,IF($N63="Fail",'Lists &amp; Settings'!$O$9,IF($N63="Insufficient Evidence",'Lists &amp; Settings'!$O$10,IF($N63="Pass",IF($M63&gt;='Lists &amp; Settings'!$N$2,'Lists &amp; Settings'!$O$2,IF($M63&gt;='Lists &amp; Settings'!$N$3,'Lists &amp; Settings'!$O$3,'Lists &amp; Settings'!$O$4)),IF($N63="Partial",IF($M63&gt;='Lists &amp; Settings'!$N$6,'Lists &amp; Settings'!$O$6,IF($M63&gt;='Lists &amp; Settings'!$N$7,'Lists &amp; Settings'!$O$7,'Lists &amp; Settings'!$O$8)),'Lists &amp; Settings'!$O$10))))))</f>
        <v/>
      </c>
      <c r="T63" s="7"/>
      <c r="U63" s="7"/>
      <c r="V63" s="7"/>
      <c r="W63" s="7"/>
      <c r="X63" s="7"/>
      <c r="Y63" s="7"/>
      <c r="Z63" s="7"/>
      <c r="AA63" s="76"/>
      <c r="AB63" s="76"/>
    </row>
    <row r="64" ht="15.75" customHeight="1">
      <c r="A64" s="7"/>
      <c r="B64" s="7"/>
      <c r="C64" s="7"/>
      <c r="D64" s="7"/>
      <c r="E64" s="7"/>
      <c r="F64" s="7"/>
      <c r="G64" s="7"/>
      <c r="H64" s="7"/>
      <c r="I64" s="19"/>
      <c r="J64" s="19"/>
      <c r="K64" s="76"/>
      <c r="L64" s="19"/>
      <c r="M64" s="77"/>
      <c r="N64" s="78"/>
      <c r="O64" s="19"/>
      <c r="P64" s="7"/>
      <c r="Q64" s="7"/>
      <c r="R64" s="7"/>
      <c r="S64" s="7" t="str">
        <f>IF($C64="","",IF(OR($M64="",$N64=""),'Lists &amp; Settings'!$O$10,IF($N64="Fail",'Lists &amp; Settings'!$O$9,IF($N64="Insufficient Evidence",'Lists &amp; Settings'!$O$10,IF($N64="Pass",IF($M64&gt;='Lists &amp; Settings'!$N$2,'Lists &amp; Settings'!$O$2,IF($M64&gt;='Lists &amp; Settings'!$N$3,'Lists &amp; Settings'!$O$3,'Lists &amp; Settings'!$O$4)),IF($N64="Partial",IF($M64&gt;='Lists &amp; Settings'!$N$6,'Lists &amp; Settings'!$O$6,IF($M64&gt;='Lists &amp; Settings'!$N$7,'Lists &amp; Settings'!$O$7,'Lists &amp; Settings'!$O$8)),'Lists &amp; Settings'!$O$10))))))</f>
        <v/>
      </c>
      <c r="T64" s="7"/>
      <c r="U64" s="7"/>
      <c r="V64" s="7"/>
      <c r="W64" s="7"/>
      <c r="X64" s="7"/>
      <c r="Y64" s="7"/>
      <c r="Z64" s="7"/>
      <c r="AA64" s="76"/>
      <c r="AB64" s="76"/>
    </row>
    <row r="65" ht="15.75" customHeight="1">
      <c r="A65" s="7"/>
      <c r="B65" s="7"/>
      <c r="C65" s="7"/>
      <c r="D65" s="7"/>
      <c r="E65" s="7"/>
      <c r="F65" s="7"/>
      <c r="G65" s="7"/>
      <c r="H65" s="7"/>
      <c r="I65" s="19"/>
      <c r="J65" s="19"/>
      <c r="K65" s="76"/>
      <c r="L65" s="19"/>
      <c r="M65" s="77"/>
      <c r="N65" s="78"/>
      <c r="O65" s="19"/>
      <c r="P65" s="7"/>
      <c r="Q65" s="7"/>
      <c r="R65" s="7"/>
      <c r="S65" s="7" t="str">
        <f>IF($C65="","",IF(OR($M65="",$N65=""),'Lists &amp; Settings'!$O$10,IF($N65="Fail",'Lists &amp; Settings'!$O$9,IF($N65="Insufficient Evidence",'Lists &amp; Settings'!$O$10,IF($N65="Pass",IF($M65&gt;='Lists &amp; Settings'!$N$2,'Lists &amp; Settings'!$O$2,IF($M65&gt;='Lists &amp; Settings'!$N$3,'Lists &amp; Settings'!$O$3,'Lists &amp; Settings'!$O$4)),IF($N65="Partial",IF($M65&gt;='Lists &amp; Settings'!$N$6,'Lists &amp; Settings'!$O$6,IF($M65&gt;='Lists &amp; Settings'!$N$7,'Lists &amp; Settings'!$O$7,'Lists &amp; Settings'!$O$8)),'Lists &amp; Settings'!$O$10))))))</f>
        <v/>
      </c>
      <c r="T65" s="7"/>
      <c r="U65" s="7"/>
      <c r="V65" s="7"/>
      <c r="W65" s="7"/>
      <c r="X65" s="7"/>
      <c r="Y65" s="7"/>
      <c r="Z65" s="7"/>
      <c r="AA65" s="76"/>
      <c r="AB65" s="76"/>
    </row>
    <row r="66" ht="15.75" customHeight="1">
      <c r="A66" s="7"/>
      <c r="B66" s="7"/>
      <c r="C66" s="7"/>
      <c r="D66" s="7"/>
      <c r="E66" s="7"/>
      <c r="F66" s="7"/>
      <c r="G66" s="7"/>
      <c r="H66" s="7"/>
      <c r="I66" s="19"/>
      <c r="J66" s="19"/>
      <c r="K66" s="76"/>
      <c r="L66" s="19"/>
      <c r="M66" s="77"/>
      <c r="N66" s="78"/>
      <c r="O66" s="19"/>
      <c r="P66" s="7"/>
      <c r="Q66" s="7"/>
      <c r="R66" s="7"/>
      <c r="S66" s="7" t="str">
        <f>IF($C66="","",IF(OR($M66="",$N66=""),'Lists &amp; Settings'!$O$10,IF($N66="Fail",'Lists &amp; Settings'!$O$9,IF($N66="Insufficient Evidence",'Lists &amp; Settings'!$O$10,IF($N66="Pass",IF($M66&gt;='Lists &amp; Settings'!$N$2,'Lists &amp; Settings'!$O$2,IF($M66&gt;='Lists &amp; Settings'!$N$3,'Lists &amp; Settings'!$O$3,'Lists &amp; Settings'!$O$4)),IF($N66="Partial",IF($M66&gt;='Lists &amp; Settings'!$N$6,'Lists &amp; Settings'!$O$6,IF($M66&gt;='Lists &amp; Settings'!$N$7,'Lists &amp; Settings'!$O$7,'Lists &amp; Settings'!$O$8)),'Lists &amp; Settings'!$O$10))))))</f>
        <v/>
      </c>
      <c r="T66" s="7"/>
      <c r="U66" s="7"/>
      <c r="V66" s="7"/>
      <c r="W66" s="7"/>
      <c r="X66" s="7"/>
      <c r="Y66" s="7"/>
      <c r="Z66" s="7"/>
      <c r="AA66" s="76"/>
      <c r="AB66" s="76"/>
    </row>
    <row r="67" ht="15.75" customHeight="1">
      <c r="A67" s="7"/>
      <c r="B67" s="7"/>
      <c r="C67" s="7"/>
      <c r="D67" s="7"/>
      <c r="E67" s="7"/>
      <c r="F67" s="7"/>
      <c r="G67" s="7"/>
      <c r="H67" s="7"/>
      <c r="I67" s="19"/>
      <c r="J67" s="19"/>
      <c r="K67" s="76"/>
      <c r="L67" s="19"/>
      <c r="M67" s="77"/>
      <c r="N67" s="78"/>
      <c r="O67" s="19"/>
      <c r="P67" s="7"/>
      <c r="Q67" s="7"/>
      <c r="R67" s="7"/>
      <c r="S67" s="7" t="str">
        <f>IF($C67="","",IF(OR($M67="",$N67=""),'Lists &amp; Settings'!$O$10,IF($N67="Fail",'Lists &amp; Settings'!$O$9,IF($N67="Insufficient Evidence",'Lists &amp; Settings'!$O$10,IF($N67="Pass",IF($M67&gt;='Lists &amp; Settings'!$N$2,'Lists &amp; Settings'!$O$2,IF($M67&gt;='Lists &amp; Settings'!$N$3,'Lists &amp; Settings'!$O$3,'Lists &amp; Settings'!$O$4)),IF($N67="Partial",IF($M67&gt;='Lists &amp; Settings'!$N$6,'Lists &amp; Settings'!$O$6,IF($M67&gt;='Lists &amp; Settings'!$N$7,'Lists &amp; Settings'!$O$7,'Lists &amp; Settings'!$O$8)),'Lists &amp; Settings'!$O$10))))))</f>
        <v/>
      </c>
      <c r="T67" s="7"/>
      <c r="U67" s="7"/>
      <c r="V67" s="7"/>
      <c r="W67" s="7"/>
      <c r="X67" s="7"/>
      <c r="Y67" s="7"/>
      <c r="Z67" s="7"/>
      <c r="AA67" s="76"/>
      <c r="AB67" s="76"/>
    </row>
    <row r="68" ht="15.75" customHeight="1">
      <c r="A68" s="7"/>
      <c r="B68" s="7"/>
      <c r="C68" s="7"/>
      <c r="D68" s="7"/>
      <c r="E68" s="7"/>
      <c r="F68" s="7"/>
      <c r="G68" s="7"/>
      <c r="H68" s="7"/>
      <c r="I68" s="19"/>
      <c r="J68" s="19"/>
      <c r="K68" s="76"/>
      <c r="L68" s="19"/>
      <c r="M68" s="77"/>
      <c r="N68" s="78"/>
      <c r="O68" s="19"/>
      <c r="P68" s="7"/>
      <c r="Q68" s="7"/>
      <c r="R68" s="7"/>
      <c r="S68" s="7" t="str">
        <f>IF($C68="","",IF(OR($M68="",$N68=""),'Lists &amp; Settings'!$O$10,IF($N68="Fail",'Lists &amp; Settings'!$O$9,IF($N68="Insufficient Evidence",'Lists &amp; Settings'!$O$10,IF($N68="Pass",IF($M68&gt;='Lists &amp; Settings'!$N$2,'Lists &amp; Settings'!$O$2,IF($M68&gt;='Lists &amp; Settings'!$N$3,'Lists &amp; Settings'!$O$3,'Lists &amp; Settings'!$O$4)),IF($N68="Partial",IF($M68&gt;='Lists &amp; Settings'!$N$6,'Lists &amp; Settings'!$O$6,IF($M68&gt;='Lists &amp; Settings'!$N$7,'Lists &amp; Settings'!$O$7,'Lists &amp; Settings'!$O$8)),'Lists &amp; Settings'!$O$10))))))</f>
        <v/>
      </c>
      <c r="T68" s="7"/>
      <c r="U68" s="7"/>
      <c r="V68" s="7"/>
      <c r="W68" s="7"/>
      <c r="X68" s="7"/>
      <c r="Y68" s="7"/>
      <c r="Z68" s="7"/>
      <c r="AA68" s="76"/>
      <c r="AB68" s="76"/>
    </row>
    <row r="69" ht="15.75" customHeight="1">
      <c r="A69" s="7"/>
      <c r="B69" s="7"/>
      <c r="C69" s="7"/>
      <c r="D69" s="7"/>
      <c r="E69" s="7"/>
      <c r="F69" s="7"/>
      <c r="G69" s="7"/>
      <c r="H69" s="7"/>
      <c r="I69" s="19"/>
      <c r="J69" s="19"/>
      <c r="K69" s="76"/>
      <c r="L69" s="19"/>
      <c r="M69" s="77"/>
      <c r="N69" s="78"/>
      <c r="O69" s="19"/>
      <c r="P69" s="7"/>
      <c r="Q69" s="7"/>
      <c r="R69" s="7"/>
      <c r="S69" s="7" t="str">
        <f>IF($C69="","",IF(OR($M69="",$N69=""),'Lists &amp; Settings'!$O$10,IF($N69="Fail",'Lists &amp; Settings'!$O$9,IF($N69="Insufficient Evidence",'Lists &amp; Settings'!$O$10,IF($N69="Pass",IF($M69&gt;='Lists &amp; Settings'!$N$2,'Lists &amp; Settings'!$O$2,IF($M69&gt;='Lists &amp; Settings'!$N$3,'Lists &amp; Settings'!$O$3,'Lists &amp; Settings'!$O$4)),IF($N69="Partial",IF($M69&gt;='Lists &amp; Settings'!$N$6,'Lists &amp; Settings'!$O$6,IF($M69&gt;='Lists &amp; Settings'!$N$7,'Lists &amp; Settings'!$O$7,'Lists &amp; Settings'!$O$8)),'Lists &amp; Settings'!$O$10))))))</f>
        <v/>
      </c>
      <c r="T69" s="7"/>
      <c r="U69" s="7"/>
      <c r="V69" s="7"/>
      <c r="W69" s="7"/>
      <c r="X69" s="7"/>
      <c r="Y69" s="7"/>
      <c r="Z69" s="7"/>
      <c r="AA69" s="76"/>
      <c r="AB69" s="76"/>
    </row>
    <row r="70" ht="15.75" customHeight="1">
      <c r="A70" s="7"/>
      <c r="B70" s="7"/>
      <c r="C70" s="7"/>
      <c r="D70" s="7"/>
      <c r="E70" s="7"/>
      <c r="F70" s="7"/>
      <c r="G70" s="7"/>
      <c r="H70" s="7"/>
      <c r="I70" s="19"/>
      <c r="J70" s="19"/>
      <c r="K70" s="76"/>
      <c r="L70" s="19"/>
      <c r="M70" s="77"/>
      <c r="N70" s="78"/>
      <c r="O70" s="19"/>
      <c r="P70" s="7"/>
      <c r="Q70" s="7"/>
      <c r="R70" s="7"/>
      <c r="S70" s="7" t="str">
        <f>IF($C70="","",IF(OR($M70="",$N70=""),'Lists &amp; Settings'!$O$10,IF($N70="Fail",'Lists &amp; Settings'!$O$9,IF($N70="Insufficient Evidence",'Lists &amp; Settings'!$O$10,IF($N70="Pass",IF($M70&gt;='Lists &amp; Settings'!$N$2,'Lists &amp; Settings'!$O$2,IF($M70&gt;='Lists &amp; Settings'!$N$3,'Lists &amp; Settings'!$O$3,'Lists &amp; Settings'!$O$4)),IF($N70="Partial",IF($M70&gt;='Lists &amp; Settings'!$N$6,'Lists &amp; Settings'!$O$6,IF($M70&gt;='Lists &amp; Settings'!$N$7,'Lists &amp; Settings'!$O$7,'Lists &amp; Settings'!$O$8)),'Lists &amp; Settings'!$O$10))))))</f>
        <v/>
      </c>
      <c r="T70" s="7"/>
      <c r="U70" s="7"/>
      <c r="V70" s="7"/>
      <c r="W70" s="7"/>
      <c r="X70" s="7"/>
      <c r="Y70" s="7"/>
      <c r="Z70" s="7"/>
      <c r="AA70" s="76"/>
      <c r="AB70" s="76"/>
    </row>
    <row r="71" ht="15.75" customHeight="1">
      <c r="A71" s="7"/>
      <c r="B71" s="7"/>
      <c r="C71" s="7"/>
      <c r="D71" s="7"/>
      <c r="E71" s="7"/>
      <c r="F71" s="7"/>
      <c r="G71" s="7"/>
      <c r="H71" s="7"/>
      <c r="I71" s="19"/>
      <c r="J71" s="19"/>
      <c r="K71" s="76"/>
      <c r="L71" s="19"/>
      <c r="M71" s="77"/>
      <c r="N71" s="78"/>
      <c r="O71" s="19"/>
      <c r="P71" s="7"/>
      <c r="Q71" s="7"/>
      <c r="R71" s="7"/>
      <c r="S71" s="7" t="str">
        <f>IF($C71="","",IF(OR($M71="",$N71=""),'Lists &amp; Settings'!$O$10,IF($N71="Fail",'Lists &amp; Settings'!$O$9,IF($N71="Insufficient Evidence",'Lists &amp; Settings'!$O$10,IF($N71="Pass",IF($M71&gt;='Lists &amp; Settings'!$N$2,'Lists &amp; Settings'!$O$2,IF($M71&gt;='Lists &amp; Settings'!$N$3,'Lists &amp; Settings'!$O$3,'Lists &amp; Settings'!$O$4)),IF($N71="Partial",IF($M71&gt;='Lists &amp; Settings'!$N$6,'Lists &amp; Settings'!$O$6,IF($M71&gt;='Lists &amp; Settings'!$N$7,'Lists &amp; Settings'!$O$7,'Lists &amp; Settings'!$O$8)),'Lists &amp; Settings'!$O$10))))))</f>
        <v/>
      </c>
      <c r="T71" s="7"/>
      <c r="U71" s="7"/>
      <c r="V71" s="7"/>
      <c r="W71" s="7"/>
      <c r="X71" s="7"/>
      <c r="Y71" s="7"/>
      <c r="Z71" s="7"/>
      <c r="AA71" s="76"/>
      <c r="AB71" s="76"/>
    </row>
    <row r="72" ht="15.75" customHeight="1">
      <c r="A72" s="7"/>
      <c r="B72" s="7"/>
      <c r="C72" s="7"/>
      <c r="D72" s="7"/>
      <c r="E72" s="7"/>
      <c r="F72" s="7"/>
      <c r="G72" s="7"/>
      <c r="H72" s="7"/>
      <c r="I72" s="19"/>
      <c r="J72" s="19"/>
      <c r="K72" s="76"/>
      <c r="L72" s="19"/>
      <c r="M72" s="77"/>
      <c r="N72" s="78"/>
      <c r="O72" s="19"/>
      <c r="P72" s="7"/>
      <c r="Q72" s="7"/>
      <c r="R72" s="7"/>
      <c r="S72" s="7" t="str">
        <f>IF($C72="","",IF(OR($M72="",$N72=""),'Lists &amp; Settings'!$O$10,IF($N72="Fail",'Lists &amp; Settings'!$O$9,IF($N72="Insufficient Evidence",'Lists &amp; Settings'!$O$10,IF($N72="Pass",IF($M72&gt;='Lists &amp; Settings'!$N$2,'Lists &amp; Settings'!$O$2,IF($M72&gt;='Lists &amp; Settings'!$N$3,'Lists &amp; Settings'!$O$3,'Lists &amp; Settings'!$O$4)),IF($N72="Partial",IF($M72&gt;='Lists &amp; Settings'!$N$6,'Lists &amp; Settings'!$O$6,IF($M72&gt;='Lists &amp; Settings'!$N$7,'Lists &amp; Settings'!$O$7,'Lists &amp; Settings'!$O$8)),'Lists &amp; Settings'!$O$10))))))</f>
        <v/>
      </c>
      <c r="T72" s="7"/>
      <c r="U72" s="7"/>
      <c r="V72" s="7"/>
      <c r="W72" s="7"/>
      <c r="X72" s="7"/>
      <c r="Y72" s="7"/>
      <c r="Z72" s="7"/>
      <c r="AA72" s="76"/>
      <c r="AB72" s="76"/>
    </row>
    <row r="73" ht="15.75" customHeight="1">
      <c r="A73" s="7"/>
      <c r="B73" s="7"/>
      <c r="C73" s="7"/>
      <c r="D73" s="7"/>
      <c r="E73" s="7"/>
      <c r="F73" s="7"/>
      <c r="G73" s="7"/>
      <c r="H73" s="7"/>
      <c r="I73" s="19"/>
      <c r="J73" s="19"/>
      <c r="K73" s="76"/>
      <c r="L73" s="19"/>
      <c r="M73" s="77"/>
      <c r="N73" s="78"/>
      <c r="O73" s="19"/>
      <c r="P73" s="7"/>
      <c r="Q73" s="7"/>
      <c r="R73" s="7"/>
      <c r="S73" s="7" t="str">
        <f>IF($C73="","",IF(OR($M73="",$N73=""),'Lists &amp; Settings'!$O$10,IF($N73="Fail",'Lists &amp; Settings'!$O$9,IF($N73="Insufficient Evidence",'Lists &amp; Settings'!$O$10,IF($N73="Pass",IF($M73&gt;='Lists &amp; Settings'!$N$2,'Lists &amp; Settings'!$O$2,IF($M73&gt;='Lists &amp; Settings'!$N$3,'Lists &amp; Settings'!$O$3,'Lists &amp; Settings'!$O$4)),IF($N73="Partial",IF($M73&gt;='Lists &amp; Settings'!$N$6,'Lists &amp; Settings'!$O$6,IF($M73&gt;='Lists &amp; Settings'!$N$7,'Lists &amp; Settings'!$O$7,'Lists &amp; Settings'!$O$8)),'Lists &amp; Settings'!$O$10))))))</f>
        <v/>
      </c>
      <c r="T73" s="7"/>
      <c r="U73" s="7"/>
      <c r="V73" s="7"/>
      <c r="W73" s="7"/>
      <c r="X73" s="7"/>
      <c r="Y73" s="7"/>
      <c r="Z73" s="7"/>
      <c r="AA73" s="76"/>
      <c r="AB73" s="76"/>
    </row>
    <row r="74" ht="15.75" customHeight="1">
      <c r="A74" s="7"/>
      <c r="B74" s="7"/>
      <c r="C74" s="7"/>
      <c r="D74" s="7"/>
      <c r="E74" s="7"/>
      <c r="F74" s="7"/>
      <c r="G74" s="7"/>
      <c r="H74" s="7"/>
      <c r="I74" s="19"/>
      <c r="J74" s="19"/>
      <c r="K74" s="76"/>
      <c r="L74" s="19"/>
      <c r="M74" s="77"/>
      <c r="N74" s="78"/>
      <c r="O74" s="19"/>
      <c r="P74" s="7"/>
      <c r="Q74" s="7"/>
      <c r="R74" s="7"/>
      <c r="S74" s="7" t="str">
        <f>IF($C74="","",IF(OR($M74="",$N74=""),'Lists &amp; Settings'!$O$10,IF($N74="Fail",'Lists &amp; Settings'!$O$9,IF($N74="Insufficient Evidence",'Lists &amp; Settings'!$O$10,IF($N74="Pass",IF($M74&gt;='Lists &amp; Settings'!$N$2,'Lists &amp; Settings'!$O$2,IF($M74&gt;='Lists &amp; Settings'!$N$3,'Lists &amp; Settings'!$O$3,'Lists &amp; Settings'!$O$4)),IF($N74="Partial",IF($M74&gt;='Lists &amp; Settings'!$N$6,'Lists &amp; Settings'!$O$6,IF($M74&gt;='Lists &amp; Settings'!$N$7,'Lists &amp; Settings'!$O$7,'Lists &amp; Settings'!$O$8)),'Lists &amp; Settings'!$O$10))))))</f>
        <v/>
      </c>
      <c r="T74" s="7"/>
      <c r="U74" s="7"/>
      <c r="V74" s="7"/>
      <c r="W74" s="7"/>
      <c r="X74" s="7"/>
      <c r="Y74" s="7"/>
      <c r="Z74" s="7"/>
      <c r="AA74" s="76"/>
      <c r="AB74" s="76"/>
    </row>
    <row r="75" ht="15.75" customHeight="1">
      <c r="A75" s="7"/>
      <c r="B75" s="7"/>
      <c r="C75" s="7"/>
      <c r="D75" s="7"/>
      <c r="E75" s="7"/>
      <c r="F75" s="7"/>
      <c r="G75" s="7"/>
      <c r="H75" s="7"/>
      <c r="I75" s="19"/>
      <c r="J75" s="19"/>
      <c r="K75" s="76"/>
      <c r="L75" s="19"/>
      <c r="M75" s="77"/>
      <c r="N75" s="78"/>
      <c r="O75" s="19"/>
      <c r="P75" s="7"/>
      <c r="Q75" s="7"/>
      <c r="R75" s="7"/>
      <c r="S75" s="7" t="str">
        <f>IF($C75="","",IF(OR($M75="",$N75=""),'Lists &amp; Settings'!$O$10,IF($N75="Fail",'Lists &amp; Settings'!$O$9,IF($N75="Insufficient Evidence",'Lists &amp; Settings'!$O$10,IF($N75="Pass",IF($M75&gt;='Lists &amp; Settings'!$N$2,'Lists &amp; Settings'!$O$2,IF($M75&gt;='Lists &amp; Settings'!$N$3,'Lists &amp; Settings'!$O$3,'Lists &amp; Settings'!$O$4)),IF($N75="Partial",IF($M75&gt;='Lists &amp; Settings'!$N$6,'Lists &amp; Settings'!$O$6,IF($M75&gt;='Lists &amp; Settings'!$N$7,'Lists &amp; Settings'!$O$7,'Lists &amp; Settings'!$O$8)),'Lists &amp; Settings'!$O$10))))))</f>
        <v/>
      </c>
      <c r="T75" s="7"/>
      <c r="U75" s="7"/>
      <c r="V75" s="7"/>
      <c r="W75" s="7"/>
      <c r="X75" s="7"/>
      <c r="Y75" s="7"/>
      <c r="Z75" s="7"/>
      <c r="AA75" s="76"/>
      <c r="AB75" s="76"/>
    </row>
    <row r="76" ht="15.75" customHeight="1">
      <c r="A76" s="7"/>
      <c r="B76" s="7"/>
      <c r="C76" s="7"/>
      <c r="D76" s="7"/>
      <c r="E76" s="7"/>
      <c r="F76" s="7"/>
      <c r="G76" s="7"/>
      <c r="H76" s="7"/>
      <c r="I76" s="19"/>
      <c r="J76" s="19"/>
      <c r="K76" s="76"/>
      <c r="L76" s="19"/>
      <c r="M76" s="77"/>
      <c r="N76" s="78"/>
      <c r="O76" s="19"/>
      <c r="P76" s="7"/>
      <c r="Q76" s="7"/>
      <c r="R76" s="7"/>
      <c r="S76" s="7" t="str">
        <f>IF($C76="","",IF(OR($M76="",$N76=""),'Lists &amp; Settings'!$O$10,IF($N76="Fail",'Lists &amp; Settings'!$O$9,IF($N76="Insufficient Evidence",'Lists &amp; Settings'!$O$10,IF($N76="Pass",IF($M76&gt;='Lists &amp; Settings'!$N$2,'Lists &amp; Settings'!$O$2,IF($M76&gt;='Lists &amp; Settings'!$N$3,'Lists &amp; Settings'!$O$3,'Lists &amp; Settings'!$O$4)),IF($N76="Partial",IF($M76&gt;='Lists &amp; Settings'!$N$6,'Lists &amp; Settings'!$O$6,IF($M76&gt;='Lists &amp; Settings'!$N$7,'Lists &amp; Settings'!$O$7,'Lists &amp; Settings'!$O$8)),'Lists &amp; Settings'!$O$10))))))</f>
        <v/>
      </c>
      <c r="T76" s="7"/>
      <c r="U76" s="7"/>
      <c r="V76" s="7"/>
      <c r="W76" s="7"/>
      <c r="X76" s="7"/>
      <c r="Y76" s="7"/>
      <c r="Z76" s="7"/>
      <c r="AA76" s="76"/>
      <c r="AB76" s="76"/>
    </row>
    <row r="77" ht="15.75" customHeight="1">
      <c r="A77" s="7"/>
      <c r="B77" s="7"/>
      <c r="C77" s="7"/>
      <c r="D77" s="7"/>
      <c r="E77" s="7"/>
      <c r="F77" s="7"/>
      <c r="G77" s="7"/>
      <c r="H77" s="7"/>
      <c r="I77" s="19"/>
      <c r="J77" s="19"/>
      <c r="K77" s="76"/>
      <c r="L77" s="19"/>
      <c r="M77" s="77"/>
      <c r="N77" s="78"/>
      <c r="O77" s="19"/>
      <c r="P77" s="7"/>
      <c r="Q77" s="7"/>
      <c r="R77" s="7"/>
      <c r="S77" s="7" t="str">
        <f>IF($C77="","",IF(OR($M77="",$N77=""),'Lists &amp; Settings'!$O$10,IF($N77="Fail",'Lists &amp; Settings'!$O$9,IF($N77="Insufficient Evidence",'Lists &amp; Settings'!$O$10,IF($N77="Pass",IF($M77&gt;='Lists &amp; Settings'!$N$2,'Lists &amp; Settings'!$O$2,IF($M77&gt;='Lists &amp; Settings'!$N$3,'Lists &amp; Settings'!$O$3,'Lists &amp; Settings'!$O$4)),IF($N77="Partial",IF($M77&gt;='Lists &amp; Settings'!$N$6,'Lists &amp; Settings'!$O$6,IF($M77&gt;='Lists &amp; Settings'!$N$7,'Lists &amp; Settings'!$O$7,'Lists &amp; Settings'!$O$8)),'Lists &amp; Settings'!$O$10))))))</f>
        <v/>
      </c>
      <c r="T77" s="7"/>
      <c r="U77" s="7"/>
      <c r="V77" s="7"/>
      <c r="W77" s="7"/>
      <c r="X77" s="7"/>
      <c r="Y77" s="7"/>
      <c r="Z77" s="7"/>
      <c r="AA77" s="76"/>
      <c r="AB77" s="76"/>
    </row>
    <row r="78" ht="15.75" customHeight="1">
      <c r="A78" s="7"/>
      <c r="B78" s="7"/>
      <c r="C78" s="7"/>
      <c r="D78" s="7"/>
      <c r="E78" s="7"/>
      <c r="F78" s="7"/>
      <c r="G78" s="7"/>
      <c r="H78" s="7"/>
      <c r="I78" s="19"/>
      <c r="J78" s="19"/>
      <c r="K78" s="76"/>
      <c r="L78" s="19"/>
      <c r="M78" s="77"/>
      <c r="N78" s="78"/>
      <c r="O78" s="19"/>
      <c r="P78" s="7"/>
      <c r="Q78" s="7"/>
      <c r="R78" s="7"/>
      <c r="S78" s="7" t="str">
        <f>IF($C78="","",IF(OR($M78="",$N78=""),'Lists &amp; Settings'!$O$10,IF($N78="Fail",'Lists &amp; Settings'!$O$9,IF($N78="Insufficient Evidence",'Lists &amp; Settings'!$O$10,IF($N78="Pass",IF($M78&gt;='Lists &amp; Settings'!$N$2,'Lists &amp; Settings'!$O$2,IF($M78&gt;='Lists &amp; Settings'!$N$3,'Lists &amp; Settings'!$O$3,'Lists &amp; Settings'!$O$4)),IF($N78="Partial",IF($M78&gt;='Lists &amp; Settings'!$N$6,'Lists &amp; Settings'!$O$6,IF($M78&gt;='Lists &amp; Settings'!$N$7,'Lists &amp; Settings'!$O$7,'Lists &amp; Settings'!$O$8)),'Lists &amp; Settings'!$O$10))))))</f>
        <v/>
      </c>
      <c r="T78" s="7"/>
      <c r="U78" s="7"/>
      <c r="V78" s="7"/>
      <c r="W78" s="7"/>
      <c r="X78" s="7"/>
      <c r="Y78" s="7"/>
      <c r="Z78" s="7"/>
      <c r="AA78" s="76"/>
      <c r="AB78" s="76"/>
    </row>
    <row r="79" ht="15.75" customHeight="1">
      <c r="A79" s="7"/>
      <c r="B79" s="7"/>
      <c r="C79" s="7"/>
      <c r="D79" s="7"/>
      <c r="E79" s="7"/>
      <c r="F79" s="7"/>
      <c r="G79" s="7"/>
      <c r="H79" s="7"/>
      <c r="I79" s="19"/>
      <c r="J79" s="19"/>
      <c r="K79" s="76"/>
      <c r="L79" s="19"/>
      <c r="M79" s="77"/>
      <c r="N79" s="78"/>
      <c r="O79" s="19"/>
      <c r="P79" s="7"/>
      <c r="Q79" s="7"/>
      <c r="R79" s="7"/>
      <c r="S79" s="7" t="str">
        <f>IF($C79="","",IF(OR($M79="",$N79=""),'Lists &amp; Settings'!$O$10,IF($N79="Fail",'Lists &amp; Settings'!$O$9,IF($N79="Insufficient Evidence",'Lists &amp; Settings'!$O$10,IF($N79="Pass",IF($M79&gt;='Lists &amp; Settings'!$N$2,'Lists &amp; Settings'!$O$2,IF($M79&gt;='Lists &amp; Settings'!$N$3,'Lists &amp; Settings'!$O$3,'Lists &amp; Settings'!$O$4)),IF($N79="Partial",IF($M79&gt;='Lists &amp; Settings'!$N$6,'Lists &amp; Settings'!$O$6,IF($M79&gt;='Lists &amp; Settings'!$N$7,'Lists &amp; Settings'!$O$7,'Lists &amp; Settings'!$O$8)),'Lists &amp; Settings'!$O$10))))))</f>
        <v/>
      </c>
      <c r="T79" s="7"/>
      <c r="U79" s="7"/>
      <c r="V79" s="7"/>
      <c r="W79" s="7"/>
      <c r="X79" s="7"/>
      <c r="Y79" s="7"/>
      <c r="Z79" s="7"/>
      <c r="AA79" s="76"/>
      <c r="AB79" s="76"/>
    </row>
    <row r="80" ht="15.75" customHeight="1">
      <c r="A80" s="7"/>
      <c r="B80" s="7"/>
      <c r="C80" s="7"/>
      <c r="D80" s="7"/>
      <c r="E80" s="7"/>
      <c r="F80" s="7"/>
      <c r="G80" s="7"/>
      <c r="H80" s="7"/>
      <c r="I80" s="19"/>
      <c r="J80" s="19"/>
      <c r="K80" s="76"/>
      <c r="L80" s="19"/>
      <c r="M80" s="77"/>
      <c r="N80" s="78"/>
      <c r="O80" s="19"/>
      <c r="P80" s="7"/>
      <c r="Q80" s="7"/>
      <c r="R80" s="7"/>
      <c r="S80" s="7" t="str">
        <f>IF($C80="","",IF(OR($M80="",$N80=""),'Lists &amp; Settings'!$O$10,IF($N80="Fail",'Lists &amp; Settings'!$O$9,IF($N80="Insufficient Evidence",'Lists &amp; Settings'!$O$10,IF($N80="Pass",IF($M80&gt;='Lists &amp; Settings'!$N$2,'Lists &amp; Settings'!$O$2,IF($M80&gt;='Lists &amp; Settings'!$N$3,'Lists &amp; Settings'!$O$3,'Lists &amp; Settings'!$O$4)),IF($N80="Partial",IF($M80&gt;='Lists &amp; Settings'!$N$6,'Lists &amp; Settings'!$O$6,IF($M80&gt;='Lists &amp; Settings'!$N$7,'Lists &amp; Settings'!$O$7,'Lists &amp; Settings'!$O$8)),'Lists &amp; Settings'!$O$10))))))</f>
        <v/>
      </c>
      <c r="T80" s="7"/>
      <c r="U80" s="7"/>
      <c r="V80" s="7"/>
      <c r="W80" s="7"/>
      <c r="X80" s="7"/>
      <c r="Y80" s="7"/>
      <c r="Z80" s="7"/>
      <c r="AA80" s="76"/>
      <c r="AB80" s="76"/>
    </row>
    <row r="81" ht="15.75" customHeight="1">
      <c r="A81" s="7"/>
      <c r="B81" s="7"/>
      <c r="C81" s="7"/>
      <c r="D81" s="7"/>
      <c r="E81" s="7"/>
      <c r="F81" s="7"/>
      <c r="G81" s="7"/>
      <c r="H81" s="7"/>
      <c r="I81" s="19"/>
      <c r="J81" s="19"/>
      <c r="K81" s="76"/>
      <c r="L81" s="19"/>
      <c r="M81" s="77"/>
      <c r="N81" s="78"/>
      <c r="O81" s="19"/>
      <c r="P81" s="7"/>
      <c r="Q81" s="7"/>
      <c r="R81" s="7"/>
      <c r="S81" s="7" t="str">
        <f>IF($C81="","",IF(OR($M81="",$N81=""),'Lists &amp; Settings'!$O$10,IF($N81="Fail",'Lists &amp; Settings'!$O$9,IF($N81="Insufficient Evidence",'Lists &amp; Settings'!$O$10,IF($N81="Pass",IF($M81&gt;='Lists &amp; Settings'!$N$2,'Lists &amp; Settings'!$O$2,IF($M81&gt;='Lists &amp; Settings'!$N$3,'Lists &amp; Settings'!$O$3,'Lists &amp; Settings'!$O$4)),IF($N81="Partial",IF($M81&gt;='Lists &amp; Settings'!$N$6,'Lists &amp; Settings'!$O$6,IF($M81&gt;='Lists &amp; Settings'!$N$7,'Lists &amp; Settings'!$O$7,'Lists &amp; Settings'!$O$8)),'Lists &amp; Settings'!$O$10))))))</f>
        <v/>
      </c>
      <c r="T81" s="7"/>
      <c r="U81" s="7"/>
      <c r="V81" s="7"/>
      <c r="W81" s="7"/>
      <c r="X81" s="7"/>
      <c r="Y81" s="7"/>
      <c r="Z81" s="7"/>
      <c r="AA81" s="76"/>
      <c r="AB81" s="76"/>
    </row>
    <row r="82" ht="15.75" customHeight="1">
      <c r="A82" s="7"/>
      <c r="B82" s="7"/>
      <c r="C82" s="7"/>
      <c r="D82" s="7"/>
      <c r="E82" s="7"/>
      <c r="F82" s="7"/>
      <c r="G82" s="7"/>
      <c r="H82" s="7"/>
      <c r="I82" s="19"/>
      <c r="J82" s="19"/>
      <c r="K82" s="76"/>
      <c r="L82" s="19"/>
      <c r="M82" s="77"/>
      <c r="N82" s="78"/>
      <c r="O82" s="19"/>
      <c r="P82" s="7"/>
      <c r="Q82" s="7"/>
      <c r="R82" s="7"/>
      <c r="S82" s="7" t="str">
        <f>IF($C82="","",IF(OR($M82="",$N82=""),'Lists &amp; Settings'!$O$10,IF($N82="Fail",'Lists &amp; Settings'!$O$9,IF($N82="Insufficient Evidence",'Lists &amp; Settings'!$O$10,IF($N82="Pass",IF($M82&gt;='Lists &amp; Settings'!$N$2,'Lists &amp; Settings'!$O$2,IF($M82&gt;='Lists &amp; Settings'!$N$3,'Lists &amp; Settings'!$O$3,'Lists &amp; Settings'!$O$4)),IF($N82="Partial",IF($M82&gt;='Lists &amp; Settings'!$N$6,'Lists &amp; Settings'!$O$6,IF($M82&gt;='Lists &amp; Settings'!$N$7,'Lists &amp; Settings'!$O$7,'Lists &amp; Settings'!$O$8)),'Lists &amp; Settings'!$O$10))))))</f>
        <v/>
      </c>
      <c r="T82" s="7"/>
      <c r="U82" s="7"/>
      <c r="V82" s="7"/>
      <c r="W82" s="7"/>
      <c r="X82" s="7"/>
      <c r="Y82" s="7"/>
      <c r="Z82" s="7"/>
      <c r="AA82" s="76"/>
      <c r="AB82" s="76"/>
    </row>
    <row r="83" ht="15.75" customHeight="1">
      <c r="A83" s="7"/>
      <c r="B83" s="7"/>
      <c r="C83" s="7"/>
      <c r="D83" s="7"/>
      <c r="E83" s="7"/>
      <c r="F83" s="7"/>
      <c r="G83" s="7"/>
      <c r="H83" s="7"/>
      <c r="I83" s="19"/>
      <c r="J83" s="19"/>
      <c r="K83" s="76"/>
      <c r="L83" s="19"/>
      <c r="M83" s="77"/>
      <c r="N83" s="78"/>
      <c r="O83" s="19"/>
      <c r="P83" s="7"/>
      <c r="Q83" s="7"/>
      <c r="R83" s="7"/>
      <c r="S83" s="7" t="str">
        <f>IF($C83="","",IF(OR($M83="",$N83=""),'Lists &amp; Settings'!$O$10,IF($N83="Fail",'Lists &amp; Settings'!$O$9,IF($N83="Insufficient Evidence",'Lists &amp; Settings'!$O$10,IF($N83="Pass",IF($M83&gt;='Lists &amp; Settings'!$N$2,'Lists &amp; Settings'!$O$2,IF($M83&gt;='Lists &amp; Settings'!$N$3,'Lists &amp; Settings'!$O$3,'Lists &amp; Settings'!$O$4)),IF($N83="Partial",IF($M83&gt;='Lists &amp; Settings'!$N$6,'Lists &amp; Settings'!$O$6,IF($M83&gt;='Lists &amp; Settings'!$N$7,'Lists &amp; Settings'!$O$7,'Lists &amp; Settings'!$O$8)),'Lists &amp; Settings'!$O$10))))))</f>
        <v/>
      </c>
      <c r="T83" s="7"/>
      <c r="U83" s="7"/>
      <c r="V83" s="7"/>
      <c r="W83" s="7"/>
      <c r="X83" s="7"/>
      <c r="Y83" s="7"/>
      <c r="Z83" s="7"/>
      <c r="AA83" s="76"/>
      <c r="AB83" s="76"/>
    </row>
    <row r="84" ht="15.75" customHeight="1">
      <c r="A84" s="7"/>
      <c r="B84" s="7"/>
      <c r="C84" s="7"/>
      <c r="D84" s="7"/>
      <c r="E84" s="7"/>
      <c r="F84" s="7"/>
      <c r="G84" s="7"/>
      <c r="H84" s="7"/>
      <c r="I84" s="19"/>
      <c r="J84" s="19"/>
      <c r="K84" s="76"/>
      <c r="L84" s="19"/>
      <c r="M84" s="77"/>
      <c r="N84" s="78"/>
      <c r="O84" s="19"/>
      <c r="P84" s="7"/>
      <c r="Q84" s="7"/>
      <c r="R84" s="7"/>
      <c r="S84" s="7" t="str">
        <f>IF($C84="","",IF(OR($M84="",$N84=""),'Lists &amp; Settings'!$O$10,IF($N84="Fail",'Lists &amp; Settings'!$O$9,IF($N84="Insufficient Evidence",'Lists &amp; Settings'!$O$10,IF($N84="Pass",IF($M84&gt;='Lists &amp; Settings'!$N$2,'Lists &amp; Settings'!$O$2,IF($M84&gt;='Lists &amp; Settings'!$N$3,'Lists &amp; Settings'!$O$3,'Lists &amp; Settings'!$O$4)),IF($N84="Partial",IF($M84&gt;='Lists &amp; Settings'!$N$6,'Lists &amp; Settings'!$O$6,IF($M84&gt;='Lists &amp; Settings'!$N$7,'Lists &amp; Settings'!$O$7,'Lists &amp; Settings'!$O$8)),'Lists &amp; Settings'!$O$10))))))</f>
        <v/>
      </c>
      <c r="T84" s="7"/>
      <c r="U84" s="7"/>
      <c r="V84" s="7"/>
      <c r="W84" s="7"/>
      <c r="X84" s="7"/>
      <c r="Y84" s="7"/>
      <c r="Z84" s="7"/>
      <c r="AA84" s="76"/>
      <c r="AB84" s="76"/>
    </row>
    <row r="85" ht="15.75" customHeight="1">
      <c r="A85" s="7"/>
      <c r="B85" s="7"/>
      <c r="C85" s="7"/>
      <c r="D85" s="7"/>
      <c r="E85" s="7"/>
      <c r="F85" s="7"/>
      <c r="G85" s="7"/>
      <c r="H85" s="7"/>
      <c r="I85" s="19"/>
      <c r="J85" s="19"/>
      <c r="K85" s="76"/>
      <c r="L85" s="19"/>
      <c r="M85" s="77"/>
      <c r="N85" s="78"/>
      <c r="O85" s="19"/>
      <c r="P85" s="7"/>
      <c r="Q85" s="7"/>
      <c r="R85" s="7"/>
      <c r="S85" s="7" t="str">
        <f>IF($C85="","",IF(OR($M85="",$N85=""),'Lists &amp; Settings'!$O$10,IF($N85="Fail",'Lists &amp; Settings'!$O$9,IF($N85="Insufficient Evidence",'Lists &amp; Settings'!$O$10,IF($N85="Pass",IF($M85&gt;='Lists &amp; Settings'!$N$2,'Lists &amp; Settings'!$O$2,IF($M85&gt;='Lists &amp; Settings'!$N$3,'Lists &amp; Settings'!$O$3,'Lists &amp; Settings'!$O$4)),IF($N85="Partial",IF($M85&gt;='Lists &amp; Settings'!$N$6,'Lists &amp; Settings'!$O$6,IF($M85&gt;='Lists &amp; Settings'!$N$7,'Lists &amp; Settings'!$O$7,'Lists &amp; Settings'!$O$8)),'Lists &amp; Settings'!$O$10))))))</f>
        <v/>
      </c>
      <c r="T85" s="7"/>
      <c r="U85" s="7"/>
      <c r="V85" s="7"/>
      <c r="W85" s="7"/>
      <c r="X85" s="7"/>
      <c r="Y85" s="7"/>
      <c r="Z85" s="7"/>
      <c r="AA85" s="76"/>
      <c r="AB85" s="76"/>
    </row>
    <row r="86" ht="15.75" customHeight="1">
      <c r="A86" s="7"/>
      <c r="B86" s="7"/>
      <c r="C86" s="7"/>
      <c r="D86" s="7"/>
      <c r="E86" s="7"/>
      <c r="F86" s="7"/>
      <c r="G86" s="7"/>
      <c r="H86" s="7"/>
      <c r="I86" s="19"/>
      <c r="J86" s="19"/>
      <c r="K86" s="76"/>
      <c r="L86" s="19"/>
      <c r="M86" s="77"/>
      <c r="N86" s="78"/>
      <c r="O86" s="19"/>
      <c r="P86" s="7"/>
      <c r="Q86" s="7"/>
      <c r="R86" s="7"/>
      <c r="S86" s="7" t="str">
        <f>IF($C86="","",IF(OR($M86="",$N86=""),'Lists &amp; Settings'!$O$10,IF($N86="Fail",'Lists &amp; Settings'!$O$9,IF($N86="Insufficient Evidence",'Lists &amp; Settings'!$O$10,IF($N86="Pass",IF($M86&gt;='Lists &amp; Settings'!$N$2,'Lists &amp; Settings'!$O$2,IF($M86&gt;='Lists &amp; Settings'!$N$3,'Lists &amp; Settings'!$O$3,'Lists &amp; Settings'!$O$4)),IF($N86="Partial",IF($M86&gt;='Lists &amp; Settings'!$N$6,'Lists &amp; Settings'!$O$6,IF($M86&gt;='Lists &amp; Settings'!$N$7,'Lists &amp; Settings'!$O$7,'Lists &amp; Settings'!$O$8)),'Lists &amp; Settings'!$O$10))))))</f>
        <v/>
      </c>
      <c r="T86" s="7"/>
      <c r="U86" s="7"/>
      <c r="V86" s="7"/>
      <c r="W86" s="7"/>
      <c r="X86" s="7"/>
      <c r="Y86" s="7"/>
      <c r="Z86" s="7"/>
      <c r="AA86" s="76"/>
      <c r="AB86" s="76"/>
    </row>
    <row r="87" ht="15.75" customHeight="1">
      <c r="A87" s="7"/>
      <c r="B87" s="7"/>
      <c r="C87" s="7"/>
      <c r="D87" s="7"/>
      <c r="E87" s="7"/>
      <c r="F87" s="7"/>
      <c r="G87" s="7"/>
      <c r="H87" s="7"/>
      <c r="I87" s="19"/>
      <c r="J87" s="19"/>
      <c r="K87" s="76"/>
      <c r="L87" s="19"/>
      <c r="M87" s="77"/>
      <c r="N87" s="78"/>
      <c r="O87" s="19"/>
      <c r="P87" s="7"/>
      <c r="Q87" s="7"/>
      <c r="R87" s="7"/>
      <c r="S87" s="7" t="str">
        <f>IF($C87="","",IF(OR($M87="",$N87=""),'Lists &amp; Settings'!$O$10,IF($N87="Fail",'Lists &amp; Settings'!$O$9,IF($N87="Insufficient Evidence",'Lists &amp; Settings'!$O$10,IF($N87="Pass",IF($M87&gt;='Lists &amp; Settings'!$N$2,'Lists &amp; Settings'!$O$2,IF($M87&gt;='Lists &amp; Settings'!$N$3,'Lists &amp; Settings'!$O$3,'Lists &amp; Settings'!$O$4)),IF($N87="Partial",IF($M87&gt;='Lists &amp; Settings'!$N$6,'Lists &amp; Settings'!$O$6,IF($M87&gt;='Lists &amp; Settings'!$N$7,'Lists &amp; Settings'!$O$7,'Lists &amp; Settings'!$O$8)),'Lists &amp; Settings'!$O$10))))))</f>
        <v/>
      </c>
      <c r="T87" s="7"/>
      <c r="U87" s="7"/>
      <c r="V87" s="7"/>
      <c r="W87" s="7"/>
      <c r="X87" s="7"/>
      <c r="Y87" s="7"/>
      <c r="Z87" s="7"/>
      <c r="AA87" s="76"/>
      <c r="AB87" s="76"/>
    </row>
    <row r="88" ht="15.75" customHeight="1">
      <c r="A88" s="7"/>
      <c r="B88" s="7"/>
      <c r="C88" s="7"/>
      <c r="D88" s="7"/>
      <c r="E88" s="7"/>
      <c r="F88" s="7"/>
      <c r="G88" s="7"/>
      <c r="H88" s="7"/>
      <c r="I88" s="19"/>
      <c r="J88" s="19"/>
      <c r="K88" s="76"/>
      <c r="L88" s="19"/>
      <c r="M88" s="77"/>
      <c r="N88" s="78"/>
      <c r="O88" s="19"/>
      <c r="P88" s="7"/>
      <c r="Q88" s="7"/>
      <c r="R88" s="7"/>
      <c r="S88" s="7" t="str">
        <f>IF($C88="","",IF(OR($M88="",$N88=""),'Lists &amp; Settings'!$O$10,IF($N88="Fail",'Lists &amp; Settings'!$O$9,IF($N88="Insufficient Evidence",'Lists &amp; Settings'!$O$10,IF($N88="Pass",IF($M88&gt;='Lists &amp; Settings'!$N$2,'Lists &amp; Settings'!$O$2,IF($M88&gt;='Lists &amp; Settings'!$N$3,'Lists &amp; Settings'!$O$3,'Lists &amp; Settings'!$O$4)),IF($N88="Partial",IF($M88&gt;='Lists &amp; Settings'!$N$6,'Lists &amp; Settings'!$O$6,IF($M88&gt;='Lists &amp; Settings'!$N$7,'Lists &amp; Settings'!$O$7,'Lists &amp; Settings'!$O$8)),'Lists &amp; Settings'!$O$10))))))</f>
        <v/>
      </c>
      <c r="T88" s="7"/>
      <c r="U88" s="7"/>
      <c r="V88" s="7"/>
      <c r="W88" s="7"/>
      <c r="X88" s="7"/>
      <c r="Y88" s="7"/>
      <c r="Z88" s="7"/>
      <c r="AA88" s="76"/>
      <c r="AB88" s="76"/>
    </row>
    <row r="89" ht="15.75" customHeight="1">
      <c r="A89" s="7"/>
      <c r="B89" s="7"/>
      <c r="C89" s="7"/>
      <c r="D89" s="7"/>
      <c r="E89" s="7"/>
      <c r="F89" s="7"/>
      <c r="G89" s="7"/>
      <c r="H89" s="7"/>
      <c r="I89" s="19"/>
      <c r="J89" s="19"/>
      <c r="K89" s="76"/>
      <c r="L89" s="19"/>
      <c r="M89" s="77"/>
      <c r="N89" s="78"/>
      <c r="O89" s="19"/>
      <c r="P89" s="7"/>
      <c r="Q89" s="7"/>
      <c r="R89" s="7"/>
      <c r="S89" s="7" t="str">
        <f>IF($C89="","",IF(OR($M89="",$N89=""),'Lists &amp; Settings'!$O$10,IF($N89="Fail",'Lists &amp; Settings'!$O$9,IF($N89="Insufficient Evidence",'Lists &amp; Settings'!$O$10,IF($N89="Pass",IF($M89&gt;='Lists &amp; Settings'!$N$2,'Lists &amp; Settings'!$O$2,IF($M89&gt;='Lists &amp; Settings'!$N$3,'Lists &amp; Settings'!$O$3,'Lists &amp; Settings'!$O$4)),IF($N89="Partial",IF($M89&gt;='Lists &amp; Settings'!$N$6,'Lists &amp; Settings'!$O$6,IF($M89&gt;='Lists &amp; Settings'!$N$7,'Lists &amp; Settings'!$O$7,'Lists &amp; Settings'!$O$8)),'Lists &amp; Settings'!$O$10))))))</f>
        <v/>
      </c>
      <c r="T89" s="7"/>
      <c r="U89" s="7"/>
      <c r="V89" s="7"/>
      <c r="W89" s="7"/>
      <c r="X89" s="7"/>
      <c r="Y89" s="7"/>
      <c r="Z89" s="7"/>
      <c r="AA89" s="76"/>
      <c r="AB89" s="76"/>
    </row>
    <row r="90" ht="15.75" customHeight="1">
      <c r="A90" s="7"/>
      <c r="B90" s="7"/>
      <c r="C90" s="7"/>
      <c r="D90" s="7"/>
      <c r="E90" s="7"/>
      <c r="F90" s="7"/>
      <c r="G90" s="7"/>
      <c r="H90" s="7"/>
      <c r="I90" s="19"/>
      <c r="J90" s="19"/>
      <c r="K90" s="76"/>
      <c r="L90" s="19"/>
      <c r="M90" s="77"/>
      <c r="N90" s="78"/>
      <c r="O90" s="19"/>
      <c r="P90" s="7"/>
      <c r="Q90" s="7"/>
      <c r="R90" s="7"/>
      <c r="S90" s="7" t="str">
        <f>IF($C90="","",IF(OR($M90="",$N90=""),'Lists &amp; Settings'!$O$10,IF($N90="Fail",'Lists &amp; Settings'!$O$9,IF($N90="Insufficient Evidence",'Lists &amp; Settings'!$O$10,IF($N90="Pass",IF($M90&gt;='Lists &amp; Settings'!$N$2,'Lists &amp; Settings'!$O$2,IF($M90&gt;='Lists &amp; Settings'!$N$3,'Lists &amp; Settings'!$O$3,'Lists &amp; Settings'!$O$4)),IF($N90="Partial",IF($M90&gt;='Lists &amp; Settings'!$N$6,'Lists &amp; Settings'!$O$6,IF($M90&gt;='Lists &amp; Settings'!$N$7,'Lists &amp; Settings'!$O$7,'Lists &amp; Settings'!$O$8)),'Lists &amp; Settings'!$O$10))))))</f>
        <v/>
      </c>
      <c r="T90" s="7"/>
      <c r="U90" s="7"/>
      <c r="V90" s="7"/>
      <c r="W90" s="7"/>
      <c r="X90" s="7"/>
      <c r="Y90" s="7"/>
      <c r="Z90" s="7"/>
      <c r="AA90" s="76"/>
      <c r="AB90" s="76"/>
    </row>
    <row r="91" ht="15.75" customHeight="1">
      <c r="A91" s="7"/>
      <c r="B91" s="7"/>
      <c r="C91" s="7"/>
      <c r="D91" s="7"/>
      <c r="E91" s="7"/>
      <c r="F91" s="7"/>
      <c r="G91" s="7"/>
      <c r="H91" s="7"/>
      <c r="I91" s="19"/>
      <c r="J91" s="19"/>
      <c r="K91" s="76"/>
      <c r="L91" s="19"/>
      <c r="M91" s="77"/>
      <c r="N91" s="78"/>
      <c r="O91" s="19"/>
      <c r="P91" s="7"/>
      <c r="Q91" s="7"/>
      <c r="R91" s="7"/>
      <c r="S91" s="7" t="str">
        <f>IF($C91="","",IF(OR($M91="",$N91=""),'Lists &amp; Settings'!$O$10,IF($N91="Fail",'Lists &amp; Settings'!$O$9,IF($N91="Insufficient Evidence",'Lists &amp; Settings'!$O$10,IF($N91="Pass",IF($M91&gt;='Lists &amp; Settings'!$N$2,'Lists &amp; Settings'!$O$2,IF($M91&gt;='Lists &amp; Settings'!$N$3,'Lists &amp; Settings'!$O$3,'Lists &amp; Settings'!$O$4)),IF($N91="Partial",IF($M91&gt;='Lists &amp; Settings'!$N$6,'Lists &amp; Settings'!$O$6,IF($M91&gt;='Lists &amp; Settings'!$N$7,'Lists &amp; Settings'!$O$7,'Lists &amp; Settings'!$O$8)),'Lists &amp; Settings'!$O$10))))))</f>
        <v/>
      </c>
      <c r="T91" s="7"/>
      <c r="U91" s="7"/>
      <c r="V91" s="7"/>
      <c r="W91" s="7"/>
      <c r="X91" s="7"/>
      <c r="Y91" s="7"/>
      <c r="Z91" s="7"/>
      <c r="AA91" s="76"/>
      <c r="AB91" s="76"/>
    </row>
    <row r="92" ht="15.75" customHeight="1">
      <c r="A92" s="7"/>
      <c r="B92" s="7"/>
      <c r="C92" s="7"/>
      <c r="D92" s="7"/>
      <c r="E92" s="7"/>
      <c r="F92" s="7"/>
      <c r="G92" s="7"/>
      <c r="H92" s="7"/>
      <c r="I92" s="19"/>
      <c r="J92" s="19"/>
      <c r="K92" s="76"/>
      <c r="L92" s="19"/>
      <c r="M92" s="77"/>
      <c r="N92" s="78"/>
      <c r="O92" s="19"/>
      <c r="P92" s="7"/>
      <c r="Q92" s="7"/>
      <c r="R92" s="7"/>
      <c r="S92" s="7" t="str">
        <f>IF($C92="","",IF(OR($M92="",$N92=""),'Lists &amp; Settings'!$O$10,IF($N92="Fail",'Lists &amp; Settings'!$O$9,IF($N92="Insufficient Evidence",'Lists &amp; Settings'!$O$10,IF($N92="Pass",IF($M92&gt;='Lists &amp; Settings'!$N$2,'Lists &amp; Settings'!$O$2,IF($M92&gt;='Lists &amp; Settings'!$N$3,'Lists &amp; Settings'!$O$3,'Lists &amp; Settings'!$O$4)),IF($N92="Partial",IF($M92&gt;='Lists &amp; Settings'!$N$6,'Lists &amp; Settings'!$O$6,IF($M92&gt;='Lists &amp; Settings'!$N$7,'Lists &amp; Settings'!$O$7,'Lists &amp; Settings'!$O$8)),'Lists &amp; Settings'!$O$10))))))</f>
        <v/>
      </c>
      <c r="T92" s="7"/>
      <c r="U92" s="7"/>
      <c r="V92" s="7"/>
      <c r="W92" s="7"/>
      <c r="X92" s="7"/>
      <c r="Y92" s="7"/>
      <c r="Z92" s="7"/>
      <c r="AA92" s="76"/>
      <c r="AB92" s="76"/>
    </row>
    <row r="93" ht="15.75" customHeight="1">
      <c r="A93" s="7"/>
      <c r="B93" s="7"/>
      <c r="C93" s="7"/>
      <c r="D93" s="7"/>
      <c r="E93" s="7"/>
      <c r="F93" s="7"/>
      <c r="G93" s="7"/>
      <c r="H93" s="7"/>
      <c r="I93" s="19"/>
      <c r="J93" s="19"/>
      <c r="K93" s="76"/>
      <c r="L93" s="19"/>
      <c r="M93" s="77"/>
      <c r="N93" s="78"/>
      <c r="O93" s="19"/>
      <c r="P93" s="7"/>
      <c r="Q93" s="7"/>
      <c r="R93" s="7"/>
      <c r="S93" s="7" t="str">
        <f>IF($C93="","",IF(OR($M93="",$N93=""),'Lists &amp; Settings'!$O$10,IF($N93="Fail",'Lists &amp; Settings'!$O$9,IF($N93="Insufficient Evidence",'Lists &amp; Settings'!$O$10,IF($N93="Pass",IF($M93&gt;='Lists &amp; Settings'!$N$2,'Lists &amp; Settings'!$O$2,IF($M93&gt;='Lists &amp; Settings'!$N$3,'Lists &amp; Settings'!$O$3,'Lists &amp; Settings'!$O$4)),IF($N93="Partial",IF($M93&gt;='Lists &amp; Settings'!$N$6,'Lists &amp; Settings'!$O$6,IF($M93&gt;='Lists &amp; Settings'!$N$7,'Lists &amp; Settings'!$O$7,'Lists &amp; Settings'!$O$8)),'Lists &amp; Settings'!$O$10))))))</f>
        <v/>
      </c>
      <c r="T93" s="7"/>
      <c r="U93" s="7"/>
      <c r="V93" s="7"/>
      <c r="W93" s="7"/>
      <c r="X93" s="7"/>
      <c r="Y93" s="7"/>
      <c r="Z93" s="7"/>
      <c r="AA93" s="76"/>
      <c r="AB93" s="76"/>
    </row>
    <row r="94" ht="15.75" customHeight="1">
      <c r="A94" s="7"/>
      <c r="B94" s="7"/>
      <c r="C94" s="7"/>
      <c r="D94" s="7"/>
      <c r="E94" s="7"/>
      <c r="F94" s="7"/>
      <c r="G94" s="7"/>
      <c r="H94" s="7"/>
      <c r="I94" s="19"/>
      <c r="J94" s="19"/>
      <c r="K94" s="76"/>
      <c r="L94" s="19"/>
      <c r="M94" s="77"/>
      <c r="N94" s="78"/>
      <c r="O94" s="19"/>
      <c r="P94" s="7"/>
      <c r="Q94" s="7"/>
      <c r="R94" s="7"/>
      <c r="S94" s="7" t="str">
        <f>IF($C94="","",IF(OR($M94="",$N94=""),'Lists &amp; Settings'!$O$10,IF($N94="Fail",'Lists &amp; Settings'!$O$9,IF($N94="Insufficient Evidence",'Lists &amp; Settings'!$O$10,IF($N94="Pass",IF($M94&gt;='Lists &amp; Settings'!$N$2,'Lists &amp; Settings'!$O$2,IF($M94&gt;='Lists &amp; Settings'!$N$3,'Lists &amp; Settings'!$O$3,'Lists &amp; Settings'!$O$4)),IF($N94="Partial",IF($M94&gt;='Lists &amp; Settings'!$N$6,'Lists &amp; Settings'!$O$6,IF($M94&gt;='Lists &amp; Settings'!$N$7,'Lists &amp; Settings'!$O$7,'Lists &amp; Settings'!$O$8)),'Lists &amp; Settings'!$O$10))))))</f>
        <v/>
      </c>
      <c r="T94" s="7"/>
      <c r="U94" s="7"/>
      <c r="V94" s="7"/>
      <c r="W94" s="7"/>
      <c r="X94" s="7"/>
      <c r="Y94" s="7"/>
      <c r="Z94" s="7"/>
      <c r="AA94" s="76"/>
      <c r="AB94" s="76"/>
    </row>
    <row r="95" ht="15.75" customHeight="1">
      <c r="A95" s="7"/>
      <c r="B95" s="7"/>
      <c r="C95" s="7"/>
      <c r="D95" s="7"/>
      <c r="E95" s="7"/>
      <c r="F95" s="7"/>
      <c r="G95" s="7"/>
      <c r="H95" s="7"/>
      <c r="I95" s="19"/>
      <c r="J95" s="19"/>
      <c r="K95" s="76"/>
      <c r="L95" s="19"/>
      <c r="M95" s="77"/>
      <c r="N95" s="78"/>
      <c r="O95" s="19"/>
      <c r="P95" s="7"/>
      <c r="Q95" s="7"/>
      <c r="R95" s="7"/>
      <c r="S95" s="7" t="str">
        <f>IF($C95="","",IF(OR($M95="",$N95=""),'Lists &amp; Settings'!$O$10,IF($N95="Fail",'Lists &amp; Settings'!$O$9,IF($N95="Insufficient Evidence",'Lists &amp; Settings'!$O$10,IF($N95="Pass",IF($M95&gt;='Lists &amp; Settings'!$N$2,'Lists &amp; Settings'!$O$2,IF($M95&gt;='Lists &amp; Settings'!$N$3,'Lists &amp; Settings'!$O$3,'Lists &amp; Settings'!$O$4)),IF($N95="Partial",IF($M95&gt;='Lists &amp; Settings'!$N$6,'Lists &amp; Settings'!$O$6,IF($M95&gt;='Lists &amp; Settings'!$N$7,'Lists &amp; Settings'!$O$7,'Lists &amp; Settings'!$O$8)),'Lists &amp; Settings'!$O$10))))))</f>
        <v/>
      </c>
      <c r="T95" s="7"/>
      <c r="U95" s="7"/>
      <c r="V95" s="7"/>
      <c r="W95" s="7"/>
      <c r="X95" s="7"/>
      <c r="Y95" s="7"/>
      <c r="Z95" s="7"/>
      <c r="AA95" s="76"/>
      <c r="AB95" s="76"/>
    </row>
    <row r="96" ht="15.75" customHeight="1">
      <c r="A96" s="7"/>
      <c r="B96" s="7"/>
      <c r="C96" s="7"/>
      <c r="D96" s="7"/>
      <c r="E96" s="7"/>
      <c r="F96" s="7"/>
      <c r="G96" s="7"/>
      <c r="H96" s="7"/>
      <c r="I96" s="19"/>
      <c r="J96" s="19"/>
      <c r="K96" s="76"/>
      <c r="L96" s="19"/>
      <c r="M96" s="77"/>
      <c r="N96" s="78"/>
      <c r="O96" s="19"/>
      <c r="P96" s="7"/>
      <c r="Q96" s="7"/>
      <c r="R96" s="7"/>
      <c r="S96" s="7" t="str">
        <f>IF($C96="","",IF(OR($M96="",$N96=""),'Lists &amp; Settings'!$O$10,IF($N96="Fail",'Lists &amp; Settings'!$O$9,IF($N96="Insufficient Evidence",'Lists &amp; Settings'!$O$10,IF($N96="Pass",IF($M96&gt;='Lists &amp; Settings'!$N$2,'Lists &amp; Settings'!$O$2,IF($M96&gt;='Lists &amp; Settings'!$N$3,'Lists &amp; Settings'!$O$3,'Lists &amp; Settings'!$O$4)),IF($N96="Partial",IF($M96&gt;='Lists &amp; Settings'!$N$6,'Lists &amp; Settings'!$O$6,IF($M96&gt;='Lists &amp; Settings'!$N$7,'Lists &amp; Settings'!$O$7,'Lists &amp; Settings'!$O$8)),'Lists &amp; Settings'!$O$10))))))</f>
        <v/>
      </c>
      <c r="T96" s="7"/>
      <c r="U96" s="7"/>
      <c r="V96" s="7"/>
      <c r="W96" s="7"/>
      <c r="X96" s="7"/>
      <c r="Y96" s="7"/>
      <c r="Z96" s="7"/>
      <c r="AA96" s="76"/>
      <c r="AB96" s="76"/>
    </row>
    <row r="97" ht="15.75" customHeight="1">
      <c r="A97" s="7"/>
      <c r="B97" s="7"/>
      <c r="C97" s="7"/>
      <c r="D97" s="7"/>
      <c r="E97" s="7"/>
      <c r="F97" s="7"/>
      <c r="G97" s="7"/>
      <c r="H97" s="7"/>
      <c r="I97" s="19"/>
      <c r="J97" s="19"/>
      <c r="K97" s="76"/>
      <c r="L97" s="19"/>
      <c r="M97" s="77"/>
      <c r="N97" s="78"/>
      <c r="O97" s="19"/>
      <c r="P97" s="7"/>
      <c r="Q97" s="7"/>
      <c r="R97" s="7"/>
      <c r="S97" s="7" t="str">
        <f>IF($C97="","",IF(OR($M97="",$N97=""),'Lists &amp; Settings'!$O$10,IF($N97="Fail",'Lists &amp; Settings'!$O$9,IF($N97="Insufficient Evidence",'Lists &amp; Settings'!$O$10,IF($N97="Pass",IF($M97&gt;='Lists &amp; Settings'!$N$2,'Lists &amp; Settings'!$O$2,IF($M97&gt;='Lists &amp; Settings'!$N$3,'Lists &amp; Settings'!$O$3,'Lists &amp; Settings'!$O$4)),IF($N97="Partial",IF($M97&gt;='Lists &amp; Settings'!$N$6,'Lists &amp; Settings'!$O$6,IF($M97&gt;='Lists &amp; Settings'!$N$7,'Lists &amp; Settings'!$O$7,'Lists &amp; Settings'!$O$8)),'Lists &amp; Settings'!$O$10))))))</f>
        <v/>
      </c>
      <c r="T97" s="7"/>
      <c r="U97" s="7"/>
      <c r="V97" s="7"/>
      <c r="W97" s="7"/>
      <c r="X97" s="7"/>
      <c r="Y97" s="7"/>
      <c r="Z97" s="7"/>
      <c r="AA97" s="76"/>
      <c r="AB97" s="76"/>
    </row>
    <row r="98" ht="15.75" customHeight="1">
      <c r="A98" s="7"/>
      <c r="B98" s="7"/>
      <c r="C98" s="7"/>
      <c r="D98" s="7"/>
      <c r="E98" s="7"/>
      <c r="F98" s="7"/>
      <c r="G98" s="7"/>
      <c r="H98" s="7"/>
      <c r="I98" s="19"/>
      <c r="J98" s="19"/>
      <c r="K98" s="76"/>
      <c r="L98" s="19"/>
      <c r="M98" s="77"/>
      <c r="N98" s="78"/>
      <c r="O98" s="19"/>
      <c r="P98" s="7"/>
      <c r="Q98" s="7"/>
      <c r="R98" s="7"/>
      <c r="S98" s="7" t="str">
        <f>IF($C98="","",IF(OR($M98="",$N98=""),'Lists &amp; Settings'!$O$10,IF($N98="Fail",'Lists &amp; Settings'!$O$9,IF($N98="Insufficient Evidence",'Lists &amp; Settings'!$O$10,IF($N98="Pass",IF($M98&gt;='Lists &amp; Settings'!$N$2,'Lists &amp; Settings'!$O$2,IF($M98&gt;='Lists &amp; Settings'!$N$3,'Lists &amp; Settings'!$O$3,'Lists &amp; Settings'!$O$4)),IF($N98="Partial",IF($M98&gt;='Lists &amp; Settings'!$N$6,'Lists &amp; Settings'!$O$6,IF($M98&gt;='Lists &amp; Settings'!$N$7,'Lists &amp; Settings'!$O$7,'Lists &amp; Settings'!$O$8)),'Lists &amp; Settings'!$O$10))))))</f>
        <v/>
      </c>
      <c r="T98" s="7"/>
      <c r="U98" s="7"/>
      <c r="V98" s="7"/>
      <c r="W98" s="7"/>
      <c r="X98" s="7"/>
      <c r="Y98" s="7"/>
      <c r="Z98" s="7"/>
      <c r="AA98" s="76"/>
      <c r="AB98" s="76"/>
    </row>
    <row r="99" ht="15.75" customHeight="1">
      <c r="A99" s="7"/>
      <c r="B99" s="7"/>
      <c r="C99" s="7"/>
      <c r="D99" s="7"/>
      <c r="E99" s="7"/>
      <c r="F99" s="7"/>
      <c r="G99" s="7"/>
      <c r="H99" s="7"/>
      <c r="I99" s="19"/>
      <c r="J99" s="19"/>
      <c r="K99" s="76"/>
      <c r="L99" s="19"/>
      <c r="M99" s="77"/>
      <c r="N99" s="78"/>
      <c r="O99" s="19"/>
      <c r="P99" s="7"/>
      <c r="Q99" s="7"/>
      <c r="R99" s="7"/>
      <c r="S99" s="7" t="str">
        <f>IF($C99="","",IF(OR($M99="",$N99=""),'Lists &amp; Settings'!$O$10,IF($N99="Fail",'Lists &amp; Settings'!$O$9,IF($N99="Insufficient Evidence",'Lists &amp; Settings'!$O$10,IF($N99="Pass",IF($M99&gt;='Lists &amp; Settings'!$N$2,'Lists &amp; Settings'!$O$2,IF($M99&gt;='Lists &amp; Settings'!$N$3,'Lists &amp; Settings'!$O$3,'Lists &amp; Settings'!$O$4)),IF($N99="Partial",IF($M99&gt;='Lists &amp; Settings'!$N$6,'Lists &amp; Settings'!$O$6,IF($M99&gt;='Lists &amp; Settings'!$N$7,'Lists &amp; Settings'!$O$7,'Lists &amp; Settings'!$O$8)),'Lists &amp; Settings'!$O$10))))))</f>
        <v/>
      </c>
      <c r="T99" s="7"/>
      <c r="U99" s="7"/>
      <c r="V99" s="7"/>
      <c r="W99" s="7"/>
      <c r="X99" s="7"/>
      <c r="Y99" s="7"/>
      <c r="Z99" s="7"/>
      <c r="AA99" s="76"/>
      <c r="AB99" s="76"/>
    </row>
    <row r="100" ht="15.75" customHeight="1">
      <c r="A100" s="7"/>
      <c r="B100" s="7"/>
      <c r="C100" s="7"/>
      <c r="D100" s="7"/>
      <c r="E100" s="7"/>
      <c r="F100" s="7"/>
      <c r="G100" s="7"/>
      <c r="H100" s="7"/>
      <c r="I100" s="19"/>
      <c r="J100" s="19"/>
      <c r="K100" s="76"/>
      <c r="L100" s="19"/>
      <c r="M100" s="77"/>
      <c r="N100" s="78"/>
      <c r="O100" s="19"/>
      <c r="P100" s="7"/>
      <c r="Q100" s="7"/>
      <c r="R100" s="7"/>
      <c r="S100" s="7" t="str">
        <f>IF($C100="","",IF(OR($M100="",$N100=""),'Lists &amp; Settings'!$O$10,IF($N100="Fail",'Lists &amp; Settings'!$O$9,IF($N100="Insufficient Evidence",'Lists &amp; Settings'!$O$10,IF($N100="Pass",IF($M100&gt;='Lists &amp; Settings'!$N$2,'Lists &amp; Settings'!$O$2,IF($M100&gt;='Lists &amp; Settings'!$N$3,'Lists &amp; Settings'!$O$3,'Lists &amp; Settings'!$O$4)),IF($N100="Partial",IF($M100&gt;='Lists &amp; Settings'!$N$6,'Lists &amp; Settings'!$O$6,IF($M100&gt;='Lists &amp; Settings'!$N$7,'Lists &amp; Settings'!$O$7,'Lists &amp; Settings'!$O$8)),'Lists &amp; Settings'!$O$10))))))</f>
        <v/>
      </c>
      <c r="T100" s="7"/>
      <c r="U100" s="7"/>
      <c r="V100" s="7"/>
      <c r="W100" s="7"/>
      <c r="X100" s="7"/>
      <c r="Y100" s="7"/>
      <c r="Z100" s="7"/>
      <c r="AA100" s="76"/>
      <c r="AB100" s="76"/>
    </row>
    <row r="101" ht="15.75" customHeight="1">
      <c r="A101" s="7"/>
      <c r="B101" s="7"/>
      <c r="C101" s="7"/>
      <c r="D101" s="7"/>
      <c r="E101" s="7"/>
      <c r="F101" s="7"/>
      <c r="G101" s="7"/>
      <c r="H101" s="7"/>
      <c r="I101" s="19"/>
      <c r="J101" s="19"/>
      <c r="K101" s="76"/>
      <c r="L101" s="19"/>
      <c r="M101" s="77"/>
      <c r="N101" s="78"/>
      <c r="O101" s="19"/>
      <c r="P101" s="7"/>
      <c r="Q101" s="7"/>
      <c r="R101" s="7"/>
      <c r="S101" s="7" t="str">
        <f>IF($C101="","",IF(OR($M101="",$N101=""),'Lists &amp; Settings'!$O$10,IF($N101="Fail",'Lists &amp; Settings'!$O$9,IF($N101="Insufficient Evidence",'Lists &amp; Settings'!$O$10,IF($N101="Pass",IF($M101&gt;='Lists &amp; Settings'!$N$2,'Lists &amp; Settings'!$O$2,IF($M101&gt;='Lists &amp; Settings'!$N$3,'Lists &amp; Settings'!$O$3,'Lists &amp; Settings'!$O$4)),IF($N101="Partial",IF($M101&gt;='Lists &amp; Settings'!$N$6,'Lists &amp; Settings'!$O$6,IF($M101&gt;='Lists &amp; Settings'!$N$7,'Lists &amp; Settings'!$O$7,'Lists &amp; Settings'!$O$8)),'Lists &amp; Settings'!$O$10))))))</f>
        <v/>
      </c>
      <c r="T101" s="7"/>
      <c r="U101" s="7"/>
      <c r="V101" s="7"/>
      <c r="W101" s="7"/>
      <c r="X101" s="7"/>
      <c r="Y101" s="7"/>
      <c r="Z101" s="7"/>
      <c r="AA101" s="76"/>
      <c r="AB101" s="76"/>
    </row>
    <row r="102" ht="15.75" customHeight="1">
      <c r="A102" s="7"/>
      <c r="B102" s="7"/>
      <c r="C102" s="7"/>
      <c r="D102" s="7"/>
      <c r="E102" s="7"/>
      <c r="F102" s="7"/>
      <c r="G102" s="7"/>
      <c r="H102" s="7"/>
      <c r="I102" s="19"/>
      <c r="J102" s="19"/>
      <c r="K102" s="76"/>
      <c r="L102" s="19"/>
      <c r="M102" s="77"/>
      <c r="N102" s="78"/>
      <c r="O102" s="19"/>
      <c r="P102" s="7"/>
      <c r="Q102" s="7"/>
      <c r="R102" s="7"/>
      <c r="S102" s="7" t="str">
        <f>IF($C102="","",IF(OR($M102="",$N102=""),'Lists &amp; Settings'!$O$10,IF($N102="Fail",'Lists &amp; Settings'!$O$9,IF($N102="Insufficient Evidence",'Lists &amp; Settings'!$O$10,IF($N102="Pass",IF($M102&gt;='Lists &amp; Settings'!$N$2,'Lists &amp; Settings'!$O$2,IF($M102&gt;='Lists &amp; Settings'!$N$3,'Lists &amp; Settings'!$O$3,'Lists &amp; Settings'!$O$4)),IF($N102="Partial",IF($M102&gt;='Lists &amp; Settings'!$N$6,'Lists &amp; Settings'!$O$6,IF($M102&gt;='Lists &amp; Settings'!$N$7,'Lists &amp; Settings'!$O$7,'Lists &amp; Settings'!$O$8)),'Lists &amp; Settings'!$O$10))))))</f>
        <v/>
      </c>
      <c r="T102" s="7"/>
      <c r="U102" s="7"/>
      <c r="V102" s="7"/>
      <c r="W102" s="7"/>
      <c r="X102" s="7"/>
      <c r="Y102" s="7"/>
      <c r="Z102" s="7"/>
      <c r="AA102" s="76"/>
      <c r="AB102" s="76"/>
    </row>
    <row r="103" ht="15.75" customHeight="1">
      <c r="A103" s="7"/>
      <c r="B103" s="7"/>
      <c r="C103" s="7"/>
      <c r="D103" s="7"/>
      <c r="E103" s="7"/>
      <c r="F103" s="7"/>
      <c r="G103" s="7"/>
      <c r="H103" s="7"/>
      <c r="I103" s="19"/>
      <c r="J103" s="19"/>
      <c r="K103" s="76"/>
      <c r="L103" s="19"/>
      <c r="M103" s="77"/>
      <c r="N103" s="78"/>
      <c r="O103" s="19"/>
      <c r="P103" s="7"/>
      <c r="Q103" s="7"/>
      <c r="R103" s="7"/>
      <c r="S103" s="7" t="str">
        <f>IF($C103="","",IF(OR($M103="",$N103=""),'Lists &amp; Settings'!$O$10,IF($N103="Fail",'Lists &amp; Settings'!$O$9,IF($N103="Insufficient Evidence",'Lists &amp; Settings'!$O$10,IF($N103="Pass",IF($M103&gt;='Lists &amp; Settings'!$N$2,'Lists &amp; Settings'!$O$2,IF($M103&gt;='Lists &amp; Settings'!$N$3,'Lists &amp; Settings'!$O$3,'Lists &amp; Settings'!$O$4)),IF($N103="Partial",IF($M103&gt;='Lists &amp; Settings'!$N$6,'Lists &amp; Settings'!$O$6,IF($M103&gt;='Lists &amp; Settings'!$N$7,'Lists &amp; Settings'!$O$7,'Lists &amp; Settings'!$O$8)),'Lists &amp; Settings'!$O$10))))))</f>
        <v/>
      </c>
      <c r="T103" s="7"/>
      <c r="U103" s="7"/>
      <c r="V103" s="7"/>
      <c r="W103" s="7"/>
      <c r="X103" s="7"/>
      <c r="Y103" s="7"/>
      <c r="Z103" s="7"/>
      <c r="AA103" s="76"/>
      <c r="AB103" s="76"/>
    </row>
    <row r="104" ht="15.75" customHeight="1">
      <c r="A104" s="7"/>
      <c r="B104" s="7"/>
      <c r="C104" s="7"/>
      <c r="D104" s="7"/>
      <c r="E104" s="7"/>
      <c r="F104" s="7"/>
      <c r="G104" s="7"/>
      <c r="H104" s="7"/>
      <c r="I104" s="19"/>
      <c r="J104" s="19"/>
      <c r="K104" s="76"/>
      <c r="L104" s="19"/>
      <c r="M104" s="77"/>
      <c r="N104" s="78"/>
      <c r="O104" s="19"/>
      <c r="P104" s="7"/>
      <c r="Q104" s="7"/>
      <c r="R104" s="7"/>
      <c r="S104" s="7" t="str">
        <f>IF($C104="","",IF(OR($M104="",$N104=""),'Lists &amp; Settings'!$O$10,IF($N104="Fail",'Lists &amp; Settings'!$O$9,IF($N104="Insufficient Evidence",'Lists &amp; Settings'!$O$10,IF($N104="Pass",IF($M104&gt;='Lists &amp; Settings'!$N$2,'Lists &amp; Settings'!$O$2,IF($M104&gt;='Lists &amp; Settings'!$N$3,'Lists &amp; Settings'!$O$3,'Lists &amp; Settings'!$O$4)),IF($N104="Partial",IF($M104&gt;='Lists &amp; Settings'!$N$6,'Lists &amp; Settings'!$O$6,IF($M104&gt;='Lists &amp; Settings'!$N$7,'Lists &amp; Settings'!$O$7,'Lists &amp; Settings'!$O$8)),'Lists &amp; Settings'!$O$10))))))</f>
        <v/>
      </c>
      <c r="T104" s="7"/>
      <c r="U104" s="7"/>
      <c r="V104" s="7"/>
      <c r="W104" s="7"/>
      <c r="X104" s="7"/>
      <c r="Y104" s="7"/>
      <c r="Z104" s="7"/>
      <c r="AA104" s="76"/>
      <c r="AB104" s="76"/>
    </row>
    <row r="105" ht="15.75" customHeight="1">
      <c r="A105" s="7"/>
      <c r="B105" s="7"/>
      <c r="C105" s="7"/>
      <c r="D105" s="7"/>
      <c r="E105" s="7"/>
      <c r="F105" s="7"/>
      <c r="G105" s="7"/>
      <c r="H105" s="7"/>
      <c r="I105" s="19"/>
      <c r="J105" s="19"/>
      <c r="K105" s="76"/>
      <c r="L105" s="19"/>
      <c r="M105" s="77"/>
      <c r="N105" s="78"/>
      <c r="O105" s="19"/>
      <c r="P105" s="7"/>
      <c r="Q105" s="7"/>
      <c r="R105" s="7"/>
      <c r="S105" s="7" t="str">
        <f>IF($C105="","",IF(OR($M105="",$N105=""),'Lists &amp; Settings'!$O$10,IF($N105="Fail",'Lists &amp; Settings'!$O$9,IF($N105="Insufficient Evidence",'Lists &amp; Settings'!$O$10,IF($N105="Pass",IF($M105&gt;='Lists &amp; Settings'!$N$2,'Lists &amp; Settings'!$O$2,IF($M105&gt;='Lists &amp; Settings'!$N$3,'Lists &amp; Settings'!$O$3,'Lists &amp; Settings'!$O$4)),IF($N105="Partial",IF($M105&gt;='Lists &amp; Settings'!$N$6,'Lists &amp; Settings'!$O$6,IF($M105&gt;='Lists &amp; Settings'!$N$7,'Lists &amp; Settings'!$O$7,'Lists &amp; Settings'!$O$8)),'Lists &amp; Settings'!$O$10))))))</f>
        <v/>
      </c>
      <c r="T105" s="7"/>
      <c r="U105" s="7"/>
      <c r="V105" s="7"/>
      <c r="W105" s="7"/>
      <c r="X105" s="7"/>
      <c r="Y105" s="7"/>
      <c r="Z105" s="7"/>
      <c r="AA105" s="76"/>
      <c r="AB105" s="76"/>
    </row>
    <row r="106" ht="15.75" customHeight="1">
      <c r="A106" s="7"/>
      <c r="B106" s="7"/>
      <c r="C106" s="7"/>
      <c r="D106" s="7"/>
      <c r="E106" s="7"/>
      <c r="F106" s="7"/>
      <c r="G106" s="7"/>
      <c r="H106" s="7"/>
      <c r="I106" s="19"/>
      <c r="J106" s="19"/>
      <c r="K106" s="76"/>
      <c r="L106" s="19"/>
      <c r="M106" s="77"/>
      <c r="N106" s="78"/>
      <c r="O106" s="19"/>
      <c r="P106" s="7"/>
      <c r="Q106" s="7"/>
      <c r="R106" s="7"/>
      <c r="S106" s="7" t="str">
        <f>IF($C106="","",IF(OR($M106="",$N106=""),'Lists &amp; Settings'!$O$10,IF($N106="Fail",'Lists &amp; Settings'!$O$9,IF($N106="Insufficient Evidence",'Lists &amp; Settings'!$O$10,IF($N106="Pass",IF($M106&gt;='Lists &amp; Settings'!$N$2,'Lists &amp; Settings'!$O$2,IF($M106&gt;='Lists &amp; Settings'!$N$3,'Lists &amp; Settings'!$O$3,'Lists &amp; Settings'!$O$4)),IF($N106="Partial",IF($M106&gt;='Lists &amp; Settings'!$N$6,'Lists &amp; Settings'!$O$6,IF($M106&gt;='Lists &amp; Settings'!$N$7,'Lists &amp; Settings'!$O$7,'Lists &amp; Settings'!$O$8)),'Lists &amp; Settings'!$O$10))))))</f>
        <v/>
      </c>
      <c r="T106" s="7"/>
      <c r="U106" s="7"/>
      <c r="V106" s="7"/>
      <c r="W106" s="7"/>
      <c r="X106" s="7"/>
      <c r="Y106" s="7"/>
      <c r="Z106" s="7"/>
      <c r="AA106" s="76"/>
      <c r="AB106" s="76"/>
    </row>
    <row r="107" ht="15.75" customHeight="1">
      <c r="A107" s="7"/>
      <c r="B107" s="7"/>
      <c r="C107" s="7"/>
      <c r="D107" s="7"/>
      <c r="E107" s="7"/>
      <c r="F107" s="7"/>
      <c r="G107" s="7"/>
      <c r="H107" s="7"/>
      <c r="I107" s="19"/>
      <c r="J107" s="19"/>
      <c r="K107" s="76"/>
      <c r="L107" s="19"/>
      <c r="M107" s="77"/>
      <c r="N107" s="78"/>
      <c r="O107" s="19"/>
      <c r="P107" s="7"/>
      <c r="Q107" s="7"/>
      <c r="R107" s="7"/>
      <c r="S107" s="7" t="str">
        <f>IF($C107="","",IF(OR($M107="",$N107=""),'Lists &amp; Settings'!$O$10,IF($N107="Fail",'Lists &amp; Settings'!$O$9,IF($N107="Insufficient Evidence",'Lists &amp; Settings'!$O$10,IF($N107="Pass",IF($M107&gt;='Lists &amp; Settings'!$N$2,'Lists &amp; Settings'!$O$2,IF($M107&gt;='Lists &amp; Settings'!$N$3,'Lists &amp; Settings'!$O$3,'Lists &amp; Settings'!$O$4)),IF($N107="Partial",IF($M107&gt;='Lists &amp; Settings'!$N$6,'Lists &amp; Settings'!$O$6,IF($M107&gt;='Lists &amp; Settings'!$N$7,'Lists &amp; Settings'!$O$7,'Lists &amp; Settings'!$O$8)),'Lists &amp; Settings'!$O$10))))))</f>
        <v/>
      </c>
      <c r="T107" s="7"/>
      <c r="U107" s="7"/>
      <c r="V107" s="7"/>
      <c r="W107" s="7"/>
      <c r="X107" s="7"/>
      <c r="Y107" s="7"/>
      <c r="Z107" s="7"/>
      <c r="AA107" s="76"/>
      <c r="AB107" s="76"/>
    </row>
    <row r="108" ht="15.75" customHeight="1">
      <c r="A108" s="7"/>
      <c r="B108" s="7"/>
      <c r="C108" s="7"/>
      <c r="D108" s="7"/>
      <c r="E108" s="7"/>
      <c r="F108" s="7"/>
      <c r="G108" s="7"/>
      <c r="H108" s="7"/>
      <c r="I108" s="19"/>
      <c r="J108" s="19"/>
      <c r="K108" s="76"/>
      <c r="L108" s="19"/>
      <c r="M108" s="77"/>
      <c r="N108" s="78"/>
      <c r="O108" s="19"/>
      <c r="P108" s="7"/>
      <c r="Q108" s="7"/>
      <c r="R108" s="7"/>
      <c r="S108" s="7" t="str">
        <f>IF($C108="","",IF(OR($M108="",$N108=""),'Lists &amp; Settings'!$O$10,IF($N108="Fail",'Lists &amp; Settings'!$O$9,IF($N108="Insufficient Evidence",'Lists &amp; Settings'!$O$10,IF($N108="Pass",IF($M108&gt;='Lists &amp; Settings'!$N$2,'Lists &amp; Settings'!$O$2,IF($M108&gt;='Lists &amp; Settings'!$N$3,'Lists &amp; Settings'!$O$3,'Lists &amp; Settings'!$O$4)),IF($N108="Partial",IF($M108&gt;='Lists &amp; Settings'!$N$6,'Lists &amp; Settings'!$O$6,IF($M108&gt;='Lists &amp; Settings'!$N$7,'Lists &amp; Settings'!$O$7,'Lists &amp; Settings'!$O$8)),'Lists &amp; Settings'!$O$10))))))</f>
        <v/>
      </c>
      <c r="T108" s="7"/>
      <c r="U108" s="7"/>
      <c r="V108" s="7"/>
      <c r="W108" s="7"/>
      <c r="X108" s="7"/>
      <c r="Y108" s="7"/>
      <c r="Z108" s="7"/>
      <c r="AA108" s="76"/>
      <c r="AB108" s="76"/>
    </row>
    <row r="109" ht="15.75" customHeight="1">
      <c r="A109" s="7"/>
      <c r="B109" s="7"/>
      <c r="C109" s="7"/>
      <c r="D109" s="7"/>
      <c r="E109" s="7"/>
      <c r="F109" s="7"/>
      <c r="G109" s="7"/>
      <c r="H109" s="7"/>
      <c r="I109" s="19"/>
      <c r="J109" s="19"/>
      <c r="K109" s="76"/>
      <c r="L109" s="19"/>
      <c r="M109" s="77"/>
      <c r="N109" s="78"/>
      <c r="O109" s="19"/>
      <c r="P109" s="7"/>
      <c r="Q109" s="7"/>
      <c r="R109" s="7"/>
      <c r="S109" s="7" t="str">
        <f>IF($C109="","",IF(OR($M109="",$N109=""),'Lists &amp; Settings'!$O$10,IF($N109="Fail",'Lists &amp; Settings'!$O$9,IF($N109="Insufficient Evidence",'Lists &amp; Settings'!$O$10,IF($N109="Pass",IF($M109&gt;='Lists &amp; Settings'!$N$2,'Lists &amp; Settings'!$O$2,IF($M109&gt;='Lists &amp; Settings'!$N$3,'Lists &amp; Settings'!$O$3,'Lists &amp; Settings'!$O$4)),IF($N109="Partial",IF($M109&gt;='Lists &amp; Settings'!$N$6,'Lists &amp; Settings'!$O$6,IF($M109&gt;='Lists &amp; Settings'!$N$7,'Lists &amp; Settings'!$O$7,'Lists &amp; Settings'!$O$8)),'Lists &amp; Settings'!$O$10))))))</f>
        <v/>
      </c>
      <c r="T109" s="7"/>
      <c r="U109" s="7"/>
      <c r="V109" s="7"/>
      <c r="W109" s="7"/>
      <c r="X109" s="7"/>
      <c r="Y109" s="7"/>
      <c r="Z109" s="7"/>
      <c r="AA109" s="76"/>
      <c r="AB109" s="76"/>
    </row>
    <row r="110" ht="15.75" customHeight="1">
      <c r="A110" s="7"/>
      <c r="B110" s="7"/>
      <c r="C110" s="7"/>
      <c r="D110" s="7"/>
      <c r="E110" s="7"/>
      <c r="F110" s="7"/>
      <c r="G110" s="7"/>
      <c r="H110" s="7"/>
      <c r="I110" s="19"/>
      <c r="J110" s="19"/>
      <c r="K110" s="76"/>
      <c r="L110" s="19"/>
      <c r="M110" s="77"/>
      <c r="N110" s="78"/>
      <c r="O110" s="19"/>
      <c r="P110" s="7"/>
      <c r="Q110" s="7"/>
      <c r="R110" s="7"/>
      <c r="S110" s="7" t="str">
        <f>IF($C110="","",IF(OR($M110="",$N110=""),'Lists &amp; Settings'!$O$10,IF($N110="Fail",'Lists &amp; Settings'!$O$9,IF($N110="Insufficient Evidence",'Lists &amp; Settings'!$O$10,IF($N110="Pass",IF($M110&gt;='Lists &amp; Settings'!$N$2,'Lists &amp; Settings'!$O$2,IF($M110&gt;='Lists &amp; Settings'!$N$3,'Lists &amp; Settings'!$O$3,'Lists &amp; Settings'!$O$4)),IF($N110="Partial",IF($M110&gt;='Lists &amp; Settings'!$N$6,'Lists &amp; Settings'!$O$6,IF($M110&gt;='Lists &amp; Settings'!$N$7,'Lists &amp; Settings'!$O$7,'Lists &amp; Settings'!$O$8)),'Lists &amp; Settings'!$O$10))))))</f>
        <v/>
      </c>
      <c r="T110" s="7"/>
      <c r="U110" s="7"/>
      <c r="V110" s="7"/>
      <c r="W110" s="7"/>
      <c r="X110" s="7"/>
      <c r="Y110" s="7"/>
      <c r="Z110" s="7"/>
      <c r="AA110" s="76"/>
      <c r="AB110" s="76"/>
    </row>
    <row r="111" ht="15.75" customHeight="1">
      <c r="A111" s="7"/>
      <c r="B111" s="7"/>
      <c r="C111" s="7"/>
      <c r="D111" s="7"/>
      <c r="E111" s="7"/>
      <c r="F111" s="7"/>
      <c r="G111" s="7"/>
      <c r="H111" s="7"/>
      <c r="I111" s="19"/>
      <c r="J111" s="19"/>
      <c r="K111" s="76"/>
      <c r="L111" s="19"/>
      <c r="M111" s="77"/>
      <c r="N111" s="78"/>
      <c r="O111" s="19"/>
      <c r="P111" s="7"/>
      <c r="Q111" s="7"/>
      <c r="R111" s="7"/>
      <c r="S111" s="7" t="str">
        <f>IF($C111="","",IF(OR($M111="",$N111=""),'Lists &amp; Settings'!$O$10,IF($N111="Fail",'Lists &amp; Settings'!$O$9,IF($N111="Insufficient Evidence",'Lists &amp; Settings'!$O$10,IF($N111="Pass",IF($M111&gt;='Lists &amp; Settings'!$N$2,'Lists &amp; Settings'!$O$2,IF($M111&gt;='Lists &amp; Settings'!$N$3,'Lists &amp; Settings'!$O$3,'Lists &amp; Settings'!$O$4)),IF($N111="Partial",IF($M111&gt;='Lists &amp; Settings'!$N$6,'Lists &amp; Settings'!$O$6,IF($M111&gt;='Lists &amp; Settings'!$N$7,'Lists &amp; Settings'!$O$7,'Lists &amp; Settings'!$O$8)),'Lists &amp; Settings'!$O$10))))))</f>
        <v/>
      </c>
      <c r="T111" s="7"/>
      <c r="U111" s="7"/>
      <c r="V111" s="7"/>
      <c r="W111" s="7"/>
      <c r="X111" s="7"/>
      <c r="Y111" s="7"/>
      <c r="Z111" s="7"/>
      <c r="AA111" s="76"/>
      <c r="AB111" s="76"/>
    </row>
    <row r="112" ht="15.75" customHeight="1">
      <c r="A112" s="7"/>
      <c r="B112" s="7"/>
      <c r="C112" s="7"/>
      <c r="D112" s="7"/>
      <c r="E112" s="7"/>
      <c r="F112" s="7"/>
      <c r="G112" s="7"/>
      <c r="H112" s="7"/>
      <c r="I112" s="19"/>
      <c r="J112" s="19"/>
      <c r="K112" s="76"/>
      <c r="L112" s="19"/>
      <c r="M112" s="77"/>
      <c r="N112" s="78"/>
      <c r="O112" s="19"/>
      <c r="P112" s="7"/>
      <c r="Q112" s="7"/>
      <c r="R112" s="7"/>
      <c r="S112" s="7" t="str">
        <f>IF($C112="","",IF(OR($M112="",$N112=""),'Lists &amp; Settings'!$O$10,IF($N112="Fail",'Lists &amp; Settings'!$O$9,IF($N112="Insufficient Evidence",'Lists &amp; Settings'!$O$10,IF($N112="Pass",IF($M112&gt;='Lists &amp; Settings'!$N$2,'Lists &amp; Settings'!$O$2,IF($M112&gt;='Lists &amp; Settings'!$N$3,'Lists &amp; Settings'!$O$3,'Lists &amp; Settings'!$O$4)),IF($N112="Partial",IF($M112&gt;='Lists &amp; Settings'!$N$6,'Lists &amp; Settings'!$O$6,IF($M112&gt;='Lists &amp; Settings'!$N$7,'Lists &amp; Settings'!$O$7,'Lists &amp; Settings'!$O$8)),'Lists &amp; Settings'!$O$10))))))</f>
        <v/>
      </c>
      <c r="T112" s="7"/>
      <c r="U112" s="7"/>
      <c r="V112" s="7"/>
      <c r="W112" s="7"/>
      <c r="X112" s="7"/>
      <c r="Y112" s="7"/>
      <c r="Z112" s="7"/>
      <c r="AA112" s="76"/>
      <c r="AB112" s="76"/>
    </row>
    <row r="113" ht="15.75" customHeight="1">
      <c r="A113" s="7"/>
      <c r="B113" s="7"/>
      <c r="C113" s="7"/>
      <c r="D113" s="7"/>
      <c r="E113" s="7"/>
      <c r="F113" s="7"/>
      <c r="G113" s="7"/>
      <c r="H113" s="7"/>
      <c r="I113" s="19"/>
      <c r="J113" s="19"/>
      <c r="K113" s="76"/>
      <c r="L113" s="19"/>
      <c r="M113" s="77"/>
      <c r="N113" s="78"/>
      <c r="O113" s="19"/>
      <c r="P113" s="7"/>
      <c r="Q113" s="7"/>
      <c r="R113" s="7"/>
      <c r="S113" s="7" t="str">
        <f>IF($C113="","",IF(OR($M113="",$N113=""),'Lists &amp; Settings'!$O$10,IF($N113="Fail",'Lists &amp; Settings'!$O$9,IF($N113="Insufficient Evidence",'Lists &amp; Settings'!$O$10,IF($N113="Pass",IF($M113&gt;='Lists &amp; Settings'!$N$2,'Lists &amp; Settings'!$O$2,IF($M113&gt;='Lists &amp; Settings'!$N$3,'Lists &amp; Settings'!$O$3,'Lists &amp; Settings'!$O$4)),IF($N113="Partial",IF($M113&gt;='Lists &amp; Settings'!$N$6,'Lists &amp; Settings'!$O$6,IF($M113&gt;='Lists &amp; Settings'!$N$7,'Lists &amp; Settings'!$O$7,'Lists &amp; Settings'!$O$8)),'Lists &amp; Settings'!$O$10))))))</f>
        <v/>
      </c>
      <c r="T113" s="7"/>
      <c r="U113" s="7"/>
      <c r="V113" s="7"/>
      <c r="W113" s="7"/>
      <c r="X113" s="7"/>
      <c r="Y113" s="7"/>
      <c r="Z113" s="7"/>
      <c r="AA113" s="76"/>
      <c r="AB113" s="76"/>
    </row>
    <row r="114" ht="15.75" customHeight="1">
      <c r="A114" s="7"/>
      <c r="B114" s="7"/>
      <c r="C114" s="7"/>
      <c r="D114" s="7"/>
      <c r="E114" s="7"/>
      <c r="F114" s="7"/>
      <c r="G114" s="7"/>
      <c r="H114" s="7"/>
      <c r="I114" s="19"/>
      <c r="J114" s="19"/>
      <c r="K114" s="76"/>
      <c r="L114" s="19"/>
      <c r="M114" s="77"/>
      <c r="N114" s="78"/>
      <c r="O114" s="19"/>
      <c r="P114" s="7"/>
      <c r="Q114" s="7"/>
      <c r="R114" s="7"/>
      <c r="S114" s="7" t="str">
        <f>IF($C114="","",IF(OR($M114="",$N114=""),'Lists &amp; Settings'!$O$10,IF($N114="Fail",'Lists &amp; Settings'!$O$9,IF($N114="Insufficient Evidence",'Lists &amp; Settings'!$O$10,IF($N114="Pass",IF($M114&gt;='Lists &amp; Settings'!$N$2,'Lists &amp; Settings'!$O$2,IF($M114&gt;='Lists &amp; Settings'!$N$3,'Lists &amp; Settings'!$O$3,'Lists &amp; Settings'!$O$4)),IF($N114="Partial",IF($M114&gt;='Lists &amp; Settings'!$N$6,'Lists &amp; Settings'!$O$6,IF($M114&gt;='Lists &amp; Settings'!$N$7,'Lists &amp; Settings'!$O$7,'Lists &amp; Settings'!$O$8)),'Lists &amp; Settings'!$O$10))))))</f>
        <v/>
      </c>
      <c r="T114" s="7"/>
      <c r="U114" s="7"/>
      <c r="V114" s="7"/>
      <c r="W114" s="7"/>
      <c r="X114" s="7"/>
      <c r="Y114" s="7"/>
      <c r="Z114" s="7"/>
      <c r="AA114" s="76"/>
      <c r="AB114" s="76"/>
    </row>
    <row r="115" ht="15.75" customHeight="1">
      <c r="A115" s="7"/>
      <c r="B115" s="7"/>
      <c r="C115" s="7"/>
      <c r="D115" s="7"/>
      <c r="E115" s="7"/>
      <c r="F115" s="7"/>
      <c r="G115" s="7"/>
      <c r="H115" s="7"/>
      <c r="I115" s="19"/>
      <c r="J115" s="19"/>
      <c r="K115" s="76"/>
      <c r="L115" s="19"/>
      <c r="M115" s="77"/>
      <c r="N115" s="78"/>
      <c r="O115" s="19"/>
      <c r="P115" s="7"/>
      <c r="Q115" s="7"/>
      <c r="R115" s="7"/>
      <c r="S115" s="7" t="str">
        <f>IF($C115="","",IF(OR($M115="",$N115=""),'Lists &amp; Settings'!$O$10,IF($N115="Fail",'Lists &amp; Settings'!$O$9,IF($N115="Insufficient Evidence",'Lists &amp; Settings'!$O$10,IF($N115="Pass",IF($M115&gt;='Lists &amp; Settings'!$N$2,'Lists &amp; Settings'!$O$2,IF($M115&gt;='Lists &amp; Settings'!$N$3,'Lists &amp; Settings'!$O$3,'Lists &amp; Settings'!$O$4)),IF($N115="Partial",IF($M115&gt;='Lists &amp; Settings'!$N$6,'Lists &amp; Settings'!$O$6,IF($M115&gt;='Lists &amp; Settings'!$N$7,'Lists &amp; Settings'!$O$7,'Lists &amp; Settings'!$O$8)),'Lists &amp; Settings'!$O$10))))))</f>
        <v/>
      </c>
      <c r="T115" s="7"/>
      <c r="U115" s="7"/>
      <c r="V115" s="7"/>
      <c r="W115" s="7"/>
      <c r="X115" s="7"/>
      <c r="Y115" s="7"/>
      <c r="Z115" s="7"/>
      <c r="AA115" s="76"/>
      <c r="AB115" s="76"/>
    </row>
    <row r="116" ht="15.75" customHeight="1">
      <c r="A116" s="7"/>
      <c r="B116" s="7"/>
      <c r="C116" s="7"/>
      <c r="D116" s="7"/>
      <c r="E116" s="7"/>
      <c r="F116" s="7"/>
      <c r="G116" s="7"/>
      <c r="H116" s="7"/>
      <c r="I116" s="19"/>
      <c r="J116" s="19"/>
      <c r="K116" s="76"/>
      <c r="L116" s="19"/>
      <c r="M116" s="77"/>
      <c r="N116" s="78"/>
      <c r="O116" s="19"/>
      <c r="P116" s="7"/>
      <c r="Q116" s="7"/>
      <c r="R116" s="7"/>
      <c r="S116" s="7" t="str">
        <f>IF($C116="","",IF(OR($M116="",$N116=""),'Lists &amp; Settings'!$O$10,IF($N116="Fail",'Lists &amp; Settings'!$O$9,IF($N116="Insufficient Evidence",'Lists &amp; Settings'!$O$10,IF($N116="Pass",IF($M116&gt;='Lists &amp; Settings'!$N$2,'Lists &amp; Settings'!$O$2,IF($M116&gt;='Lists &amp; Settings'!$N$3,'Lists &amp; Settings'!$O$3,'Lists &amp; Settings'!$O$4)),IF($N116="Partial",IF($M116&gt;='Lists &amp; Settings'!$N$6,'Lists &amp; Settings'!$O$6,IF($M116&gt;='Lists &amp; Settings'!$N$7,'Lists &amp; Settings'!$O$7,'Lists &amp; Settings'!$O$8)),'Lists &amp; Settings'!$O$10))))))</f>
        <v/>
      </c>
      <c r="T116" s="7"/>
      <c r="U116" s="7"/>
      <c r="V116" s="7"/>
      <c r="W116" s="7"/>
      <c r="X116" s="7"/>
      <c r="Y116" s="7"/>
      <c r="Z116" s="7"/>
      <c r="AA116" s="76"/>
      <c r="AB116" s="76"/>
    </row>
    <row r="117" ht="15.75" customHeight="1">
      <c r="A117" s="7"/>
      <c r="B117" s="7"/>
      <c r="C117" s="7"/>
      <c r="D117" s="7"/>
      <c r="E117" s="7"/>
      <c r="F117" s="7"/>
      <c r="G117" s="7"/>
      <c r="H117" s="7"/>
      <c r="I117" s="19"/>
      <c r="J117" s="19"/>
      <c r="K117" s="76"/>
      <c r="L117" s="19"/>
      <c r="M117" s="77"/>
      <c r="N117" s="78"/>
      <c r="O117" s="19"/>
      <c r="P117" s="7"/>
      <c r="Q117" s="7"/>
      <c r="R117" s="7"/>
      <c r="S117" s="7" t="str">
        <f>IF($C117="","",IF(OR($M117="",$N117=""),'Lists &amp; Settings'!$O$10,IF($N117="Fail",'Lists &amp; Settings'!$O$9,IF($N117="Insufficient Evidence",'Lists &amp; Settings'!$O$10,IF($N117="Pass",IF($M117&gt;='Lists &amp; Settings'!$N$2,'Lists &amp; Settings'!$O$2,IF($M117&gt;='Lists &amp; Settings'!$N$3,'Lists &amp; Settings'!$O$3,'Lists &amp; Settings'!$O$4)),IF($N117="Partial",IF($M117&gt;='Lists &amp; Settings'!$N$6,'Lists &amp; Settings'!$O$6,IF($M117&gt;='Lists &amp; Settings'!$N$7,'Lists &amp; Settings'!$O$7,'Lists &amp; Settings'!$O$8)),'Lists &amp; Settings'!$O$10))))))</f>
        <v/>
      </c>
      <c r="T117" s="7"/>
      <c r="U117" s="7"/>
      <c r="V117" s="7"/>
      <c r="W117" s="7"/>
      <c r="X117" s="7"/>
      <c r="Y117" s="7"/>
      <c r="Z117" s="7"/>
      <c r="AA117" s="76"/>
      <c r="AB117" s="76"/>
    </row>
    <row r="118" ht="15.75" customHeight="1">
      <c r="A118" s="7"/>
      <c r="B118" s="7"/>
      <c r="C118" s="7"/>
      <c r="D118" s="7"/>
      <c r="E118" s="7"/>
      <c r="F118" s="7"/>
      <c r="G118" s="7"/>
      <c r="H118" s="7"/>
      <c r="I118" s="19"/>
      <c r="J118" s="19"/>
      <c r="K118" s="76"/>
      <c r="L118" s="19"/>
      <c r="M118" s="77"/>
      <c r="N118" s="78"/>
      <c r="O118" s="19"/>
      <c r="P118" s="7"/>
      <c r="Q118" s="7"/>
      <c r="R118" s="7"/>
      <c r="S118" s="7" t="str">
        <f>IF($C118="","",IF(OR($M118="",$N118=""),'Lists &amp; Settings'!$O$10,IF($N118="Fail",'Lists &amp; Settings'!$O$9,IF($N118="Insufficient Evidence",'Lists &amp; Settings'!$O$10,IF($N118="Pass",IF($M118&gt;='Lists &amp; Settings'!$N$2,'Lists &amp; Settings'!$O$2,IF($M118&gt;='Lists &amp; Settings'!$N$3,'Lists &amp; Settings'!$O$3,'Lists &amp; Settings'!$O$4)),IF($N118="Partial",IF($M118&gt;='Lists &amp; Settings'!$N$6,'Lists &amp; Settings'!$O$6,IF($M118&gt;='Lists &amp; Settings'!$N$7,'Lists &amp; Settings'!$O$7,'Lists &amp; Settings'!$O$8)),'Lists &amp; Settings'!$O$10))))))</f>
        <v/>
      </c>
      <c r="T118" s="7"/>
      <c r="U118" s="7"/>
      <c r="V118" s="7"/>
      <c r="W118" s="7"/>
      <c r="X118" s="7"/>
      <c r="Y118" s="7"/>
      <c r="Z118" s="7"/>
      <c r="AA118" s="76"/>
      <c r="AB118" s="76"/>
    </row>
    <row r="119" ht="15.75" customHeight="1">
      <c r="A119" s="7"/>
      <c r="B119" s="7"/>
      <c r="C119" s="7"/>
      <c r="D119" s="7"/>
      <c r="E119" s="7"/>
      <c r="F119" s="7"/>
      <c r="G119" s="7"/>
      <c r="H119" s="7"/>
      <c r="I119" s="19"/>
      <c r="J119" s="19"/>
      <c r="K119" s="76"/>
      <c r="L119" s="19"/>
      <c r="M119" s="77"/>
      <c r="N119" s="78"/>
      <c r="O119" s="19"/>
      <c r="P119" s="7"/>
      <c r="Q119" s="7"/>
      <c r="R119" s="7"/>
      <c r="S119" s="7" t="str">
        <f>IF($C119="","",IF(OR($M119="",$N119=""),'Lists &amp; Settings'!$O$10,IF($N119="Fail",'Lists &amp; Settings'!$O$9,IF($N119="Insufficient Evidence",'Lists &amp; Settings'!$O$10,IF($N119="Pass",IF($M119&gt;='Lists &amp; Settings'!$N$2,'Lists &amp; Settings'!$O$2,IF($M119&gt;='Lists &amp; Settings'!$N$3,'Lists &amp; Settings'!$O$3,'Lists &amp; Settings'!$O$4)),IF($N119="Partial",IF($M119&gt;='Lists &amp; Settings'!$N$6,'Lists &amp; Settings'!$O$6,IF($M119&gt;='Lists &amp; Settings'!$N$7,'Lists &amp; Settings'!$O$7,'Lists &amp; Settings'!$O$8)),'Lists &amp; Settings'!$O$10))))))</f>
        <v/>
      </c>
      <c r="T119" s="7"/>
      <c r="U119" s="7"/>
      <c r="V119" s="7"/>
      <c r="W119" s="7"/>
      <c r="X119" s="7"/>
      <c r="Y119" s="7"/>
      <c r="Z119" s="7"/>
      <c r="AA119" s="76"/>
      <c r="AB119" s="76"/>
    </row>
    <row r="120" ht="15.75" customHeight="1">
      <c r="A120" s="7"/>
      <c r="B120" s="7"/>
      <c r="C120" s="7"/>
      <c r="D120" s="7"/>
      <c r="E120" s="7"/>
      <c r="F120" s="7"/>
      <c r="G120" s="7"/>
      <c r="H120" s="7"/>
      <c r="I120" s="19"/>
      <c r="J120" s="19"/>
      <c r="K120" s="76"/>
      <c r="L120" s="19"/>
      <c r="M120" s="77"/>
      <c r="N120" s="78"/>
      <c r="O120" s="19"/>
      <c r="P120" s="7"/>
      <c r="Q120" s="7"/>
      <c r="R120" s="7"/>
      <c r="S120" s="7" t="str">
        <f>IF($C120="","",IF(OR($M120="",$N120=""),'Lists &amp; Settings'!$O$10,IF($N120="Fail",'Lists &amp; Settings'!$O$9,IF($N120="Insufficient Evidence",'Lists &amp; Settings'!$O$10,IF($N120="Pass",IF($M120&gt;='Lists &amp; Settings'!$N$2,'Lists &amp; Settings'!$O$2,IF($M120&gt;='Lists &amp; Settings'!$N$3,'Lists &amp; Settings'!$O$3,'Lists &amp; Settings'!$O$4)),IF($N120="Partial",IF($M120&gt;='Lists &amp; Settings'!$N$6,'Lists &amp; Settings'!$O$6,IF($M120&gt;='Lists &amp; Settings'!$N$7,'Lists &amp; Settings'!$O$7,'Lists &amp; Settings'!$O$8)),'Lists &amp; Settings'!$O$10))))))</f>
        <v/>
      </c>
      <c r="T120" s="7"/>
      <c r="U120" s="7"/>
      <c r="V120" s="7"/>
      <c r="W120" s="7"/>
      <c r="X120" s="7"/>
      <c r="Y120" s="7"/>
      <c r="Z120" s="7"/>
      <c r="AA120" s="76"/>
      <c r="AB120" s="76"/>
    </row>
    <row r="121" ht="15.75" customHeight="1">
      <c r="A121" s="7"/>
      <c r="B121" s="7"/>
      <c r="C121" s="7"/>
      <c r="D121" s="7"/>
      <c r="E121" s="7"/>
      <c r="F121" s="7"/>
      <c r="G121" s="7"/>
      <c r="H121" s="7"/>
      <c r="I121" s="19"/>
      <c r="J121" s="19"/>
      <c r="K121" s="76"/>
      <c r="L121" s="19"/>
      <c r="M121" s="77"/>
      <c r="N121" s="78"/>
      <c r="O121" s="19"/>
      <c r="P121" s="7"/>
      <c r="Q121" s="7"/>
      <c r="R121" s="7"/>
      <c r="S121" s="7" t="str">
        <f>IF($C121="","",IF(OR($M121="",$N121=""),'Lists &amp; Settings'!$O$10,IF($N121="Fail",'Lists &amp; Settings'!$O$9,IF($N121="Insufficient Evidence",'Lists &amp; Settings'!$O$10,IF($N121="Pass",IF($M121&gt;='Lists &amp; Settings'!$N$2,'Lists &amp; Settings'!$O$2,IF($M121&gt;='Lists &amp; Settings'!$N$3,'Lists &amp; Settings'!$O$3,'Lists &amp; Settings'!$O$4)),IF($N121="Partial",IF($M121&gt;='Lists &amp; Settings'!$N$6,'Lists &amp; Settings'!$O$6,IF($M121&gt;='Lists &amp; Settings'!$N$7,'Lists &amp; Settings'!$O$7,'Lists &amp; Settings'!$O$8)),'Lists &amp; Settings'!$O$10))))))</f>
        <v/>
      </c>
      <c r="T121" s="7"/>
      <c r="U121" s="7"/>
      <c r="V121" s="7"/>
      <c r="W121" s="7"/>
      <c r="X121" s="7"/>
      <c r="Y121" s="7"/>
      <c r="Z121" s="7"/>
      <c r="AA121" s="76"/>
      <c r="AB121" s="76"/>
    </row>
    <row r="122" ht="15.75" customHeight="1">
      <c r="A122" s="7"/>
      <c r="B122" s="7"/>
      <c r="C122" s="7"/>
      <c r="D122" s="7"/>
      <c r="E122" s="7"/>
      <c r="F122" s="7"/>
      <c r="G122" s="7"/>
      <c r="H122" s="7"/>
      <c r="I122" s="19"/>
      <c r="J122" s="19"/>
      <c r="K122" s="76"/>
      <c r="L122" s="19"/>
      <c r="M122" s="77"/>
      <c r="N122" s="78"/>
      <c r="O122" s="19"/>
      <c r="P122" s="7"/>
      <c r="Q122" s="7"/>
      <c r="R122" s="7"/>
      <c r="S122" s="7" t="str">
        <f>IF($C122="","",IF(OR($M122="",$N122=""),'Lists &amp; Settings'!$O$10,IF($N122="Fail",'Lists &amp; Settings'!$O$9,IF($N122="Insufficient Evidence",'Lists &amp; Settings'!$O$10,IF($N122="Pass",IF($M122&gt;='Lists &amp; Settings'!$N$2,'Lists &amp; Settings'!$O$2,IF($M122&gt;='Lists &amp; Settings'!$N$3,'Lists &amp; Settings'!$O$3,'Lists &amp; Settings'!$O$4)),IF($N122="Partial",IF($M122&gt;='Lists &amp; Settings'!$N$6,'Lists &amp; Settings'!$O$6,IF($M122&gt;='Lists &amp; Settings'!$N$7,'Lists &amp; Settings'!$O$7,'Lists &amp; Settings'!$O$8)),'Lists &amp; Settings'!$O$10))))))</f>
        <v/>
      </c>
      <c r="T122" s="7"/>
      <c r="U122" s="7"/>
      <c r="V122" s="7"/>
      <c r="W122" s="7"/>
      <c r="X122" s="7"/>
      <c r="Y122" s="7"/>
      <c r="Z122" s="7"/>
      <c r="AA122" s="76"/>
      <c r="AB122" s="76"/>
    </row>
    <row r="123" ht="15.75" customHeight="1">
      <c r="A123" s="7"/>
      <c r="B123" s="7"/>
      <c r="C123" s="7"/>
      <c r="D123" s="7"/>
      <c r="E123" s="7"/>
      <c r="F123" s="7"/>
      <c r="G123" s="7"/>
      <c r="H123" s="7"/>
      <c r="I123" s="19"/>
      <c r="J123" s="19"/>
      <c r="K123" s="76"/>
      <c r="L123" s="19"/>
      <c r="M123" s="77"/>
      <c r="N123" s="78"/>
      <c r="O123" s="19"/>
      <c r="P123" s="7"/>
      <c r="Q123" s="7"/>
      <c r="R123" s="7"/>
      <c r="S123" s="7" t="str">
        <f>IF($C123="","",IF(OR($M123="",$N123=""),'Lists &amp; Settings'!$O$10,IF($N123="Fail",'Lists &amp; Settings'!$O$9,IF($N123="Insufficient Evidence",'Lists &amp; Settings'!$O$10,IF($N123="Pass",IF($M123&gt;='Lists &amp; Settings'!$N$2,'Lists &amp; Settings'!$O$2,IF($M123&gt;='Lists &amp; Settings'!$N$3,'Lists &amp; Settings'!$O$3,'Lists &amp; Settings'!$O$4)),IF($N123="Partial",IF($M123&gt;='Lists &amp; Settings'!$N$6,'Lists &amp; Settings'!$O$6,IF($M123&gt;='Lists &amp; Settings'!$N$7,'Lists &amp; Settings'!$O$7,'Lists &amp; Settings'!$O$8)),'Lists &amp; Settings'!$O$10))))))</f>
        <v/>
      </c>
      <c r="T123" s="7"/>
      <c r="U123" s="7"/>
      <c r="V123" s="7"/>
      <c r="W123" s="7"/>
      <c r="X123" s="7"/>
      <c r="Y123" s="7"/>
      <c r="Z123" s="7"/>
      <c r="AA123" s="76"/>
      <c r="AB123" s="76"/>
    </row>
    <row r="124" ht="15.75" customHeight="1">
      <c r="A124" s="7"/>
      <c r="B124" s="7"/>
      <c r="C124" s="7"/>
      <c r="D124" s="7"/>
      <c r="E124" s="7"/>
      <c r="F124" s="7"/>
      <c r="G124" s="7"/>
      <c r="H124" s="7"/>
      <c r="I124" s="19"/>
      <c r="J124" s="19"/>
      <c r="K124" s="76"/>
      <c r="L124" s="19"/>
      <c r="M124" s="77"/>
      <c r="N124" s="78"/>
      <c r="O124" s="19"/>
      <c r="P124" s="7"/>
      <c r="Q124" s="7"/>
      <c r="R124" s="7"/>
      <c r="S124" s="7" t="str">
        <f>IF($C124="","",IF(OR($M124="",$N124=""),'Lists &amp; Settings'!$O$10,IF($N124="Fail",'Lists &amp; Settings'!$O$9,IF($N124="Insufficient Evidence",'Lists &amp; Settings'!$O$10,IF($N124="Pass",IF($M124&gt;='Lists &amp; Settings'!$N$2,'Lists &amp; Settings'!$O$2,IF($M124&gt;='Lists &amp; Settings'!$N$3,'Lists &amp; Settings'!$O$3,'Lists &amp; Settings'!$O$4)),IF($N124="Partial",IF($M124&gt;='Lists &amp; Settings'!$N$6,'Lists &amp; Settings'!$O$6,IF($M124&gt;='Lists &amp; Settings'!$N$7,'Lists &amp; Settings'!$O$7,'Lists &amp; Settings'!$O$8)),'Lists &amp; Settings'!$O$10))))))</f>
        <v/>
      </c>
      <c r="T124" s="7"/>
      <c r="U124" s="7"/>
      <c r="V124" s="7"/>
      <c r="W124" s="7"/>
      <c r="X124" s="7"/>
      <c r="Y124" s="7"/>
      <c r="Z124" s="7"/>
      <c r="AA124" s="76"/>
      <c r="AB124" s="76"/>
    </row>
    <row r="125" ht="15.75" customHeight="1">
      <c r="A125" s="7"/>
      <c r="B125" s="7"/>
      <c r="C125" s="7"/>
      <c r="D125" s="7"/>
      <c r="E125" s="7"/>
      <c r="F125" s="7"/>
      <c r="G125" s="7"/>
      <c r="H125" s="7"/>
      <c r="I125" s="19"/>
      <c r="J125" s="19"/>
      <c r="K125" s="76"/>
      <c r="L125" s="19"/>
      <c r="M125" s="77"/>
      <c r="N125" s="78"/>
      <c r="O125" s="19"/>
      <c r="P125" s="7"/>
      <c r="Q125" s="7"/>
      <c r="R125" s="7"/>
      <c r="S125" s="7" t="str">
        <f>IF($C125="","",IF(OR($M125="",$N125=""),'Lists &amp; Settings'!$O$10,IF($N125="Fail",'Lists &amp; Settings'!$O$9,IF($N125="Insufficient Evidence",'Lists &amp; Settings'!$O$10,IF($N125="Pass",IF($M125&gt;='Lists &amp; Settings'!$N$2,'Lists &amp; Settings'!$O$2,IF($M125&gt;='Lists &amp; Settings'!$N$3,'Lists &amp; Settings'!$O$3,'Lists &amp; Settings'!$O$4)),IF($N125="Partial",IF($M125&gt;='Lists &amp; Settings'!$N$6,'Lists &amp; Settings'!$O$6,IF($M125&gt;='Lists &amp; Settings'!$N$7,'Lists &amp; Settings'!$O$7,'Lists &amp; Settings'!$O$8)),'Lists &amp; Settings'!$O$10))))))</f>
        <v/>
      </c>
      <c r="T125" s="7"/>
      <c r="U125" s="7"/>
      <c r="V125" s="7"/>
      <c r="W125" s="7"/>
      <c r="X125" s="7"/>
      <c r="Y125" s="7"/>
      <c r="Z125" s="7"/>
      <c r="AA125" s="76"/>
      <c r="AB125" s="76"/>
    </row>
    <row r="126" ht="15.75" customHeight="1">
      <c r="A126" s="7"/>
      <c r="B126" s="7"/>
      <c r="C126" s="7"/>
      <c r="D126" s="7"/>
      <c r="E126" s="7"/>
      <c r="F126" s="7"/>
      <c r="G126" s="7"/>
      <c r="H126" s="7"/>
      <c r="I126" s="19"/>
      <c r="J126" s="19"/>
      <c r="K126" s="76"/>
      <c r="L126" s="19"/>
      <c r="M126" s="77"/>
      <c r="N126" s="78"/>
      <c r="O126" s="19"/>
      <c r="P126" s="7"/>
      <c r="Q126" s="7"/>
      <c r="R126" s="7"/>
      <c r="S126" s="7" t="str">
        <f>IF($C126="","",IF(OR($M126="",$N126=""),'Lists &amp; Settings'!$O$10,IF($N126="Fail",'Lists &amp; Settings'!$O$9,IF($N126="Insufficient Evidence",'Lists &amp; Settings'!$O$10,IF($N126="Pass",IF($M126&gt;='Lists &amp; Settings'!$N$2,'Lists &amp; Settings'!$O$2,IF($M126&gt;='Lists &amp; Settings'!$N$3,'Lists &amp; Settings'!$O$3,'Lists &amp; Settings'!$O$4)),IF($N126="Partial",IF($M126&gt;='Lists &amp; Settings'!$N$6,'Lists &amp; Settings'!$O$6,IF($M126&gt;='Lists &amp; Settings'!$N$7,'Lists &amp; Settings'!$O$7,'Lists &amp; Settings'!$O$8)),'Lists &amp; Settings'!$O$10))))))</f>
        <v/>
      </c>
      <c r="T126" s="7"/>
      <c r="U126" s="7"/>
      <c r="V126" s="7"/>
      <c r="W126" s="7"/>
      <c r="X126" s="7"/>
      <c r="Y126" s="7"/>
      <c r="Z126" s="7"/>
      <c r="AA126" s="76"/>
      <c r="AB126" s="76"/>
    </row>
    <row r="127" ht="15.75" customHeight="1">
      <c r="A127" s="7"/>
      <c r="B127" s="7"/>
      <c r="C127" s="7"/>
      <c r="D127" s="7"/>
      <c r="E127" s="7"/>
      <c r="F127" s="7"/>
      <c r="G127" s="7"/>
      <c r="H127" s="7"/>
      <c r="I127" s="19"/>
      <c r="J127" s="19"/>
      <c r="K127" s="76"/>
      <c r="L127" s="19"/>
      <c r="M127" s="77"/>
      <c r="N127" s="78"/>
      <c r="O127" s="19"/>
      <c r="P127" s="7"/>
      <c r="Q127" s="7"/>
      <c r="R127" s="7"/>
      <c r="S127" s="7" t="str">
        <f>IF($C127="","",IF(OR($M127="",$N127=""),'Lists &amp; Settings'!$O$10,IF($N127="Fail",'Lists &amp; Settings'!$O$9,IF($N127="Insufficient Evidence",'Lists &amp; Settings'!$O$10,IF($N127="Pass",IF($M127&gt;='Lists &amp; Settings'!$N$2,'Lists &amp; Settings'!$O$2,IF($M127&gt;='Lists &amp; Settings'!$N$3,'Lists &amp; Settings'!$O$3,'Lists &amp; Settings'!$O$4)),IF($N127="Partial",IF($M127&gt;='Lists &amp; Settings'!$N$6,'Lists &amp; Settings'!$O$6,IF($M127&gt;='Lists &amp; Settings'!$N$7,'Lists &amp; Settings'!$O$7,'Lists &amp; Settings'!$O$8)),'Lists &amp; Settings'!$O$10))))))</f>
        <v/>
      </c>
      <c r="T127" s="7"/>
      <c r="U127" s="7"/>
      <c r="V127" s="7"/>
      <c r="W127" s="7"/>
      <c r="X127" s="7"/>
      <c r="Y127" s="7"/>
      <c r="Z127" s="7"/>
      <c r="AA127" s="76"/>
      <c r="AB127" s="76"/>
    </row>
    <row r="128" ht="15.75" customHeight="1">
      <c r="A128" s="7"/>
      <c r="B128" s="7"/>
      <c r="C128" s="7"/>
      <c r="D128" s="7"/>
      <c r="E128" s="7"/>
      <c r="F128" s="7"/>
      <c r="G128" s="7"/>
      <c r="H128" s="7"/>
      <c r="I128" s="19"/>
      <c r="J128" s="19"/>
      <c r="K128" s="76"/>
      <c r="L128" s="19"/>
      <c r="M128" s="77"/>
      <c r="N128" s="78"/>
      <c r="O128" s="19"/>
      <c r="P128" s="7"/>
      <c r="Q128" s="7"/>
      <c r="R128" s="7"/>
      <c r="S128" s="7" t="str">
        <f>IF($C128="","",IF(OR($M128="",$N128=""),'Lists &amp; Settings'!$O$10,IF($N128="Fail",'Lists &amp; Settings'!$O$9,IF($N128="Insufficient Evidence",'Lists &amp; Settings'!$O$10,IF($N128="Pass",IF($M128&gt;='Lists &amp; Settings'!$N$2,'Lists &amp; Settings'!$O$2,IF($M128&gt;='Lists &amp; Settings'!$N$3,'Lists &amp; Settings'!$O$3,'Lists &amp; Settings'!$O$4)),IF($N128="Partial",IF($M128&gt;='Lists &amp; Settings'!$N$6,'Lists &amp; Settings'!$O$6,IF($M128&gt;='Lists &amp; Settings'!$N$7,'Lists &amp; Settings'!$O$7,'Lists &amp; Settings'!$O$8)),'Lists &amp; Settings'!$O$10))))))</f>
        <v/>
      </c>
      <c r="T128" s="7"/>
      <c r="U128" s="7"/>
      <c r="V128" s="7"/>
      <c r="W128" s="7"/>
      <c r="X128" s="7"/>
      <c r="Y128" s="7"/>
      <c r="Z128" s="7"/>
      <c r="AA128" s="76"/>
      <c r="AB128" s="76"/>
    </row>
    <row r="129" ht="15.75" customHeight="1">
      <c r="A129" s="7"/>
      <c r="B129" s="7"/>
      <c r="C129" s="7"/>
      <c r="D129" s="7"/>
      <c r="E129" s="7"/>
      <c r="F129" s="7"/>
      <c r="G129" s="7"/>
      <c r="H129" s="7"/>
      <c r="I129" s="19"/>
      <c r="J129" s="19"/>
      <c r="K129" s="76"/>
      <c r="L129" s="19"/>
      <c r="M129" s="77"/>
      <c r="N129" s="78"/>
      <c r="O129" s="19"/>
      <c r="P129" s="7"/>
      <c r="Q129" s="7"/>
      <c r="R129" s="7"/>
      <c r="S129" s="7" t="str">
        <f>IF($C129="","",IF(OR($M129="",$N129=""),'Lists &amp; Settings'!$O$10,IF($N129="Fail",'Lists &amp; Settings'!$O$9,IF($N129="Insufficient Evidence",'Lists &amp; Settings'!$O$10,IF($N129="Pass",IF($M129&gt;='Lists &amp; Settings'!$N$2,'Lists &amp; Settings'!$O$2,IF($M129&gt;='Lists &amp; Settings'!$N$3,'Lists &amp; Settings'!$O$3,'Lists &amp; Settings'!$O$4)),IF($N129="Partial",IF($M129&gt;='Lists &amp; Settings'!$N$6,'Lists &amp; Settings'!$O$6,IF($M129&gt;='Lists &amp; Settings'!$N$7,'Lists &amp; Settings'!$O$7,'Lists &amp; Settings'!$O$8)),'Lists &amp; Settings'!$O$10))))))</f>
        <v/>
      </c>
      <c r="T129" s="7"/>
      <c r="U129" s="7"/>
      <c r="V129" s="7"/>
      <c r="W129" s="7"/>
      <c r="X129" s="7"/>
      <c r="Y129" s="7"/>
      <c r="Z129" s="7"/>
      <c r="AA129" s="76"/>
      <c r="AB129" s="76"/>
    </row>
    <row r="130" ht="15.75" customHeight="1">
      <c r="A130" s="7"/>
      <c r="B130" s="7"/>
      <c r="C130" s="7"/>
      <c r="D130" s="7"/>
      <c r="E130" s="7"/>
      <c r="F130" s="7"/>
      <c r="G130" s="7"/>
      <c r="H130" s="7"/>
      <c r="I130" s="19"/>
      <c r="J130" s="19"/>
      <c r="K130" s="76"/>
      <c r="L130" s="19"/>
      <c r="M130" s="77"/>
      <c r="N130" s="78"/>
      <c r="O130" s="19"/>
      <c r="P130" s="7"/>
      <c r="Q130" s="7"/>
      <c r="R130" s="7"/>
      <c r="S130" s="7" t="str">
        <f>IF($C130="","",IF(OR($M130="",$N130=""),'Lists &amp; Settings'!$O$10,IF($N130="Fail",'Lists &amp; Settings'!$O$9,IF($N130="Insufficient Evidence",'Lists &amp; Settings'!$O$10,IF($N130="Pass",IF($M130&gt;='Lists &amp; Settings'!$N$2,'Lists &amp; Settings'!$O$2,IF($M130&gt;='Lists &amp; Settings'!$N$3,'Lists &amp; Settings'!$O$3,'Lists &amp; Settings'!$O$4)),IF($N130="Partial",IF($M130&gt;='Lists &amp; Settings'!$N$6,'Lists &amp; Settings'!$O$6,IF($M130&gt;='Lists &amp; Settings'!$N$7,'Lists &amp; Settings'!$O$7,'Lists &amp; Settings'!$O$8)),'Lists &amp; Settings'!$O$10))))))</f>
        <v/>
      </c>
      <c r="T130" s="7"/>
      <c r="U130" s="7"/>
      <c r="V130" s="7"/>
      <c r="W130" s="7"/>
      <c r="X130" s="7"/>
      <c r="Y130" s="7"/>
      <c r="Z130" s="7"/>
      <c r="AA130" s="76"/>
      <c r="AB130" s="76"/>
    </row>
    <row r="131" ht="15.75" customHeight="1">
      <c r="A131" s="7"/>
      <c r="B131" s="7"/>
      <c r="C131" s="7"/>
      <c r="D131" s="7"/>
      <c r="E131" s="7"/>
      <c r="F131" s="7"/>
      <c r="G131" s="7"/>
      <c r="H131" s="7"/>
      <c r="I131" s="19"/>
      <c r="J131" s="19"/>
      <c r="K131" s="76"/>
      <c r="L131" s="19"/>
      <c r="M131" s="77"/>
      <c r="N131" s="78"/>
      <c r="O131" s="19"/>
      <c r="P131" s="7"/>
      <c r="Q131" s="7"/>
      <c r="R131" s="7"/>
      <c r="S131" s="7" t="str">
        <f>IF($C131="","",IF(OR($M131="",$N131=""),'Lists &amp; Settings'!$O$10,IF($N131="Fail",'Lists &amp; Settings'!$O$9,IF($N131="Insufficient Evidence",'Lists &amp; Settings'!$O$10,IF($N131="Pass",IF($M131&gt;='Lists &amp; Settings'!$N$2,'Lists &amp; Settings'!$O$2,IF($M131&gt;='Lists &amp; Settings'!$N$3,'Lists &amp; Settings'!$O$3,'Lists &amp; Settings'!$O$4)),IF($N131="Partial",IF($M131&gt;='Lists &amp; Settings'!$N$6,'Lists &amp; Settings'!$O$6,IF($M131&gt;='Lists &amp; Settings'!$N$7,'Lists &amp; Settings'!$O$7,'Lists &amp; Settings'!$O$8)),'Lists &amp; Settings'!$O$10))))))</f>
        <v/>
      </c>
      <c r="T131" s="7"/>
      <c r="U131" s="7"/>
      <c r="V131" s="7"/>
      <c r="W131" s="7"/>
      <c r="X131" s="7"/>
      <c r="Y131" s="7"/>
      <c r="Z131" s="7"/>
      <c r="AA131" s="76"/>
      <c r="AB131" s="76"/>
    </row>
    <row r="132" ht="15.75" customHeight="1">
      <c r="A132" s="7"/>
      <c r="B132" s="7"/>
      <c r="C132" s="7"/>
      <c r="D132" s="7"/>
      <c r="E132" s="7"/>
      <c r="F132" s="7"/>
      <c r="G132" s="7"/>
      <c r="H132" s="7"/>
      <c r="I132" s="19"/>
      <c r="J132" s="19"/>
      <c r="K132" s="76"/>
      <c r="L132" s="19"/>
      <c r="M132" s="77"/>
      <c r="N132" s="78"/>
      <c r="O132" s="19"/>
      <c r="P132" s="7"/>
      <c r="Q132" s="7"/>
      <c r="R132" s="7"/>
      <c r="S132" s="7" t="str">
        <f>IF($C132="","",IF(OR($M132="",$N132=""),'Lists &amp; Settings'!$O$10,IF($N132="Fail",'Lists &amp; Settings'!$O$9,IF($N132="Insufficient Evidence",'Lists &amp; Settings'!$O$10,IF($N132="Pass",IF($M132&gt;='Lists &amp; Settings'!$N$2,'Lists &amp; Settings'!$O$2,IF($M132&gt;='Lists &amp; Settings'!$N$3,'Lists &amp; Settings'!$O$3,'Lists &amp; Settings'!$O$4)),IF($N132="Partial",IF($M132&gt;='Lists &amp; Settings'!$N$6,'Lists &amp; Settings'!$O$6,IF($M132&gt;='Lists &amp; Settings'!$N$7,'Lists &amp; Settings'!$O$7,'Lists &amp; Settings'!$O$8)),'Lists &amp; Settings'!$O$10))))))</f>
        <v/>
      </c>
      <c r="T132" s="7"/>
      <c r="U132" s="7"/>
      <c r="V132" s="7"/>
      <c r="W132" s="7"/>
      <c r="X132" s="7"/>
      <c r="Y132" s="7"/>
      <c r="Z132" s="7"/>
      <c r="AA132" s="76"/>
      <c r="AB132" s="76"/>
    </row>
    <row r="133" ht="15.75" customHeight="1">
      <c r="A133" s="7"/>
      <c r="B133" s="7"/>
      <c r="C133" s="7"/>
      <c r="D133" s="7"/>
      <c r="E133" s="7"/>
      <c r="F133" s="7"/>
      <c r="G133" s="7"/>
      <c r="H133" s="7"/>
      <c r="I133" s="19"/>
      <c r="J133" s="19"/>
      <c r="K133" s="76"/>
      <c r="L133" s="19"/>
      <c r="M133" s="77"/>
      <c r="N133" s="78"/>
      <c r="O133" s="19"/>
      <c r="P133" s="7"/>
      <c r="Q133" s="7"/>
      <c r="R133" s="7"/>
      <c r="S133" s="7" t="str">
        <f>IF($C133="","",IF(OR($M133="",$N133=""),'Lists &amp; Settings'!$O$10,IF($N133="Fail",'Lists &amp; Settings'!$O$9,IF($N133="Insufficient Evidence",'Lists &amp; Settings'!$O$10,IF($N133="Pass",IF($M133&gt;='Lists &amp; Settings'!$N$2,'Lists &amp; Settings'!$O$2,IF($M133&gt;='Lists &amp; Settings'!$N$3,'Lists &amp; Settings'!$O$3,'Lists &amp; Settings'!$O$4)),IF($N133="Partial",IF($M133&gt;='Lists &amp; Settings'!$N$6,'Lists &amp; Settings'!$O$6,IF($M133&gt;='Lists &amp; Settings'!$N$7,'Lists &amp; Settings'!$O$7,'Lists &amp; Settings'!$O$8)),'Lists &amp; Settings'!$O$10))))))</f>
        <v/>
      </c>
      <c r="T133" s="7"/>
      <c r="U133" s="7"/>
      <c r="V133" s="7"/>
      <c r="W133" s="7"/>
      <c r="X133" s="7"/>
      <c r="Y133" s="7"/>
      <c r="Z133" s="7"/>
      <c r="AA133" s="76"/>
      <c r="AB133" s="76"/>
    </row>
    <row r="134" ht="15.75" customHeight="1">
      <c r="A134" s="7"/>
      <c r="B134" s="7"/>
      <c r="C134" s="7"/>
      <c r="D134" s="7"/>
      <c r="E134" s="7"/>
      <c r="F134" s="7"/>
      <c r="G134" s="7"/>
      <c r="H134" s="7"/>
      <c r="I134" s="19"/>
      <c r="J134" s="19"/>
      <c r="K134" s="76"/>
      <c r="L134" s="19"/>
      <c r="M134" s="77"/>
      <c r="N134" s="78"/>
      <c r="O134" s="19"/>
      <c r="P134" s="7"/>
      <c r="Q134" s="7"/>
      <c r="R134" s="7"/>
      <c r="S134" s="7" t="str">
        <f>IF($C134="","",IF(OR($M134="",$N134=""),'Lists &amp; Settings'!$O$10,IF($N134="Fail",'Lists &amp; Settings'!$O$9,IF($N134="Insufficient Evidence",'Lists &amp; Settings'!$O$10,IF($N134="Pass",IF($M134&gt;='Lists &amp; Settings'!$N$2,'Lists &amp; Settings'!$O$2,IF($M134&gt;='Lists &amp; Settings'!$N$3,'Lists &amp; Settings'!$O$3,'Lists &amp; Settings'!$O$4)),IF($N134="Partial",IF($M134&gt;='Lists &amp; Settings'!$N$6,'Lists &amp; Settings'!$O$6,IF($M134&gt;='Lists &amp; Settings'!$N$7,'Lists &amp; Settings'!$O$7,'Lists &amp; Settings'!$O$8)),'Lists &amp; Settings'!$O$10))))))</f>
        <v/>
      </c>
      <c r="T134" s="7"/>
      <c r="U134" s="7"/>
      <c r="V134" s="7"/>
      <c r="W134" s="7"/>
      <c r="X134" s="7"/>
      <c r="Y134" s="7"/>
      <c r="Z134" s="7"/>
      <c r="AA134" s="76"/>
      <c r="AB134" s="76"/>
    </row>
    <row r="135" ht="15.75" customHeight="1">
      <c r="A135" s="7"/>
      <c r="B135" s="7"/>
      <c r="C135" s="7"/>
      <c r="D135" s="7"/>
      <c r="E135" s="7"/>
      <c r="F135" s="7"/>
      <c r="G135" s="7"/>
      <c r="H135" s="7"/>
      <c r="I135" s="19"/>
      <c r="J135" s="19"/>
      <c r="K135" s="76"/>
      <c r="L135" s="19"/>
      <c r="M135" s="77"/>
      <c r="N135" s="78"/>
      <c r="O135" s="19"/>
      <c r="P135" s="7"/>
      <c r="Q135" s="7"/>
      <c r="R135" s="7"/>
      <c r="S135" s="7" t="str">
        <f>IF($C135="","",IF(OR($M135="",$N135=""),'Lists &amp; Settings'!$O$10,IF($N135="Fail",'Lists &amp; Settings'!$O$9,IF($N135="Insufficient Evidence",'Lists &amp; Settings'!$O$10,IF($N135="Pass",IF($M135&gt;='Lists &amp; Settings'!$N$2,'Lists &amp; Settings'!$O$2,IF($M135&gt;='Lists &amp; Settings'!$N$3,'Lists &amp; Settings'!$O$3,'Lists &amp; Settings'!$O$4)),IF($N135="Partial",IF($M135&gt;='Lists &amp; Settings'!$N$6,'Lists &amp; Settings'!$O$6,IF($M135&gt;='Lists &amp; Settings'!$N$7,'Lists &amp; Settings'!$O$7,'Lists &amp; Settings'!$O$8)),'Lists &amp; Settings'!$O$10))))))</f>
        <v/>
      </c>
      <c r="T135" s="7"/>
      <c r="U135" s="7"/>
      <c r="V135" s="7"/>
      <c r="W135" s="7"/>
      <c r="X135" s="7"/>
      <c r="Y135" s="7"/>
      <c r="Z135" s="7"/>
      <c r="AA135" s="76"/>
      <c r="AB135" s="76"/>
    </row>
    <row r="136" ht="15.75" customHeight="1">
      <c r="A136" s="7"/>
      <c r="B136" s="7"/>
      <c r="C136" s="7"/>
      <c r="D136" s="7"/>
      <c r="E136" s="7"/>
      <c r="F136" s="7"/>
      <c r="G136" s="7"/>
      <c r="H136" s="7"/>
      <c r="I136" s="19"/>
      <c r="J136" s="19"/>
      <c r="K136" s="76"/>
      <c r="L136" s="19"/>
      <c r="M136" s="77"/>
      <c r="N136" s="78"/>
      <c r="O136" s="19"/>
      <c r="P136" s="7"/>
      <c r="Q136" s="7"/>
      <c r="R136" s="7"/>
      <c r="S136" s="7" t="str">
        <f>IF($C136="","",IF(OR($M136="",$N136=""),'Lists &amp; Settings'!$O$10,IF($N136="Fail",'Lists &amp; Settings'!$O$9,IF($N136="Insufficient Evidence",'Lists &amp; Settings'!$O$10,IF($N136="Pass",IF($M136&gt;='Lists &amp; Settings'!$N$2,'Lists &amp; Settings'!$O$2,IF($M136&gt;='Lists &amp; Settings'!$N$3,'Lists &amp; Settings'!$O$3,'Lists &amp; Settings'!$O$4)),IF($N136="Partial",IF($M136&gt;='Lists &amp; Settings'!$N$6,'Lists &amp; Settings'!$O$6,IF($M136&gt;='Lists &amp; Settings'!$N$7,'Lists &amp; Settings'!$O$7,'Lists &amp; Settings'!$O$8)),'Lists &amp; Settings'!$O$10))))))</f>
        <v/>
      </c>
      <c r="T136" s="7"/>
      <c r="U136" s="7"/>
      <c r="V136" s="7"/>
      <c r="W136" s="7"/>
      <c r="X136" s="7"/>
      <c r="Y136" s="7"/>
      <c r="Z136" s="7"/>
      <c r="AA136" s="76"/>
      <c r="AB136" s="76"/>
    </row>
    <row r="137" ht="15.75" customHeight="1">
      <c r="A137" s="7"/>
      <c r="B137" s="7"/>
      <c r="C137" s="7"/>
      <c r="D137" s="7"/>
      <c r="E137" s="7"/>
      <c r="F137" s="7"/>
      <c r="G137" s="7"/>
      <c r="H137" s="7"/>
      <c r="I137" s="19"/>
      <c r="J137" s="19"/>
      <c r="K137" s="76"/>
      <c r="L137" s="19"/>
      <c r="M137" s="77"/>
      <c r="N137" s="78"/>
      <c r="O137" s="19"/>
      <c r="P137" s="7"/>
      <c r="Q137" s="7"/>
      <c r="R137" s="7"/>
      <c r="S137" s="7" t="str">
        <f>IF($C137="","",IF(OR($M137="",$N137=""),'Lists &amp; Settings'!$O$10,IF($N137="Fail",'Lists &amp; Settings'!$O$9,IF($N137="Insufficient Evidence",'Lists &amp; Settings'!$O$10,IF($N137="Pass",IF($M137&gt;='Lists &amp; Settings'!$N$2,'Lists &amp; Settings'!$O$2,IF($M137&gt;='Lists &amp; Settings'!$N$3,'Lists &amp; Settings'!$O$3,'Lists &amp; Settings'!$O$4)),IF($N137="Partial",IF($M137&gt;='Lists &amp; Settings'!$N$6,'Lists &amp; Settings'!$O$6,IF($M137&gt;='Lists &amp; Settings'!$N$7,'Lists &amp; Settings'!$O$7,'Lists &amp; Settings'!$O$8)),'Lists &amp; Settings'!$O$10))))))</f>
        <v/>
      </c>
      <c r="T137" s="7"/>
      <c r="U137" s="7"/>
      <c r="V137" s="7"/>
      <c r="W137" s="7"/>
      <c r="X137" s="7"/>
      <c r="Y137" s="7"/>
      <c r="Z137" s="7"/>
      <c r="AA137" s="76"/>
      <c r="AB137" s="76"/>
    </row>
    <row r="138" ht="15.75" customHeight="1">
      <c r="A138" s="7"/>
      <c r="B138" s="7"/>
      <c r="C138" s="7"/>
      <c r="D138" s="7"/>
      <c r="E138" s="7"/>
      <c r="F138" s="7"/>
      <c r="G138" s="7"/>
      <c r="H138" s="7"/>
      <c r="I138" s="19"/>
      <c r="J138" s="19"/>
      <c r="K138" s="76"/>
      <c r="L138" s="19"/>
      <c r="M138" s="77"/>
      <c r="N138" s="78"/>
      <c r="O138" s="19"/>
      <c r="P138" s="7"/>
      <c r="Q138" s="7"/>
      <c r="R138" s="7"/>
      <c r="S138" s="7" t="str">
        <f>IF($C138="","",IF(OR($M138="",$N138=""),'Lists &amp; Settings'!$O$10,IF($N138="Fail",'Lists &amp; Settings'!$O$9,IF($N138="Insufficient Evidence",'Lists &amp; Settings'!$O$10,IF($N138="Pass",IF($M138&gt;='Lists &amp; Settings'!$N$2,'Lists &amp; Settings'!$O$2,IF($M138&gt;='Lists &amp; Settings'!$N$3,'Lists &amp; Settings'!$O$3,'Lists &amp; Settings'!$O$4)),IF($N138="Partial",IF($M138&gt;='Lists &amp; Settings'!$N$6,'Lists &amp; Settings'!$O$6,IF($M138&gt;='Lists &amp; Settings'!$N$7,'Lists &amp; Settings'!$O$7,'Lists &amp; Settings'!$O$8)),'Lists &amp; Settings'!$O$10))))))</f>
        <v/>
      </c>
      <c r="T138" s="7"/>
      <c r="U138" s="7"/>
      <c r="V138" s="7"/>
      <c r="W138" s="7"/>
      <c r="X138" s="7"/>
      <c r="Y138" s="7"/>
      <c r="Z138" s="7"/>
      <c r="AA138" s="76"/>
      <c r="AB138" s="76"/>
    </row>
    <row r="139" ht="15.75" customHeight="1">
      <c r="A139" s="7"/>
      <c r="B139" s="7"/>
      <c r="C139" s="7"/>
      <c r="D139" s="7"/>
      <c r="E139" s="7"/>
      <c r="F139" s="7"/>
      <c r="G139" s="7"/>
      <c r="H139" s="7"/>
      <c r="I139" s="19"/>
      <c r="J139" s="19"/>
      <c r="K139" s="76"/>
      <c r="L139" s="19"/>
      <c r="M139" s="77"/>
      <c r="N139" s="78"/>
      <c r="O139" s="19"/>
      <c r="P139" s="7"/>
      <c r="Q139" s="7"/>
      <c r="R139" s="7"/>
      <c r="S139" s="7" t="str">
        <f>IF($C139="","",IF(OR($M139="",$N139=""),'Lists &amp; Settings'!$O$10,IF($N139="Fail",'Lists &amp; Settings'!$O$9,IF($N139="Insufficient Evidence",'Lists &amp; Settings'!$O$10,IF($N139="Pass",IF($M139&gt;='Lists &amp; Settings'!$N$2,'Lists &amp; Settings'!$O$2,IF($M139&gt;='Lists &amp; Settings'!$N$3,'Lists &amp; Settings'!$O$3,'Lists &amp; Settings'!$O$4)),IF($N139="Partial",IF($M139&gt;='Lists &amp; Settings'!$N$6,'Lists &amp; Settings'!$O$6,IF($M139&gt;='Lists &amp; Settings'!$N$7,'Lists &amp; Settings'!$O$7,'Lists &amp; Settings'!$O$8)),'Lists &amp; Settings'!$O$10))))))</f>
        <v/>
      </c>
      <c r="T139" s="7"/>
      <c r="U139" s="7"/>
      <c r="V139" s="7"/>
      <c r="W139" s="7"/>
      <c r="X139" s="7"/>
      <c r="Y139" s="7"/>
      <c r="Z139" s="7"/>
      <c r="AA139" s="76"/>
      <c r="AB139" s="76"/>
    </row>
    <row r="140" ht="15.75" customHeight="1">
      <c r="A140" s="7"/>
      <c r="B140" s="7"/>
      <c r="C140" s="7"/>
      <c r="D140" s="7"/>
      <c r="E140" s="7"/>
      <c r="F140" s="7"/>
      <c r="G140" s="7"/>
      <c r="H140" s="7"/>
      <c r="I140" s="19"/>
      <c r="J140" s="19"/>
      <c r="K140" s="76"/>
      <c r="L140" s="19"/>
      <c r="M140" s="77"/>
      <c r="N140" s="78"/>
      <c r="O140" s="19"/>
      <c r="P140" s="7"/>
      <c r="Q140" s="7"/>
      <c r="R140" s="7"/>
      <c r="S140" s="7" t="str">
        <f>IF($C140="","",IF(OR($M140="",$N140=""),'Lists &amp; Settings'!$O$10,IF($N140="Fail",'Lists &amp; Settings'!$O$9,IF($N140="Insufficient Evidence",'Lists &amp; Settings'!$O$10,IF($N140="Pass",IF($M140&gt;='Lists &amp; Settings'!$N$2,'Lists &amp; Settings'!$O$2,IF($M140&gt;='Lists &amp; Settings'!$N$3,'Lists &amp; Settings'!$O$3,'Lists &amp; Settings'!$O$4)),IF($N140="Partial",IF($M140&gt;='Lists &amp; Settings'!$N$6,'Lists &amp; Settings'!$O$6,IF($M140&gt;='Lists &amp; Settings'!$N$7,'Lists &amp; Settings'!$O$7,'Lists &amp; Settings'!$O$8)),'Lists &amp; Settings'!$O$10))))))</f>
        <v/>
      </c>
      <c r="T140" s="7"/>
      <c r="U140" s="7"/>
      <c r="V140" s="7"/>
      <c r="W140" s="7"/>
      <c r="X140" s="7"/>
      <c r="Y140" s="7"/>
      <c r="Z140" s="7"/>
      <c r="AA140" s="76"/>
      <c r="AB140" s="76"/>
    </row>
    <row r="141" ht="15.75" customHeight="1">
      <c r="A141" s="7"/>
      <c r="B141" s="7"/>
      <c r="C141" s="7"/>
      <c r="D141" s="7"/>
      <c r="E141" s="7"/>
      <c r="F141" s="7"/>
      <c r="G141" s="7"/>
      <c r="H141" s="7"/>
      <c r="I141" s="19"/>
      <c r="J141" s="19"/>
      <c r="K141" s="76"/>
      <c r="L141" s="19"/>
      <c r="M141" s="77"/>
      <c r="N141" s="78"/>
      <c r="O141" s="19"/>
      <c r="P141" s="7"/>
      <c r="Q141" s="7"/>
      <c r="R141" s="7"/>
      <c r="S141" s="7" t="str">
        <f>IF($C141="","",IF(OR($M141="",$N141=""),'Lists &amp; Settings'!$O$10,IF($N141="Fail",'Lists &amp; Settings'!$O$9,IF($N141="Insufficient Evidence",'Lists &amp; Settings'!$O$10,IF($N141="Pass",IF($M141&gt;='Lists &amp; Settings'!$N$2,'Lists &amp; Settings'!$O$2,IF($M141&gt;='Lists &amp; Settings'!$N$3,'Lists &amp; Settings'!$O$3,'Lists &amp; Settings'!$O$4)),IF($N141="Partial",IF($M141&gt;='Lists &amp; Settings'!$N$6,'Lists &amp; Settings'!$O$6,IF($M141&gt;='Lists &amp; Settings'!$N$7,'Lists &amp; Settings'!$O$7,'Lists &amp; Settings'!$O$8)),'Lists &amp; Settings'!$O$10))))))</f>
        <v/>
      </c>
      <c r="T141" s="7"/>
      <c r="U141" s="7"/>
      <c r="V141" s="7"/>
      <c r="W141" s="7"/>
      <c r="X141" s="7"/>
      <c r="Y141" s="7"/>
      <c r="Z141" s="7"/>
      <c r="AA141" s="76"/>
      <c r="AB141" s="76"/>
    </row>
    <row r="142" ht="15.75" customHeight="1">
      <c r="A142" s="7"/>
      <c r="B142" s="7"/>
      <c r="C142" s="7"/>
      <c r="D142" s="7"/>
      <c r="E142" s="7"/>
      <c r="F142" s="7"/>
      <c r="G142" s="7"/>
      <c r="H142" s="7"/>
      <c r="I142" s="19"/>
      <c r="J142" s="19"/>
      <c r="K142" s="76"/>
      <c r="L142" s="19"/>
      <c r="M142" s="77"/>
      <c r="N142" s="78"/>
      <c r="O142" s="19"/>
      <c r="P142" s="7"/>
      <c r="Q142" s="7"/>
      <c r="R142" s="7"/>
      <c r="S142" s="7" t="str">
        <f>IF($C142="","",IF(OR($M142="",$N142=""),'Lists &amp; Settings'!$O$10,IF($N142="Fail",'Lists &amp; Settings'!$O$9,IF($N142="Insufficient Evidence",'Lists &amp; Settings'!$O$10,IF($N142="Pass",IF($M142&gt;='Lists &amp; Settings'!$N$2,'Lists &amp; Settings'!$O$2,IF($M142&gt;='Lists &amp; Settings'!$N$3,'Lists &amp; Settings'!$O$3,'Lists &amp; Settings'!$O$4)),IF($N142="Partial",IF($M142&gt;='Lists &amp; Settings'!$N$6,'Lists &amp; Settings'!$O$6,IF($M142&gt;='Lists &amp; Settings'!$N$7,'Lists &amp; Settings'!$O$7,'Lists &amp; Settings'!$O$8)),'Lists &amp; Settings'!$O$10))))))</f>
        <v/>
      </c>
      <c r="T142" s="7"/>
      <c r="U142" s="7"/>
      <c r="V142" s="7"/>
      <c r="W142" s="7"/>
      <c r="X142" s="7"/>
      <c r="Y142" s="7"/>
      <c r="Z142" s="7"/>
      <c r="AA142" s="76"/>
      <c r="AB142" s="76"/>
    </row>
    <row r="143" ht="15.75" customHeight="1">
      <c r="A143" s="7"/>
      <c r="B143" s="7"/>
      <c r="C143" s="7"/>
      <c r="D143" s="7"/>
      <c r="E143" s="7"/>
      <c r="F143" s="7"/>
      <c r="G143" s="7"/>
      <c r="H143" s="7"/>
      <c r="I143" s="19"/>
      <c r="J143" s="19"/>
      <c r="K143" s="76"/>
      <c r="L143" s="19"/>
      <c r="M143" s="77"/>
      <c r="N143" s="78"/>
      <c r="O143" s="19"/>
      <c r="P143" s="7"/>
      <c r="Q143" s="7"/>
      <c r="R143" s="7"/>
      <c r="S143" s="7" t="str">
        <f>IF($C143="","",IF(OR($M143="",$N143=""),'Lists &amp; Settings'!$O$10,IF($N143="Fail",'Lists &amp; Settings'!$O$9,IF($N143="Insufficient Evidence",'Lists &amp; Settings'!$O$10,IF($N143="Pass",IF($M143&gt;='Lists &amp; Settings'!$N$2,'Lists &amp; Settings'!$O$2,IF($M143&gt;='Lists &amp; Settings'!$N$3,'Lists &amp; Settings'!$O$3,'Lists &amp; Settings'!$O$4)),IF($N143="Partial",IF($M143&gt;='Lists &amp; Settings'!$N$6,'Lists &amp; Settings'!$O$6,IF($M143&gt;='Lists &amp; Settings'!$N$7,'Lists &amp; Settings'!$O$7,'Lists &amp; Settings'!$O$8)),'Lists &amp; Settings'!$O$10))))))</f>
        <v/>
      </c>
      <c r="T143" s="7"/>
      <c r="U143" s="7"/>
      <c r="V143" s="7"/>
      <c r="W143" s="7"/>
      <c r="X143" s="7"/>
      <c r="Y143" s="7"/>
      <c r="Z143" s="7"/>
      <c r="AA143" s="76"/>
      <c r="AB143" s="76"/>
    </row>
    <row r="144" ht="15.75" customHeight="1">
      <c r="A144" s="7"/>
      <c r="B144" s="7"/>
      <c r="C144" s="7"/>
      <c r="D144" s="7"/>
      <c r="E144" s="7"/>
      <c r="F144" s="7"/>
      <c r="G144" s="7"/>
      <c r="H144" s="7"/>
      <c r="I144" s="19"/>
      <c r="J144" s="19"/>
      <c r="K144" s="76"/>
      <c r="L144" s="19"/>
      <c r="M144" s="77"/>
      <c r="N144" s="78"/>
      <c r="O144" s="19"/>
      <c r="P144" s="7"/>
      <c r="Q144" s="7"/>
      <c r="R144" s="7"/>
      <c r="S144" s="7" t="str">
        <f>IF($C144="","",IF(OR($M144="",$N144=""),'Lists &amp; Settings'!$O$10,IF($N144="Fail",'Lists &amp; Settings'!$O$9,IF($N144="Insufficient Evidence",'Lists &amp; Settings'!$O$10,IF($N144="Pass",IF($M144&gt;='Lists &amp; Settings'!$N$2,'Lists &amp; Settings'!$O$2,IF($M144&gt;='Lists &amp; Settings'!$N$3,'Lists &amp; Settings'!$O$3,'Lists &amp; Settings'!$O$4)),IF($N144="Partial",IF($M144&gt;='Lists &amp; Settings'!$N$6,'Lists &amp; Settings'!$O$6,IF($M144&gt;='Lists &amp; Settings'!$N$7,'Lists &amp; Settings'!$O$7,'Lists &amp; Settings'!$O$8)),'Lists &amp; Settings'!$O$10))))))</f>
        <v/>
      </c>
      <c r="T144" s="7"/>
      <c r="U144" s="7"/>
      <c r="V144" s="7"/>
      <c r="W144" s="7"/>
      <c r="X144" s="7"/>
      <c r="Y144" s="7"/>
      <c r="Z144" s="7"/>
      <c r="AA144" s="76"/>
      <c r="AB144" s="76"/>
    </row>
    <row r="145" ht="15.75" customHeight="1">
      <c r="A145" s="7"/>
      <c r="B145" s="7"/>
      <c r="C145" s="7"/>
      <c r="D145" s="7"/>
      <c r="E145" s="7"/>
      <c r="F145" s="7"/>
      <c r="G145" s="7"/>
      <c r="H145" s="7"/>
      <c r="I145" s="19"/>
      <c r="J145" s="19"/>
      <c r="K145" s="76"/>
      <c r="L145" s="19"/>
      <c r="M145" s="77"/>
      <c r="N145" s="78"/>
      <c r="O145" s="19"/>
      <c r="P145" s="7"/>
      <c r="Q145" s="7"/>
      <c r="R145" s="7"/>
      <c r="S145" s="7" t="str">
        <f>IF($C145="","",IF(OR($M145="",$N145=""),'Lists &amp; Settings'!$O$10,IF($N145="Fail",'Lists &amp; Settings'!$O$9,IF($N145="Insufficient Evidence",'Lists &amp; Settings'!$O$10,IF($N145="Pass",IF($M145&gt;='Lists &amp; Settings'!$N$2,'Lists &amp; Settings'!$O$2,IF($M145&gt;='Lists &amp; Settings'!$N$3,'Lists &amp; Settings'!$O$3,'Lists &amp; Settings'!$O$4)),IF($N145="Partial",IF($M145&gt;='Lists &amp; Settings'!$N$6,'Lists &amp; Settings'!$O$6,IF($M145&gt;='Lists &amp; Settings'!$N$7,'Lists &amp; Settings'!$O$7,'Lists &amp; Settings'!$O$8)),'Lists &amp; Settings'!$O$10))))))</f>
        <v/>
      </c>
      <c r="T145" s="7"/>
      <c r="U145" s="7"/>
      <c r="V145" s="7"/>
      <c r="W145" s="7"/>
      <c r="X145" s="7"/>
      <c r="Y145" s="7"/>
      <c r="Z145" s="7"/>
      <c r="AA145" s="76"/>
      <c r="AB145" s="76"/>
    </row>
    <row r="146" ht="15.75" customHeight="1">
      <c r="A146" s="7"/>
      <c r="B146" s="7"/>
      <c r="C146" s="7"/>
      <c r="D146" s="7"/>
      <c r="E146" s="7"/>
      <c r="F146" s="7"/>
      <c r="G146" s="7"/>
      <c r="H146" s="7"/>
      <c r="I146" s="19"/>
      <c r="J146" s="19"/>
      <c r="K146" s="76"/>
      <c r="L146" s="19"/>
      <c r="M146" s="77"/>
      <c r="N146" s="78"/>
      <c r="O146" s="19"/>
      <c r="P146" s="7"/>
      <c r="Q146" s="7"/>
      <c r="R146" s="7"/>
      <c r="S146" s="7" t="str">
        <f>IF($C146="","",IF(OR($M146="",$N146=""),'Lists &amp; Settings'!$O$10,IF($N146="Fail",'Lists &amp; Settings'!$O$9,IF($N146="Insufficient Evidence",'Lists &amp; Settings'!$O$10,IF($N146="Pass",IF($M146&gt;='Lists &amp; Settings'!$N$2,'Lists &amp; Settings'!$O$2,IF($M146&gt;='Lists &amp; Settings'!$N$3,'Lists &amp; Settings'!$O$3,'Lists &amp; Settings'!$O$4)),IF($N146="Partial",IF($M146&gt;='Lists &amp; Settings'!$N$6,'Lists &amp; Settings'!$O$6,IF($M146&gt;='Lists &amp; Settings'!$N$7,'Lists &amp; Settings'!$O$7,'Lists &amp; Settings'!$O$8)),'Lists &amp; Settings'!$O$10))))))</f>
        <v/>
      </c>
      <c r="T146" s="7"/>
      <c r="U146" s="7"/>
      <c r="V146" s="7"/>
      <c r="W146" s="7"/>
      <c r="X146" s="7"/>
      <c r="Y146" s="7"/>
      <c r="Z146" s="7"/>
      <c r="AA146" s="76"/>
      <c r="AB146" s="76"/>
    </row>
    <row r="147" ht="15.75" customHeight="1">
      <c r="A147" s="7"/>
      <c r="B147" s="7"/>
      <c r="C147" s="7"/>
      <c r="D147" s="7"/>
      <c r="E147" s="7"/>
      <c r="F147" s="7"/>
      <c r="G147" s="7"/>
      <c r="H147" s="7"/>
      <c r="I147" s="19"/>
      <c r="J147" s="19"/>
      <c r="K147" s="76"/>
      <c r="L147" s="19"/>
      <c r="M147" s="77"/>
      <c r="N147" s="78"/>
      <c r="O147" s="19"/>
      <c r="P147" s="7"/>
      <c r="Q147" s="7"/>
      <c r="R147" s="7"/>
      <c r="S147" s="7" t="str">
        <f>IF($C147="","",IF(OR($M147="",$N147=""),'Lists &amp; Settings'!$O$10,IF($N147="Fail",'Lists &amp; Settings'!$O$9,IF($N147="Insufficient Evidence",'Lists &amp; Settings'!$O$10,IF($N147="Pass",IF($M147&gt;='Lists &amp; Settings'!$N$2,'Lists &amp; Settings'!$O$2,IF($M147&gt;='Lists &amp; Settings'!$N$3,'Lists &amp; Settings'!$O$3,'Lists &amp; Settings'!$O$4)),IF($N147="Partial",IF($M147&gt;='Lists &amp; Settings'!$N$6,'Lists &amp; Settings'!$O$6,IF($M147&gt;='Lists &amp; Settings'!$N$7,'Lists &amp; Settings'!$O$7,'Lists &amp; Settings'!$O$8)),'Lists &amp; Settings'!$O$10))))))</f>
        <v/>
      </c>
      <c r="T147" s="7"/>
      <c r="U147" s="7"/>
      <c r="V147" s="7"/>
      <c r="W147" s="7"/>
      <c r="X147" s="7"/>
      <c r="Y147" s="7"/>
      <c r="Z147" s="7"/>
      <c r="AA147" s="76"/>
      <c r="AB147" s="76"/>
    </row>
    <row r="148" ht="15.75" customHeight="1">
      <c r="A148" s="7"/>
      <c r="B148" s="7"/>
      <c r="C148" s="7"/>
      <c r="D148" s="7"/>
      <c r="E148" s="7"/>
      <c r="F148" s="7"/>
      <c r="G148" s="7"/>
      <c r="H148" s="7"/>
      <c r="I148" s="19"/>
      <c r="J148" s="19"/>
      <c r="K148" s="76"/>
      <c r="L148" s="19"/>
      <c r="M148" s="77"/>
      <c r="N148" s="78"/>
      <c r="O148" s="19"/>
      <c r="P148" s="7"/>
      <c r="Q148" s="7"/>
      <c r="R148" s="7"/>
      <c r="S148" s="7" t="str">
        <f>IF($C148="","",IF(OR($M148="",$N148=""),'Lists &amp; Settings'!$O$10,IF($N148="Fail",'Lists &amp; Settings'!$O$9,IF($N148="Insufficient Evidence",'Lists &amp; Settings'!$O$10,IF($N148="Pass",IF($M148&gt;='Lists &amp; Settings'!$N$2,'Lists &amp; Settings'!$O$2,IF($M148&gt;='Lists &amp; Settings'!$N$3,'Lists &amp; Settings'!$O$3,'Lists &amp; Settings'!$O$4)),IF($N148="Partial",IF($M148&gt;='Lists &amp; Settings'!$N$6,'Lists &amp; Settings'!$O$6,IF($M148&gt;='Lists &amp; Settings'!$N$7,'Lists &amp; Settings'!$O$7,'Lists &amp; Settings'!$O$8)),'Lists &amp; Settings'!$O$10))))))</f>
        <v/>
      </c>
      <c r="T148" s="7"/>
      <c r="U148" s="7"/>
      <c r="V148" s="7"/>
      <c r="W148" s="7"/>
      <c r="X148" s="7"/>
      <c r="Y148" s="7"/>
      <c r="Z148" s="7"/>
      <c r="AA148" s="76"/>
      <c r="AB148" s="76"/>
    </row>
    <row r="149" ht="15.75" customHeight="1">
      <c r="A149" s="7"/>
      <c r="B149" s="7"/>
      <c r="C149" s="7"/>
      <c r="D149" s="7"/>
      <c r="E149" s="7"/>
      <c r="F149" s="7"/>
      <c r="G149" s="7"/>
      <c r="H149" s="7"/>
      <c r="I149" s="19"/>
      <c r="J149" s="19"/>
      <c r="K149" s="76"/>
      <c r="L149" s="19"/>
      <c r="M149" s="77"/>
      <c r="N149" s="78"/>
      <c r="O149" s="19"/>
      <c r="P149" s="7"/>
      <c r="Q149" s="7"/>
      <c r="R149" s="7"/>
      <c r="S149" s="7" t="str">
        <f>IF($C149="","",IF(OR($M149="",$N149=""),'Lists &amp; Settings'!$O$10,IF($N149="Fail",'Lists &amp; Settings'!$O$9,IF($N149="Insufficient Evidence",'Lists &amp; Settings'!$O$10,IF($N149="Pass",IF($M149&gt;='Lists &amp; Settings'!$N$2,'Lists &amp; Settings'!$O$2,IF($M149&gt;='Lists &amp; Settings'!$N$3,'Lists &amp; Settings'!$O$3,'Lists &amp; Settings'!$O$4)),IF($N149="Partial",IF($M149&gt;='Lists &amp; Settings'!$N$6,'Lists &amp; Settings'!$O$6,IF($M149&gt;='Lists &amp; Settings'!$N$7,'Lists &amp; Settings'!$O$7,'Lists &amp; Settings'!$O$8)),'Lists &amp; Settings'!$O$10))))))</f>
        <v/>
      </c>
      <c r="T149" s="7"/>
      <c r="U149" s="7"/>
      <c r="V149" s="7"/>
      <c r="W149" s="7"/>
      <c r="X149" s="7"/>
      <c r="Y149" s="7"/>
      <c r="Z149" s="7"/>
      <c r="AA149" s="76"/>
      <c r="AB149" s="76"/>
    </row>
    <row r="150" ht="15.75" customHeight="1">
      <c r="A150" s="7"/>
      <c r="B150" s="7"/>
      <c r="C150" s="7"/>
      <c r="D150" s="7"/>
      <c r="E150" s="7"/>
      <c r="F150" s="7"/>
      <c r="G150" s="7"/>
      <c r="H150" s="7"/>
      <c r="I150" s="19"/>
      <c r="J150" s="19"/>
      <c r="K150" s="76"/>
      <c r="L150" s="19"/>
      <c r="M150" s="77"/>
      <c r="N150" s="78"/>
      <c r="O150" s="19"/>
      <c r="P150" s="7"/>
      <c r="Q150" s="7"/>
      <c r="R150" s="7"/>
      <c r="S150" s="7" t="str">
        <f>IF($C150="","",IF(OR($M150="",$N150=""),'Lists &amp; Settings'!$O$10,IF($N150="Fail",'Lists &amp; Settings'!$O$9,IF($N150="Insufficient Evidence",'Lists &amp; Settings'!$O$10,IF($N150="Pass",IF($M150&gt;='Lists &amp; Settings'!$N$2,'Lists &amp; Settings'!$O$2,IF($M150&gt;='Lists &amp; Settings'!$N$3,'Lists &amp; Settings'!$O$3,'Lists &amp; Settings'!$O$4)),IF($N150="Partial",IF($M150&gt;='Lists &amp; Settings'!$N$6,'Lists &amp; Settings'!$O$6,IF($M150&gt;='Lists &amp; Settings'!$N$7,'Lists &amp; Settings'!$O$7,'Lists &amp; Settings'!$O$8)),'Lists &amp; Settings'!$O$10))))))</f>
        <v/>
      </c>
      <c r="T150" s="7"/>
      <c r="U150" s="7"/>
      <c r="V150" s="7"/>
      <c r="W150" s="7"/>
      <c r="X150" s="7"/>
      <c r="Y150" s="7"/>
      <c r="Z150" s="7"/>
      <c r="AA150" s="76"/>
      <c r="AB150" s="76"/>
    </row>
    <row r="151" ht="15.75" customHeight="1">
      <c r="A151" s="7"/>
      <c r="B151" s="7"/>
      <c r="C151" s="7"/>
      <c r="D151" s="7"/>
      <c r="E151" s="7"/>
      <c r="F151" s="7"/>
      <c r="G151" s="7"/>
      <c r="H151" s="7"/>
      <c r="I151" s="19"/>
      <c r="J151" s="19"/>
      <c r="K151" s="76"/>
      <c r="L151" s="19"/>
      <c r="M151" s="77"/>
      <c r="N151" s="78"/>
      <c r="O151" s="19"/>
      <c r="P151" s="7"/>
      <c r="Q151" s="7"/>
      <c r="R151" s="7"/>
      <c r="S151" s="7" t="str">
        <f>IF($C151="","",IF(OR($M151="",$N151=""),'Lists &amp; Settings'!$O$10,IF($N151="Fail",'Lists &amp; Settings'!$O$9,IF($N151="Insufficient Evidence",'Lists &amp; Settings'!$O$10,IF($N151="Pass",IF($M151&gt;='Lists &amp; Settings'!$N$2,'Lists &amp; Settings'!$O$2,IF($M151&gt;='Lists &amp; Settings'!$N$3,'Lists &amp; Settings'!$O$3,'Lists &amp; Settings'!$O$4)),IF($N151="Partial",IF($M151&gt;='Lists &amp; Settings'!$N$6,'Lists &amp; Settings'!$O$6,IF($M151&gt;='Lists &amp; Settings'!$N$7,'Lists &amp; Settings'!$O$7,'Lists &amp; Settings'!$O$8)),'Lists &amp; Settings'!$O$10))))))</f>
        <v/>
      </c>
      <c r="T151" s="7"/>
      <c r="U151" s="7"/>
      <c r="V151" s="7"/>
      <c r="W151" s="7"/>
      <c r="X151" s="7"/>
      <c r="Y151" s="7"/>
      <c r="Z151" s="7"/>
      <c r="AA151" s="76"/>
      <c r="AB151" s="76"/>
    </row>
    <row r="152" ht="15.75" customHeight="1">
      <c r="A152" s="7"/>
      <c r="B152" s="7"/>
      <c r="C152" s="7"/>
      <c r="D152" s="7"/>
      <c r="E152" s="7"/>
      <c r="F152" s="7"/>
      <c r="G152" s="7"/>
      <c r="H152" s="7"/>
      <c r="I152" s="19"/>
      <c r="J152" s="19"/>
      <c r="K152" s="76"/>
      <c r="L152" s="19"/>
      <c r="M152" s="77"/>
      <c r="N152" s="78"/>
      <c r="O152" s="19"/>
      <c r="P152" s="7"/>
      <c r="Q152" s="7"/>
      <c r="R152" s="7"/>
      <c r="S152" s="7" t="str">
        <f>IF($C152="","",IF(OR($M152="",$N152=""),'Lists &amp; Settings'!$O$10,IF($N152="Fail",'Lists &amp; Settings'!$O$9,IF($N152="Insufficient Evidence",'Lists &amp; Settings'!$O$10,IF($N152="Pass",IF($M152&gt;='Lists &amp; Settings'!$N$2,'Lists &amp; Settings'!$O$2,IF($M152&gt;='Lists &amp; Settings'!$N$3,'Lists &amp; Settings'!$O$3,'Lists &amp; Settings'!$O$4)),IF($N152="Partial",IF($M152&gt;='Lists &amp; Settings'!$N$6,'Lists &amp; Settings'!$O$6,IF($M152&gt;='Lists &amp; Settings'!$N$7,'Lists &amp; Settings'!$O$7,'Lists &amp; Settings'!$O$8)),'Lists &amp; Settings'!$O$10))))))</f>
        <v/>
      </c>
      <c r="T152" s="7"/>
      <c r="U152" s="7"/>
      <c r="V152" s="7"/>
      <c r="W152" s="7"/>
      <c r="X152" s="7"/>
      <c r="Y152" s="7"/>
      <c r="Z152" s="7"/>
      <c r="AA152" s="76"/>
      <c r="AB152" s="76"/>
    </row>
    <row r="153" ht="15.75" customHeight="1">
      <c r="A153" s="7"/>
      <c r="B153" s="7"/>
      <c r="C153" s="7"/>
      <c r="D153" s="7"/>
      <c r="E153" s="7"/>
      <c r="F153" s="7"/>
      <c r="G153" s="7"/>
      <c r="H153" s="7"/>
      <c r="I153" s="19"/>
      <c r="J153" s="19"/>
      <c r="K153" s="76"/>
      <c r="L153" s="19"/>
      <c r="M153" s="77"/>
      <c r="N153" s="78"/>
      <c r="O153" s="19"/>
      <c r="P153" s="7"/>
      <c r="Q153" s="7"/>
      <c r="R153" s="7"/>
      <c r="S153" s="7" t="str">
        <f>IF($C153="","",IF(OR($M153="",$N153=""),'Lists &amp; Settings'!$O$10,IF($N153="Fail",'Lists &amp; Settings'!$O$9,IF($N153="Insufficient Evidence",'Lists &amp; Settings'!$O$10,IF($N153="Pass",IF($M153&gt;='Lists &amp; Settings'!$N$2,'Lists &amp; Settings'!$O$2,IF($M153&gt;='Lists &amp; Settings'!$N$3,'Lists &amp; Settings'!$O$3,'Lists &amp; Settings'!$O$4)),IF($N153="Partial",IF($M153&gt;='Lists &amp; Settings'!$N$6,'Lists &amp; Settings'!$O$6,IF($M153&gt;='Lists &amp; Settings'!$N$7,'Lists &amp; Settings'!$O$7,'Lists &amp; Settings'!$O$8)),'Lists &amp; Settings'!$O$10))))))</f>
        <v/>
      </c>
      <c r="T153" s="7"/>
      <c r="U153" s="7"/>
      <c r="V153" s="7"/>
      <c r="W153" s="7"/>
      <c r="X153" s="7"/>
      <c r="Y153" s="7"/>
      <c r="Z153" s="7"/>
      <c r="AA153" s="76"/>
      <c r="AB153" s="76"/>
    </row>
    <row r="154" ht="15.75" customHeight="1">
      <c r="A154" s="7"/>
      <c r="B154" s="7"/>
      <c r="C154" s="7"/>
      <c r="D154" s="7"/>
      <c r="E154" s="7"/>
      <c r="F154" s="7"/>
      <c r="G154" s="7"/>
      <c r="H154" s="7"/>
      <c r="I154" s="19"/>
      <c r="J154" s="19"/>
      <c r="K154" s="76"/>
      <c r="L154" s="19"/>
      <c r="M154" s="77"/>
      <c r="N154" s="78"/>
      <c r="O154" s="19"/>
      <c r="P154" s="7"/>
      <c r="Q154" s="7"/>
      <c r="R154" s="7"/>
      <c r="S154" s="7" t="str">
        <f>IF($C154="","",IF(OR($M154="",$N154=""),'Lists &amp; Settings'!$O$10,IF($N154="Fail",'Lists &amp; Settings'!$O$9,IF($N154="Insufficient Evidence",'Lists &amp; Settings'!$O$10,IF($N154="Pass",IF($M154&gt;='Lists &amp; Settings'!$N$2,'Lists &amp; Settings'!$O$2,IF($M154&gt;='Lists &amp; Settings'!$N$3,'Lists &amp; Settings'!$O$3,'Lists &amp; Settings'!$O$4)),IF($N154="Partial",IF($M154&gt;='Lists &amp; Settings'!$N$6,'Lists &amp; Settings'!$O$6,IF($M154&gt;='Lists &amp; Settings'!$N$7,'Lists &amp; Settings'!$O$7,'Lists &amp; Settings'!$O$8)),'Lists &amp; Settings'!$O$10))))))</f>
        <v/>
      </c>
      <c r="T154" s="7"/>
      <c r="U154" s="7"/>
      <c r="V154" s="7"/>
      <c r="W154" s="7"/>
      <c r="X154" s="7"/>
      <c r="Y154" s="7"/>
      <c r="Z154" s="7"/>
      <c r="AA154" s="76"/>
      <c r="AB154" s="76"/>
    </row>
    <row r="155" ht="15.75" customHeight="1">
      <c r="A155" s="7"/>
      <c r="B155" s="7"/>
      <c r="C155" s="7"/>
      <c r="D155" s="7"/>
      <c r="E155" s="7"/>
      <c r="F155" s="7"/>
      <c r="G155" s="7"/>
      <c r="H155" s="7"/>
      <c r="I155" s="19"/>
      <c r="J155" s="19"/>
      <c r="K155" s="76"/>
      <c r="L155" s="19"/>
      <c r="M155" s="77"/>
      <c r="N155" s="78"/>
      <c r="O155" s="19"/>
      <c r="P155" s="7"/>
      <c r="Q155" s="7"/>
      <c r="R155" s="7"/>
      <c r="S155" s="7" t="str">
        <f>IF($C155="","",IF(OR($M155="",$N155=""),'Lists &amp; Settings'!$O$10,IF($N155="Fail",'Lists &amp; Settings'!$O$9,IF($N155="Insufficient Evidence",'Lists &amp; Settings'!$O$10,IF($N155="Pass",IF($M155&gt;='Lists &amp; Settings'!$N$2,'Lists &amp; Settings'!$O$2,IF($M155&gt;='Lists &amp; Settings'!$N$3,'Lists &amp; Settings'!$O$3,'Lists &amp; Settings'!$O$4)),IF($N155="Partial",IF($M155&gt;='Lists &amp; Settings'!$N$6,'Lists &amp; Settings'!$O$6,IF($M155&gt;='Lists &amp; Settings'!$N$7,'Lists &amp; Settings'!$O$7,'Lists &amp; Settings'!$O$8)),'Lists &amp; Settings'!$O$10))))))</f>
        <v/>
      </c>
      <c r="T155" s="7"/>
      <c r="U155" s="7"/>
      <c r="V155" s="7"/>
      <c r="W155" s="7"/>
      <c r="X155" s="7"/>
      <c r="Y155" s="7"/>
      <c r="Z155" s="7"/>
      <c r="AA155" s="76"/>
      <c r="AB155" s="76"/>
    </row>
    <row r="156" ht="15.75" customHeight="1">
      <c r="A156" s="7"/>
      <c r="B156" s="7"/>
      <c r="C156" s="7"/>
      <c r="D156" s="7"/>
      <c r="E156" s="7"/>
      <c r="F156" s="7"/>
      <c r="G156" s="7"/>
      <c r="H156" s="7"/>
      <c r="I156" s="19"/>
      <c r="J156" s="19"/>
      <c r="K156" s="76"/>
      <c r="L156" s="19"/>
      <c r="M156" s="77"/>
      <c r="N156" s="78"/>
      <c r="O156" s="19"/>
      <c r="P156" s="7"/>
      <c r="Q156" s="7"/>
      <c r="R156" s="7"/>
      <c r="S156" s="7" t="str">
        <f>IF($C156="","",IF(OR($M156="",$N156=""),'Lists &amp; Settings'!$O$10,IF($N156="Fail",'Lists &amp; Settings'!$O$9,IF($N156="Insufficient Evidence",'Lists &amp; Settings'!$O$10,IF($N156="Pass",IF($M156&gt;='Lists &amp; Settings'!$N$2,'Lists &amp; Settings'!$O$2,IF($M156&gt;='Lists &amp; Settings'!$N$3,'Lists &amp; Settings'!$O$3,'Lists &amp; Settings'!$O$4)),IF($N156="Partial",IF($M156&gt;='Lists &amp; Settings'!$N$6,'Lists &amp; Settings'!$O$6,IF($M156&gt;='Lists &amp; Settings'!$N$7,'Lists &amp; Settings'!$O$7,'Lists &amp; Settings'!$O$8)),'Lists &amp; Settings'!$O$10))))))</f>
        <v/>
      </c>
      <c r="T156" s="7"/>
      <c r="U156" s="7"/>
      <c r="V156" s="7"/>
      <c r="W156" s="7"/>
      <c r="X156" s="7"/>
      <c r="Y156" s="7"/>
      <c r="Z156" s="7"/>
      <c r="AA156" s="76"/>
      <c r="AB156" s="76"/>
    </row>
    <row r="157" ht="15.75" customHeight="1">
      <c r="A157" s="7"/>
      <c r="B157" s="7"/>
      <c r="C157" s="7"/>
      <c r="D157" s="7"/>
      <c r="E157" s="7"/>
      <c r="F157" s="7"/>
      <c r="G157" s="7"/>
      <c r="H157" s="7"/>
      <c r="I157" s="19"/>
      <c r="J157" s="19"/>
      <c r="K157" s="76"/>
      <c r="L157" s="19"/>
      <c r="M157" s="77"/>
      <c r="N157" s="78"/>
      <c r="O157" s="19"/>
      <c r="P157" s="7"/>
      <c r="Q157" s="7"/>
      <c r="R157" s="7"/>
      <c r="S157" s="7" t="str">
        <f>IF($C157="","",IF(OR($M157="",$N157=""),'Lists &amp; Settings'!$O$10,IF($N157="Fail",'Lists &amp; Settings'!$O$9,IF($N157="Insufficient Evidence",'Lists &amp; Settings'!$O$10,IF($N157="Pass",IF($M157&gt;='Lists &amp; Settings'!$N$2,'Lists &amp; Settings'!$O$2,IF($M157&gt;='Lists &amp; Settings'!$N$3,'Lists &amp; Settings'!$O$3,'Lists &amp; Settings'!$O$4)),IF($N157="Partial",IF($M157&gt;='Lists &amp; Settings'!$N$6,'Lists &amp; Settings'!$O$6,IF($M157&gt;='Lists &amp; Settings'!$N$7,'Lists &amp; Settings'!$O$7,'Lists &amp; Settings'!$O$8)),'Lists &amp; Settings'!$O$10))))))</f>
        <v/>
      </c>
      <c r="T157" s="7"/>
      <c r="U157" s="7"/>
      <c r="V157" s="7"/>
      <c r="W157" s="7"/>
      <c r="X157" s="7"/>
      <c r="Y157" s="7"/>
      <c r="Z157" s="7"/>
      <c r="AA157" s="76"/>
      <c r="AB157" s="76"/>
    </row>
    <row r="158" ht="15.75" customHeight="1">
      <c r="A158" s="7"/>
      <c r="B158" s="7"/>
      <c r="C158" s="7"/>
      <c r="D158" s="7"/>
      <c r="E158" s="7"/>
      <c r="F158" s="7"/>
      <c r="G158" s="7"/>
      <c r="H158" s="7"/>
      <c r="I158" s="19"/>
      <c r="J158" s="19"/>
      <c r="K158" s="76"/>
      <c r="L158" s="19"/>
      <c r="M158" s="77"/>
      <c r="N158" s="78"/>
      <c r="O158" s="19"/>
      <c r="P158" s="7"/>
      <c r="Q158" s="7"/>
      <c r="R158" s="7"/>
      <c r="S158" s="7" t="str">
        <f>IF($C158="","",IF(OR($M158="",$N158=""),'Lists &amp; Settings'!$O$10,IF($N158="Fail",'Lists &amp; Settings'!$O$9,IF($N158="Insufficient Evidence",'Lists &amp; Settings'!$O$10,IF($N158="Pass",IF($M158&gt;='Lists &amp; Settings'!$N$2,'Lists &amp; Settings'!$O$2,IF($M158&gt;='Lists &amp; Settings'!$N$3,'Lists &amp; Settings'!$O$3,'Lists &amp; Settings'!$O$4)),IF($N158="Partial",IF($M158&gt;='Lists &amp; Settings'!$N$6,'Lists &amp; Settings'!$O$6,IF($M158&gt;='Lists &amp; Settings'!$N$7,'Lists &amp; Settings'!$O$7,'Lists &amp; Settings'!$O$8)),'Lists &amp; Settings'!$O$10))))))</f>
        <v/>
      </c>
      <c r="T158" s="7"/>
      <c r="U158" s="7"/>
      <c r="V158" s="7"/>
      <c r="W158" s="7"/>
      <c r="X158" s="7"/>
      <c r="Y158" s="7"/>
      <c r="Z158" s="7"/>
      <c r="AA158" s="76"/>
      <c r="AB158" s="76"/>
    </row>
    <row r="159" ht="15.75" customHeight="1">
      <c r="A159" s="7"/>
      <c r="B159" s="7"/>
      <c r="C159" s="7"/>
      <c r="D159" s="7"/>
      <c r="E159" s="7"/>
      <c r="F159" s="7"/>
      <c r="G159" s="7"/>
      <c r="H159" s="7"/>
      <c r="I159" s="19"/>
      <c r="J159" s="19"/>
      <c r="K159" s="76"/>
      <c r="L159" s="19"/>
      <c r="M159" s="77"/>
      <c r="N159" s="78"/>
      <c r="O159" s="19"/>
      <c r="P159" s="7"/>
      <c r="Q159" s="7"/>
      <c r="R159" s="7"/>
      <c r="S159" s="7" t="str">
        <f>IF($C159="","",IF(OR($M159="",$N159=""),'Lists &amp; Settings'!$O$10,IF($N159="Fail",'Lists &amp; Settings'!$O$9,IF($N159="Insufficient Evidence",'Lists &amp; Settings'!$O$10,IF($N159="Pass",IF($M159&gt;='Lists &amp; Settings'!$N$2,'Lists &amp; Settings'!$O$2,IF($M159&gt;='Lists &amp; Settings'!$N$3,'Lists &amp; Settings'!$O$3,'Lists &amp; Settings'!$O$4)),IF($N159="Partial",IF($M159&gt;='Lists &amp; Settings'!$N$6,'Lists &amp; Settings'!$O$6,IF($M159&gt;='Lists &amp; Settings'!$N$7,'Lists &amp; Settings'!$O$7,'Lists &amp; Settings'!$O$8)),'Lists &amp; Settings'!$O$10))))))</f>
        <v/>
      </c>
      <c r="T159" s="7"/>
      <c r="U159" s="7"/>
      <c r="V159" s="7"/>
      <c r="W159" s="7"/>
      <c r="X159" s="7"/>
      <c r="Y159" s="7"/>
      <c r="Z159" s="7"/>
      <c r="AA159" s="76"/>
      <c r="AB159" s="76"/>
    </row>
    <row r="160" ht="15.75" customHeight="1">
      <c r="A160" s="7"/>
      <c r="B160" s="7"/>
      <c r="C160" s="7"/>
      <c r="D160" s="7"/>
      <c r="E160" s="7"/>
      <c r="F160" s="7"/>
      <c r="G160" s="7"/>
      <c r="H160" s="7"/>
      <c r="I160" s="19"/>
      <c r="J160" s="19"/>
      <c r="K160" s="76"/>
      <c r="L160" s="19"/>
      <c r="M160" s="77"/>
      <c r="N160" s="78"/>
      <c r="O160" s="19"/>
      <c r="P160" s="7"/>
      <c r="Q160" s="7"/>
      <c r="R160" s="7"/>
      <c r="S160" s="7" t="str">
        <f>IF($C160="","",IF(OR($M160="",$N160=""),'Lists &amp; Settings'!$O$10,IF($N160="Fail",'Lists &amp; Settings'!$O$9,IF($N160="Insufficient Evidence",'Lists &amp; Settings'!$O$10,IF($N160="Pass",IF($M160&gt;='Lists &amp; Settings'!$N$2,'Lists &amp; Settings'!$O$2,IF($M160&gt;='Lists &amp; Settings'!$N$3,'Lists &amp; Settings'!$O$3,'Lists &amp; Settings'!$O$4)),IF($N160="Partial",IF($M160&gt;='Lists &amp; Settings'!$N$6,'Lists &amp; Settings'!$O$6,IF($M160&gt;='Lists &amp; Settings'!$N$7,'Lists &amp; Settings'!$O$7,'Lists &amp; Settings'!$O$8)),'Lists &amp; Settings'!$O$10))))))</f>
        <v/>
      </c>
      <c r="T160" s="7"/>
      <c r="U160" s="7"/>
      <c r="V160" s="7"/>
      <c r="W160" s="7"/>
      <c r="X160" s="7"/>
      <c r="Y160" s="7"/>
      <c r="Z160" s="7"/>
      <c r="AA160" s="76"/>
      <c r="AB160" s="76"/>
    </row>
    <row r="161" ht="15.75" customHeight="1">
      <c r="A161" s="7"/>
      <c r="B161" s="7"/>
      <c r="C161" s="7"/>
      <c r="D161" s="7"/>
      <c r="E161" s="7"/>
      <c r="F161" s="7"/>
      <c r="G161" s="7"/>
      <c r="H161" s="7"/>
      <c r="I161" s="19"/>
      <c r="J161" s="19"/>
      <c r="K161" s="76"/>
      <c r="L161" s="19"/>
      <c r="M161" s="77"/>
      <c r="N161" s="78"/>
      <c r="O161" s="19"/>
      <c r="P161" s="7"/>
      <c r="Q161" s="7"/>
      <c r="R161" s="7"/>
      <c r="S161" s="7" t="str">
        <f>IF($C161="","",IF(OR($M161="",$N161=""),'Lists &amp; Settings'!$O$10,IF($N161="Fail",'Lists &amp; Settings'!$O$9,IF($N161="Insufficient Evidence",'Lists &amp; Settings'!$O$10,IF($N161="Pass",IF($M161&gt;='Lists &amp; Settings'!$N$2,'Lists &amp; Settings'!$O$2,IF($M161&gt;='Lists &amp; Settings'!$N$3,'Lists &amp; Settings'!$O$3,'Lists &amp; Settings'!$O$4)),IF($N161="Partial",IF($M161&gt;='Lists &amp; Settings'!$N$6,'Lists &amp; Settings'!$O$6,IF($M161&gt;='Lists &amp; Settings'!$N$7,'Lists &amp; Settings'!$O$7,'Lists &amp; Settings'!$O$8)),'Lists &amp; Settings'!$O$10))))))</f>
        <v/>
      </c>
      <c r="T161" s="7"/>
      <c r="U161" s="7"/>
      <c r="V161" s="7"/>
      <c r="W161" s="7"/>
      <c r="X161" s="7"/>
      <c r="Y161" s="7"/>
      <c r="Z161" s="7"/>
      <c r="AA161" s="76"/>
      <c r="AB161" s="76"/>
    </row>
    <row r="162" ht="15.75" customHeight="1">
      <c r="A162" s="7"/>
      <c r="B162" s="7"/>
      <c r="C162" s="7"/>
      <c r="D162" s="7"/>
      <c r="E162" s="7"/>
      <c r="F162" s="7"/>
      <c r="G162" s="7"/>
      <c r="H162" s="7"/>
      <c r="I162" s="19"/>
      <c r="J162" s="19"/>
      <c r="K162" s="76"/>
      <c r="L162" s="19"/>
      <c r="M162" s="77"/>
      <c r="N162" s="78"/>
      <c r="O162" s="19"/>
      <c r="P162" s="7"/>
      <c r="Q162" s="7"/>
      <c r="R162" s="7"/>
      <c r="S162" s="7" t="str">
        <f>IF($C162="","",IF(OR($M162="",$N162=""),'Lists &amp; Settings'!$O$10,IF($N162="Fail",'Lists &amp; Settings'!$O$9,IF($N162="Insufficient Evidence",'Lists &amp; Settings'!$O$10,IF($N162="Pass",IF($M162&gt;='Lists &amp; Settings'!$N$2,'Lists &amp; Settings'!$O$2,IF($M162&gt;='Lists &amp; Settings'!$N$3,'Lists &amp; Settings'!$O$3,'Lists &amp; Settings'!$O$4)),IF($N162="Partial",IF($M162&gt;='Lists &amp; Settings'!$N$6,'Lists &amp; Settings'!$O$6,IF($M162&gt;='Lists &amp; Settings'!$N$7,'Lists &amp; Settings'!$O$7,'Lists &amp; Settings'!$O$8)),'Lists &amp; Settings'!$O$10))))))</f>
        <v/>
      </c>
      <c r="T162" s="7"/>
      <c r="U162" s="7"/>
      <c r="V162" s="7"/>
      <c r="W162" s="7"/>
      <c r="X162" s="7"/>
      <c r="Y162" s="7"/>
      <c r="Z162" s="7"/>
      <c r="AA162" s="76"/>
      <c r="AB162" s="76"/>
    </row>
    <row r="163" ht="15.75" customHeight="1">
      <c r="A163" s="7"/>
      <c r="B163" s="7"/>
      <c r="C163" s="7"/>
      <c r="D163" s="7"/>
      <c r="E163" s="7"/>
      <c r="F163" s="7"/>
      <c r="G163" s="7"/>
      <c r="H163" s="7"/>
      <c r="I163" s="19"/>
      <c r="J163" s="19"/>
      <c r="K163" s="76"/>
      <c r="L163" s="19"/>
      <c r="M163" s="77"/>
      <c r="N163" s="78"/>
      <c r="O163" s="19"/>
      <c r="P163" s="7"/>
      <c r="Q163" s="7"/>
      <c r="R163" s="7"/>
      <c r="S163" s="7" t="str">
        <f>IF($C163="","",IF(OR($M163="",$N163=""),'Lists &amp; Settings'!$O$10,IF($N163="Fail",'Lists &amp; Settings'!$O$9,IF($N163="Insufficient Evidence",'Lists &amp; Settings'!$O$10,IF($N163="Pass",IF($M163&gt;='Lists &amp; Settings'!$N$2,'Lists &amp; Settings'!$O$2,IF($M163&gt;='Lists &amp; Settings'!$N$3,'Lists &amp; Settings'!$O$3,'Lists &amp; Settings'!$O$4)),IF($N163="Partial",IF($M163&gt;='Lists &amp; Settings'!$N$6,'Lists &amp; Settings'!$O$6,IF($M163&gt;='Lists &amp; Settings'!$N$7,'Lists &amp; Settings'!$O$7,'Lists &amp; Settings'!$O$8)),'Lists &amp; Settings'!$O$10))))))</f>
        <v/>
      </c>
      <c r="T163" s="7"/>
      <c r="U163" s="7"/>
      <c r="V163" s="7"/>
      <c r="W163" s="7"/>
      <c r="X163" s="7"/>
      <c r="Y163" s="7"/>
      <c r="Z163" s="7"/>
      <c r="AA163" s="76"/>
      <c r="AB163" s="76"/>
    </row>
    <row r="164" ht="15.75" customHeight="1">
      <c r="A164" s="7"/>
      <c r="B164" s="7"/>
      <c r="C164" s="7"/>
      <c r="D164" s="7"/>
      <c r="E164" s="7"/>
      <c r="F164" s="7"/>
      <c r="G164" s="7"/>
      <c r="H164" s="7"/>
      <c r="I164" s="19"/>
      <c r="J164" s="19"/>
      <c r="K164" s="76"/>
      <c r="L164" s="19"/>
      <c r="M164" s="77"/>
      <c r="N164" s="78"/>
      <c r="O164" s="19"/>
      <c r="P164" s="7"/>
      <c r="Q164" s="7"/>
      <c r="R164" s="7"/>
      <c r="S164" s="7" t="str">
        <f>IF($C164="","",IF(OR($M164="",$N164=""),'Lists &amp; Settings'!$O$10,IF($N164="Fail",'Lists &amp; Settings'!$O$9,IF($N164="Insufficient Evidence",'Lists &amp; Settings'!$O$10,IF($N164="Pass",IF($M164&gt;='Lists &amp; Settings'!$N$2,'Lists &amp; Settings'!$O$2,IF($M164&gt;='Lists &amp; Settings'!$N$3,'Lists &amp; Settings'!$O$3,'Lists &amp; Settings'!$O$4)),IF($N164="Partial",IF($M164&gt;='Lists &amp; Settings'!$N$6,'Lists &amp; Settings'!$O$6,IF($M164&gt;='Lists &amp; Settings'!$N$7,'Lists &amp; Settings'!$O$7,'Lists &amp; Settings'!$O$8)),'Lists &amp; Settings'!$O$10))))))</f>
        <v/>
      </c>
      <c r="T164" s="7"/>
      <c r="U164" s="7"/>
      <c r="V164" s="7"/>
      <c r="W164" s="7"/>
      <c r="X164" s="7"/>
      <c r="Y164" s="7"/>
      <c r="Z164" s="7"/>
      <c r="AA164" s="76"/>
      <c r="AB164" s="76"/>
    </row>
    <row r="165" ht="15.75" customHeight="1">
      <c r="A165" s="7"/>
      <c r="B165" s="7"/>
      <c r="C165" s="7"/>
      <c r="D165" s="7"/>
      <c r="E165" s="7"/>
      <c r="F165" s="7"/>
      <c r="G165" s="7"/>
      <c r="H165" s="7"/>
      <c r="I165" s="19"/>
      <c r="J165" s="19"/>
      <c r="K165" s="76"/>
      <c r="L165" s="19"/>
      <c r="M165" s="77"/>
      <c r="N165" s="78"/>
      <c r="O165" s="19"/>
      <c r="P165" s="7"/>
      <c r="Q165" s="7"/>
      <c r="R165" s="7"/>
      <c r="S165" s="7" t="str">
        <f>IF($C165="","",IF(OR($M165="",$N165=""),'Lists &amp; Settings'!$O$10,IF($N165="Fail",'Lists &amp; Settings'!$O$9,IF($N165="Insufficient Evidence",'Lists &amp; Settings'!$O$10,IF($N165="Pass",IF($M165&gt;='Lists &amp; Settings'!$N$2,'Lists &amp; Settings'!$O$2,IF($M165&gt;='Lists &amp; Settings'!$N$3,'Lists &amp; Settings'!$O$3,'Lists &amp; Settings'!$O$4)),IF($N165="Partial",IF($M165&gt;='Lists &amp; Settings'!$N$6,'Lists &amp; Settings'!$O$6,IF($M165&gt;='Lists &amp; Settings'!$N$7,'Lists &amp; Settings'!$O$7,'Lists &amp; Settings'!$O$8)),'Lists &amp; Settings'!$O$10))))))</f>
        <v/>
      </c>
      <c r="T165" s="7"/>
      <c r="U165" s="7"/>
      <c r="V165" s="7"/>
      <c r="W165" s="7"/>
      <c r="X165" s="7"/>
      <c r="Y165" s="7"/>
      <c r="Z165" s="7"/>
      <c r="AA165" s="76"/>
      <c r="AB165" s="76"/>
    </row>
    <row r="166" ht="15.75" customHeight="1">
      <c r="A166" s="7"/>
      <c r="B166" s="7"/>
      <c r="C166" s="7"/>
      <c r="D166" s="7"/>
      <c r="E166" s="7"/>
      <c r="F166" s="7"/>
      <c r="G166" s="7"/>
      <c r="H166" s="7"/>
      <c r="I166" s="19"/>
      <c r="J166" s="19"/>
      <c r="K166" s="76"/>
      <c r="L166" s="19"/>
      <c r="M166" s="77"/>
      <c r="N166" s="78"/>
      <c r="O166" s="19"/>
      <c r="P166" s="7"/>
      <c r="Q166" s="7"/>
      <c r="R166" s="7"/>
      <c r="S166" s="7" t="str">
        <f>IF($C166="","",IF(OR($M166="",$N166=""),'Lists &amp; Settings'!$O$10,IF($N166="Fail",'Lists &amp; Settings'!$O$9,IF($N166="Insufficient Evidence",'Lists &amp; Settings'!$O$10,IF($N166="Pass",IF($M166&gt;='Lists &amp; Settings'!$N$2,'Lists &amp; Settings'!$O$2,IF($M166&gt;='Lists &amp; Settings'!$N$3,'Lists &amp; Settings'!$O$3,'Lists &amp; Settings'!$O$4)),IF($N166="Partial",IF($M166&gt;='Lists &amp; Settings'!$N$6,'Lists &amp; Settings'!$O$6,IF($M166&gt;='Lists &amp; Settings'!$N$7,'Lists &amp; Settings'!$O$7,'Lists &amp; Settings'!$O$8)),'Lists &amp; Settings'!$O$10))))))</f>
        <v/>
      </c>
      <c r="T166" s="7"/>
      <c r="U166" s="7"/>
      <c r="V166" s="7"/>
      <c r="W166" s="7"/>
      <c r="X166" s="7"/>
      <c r="Y166" s="7"/>
      <c r="Z166" s="7"/>
      <c r="AA166" s="76"/>
      <c r="AB166" s="76"/>
    </row>
    <row r="167" ht="15.75" customHeight="1">
      <c r="A167" s="7"/>
      <c r="B167" s="7"/>
      <c r="C167" s="7"/>
      <c r="D167" s="7"/>
      <c r="E167" s="7"/>
      <c r="F167" s="7"/>
      <c r="G167" s="7"/>
      <c r="H167" s="7"/>
      <c r="I167" s="19"/>
      <c r="J167" s="19"/>
      <c r="K167" s="76"/>
      <c r="L167" s="19"/>
      <c r="M167" s="77"/>
      <c r="N167" s="78"/>
      <c r="O167" s="19"/>
      <c r="P167" s="7"/>
      <c r="Q167" s="7"/>
      <c r="R167" s="7"/>
      <c r="S167" s="7" t="str">
        <f>IF($C167="","",IF(OR($M167="",$N167=""),'Lists &amp; Settings'!$O$10,IF($N167="Fail",'Lists &amp; Settings'!$O$9,IF($N167="Insufficient Evidence",'Lists &amp; Settings'!$O$10,IF($N167="Pass",IF($M167&gt;='Lists &amp; Settings'!$N$2,'Lists &amp; Settings'!$O$2,IF($M167&gt;='Lists &amp; Settings'!$N$3,'Lists &amp; Settings'!$O$3,'Lists &amp; Settings'!$O$4)),IF($N167="Partial",IF($M167&gt;='Lists &amp; Settings'!$N$6,'Lists &amp; Settings'!$O$6,IF($M167&gt;='Lists &amp; Settings'!$N$7,'Lists &amp; Settings'!$O$7,'Lists &amp; Settings'!$O$8)),'Lists &amp; Settings'!$O$10))))))</f>
        <v/>
      </c>
      <c r="T167" s="7"/>
      <c r="U167" s="7"/>
      <c r="V167" s="7"/>
      <c r="W167" s="7"/>
      <c r="X167" s="7"/>
      <c r="Y167" s="7"/>
      <c r="Z167" s="7"/>
      <c r="AA167" s="76"/>
      <c r="AB167" s="76"/>
    </row>
    <row r="168" ht="15.75" customHeight="1">
      <c r="A168" s="7"/>
      <c r="B168" s="7"/>
      <c r="C168" s="7"/>
      <c r="D168" s="7"/>
      <c r="E168" s="7"/>
      <c r="F168" s="7"/>
      <c r="G168" s="7"/>
      <c r="H168" s="7"/>
      <c r="I168" s="19"/>
      <c r="J168" s="19"/>
      <c r="K168" s="76"/>
      <c r="L168" s="19"/>
      <c r="M168" s="77"/>
      <c r="N168" s="78"/>
      <c r="O168" s="19"/>
      <c r="P168" s="7"/>
      <c r="Q168" s="7"/>
      <c r="R168" s="7"/>
      <c r="S168" s="7" t="str">
        <f>IF($C168="","",IF(OR($M168="",$N168=""),'Lists &amp; Settings'!$O$10,IF($N168="Fail",'Lists &amp; Settings'!$O$9,IF($N168="Insufficient Evidence",'Lists &amp; Settings'!$O$10,IF($N168="Pass",IF($M168&gt;='Lists &amp; Settings'!$N$2,'Lists &amp; Settings'!$O$2,IF($M168&gt;='Lists &amp; Settings'!$N$3,'Lists &amp; Settings'!$O$3,'Lists &amp; Settings'!$O$4)),IF($N168="Partial",IF($M168&gt;='Lists &amp; Settings'!$N$6,'Lists &amp; Settings'!$O$6,IF($M168&gt;='Lists &amp; Settings'!$N$7,'Lists &amp; Settings'!$O$7,'Lists &amp; Settings'!$O$8)),'Lists &amp; Settings'!$O$10))))))</f>
        <v/>
      </c>
      <c r="T168" s="7"/>
      <c r="U168" s="7"/>
      <c r="V168" s="7"/>
      <c r="W168" s="7"/>
      <c r="X168" s="7"/>
      <c r="Y168" s="7"/>
      <c r="Z168" s="7"/>
      <c r="AA168" s="76"/>
      <c r="AB168" s="76"/>
    </row>
    <row r="169" ht="15.75" customHeight="1">
      <c r="A169" s="7"/>
      <c r="B169" s="7"/>
      <c r="C169" s="7"/>
      <c r="D169" s="7"/>
      <c r="E169" s="7"/>
      <c r="F169" s="7"/>
      <c r="G169" s="7"/>
      <c r="H169" s="7"/>
      <c r="I169" s="19"/>
      <c r="J169" s="19"/>
      <c r="K169" s="76"/>
      <c r="L169" s="19"/>
      <c r="M169" s="77"/>
      <c r="N169" s="78"/>
      <c r="O169" s="19"/>
      <c r="P169" s="7"/>
      <c r="Q169" s="7"/>
      <c r="R169" s="7"/>
      <c r="S169" s="7" t="str">
        <f>IF($C169="","",IF(OR($M169="",$N169=""),'Lists &amp; Settings'!$O$10,IF($N169="Fail",'Lists &amp; Settings'!$O$9,IF($N169="Insufficient Evidence",'Lists &amp; Settings'!$O$10,IF($N169="Pass",IF($M169&gt;='Lists &amp; Settings'!$N$2,'Lists &amp; Settings'!$O$2,IF($M169&gt;='Lists &amp; Settings'!$N$3,'Lists &amp; Settings'!$O$3,'Lists &amp; Settings'!$O$4)),IF($N169="Partial",IF($M169&gt;='Lists &amp; Settings'!$N$6,'Lists &amp; Settings'!$O$6,IF($M169&gt;='Lists &amp; Settings'!$N$7,'Lists &amp; Settings'!$O$7,'Lists &amp; Settings'!$O$8)),'Lists &amp; Settings'!$O$10))))))</f>
        <v/>
      </c>
      <c r="T169" s="7"/>
      <c r="U169" s="7"/>
      <c r="V169" s="7"/>
      <c r="W169" s="7"/>
      <c r="X169" s="7"/>
      <c r="Y169" s="7"/>
      <c r="Z169" s="7"/>
      <c r="AA169" s="76"/>
      <c r="AB169" s="76"/>
    </row>
    <row r="170" ht="15.75" customHeight="1">
      <c r="A170" s="7"/>
      <c r="B170" s="7"/>
      <c r="C170" s="7"/>
      <c r="D170" s="7"/>
      <c r="E170" s="7"/>
      <c r="F170" s="7"/>
      <c r="G170" s="7"/>
      <c r="H170" s="7"/>
      <c r="I170" s="19"/>
      <c r="J170" s="19"/>
      <c r="K170" s="76"/>
      <c r="L170" s="19"/>
      <c r="M170" s="77"/>
      <c r="N170" s="78"/>
      <c r="O170" s="19"/>
      <c r="P170" s="7"/>
      <c r="Q170" s="7"/>
      <c r="R170" s="7"/>
      <c r="S170" s="7" t="str">
        <f>IF($C170="","",IF(OR($M170="",$N170=""),'Lists &amp; Settings'!$O$10,IF($N170="Fail",'Lists &amp; Settings'!$O$9,IF($N170="Insufficient Evidence",'Lists &amp; Settings'!$O$10,IF($N170="Pass",IF($M170&gt;='Lists &amp; Settings'!$N$2,'Lists &amp; Settings'!$O$2,IF($M170&gt;='Lists &amp; Settings'!$N$3,'Lists &amp; Settings'!$O$3,'Lists &amp; Settings'!$O$4)),IF($N170="Partial",IF($M170&gt;='Lists &amp; Settings'!$N$6,'Lists &amp; Settings'!$O$6,IF($M170&gt;='Lists &amp; Settings'!$N$7,'Lists &amp; Settings'!$O$7,'Lists &amp; Settings'!$O$8)),'Lists &amp; Settings'!$O$10))))))</f>
        <v/>
      </c>
      <c r="T170" s="7"/>
      <c r="U170" s="7"/>
      <c r="V170" s="7"/>
      <c r="W170" s="7"/>
      <c r="X170" s="7"/>
      <c r="Y170" s="7"/>
      <c r="Z170" s="7"/>
      <c r="AA170" s="76"/>
      <c r="AB170" s="76"/>
    </row>
    <row r="171" ht="15.75" customHeight="1">
      <c r="A171" s="7"/>
      <c r="B171" s="7"/>
      <c r="C171" s="7"/>
      <c r="D171" s="7"/>
      <c r="E171" s="7"/>
      <c r="F171" s="7"/>
      <c r="G171" s="7"/>
      <c r="H171" s="7"/>
      <c r="I171" s="19"/>
      <c r="J171" s="19"/>
      <c r="K171" s="76"/>
      <c r="L171" s="19"/>
      <c r="M171" s="77"/>
      <c r="N171" s="78"/>
      <c r="O171" s="19"/>
      <c r="P171" s="7"/>
      <c r="Q171" s="7"/>
      <c r="R171" s="7"/>
      <c r="S171" s="7" t="str">
        <f>IF($C171="","",IF(OR($M171="",$N171=""),'Lists &amp; Settings'!$O$10,IF($N171="Fail",'Lists &amp; Settings'!$O$9,IF($N171="Insufficient Evidence",'Lists &amp; Settings'!$O$10,IF($N171="Pass",IF($M171&gt;='Lists &amp; Settings'!$N$2,'Lists &amp; Settings'!$O$2,IF($M171&gt;='Lists &amp; Settings'!$N$3,'Lists &amp; Settings'!$O$3,'Lists &amp; Settings'!$O$4)),IF($N171="Partial",IF($M171&gt;='Lists &amp; Settings'!$N$6,'Lists &amp; Settings'!$O$6,IF($M171&gt;='Lists &amp; Settings'!$N$7,'Lists &amp; Settings'!$O$7,'Lists &amp; Settings'!$O$8)),'Lists &amp; Settings'!$O$10))))))</f>
        <v/>
      </c>
      <c r="T171" s="7"/>
      <c r="U171" s="7"/>
      <c r="V171" s="7"/>
      <c r="W171" s="7"/>
      <c r="X171" s="7"/>
      <c r="Y171" s="7"/>
      <c r="Z171" s="7"/>
      <c r="AA171" s="76"/>
      <c r="AB171" s="76"/>
    </row>
    <row r="172" ht="15.75" customHeight="1">
      <c r="A172" s="7"/>
      <c r="B172" s="7"/>
      <c r="C172" s="7"/>
      <c r="D172" s="7"/>
      <c r="E172" s="7"/>
      <c r="F172" s="7"/>
      <c r="G172" s="7"/>
      <c r="H172" s="7"/>
      <c r="I172" s="19"/>
      <c r="J172" s="19"/>
      <c r="K172" s="76"/>
      <c r="L172" s="19"/>
      <c r="M172" s="77"/>
      <c r="N172" s="78"/>
      <c r="O172" s="19"/>
      <c r="P172" s="7"/>
      <c r="Q172" s="7"/>
      <c r="R172" s="7"/>
      <c r="S172" s="7" t="str">
        <f>IF($C172="","",IF(OR($M172="",$N172=""),'Lists &amp; Settings'!$O$10,IF($N172="Fail",'Lists &amp; Settings'!$O$9,IF($N172="Insufficient Evidence",'Lists &amp; Settings'!$O$10,IF($N172="Pass",IF($M172&gt;='Lists &amp; Settings'!$N$2,'Lists &amp; Settings'!$O$2,IF($M172&gt;='Lists &amp; Settings'!$N$3,'Lists &amp; Settings'!$O$3,'Lists &amp; Settings'!$O$4)),IF($N172="Partial",IF($M172&gt;='Lists &amp; Settings'!$N$6,'Lists &amp; Settings'!$O$6,IF($M172&gt;='Lists &amp; Settings'!$N$7,'Lists &amp; Settings'!$O$7,'Lists &amp; Settings'!$O$8)),'Lists &amp; Settings'!$O$10))))))</f>
        <v/>
      </c>
      <c r="T172" s="7"/>
      <c r="U172" s="7"/>
      <c r="V172" s="7"/>
      <c r="W172" s="7"/>
      <c r="X172" s="7"/>
      <c r="Y172" s="7"/>
      <c r="Z172" s="7"/>
      <c r="AA172" s="76"/>
      <c r="AB172" s="76"/>
    </row>
    <row r="173" ht="15.75" customHeight="1">
      <c r="A173" s="7"/>
      <c r="B173" s="7"/>
      <c r="C173" s="7"/>
      <c r="D173" s="7"/>
      <c r="E173" s="7"/>
      <c r="F173" s="7"/>
      <c r="G173" s="7"/>
      <c r="H173" s="7"/>
      <c r="I173" s="19"/>
      <c r="J173" s="19"/>
      <c r="K173" s="76"/>
      <c r="L173" s="19"/>
      <c r="M173" s="77"/>
      <c r="N173" s="78"/>
      <c r="O173" s="19"/>
      <c r="P173" s="7"/>
      <c r="Q173" s="7"/>
      <c r="R173" s="7"/>
      <c r="S173" s="7" t="str">
        <f>IF($C173="","",IF(OR($M173="",$N173=""),'Lists &amp; Settings'!$O$10,IF($N173="Fail",'Lists &amp; Settings'!$O$9,IF($N173="Insufficient Evidence",'Lists &amp; Settings'!$O$10,IF($N173="Pass",IF($M173&gt;='Lists &amp; Settings'!$N$2,'Lists &amp; Settings'!$O$2,IF($M173&gt;='Lists &amp; Settings'!$N$3,'Lists &amp; Settings'!$O$3,'Lists &amp; Settings'!$O$4)),IF($N173="Partial",IF($M173&gt;='Lists &amp; Settings'!$N$6,'Lists &amp; Settings'!$O$6,IF($M173&gt;='Lists &amp; Settings'!$N$7,'Lists &amp; Settings'!$O$7,'Lists &amp; Settings'!$O$8)),'Lists &amp; Settings'!$O$10))))))</f>
        <v/>
      </c>
      <c r="T173" s="7"/>
      <c r="U173" s="7"/>
      <c r="V173" s="7"/>
      <c r="W173" s="7"/>
      <c r="X173" s="7"/>
      <c r="Y173" s="7"/>
      <c r="Z173" s="7"/>
      <c r="AA173" s="76"/>
      <c r="AB173" s="76"/>
    </row>
    <row r="174" ht="15.75" customHeight="1">
      <c r="A174" s="7"/>
      <c r="B174" s="7"/>
      <c r="C174" s="7"/>
      <c r="D174" s="7"/>
      <c r="E174" s="7"/>
      <c r="F174" s="7"/>
      <c r="G174" s="7"/>
      <c r="H174" s="7"/>
      <c r="I174" s="19"/>
      <c r="J174" s="19"/>
      <c r="K174" s="76"/>
      <c r="L174" s="19"/>
      <c r="M174" s="77"/>
      <c r="N174" s="78"/>
      <c r="O174" s="19"/>
      <c r="P174" s="7"/>
      <c r="Q174" s="7"/>
      <c r="R174" s="7"/>
      <c r="S174" s="7" t="str">
        <f>IF($C174="","",IF(OR($M174="",$N174=""),'Lists &amp; Settings'!$O$10,IF($N174="Fail",'Lists &amp; Settings'!$O$9,IF($N174="Insufficient Evidence",'Lists &amp; Settings'!$O$10,IF($N174="Pass",IF($M174&gt;='Lists &amp; Settings'!$N$2,'Lists &amp; Settings'!$O$2,IF($M174&gt;='Lists &amp; Settings'!$N$3,'Lists &amp; Settings'!$O$3,'Lists &amp; Settings'!$O$4)),IF($N174="Partial",IF($M174&gt;='Lists &amp; Settings'!$N$6,'Lists &amp; Settings'!$O$6,IF($M174&gt;='Lists &amp; Settings'!$N$7,'Lists &amp; Settings'!$O$7,'Lists &amp; Settings'!$O$8)),'Lists &amp; Settings'!$O$10))))))</f>
        <v/>
      </c>
      <c r="T174" s="7"/>
      <c r="U174" s="7"/>
      <c r="V174" s="7"/>
      <c r="W174" s="7"/>
      <c r="X174" s="7"/>
      <c r="Y174" s="7"/>
      <c r="Z174" s="7"/>
      <c r="AA174" s="76"/>
      <c r="AB174" s="76"/>
    </row>
    <row r="175" ht="15.75" customHeight="1">
      <c r="A175" s="7"/>
      <c r="B175" s="7"/>
      <c r="C175" s="7"/>
      <c r="D175" s="7"/>
      <c r="E175" s="7"/>
      <c r="F175" s="7"/>
      <c r="G175" s="7"/>
      <c r="H175" s="7"/>
      <c r="I175" s="19"/>
      <c r="J175" s="19"/>
      <c r="K175" s="76"/>
      <c r="L175" s="19"/>
      <c r="M175" s="77"/>
      <c r="N175" s="78"/>
      <c r="O175" s="19"/>
      <c r="P175" s="7"/>
      <c r="Q175" s="7"/>
      <c r="R175" s="7"/>
      <c r="S175" s="7" t="str">
        <f>IF($C175="","",IF(OR($M175="",$N175=""),'Lists &amp; Settings'!$O$10,IF($N175="Fail",'Lists &amp; Settings'!$O$9,IF($N175="Insufficient Evidence",'Lists &amp; Settings'!$O$10,IF($N175="Pass",IF($M175&gt;='Lists &amp; Settings'!$N$2,'Lists &amp; Settings'!$O$2,IF($M175&gt;='Lists &amp; Settings'!$N$3,'Lists &amp; Settings'!$O$3,'Lists &amp; Settings'!$O$4)),IF($N175="Partial",IF($M175&gt;='Lists &amp; Settings'!$N$6,'Lists &amp; Settings'!$O$6,IF($M175&gt;='Lists &amp; Settings'!$N$7,'Lists &amp; Settings'!$O$7,'Lists &amp; Settings'!$O$8)),'Lists &amp; Settings'!$O$10))))))</f>
        <v/>
      </c>
      <c r="T175" s="7"/>
      <c r="U175" s="7"/>
      <c r="V175" s="7"/>
      <c r="W175" s="7"/>
      <c r="X175" s="7"/>
      <c r="Y175" s="7"/>
      <c r="Z175" s="7"/>
      <c r="AA175" s="76"/>
      <c r="AB175" s="76"/>
    </row>
    <row r="176" ht="15.75" customHeight="1">
      <c r="A176" s="7"/>
      <c r="B176" s="7"/>
      <c r="C176" s="7"/>
      <c r="D176" s="7"/>
      <c r="E176" s="7"/>
      <c r="F176" s="7"/>
      <c r="G176" s="7"/>
      <c r="H176" s="7"/>
      <c r="I176" s="19"/>
      <c r="J176" s="19"/>
      <c r="K176" s="76"/>
      <c r="L176" s="19"/>
      <c r="M176" s="77"/>
      <c r="N176" s="78"/>
      <c r="O176" s="19"/>
      <c r="P176" s="7"/>
      <c r="Q176" s="7"/>
      <c r="R176" s="7"/>
      <c r="S176" s="7" t="str">
        <f>IF($C176="","",IF(OR($M176="",$N176=""),'Lists &amp; Settings'!$O$10,IF($N176="Fail",'Lists &amp; Settings'!$O$9,IF($N176="Insufficient Evidence",'Lists &amp; Settings'!$O$10,IF($N176="Pass",IF($M176&gt;='Lists &amp; Settings'!$N$2,'Lists &amp; Settings'!$O$2,IF($M176&gt;='Lists &amp; Settings'!$N$3,'Lists &amp; Settings'!$O$3,'Lists &amp; Settings'!$O$4)),IF($N176="Partial",IF($M176&gt;='Lists &amp; Settings'!$N$6,'Lists &amp; Settings'!$O$6,IF($M176&gt;='Lists &amp; Settings'!$N$7,'Lists &amp; Settings'!$O$7,'Lists &amp; Settings'!$O$8)),'Lists &amp; Settings'!$O$10))))))</f>
        <v/>
      </c>
      <c r="T176" s="7"/>
      <c r="U176" s="7"/>
      <c r="V176" s="7"/>
      <c r="W176" s="7"/>
      <c r="X176" s="7"/>
      <c r="Y176" s="7"/>
      <c r="Z176" s="7"/>
      <c r="AA176" s="76"/>
      <c r="AB176" s="76"/>
    </row>
    <row r="177" ht="15.75" customHeight="1">
      <c r="A177" s="7"/>
      <c r="B177" s="7"/>
      <c r="C177" s="7"/>
      <c r="D177" s="7"/>
      <c r="E177" s="7"/>
      <c r="F177" s="7"/>
      <c r="G177" s="7"/>
      <c r="H177" s="7"/>
      <c r="I177" s="19"/>
      <c r="J177" s="19"/>
      <c r="K177" s="76"/>
      <c r="L177" s="19"/>
      <c r="M177" s="77"/>
      <c r="N177" s="78"/>
      <c r="O177" s="19"/>
      <c r="P177" s="7"/>
      <c r="Q177" s="7"/>
      <c r="R177" s="7"/>
      <c r="S177" s="7" t="str">
        <f>IF($C177="","",IF(OR($M177="",$N177=""),'Lists &amp; Settings'!$O$10,IF($N177="Fail",'Lists &amp; Settings'!$O$9,IF($N177="Insufficient Evidence",'Lists &amp; Settings'!$O$10,IF($N177="Pass",IF($M177&gt;='Lists &amp; Settings'!$N$2,'Lists &amp; Settings'!$O$2,IF($M177&gt;='Lists &amp; Settings'!$N$3,'Lists &amp; Settings'!$O$3,'Lists &amp; Settings'!$O$4)),IF($N177="Partial",IF($M177&gt;='Lists &amp; Settings'!$N$6,'Lists &amp; Settings'!$O$6,IF($M177&gt;='Lists &amp; Settings'!$N$7,'Lists &amp; Settings'!$O$7,'Lists &amp; Settings'!$O$8)),'Lists &amp; Settings'!$O$10))))))</f>
        <v/>
      </c>
      <c r="T177" s="7"/>
      <c r="U177" s="7"/>
      <c r="V177" s="7"/>
      <c r="W177" s="7"/>
      <c r="X177" s="7"/>
      <c r="Y177" s="7"/>
      <c r="Z177" s="7"/>
      <c r="AA177" s="76"/>
      <c r="AB177" s="76"/>
    </row>
    <row r="178" ht="15.75" customHeight="1">
      <c r="A178" s="7"/>
      <c r="B178" s="7"/>
      <c r="C178" s="7"/>
      <c r="D178" s="7"/>
      <c r="E178" s="7"/>
      <c r="F178" s="7"/>
      <c r="G178" s="7"/>
      <c r="H178" s="7"/>
      <c r="I178" s="19"/>
      <c r="J178" s="19"/>
      <c r="K178" s="76"/>
      <c r="L178" s="19"/>
      <c r="M178" s="77"/>
      <c r="N178" s="78"/>
      <c r="O178" s="19"/>
      <c r="P178" s="7"/>
      <c r="Q178" s="7"/>
      <c r="R178" s="7"/>
      <c r="S178" s="7" t="str">
        <f>IF($C178="","",IF(OR($M178="",$N178=""),'Lists &amp; Settings'!$O$10,IF($N178="Fail",'Lists &amp; Settings'!$O$9,IF($N178="Insufficient Evidence",'Lists &amp; Settings'!$O$10,IF($N178="Pass",IF($M178&gt;='Lists &amp; Settings'!$N$2,'Lists &amp; Settings'!$O$2,IF($M178&gt;='Lists &amp; Settings'!$N$3,'Lists &amp; Settings'!$O$3,'Lists &amp; Settings'!$O$4)),IF($N178="Partial",IF($M178&gt;='Lists &amp; Settings'!$N$6,'Lists &amp; Settings'!$O$6,IF($M178&gt;='Lists &amp; Settings'!$N$7,'Lists &amp; Settings'!$O$7,'Lists &amp; Settings'!$O$8)),'Lists &amp; Settings'!$O$10))))))</f>
        <v/>
      </c>
      <c r="T178" s="7"/>
      <c r="U178" s="7"/>
      <c r="V178" s="7"/>
      <c r="W178" s="7"/>
      <c r="X178" s="7"/>
      <c r="Y178" s="7"/>
      <c r="Z178" s="7"/>
      <c r="AA178" s="76"/>
      <c r="AB178" s="76"/>
    </row>
    <row r="179" ht="15.75" customHeight="1">
      <c r="A179" s="7"/>
      <c r="B179" s="7"/>
      <c r="C179" s="7"/>
      <c r="D179" s="7"/>
      <c r="E179" s="7"/>
      <c r="F179" s="7"/>
      <c r="G179" s="7"/>
      <c r="H179" s="7"/>
      <c r="I179" s="19"/>
      <c r="J179" s="19"/>
      <c r="K179" s="76"/>
      <c r="L179" s="19"/>
      <c r="M179" s="77"/>
      <c r="N179" s="78"/>
      <c r="O179" s="19"/>
      <c r="P179" s="7"/>
      <c r="Q179" s="7"/>
      <c r="R179" s="7"/>
      <c r="S179" s="7" t="str">
        <f>IF($C179="","",IF(OR($M179="",$N179=""),'Lists &amp; Settings'!$O$10,IF($N179="Fail",'Lists &amp; Settings'!$O$9,IF($N179="Insufficient Evidence",'Lists &amp; Settings'!$O$10,IF($N179="Pass",IF($M179&gt;='Lists &amp; Settings'!$N$2,'Lists &amp; Settings'!$O$2,IF($M179&gt;='Lists &amp; Settings'!$N$3,'Lists &amp; Settings'!$O$3,'Lists &amp; Settings'!$O$4)),IF($N179="Partial",IF($M179&gt;='Lists &amp; Settings'!$N$6,'Lists &amp; Settings'!$O$6,IF($M179&gt;='Lists &amp; Settings'!$N$7,'Lists &amp; Settings'!$O$7,'Lists &amp; Settings'!$O$8)),'Lists &amp; Settings'!$O$10))))))</f>
        <v/>
      </c>
      <c r="T179" s="7"/>
      <c r="U179" s="7"/>
      <c r="V179" s="7"/>
      <c r="W179" s="7"/>
      <c r="X179" s="7"/>
      <c r="Y179" s="7"/>
      <c r="Z179" s="7"/>
      <c r="AA179" s="76"/>
      <c r="AB179" s="76"/>
    </row>
    <row r="180" ht="15.75" customHeight="1">
      <c r="A180" s="7"/>
      <c r="B180" s="7"/>
      <c r="C180" s="7"/>
      <c r="D180" s="7"/>
      <c r="E180" s="7"/>
      <c r="F180" s="7"/>
      <c r="G180" s="7"/>
      <c r="H180" s="7"/>
      <c r="I180" s="19"/>
      <c r="J180" s="19"/>
      <c r="K180" s="76"/>
      <c r="L180" s="19"/>
      <c r="M180" s="77"/>
      <c r="N180" s="78"/>
      <c r="O180" s="19"/>
      <c r="P180" s="7"/>
      <c r="Q180" s="7"/>
      <c r="R180" s="7"/>
      <c r="S180" s="7" t="str">
        <f>IF($C180="","",IF(OR($M180="",$N180=""),'Lists &amp; Settings'!$O$10,IF($N180="Fail",'Lists &amp; Settings'!$O$9,IF($N180="Insufficient Evidence",'Lists &amp; Settings'!$O$10,IF($N180="Pass",IF($M180&gt;='Lists &amp; Settings'!$N$2,'Lists &amp; Settings'!$O$2,IF($M180&gt;='Lists &amp; Settings'!$N$3,'Lists &amp; Settings'!$O$3,'Lists &amp; Settings'!$O$4)),IF($N180="Partial",IF($M180&gt;='Lists &amp; Settings'!$N$6,'Lists &amp; Settings'!$O$6,IF($M180&gt;='Lists &amp; Settings'!$N$7,'Lists &amp; Settings'!$O$7,'Lists &amp; Settings'!$O$8)),'Lists &amp; Settings'!$O$10))))))</f>
        <v/>
      </c>
      <c r="T180" s="7"/>
      <c r="U180" s="7"/>
      <c r="V180" s="7"/>
      <c r="W180" s="7"/>
      <c r="X180" s="7"/>
      <c r="Y180" s="7"/>
      <c r="Z180" s="7"/>
      <c r="AA180" s="76"/>
      <c r="AB180" s="76"/>
    </row>
    <row r="181" ht="15.75" customHeight="1">
      <c r="A181" s="7"/>
      <c r="B181" s="7"/>
      <c r="C181" s="7"/>
      <c r="D181" s="7"/>
      <c r="E181" s="7"/>
      <c r="F181" s="7"/>
      <c r="G181" s="7"/>
      <c r="H181" s="7"/>
      <c r="I181" s="19"/>
      <c r="J181" s="19"/>
      <c r="K181" s="76"/>
      <c r="L181" s="19"/>
      <c r="M181" s="77"/>
      <c r="N181" s="78"/>
      <c r="O181" s="19"/>
      <c r="P181" s="7"/>
      <c r="Q181" s="7"/>
      <c r="R181" s="7"/>
      <c r="S181" s="7" t="str">
        <f>IF($C181="","",IF(OR($M181="",$N181=""),'Lists &amp; Settings'!$O$10,IF($N181="Fail",'Lists &amp; Settings'!$O$9,IF($N181="Insufficient Evidence",'Lists &amp; Settings'!$O$10,IF($N181="Pass",IF($M181&gt;='Lists &amp; Settings'!$N$2,'Lists &amp; Settings'!$O$2,IF($M181&gt;='Lists &amp; Settings'!$N$3,'Lists &amp; Settings'!$O$3,'Lists &amp; Settings'!$O$4)),IF($N181="Partial",IF($M181&gt;='Lists &amp; Settings'!$N$6,'Lists &amp; Settings'!$O$6,IF($M181&gt;='Lists &amp; Settings'!$N$7,'Lists &amp; Settings'!$O$7,'Lists &amp; Settings'!$O$8)),'Lists &amp; Settings'!$O$10))))))</f>
        <v/>
      </c>
      <c r="T181" s="7"/>
      <c r="U181" s="7"/>
      <c r="V181" s="7"/>
      <c r="W181" s="7"/>
      <c r="X181" s="7"/>
      <c r="Y181" s="7"/>
      <c r="Z181" s="7"/>
      <c r="AA181" s="76"/>
      <c r="AB181" s="76"/>
    </row>
    <row r="182" ht="15.75" customHeight="1">
      <c r="A182" s="7"/>
      <c r="B182" s="7"/>
      <c r="C182" s="7"/>
      <c r="D182" s="7"/>
      <c r="E182" s="7"/>
      <c r="F182" s="7"/>
      <c r="G182" s="7"/>
      <c r="H182" s="7"/>
      <c r="I182" s="19"/>
      <c r="J182" s="19"/>
      <c r="K182" s="76"/>
      <c r="L182" s="19"/>
      <c r="M182" s="77"/>
      <c r="N182" s="78"/>
      <c r="O182" s="19"/>
      <c r="P182" s="7"/>
      <c r="Q182" s="7"/>
      <c r="R182" s="7"/>
      <c r="S182" s="7" t="str">
        <f>IF($C182="","",IF(OR($M182="",$N182=""),'Lists &amp; Settings'!$O$10,IF($N182="Fail",'Lists &amp; Settings'!$O$9,IF($N182="Insufficient Evidence",'Lists &amp; Settings'!$O$10,IF($N182="Pass",IF($M182&gt;='Lists &amp; Settings'!$N$2,'Lists &amp; Settings'!$O$2,IF($M182&gt;='Lists &amp; Settings'!$N$3,'Lists &amp; Settings'!$O$3,'Lists &amp; Settings'!$O$4)),IF($N182="Partial",IF($M182&gt;='Lists &amp; Settings'!$N$6,'Lists &amp; Settings'!$O$6,IF($M182&gt;='Lists &amp; Settings'!$N$7,'Lists &amp; Settings'!$O$7,'Lists &amp; Settings'!$O$8)),'Lists &amp; Settings'!$O$10))))))</f>
        <v/>
      </c>
      <c r="T182" s="7"/>
      <c r="U182" s="7"/>
      <c r="V182" s="7"/>
      <c r="W182" s="7"/>
      <c r="X182" s="7"/>
      <c r="Y182" s="7"/>
      <c r="Z182" s="7"/>
      <c r="AA182" s="76"/>
      <c r="AB182" s="76"/>
    </row>
    <row r="183" ht="15.75" customHeight="1">
      <c r="A183" s="7"/>
      <c r="B183" s="7"/>
      <c r="C183" s="7"/>
      <c r="D183" s="7"/>
      <c r="E183" s="7"/>
      <c r="F183" s="7"/>
      <c r="G183" s="7"/>
      <c r="H183" s="7"/>
      <c r="I183" s="19"/>
      <c r="J183" s="19"/>
      <c r="K183" s="76"/>
      <c r="L183" s="19"/>
      <c r="M183" s="77"/>
      <c r="N183" s="78"/>
      <c r="O183" s="19"/>
      <c r="P183" s="7"/>
      <c r="Q183" s="7"/>
      <c r="R183" s="7"/>
      <c r="S183" s="7" t="str">
        <f>IF($C183="","",IF(OR($M183="",$N183=""),'Lists &amp; Settings'!$O$10,IF($N183="Fail",'Lists &amp; Settings'!$O$9,IF($N183="Insufficient Evidence",'Lists &amp; Settings'!$O$10,IF($N183="Pass",IF($M183&gt;='Lists &amp; Settings'!$N$2,'Lists &amp; Settings'!$O$2,IF($M183&gt;='Lists &amp; Settings'!$N$3,'Lists &amp; Settings'!$O$3,'Lists &amp; Settings'!$O$4)),IF($N183="Partial",IF($M183&gt;='Lists &amp; Settings'!$N$6,'Lists &amp; Settings'!$O$6,IF($M183&gt;='Lists &amp; Settings'!$N$7,'Lists &amp; Settings'!$O$7,'Lists &amp; Settings'!$O$8)),'Lists &amp; Settings'!$O$10))))))</f>
        <v/>
      </c>
      <c r="T183" s="7"/>
      <c r="U183" s="7"/>
      <c r="V183" s="7"/>
      <c r="W183" s="7"/>
      <c r="X183" s="7"/>
      <c r="Y183" s="7"/>
      <c r="Z183" s="7"/>
      <c r="AA183" s="76"/>
      <c r="AB183" s="76"/>
    </row>
    <row r="184" ht="15.75" customHeight="1">
      <c r="A184" s="7"/>
      <c r="B184" s="7"/>
      <c r="C184" s="7"/>
      <c r="D184" s="7"/>
      <c r="E184" s="7"/>
      <c r="F184" s="7"/>
      <c r="G184" s="7"/>
      <c r="H184" s="7"/>
      <c r="I184" s="19"/>
      <c r="J184" s="19"/>
      <c r="K184" s="76"/>
      <c r="L184" s="19"/>
      <c r="M184" s="77"/>
      <c r="N184" s="78"/>
      <c r="O184" s="19"/>
      <c r="P184" s="7"/>
      <c r="Q184" s="7"/>
      <c r="R184" s="7"/>
      <c r="S184" s="7" t="str">
        <f>IF($C184="","",IF(OR($M184="",$N184=""),'Lists &amp; Settings'!$O$10,IF($N184="Fail",'Lists &amp; Settings'!$O$9,IF($N184="Insufficient Evidence",'Lists &amp; Settings'!$O$10,IF($N184="Pass",IF($M184&gt;='Lists &amp; Settings'!$N$2,'Lists &amp; Settings'!$O$2,IF($M184&gt;='Lists &amp; Settings'!$N$3,'Lists &amp; Settings'!$O$3,'Lists &amp; Settings'!$O$4)),IF($N184="Partial",IF($M184&gt;='Lists &amp; Settings'!$N$6,'Lists &amp; Settings'!$O$6,IF($M184&gt;='Lists &amp; Settings'!$N$7,'Lists &amp; Settings'!$O$7,'Lists &amp; Settings'!$O$8)),'Lists &amp; Settings'!$O$10))))))</f>
        <v/>
      </c>
      <c r="T184" s="7"/>
      <c r="U184" s="7"/>
      <c r="V184" s="7"/>
      <c r="W184" s="7"/>
      <c r="X184" s="7"/>
      <c r="Y184" s="7"/>
      <c r="Z184" s="7"/>
      <c r="AA184" s="76"/>
      <c r="AB184" s="76"/>
    </row>
    <row r="185" ht="15.75" customHeight="1">
      <c r="A185" s="7"/>
      <c r="B185" s="7"/>
      <c r="C185" s="7"/>
      <c r="D185" s="7"/>
      <c r="E185" s="7"/>
      <c r="F185" s="7"/>
      <c r="G185" s="7"/>
      <c r="H185" s="7"/>
      <c r="I185" s="19"/>
      <c r="J185" s="19"/>
      <c r="K185" s="76"/>
      <c r="L185" s="19"/>
      <c r="M185" s="77"/>
      <c r="N185" s="78"/>
      <c r="O185" s="19"/>
      <c r="P185" s="7"/>
      <c r="Q185" s="7"/>
      <c r="R185" s="7"/>
      <c r="S185" s="7" t="str">
        <f>IF($C185="","",IF(OR($M185="",$N185=""),'Lists &amp; Settings'!$O$10,IF($N185="Fail",'Lists &amp; Settings'!$O$9,IF($N185="Insufficient Evidence",'Lists &amp; Settings'!$O$10,IF($N185="Pass",IF($M185&gt;='Lists &amp; Settings'!$N$2,'Lists &amp; Settings'!$O$2,IF($M185&gt;='Lists &amp; Settings'!$N$3,'Lists &amp; Settings'!$O$3,'Lists &amp; Settings'!$O$4)),IF($N185="Partial",IF($M185&gt;='Lists &amp; Settings'!$N$6,'Lists &amp; Settings'!$O$6,IF($M185&gt;='Lists &amp; Settings'!$N$7,'Lists &amp; Settings'!$O$7,'Lists &amp; Settings'!$O$8)),'Lists &amp; Settings'!$O$10))))))</f>
        <v/>
      </c>
      <c r="T185" s="7"/>
      <c r="U185" s="7"/>
      <c r="V185" s="7"/>
      <c r="W185" s="7"/>
      <c r="X185" s="7"/>
      <c r="Y185" s="7"/>
      <c r="Z185" s="7"/>
      <c r="AA185" s="76"/>
      <c r="AB185" s="76"/>
    </row>
    <row r="186" ht="15.75" customHeight="1">
      <c r="A186" s="7"/>
      <c r="B186" s="7"/>
      <c r="C186" s="7"/>
      <c r="D186" s="7"/>
      <c r="E186" s="7"/>
      <c r="F186" s="7"/>
      <c r="G186" s="7"/>
      <c r="H186" s="7"/>
      <c r="I186" s="19"/>
      <c r="J186" s="19"/>
      <c r="K186" s="76"/>
      <c r="L186" s="19"/>
      <c r="M186" s="77"/>
      <c r="N186" s="78"/>
      <c r="O186" s="19"/>
      <c r="P186" s="7"/>
      <c r="Q186" s="7"/>
      <c r="R186" s="7"/>
      <c r="S186" s="7" t="str">
        <f>IF($C186="","",IF(OR($M186="",$N186=""),'Lists &amp; Settings'!$O$10,IF($N186="Fail",'Lists &amp; Settings'!$O$9,IF($N186="Insufficient Evidence",'Lists &amp; Settings'!$O$10,IF($N186="Pass",IF($M186&gt;='Lists &amp; Settings'!$N$2,'Lists &amp; Settings'!$O$2,IF($M186&gt;='Lists &amp; Settings'!$N$3,'Lists &amp; Settings'!$O$3,'Lists &amp; Settings'!$O$4)),IF($N186="Partial",IF($M186&gt;='Lists &amp; Settings'!$N$6,'Lists &amp; Settings'!$O$6,IF($M186&gt;='Lists &amp; Settings'!$N$7,'Lists &amp; Settings'!$O$7,'Lists &amp; Settings'!$O$8)),'Lists &amp; Settings'!$O$10))))))</f>
        <v/>
      </c>
      <c r="T186" s="7"/>
      <c r="U186" s="7"/>
      <c r="V186" s="7"/>
      <c r="W186" s="7"/>
      <c r="X186" s="7"/>
      <c r="Y186" s="7"/>
      <c r="Z186" s="7"/>
      <c r="AA186" s="76"/>
      <c r="AB186" s="76"/>
    </row>
    <row r="187" ht="15.75" customHeight="1">
      <c r="A187" s="7"/>
      <c r="B187" s="7"/>
      <c r="C187" s="7"/>
      <c r="D187" s="7"/>
      <c r="E187" s="7"/>
      <c r="F187" s="7"/>
      <c r="G187" s="7"/>
      <c r="H187" s="7"/>
      <c r="I187" s="19"/>
      <c r="J187" s="19"/>
      <c r="K187" s="76"/>
      <c r="L187" s="19"/>
      <c r="M187" s="77"/>
      <c r="N187" s="78"/>
      <c r="O187" s="19"/>
      <c r="P187" s="7"/>
      <c r="Q187" s="7"/>
      <c r="R187" s="7"/>
      <c r="S187" s="7" t="str">
        <f>IF($C187="","",IF(OR($M187="",$N187=""),'Lists &amp; Settings'!$O$10,IF($N187="Fail",'Lists &amp; Settings'!$O$9,IF($N187="Insufficient Evidence",'Lists &amp; Settings'!$O$10,IF($N187="Pass",IF($M187&gt;='Lists &amp; Settings'!$N$2,'Lists &amp; Settings'!$O$2,IF($M187&gt;='Lists &amp; Settings'!$N$3,'Lists &amp; Settings'!$O$3,'Lists &amp; Settings'!$O$4)),IF($N187="Partial",IF($M187&gt;='Lists &amp; Settings'!$N$6,'Lists &amp; Settings'!$O$6,IF($M187&gt;='Lists &amp; Settings'!$N$7,'Lists &amp; Settings'!$O$7,'Lists &amp; Settings'!$O$8)),'Lists &amp; Settings'!$O$10))))))</f>
        <v/>
      </c>
      <c r="T187" s="7"/>
      <c r="U187" s="7"/>
      <c r="V187" s="7"/>
      <c r="W187" s="7"/>
      <c r="X187" s="7"/>
      <c r="Y187" s="7"/>
      <c r="Z187" s="7"/>
      <c r="AA187" s="76"/>
      <c r="AB187" s="76"/>
    </row>
    <row r="188" ht="15.75" customHeight="1">
      <c r="A188" s="7"/>
      <c r="B188" s="7"/>
      <c r="C188" s="7"/>
      <c r="D188" s="7"/>
      <c r="E188" s="7"/>
      <c r="F188" s="7"/>
      <c r="G188" s="7"/>
      <c r="H188" s="7"/>
      <c r="I188" s="19"/>
      <c r="J188" s="19"/>
      <c r="K188" s="76"/>
      <c r="L188" s="19"/>
      <c r="M188" s="77"/>
      <c r="N188" s="78"/>
      <c r="O188" s="19"/>
      <c r="P188" s="7"/>
      <c r="Q188" s="7"/>
      <c r="R188" s="7"/>
      <c r="S188" s="7" t="str">
        <f>IF($C188="","",IF(OR($M188="",$N188=""),'Lists &amp; Settings'!$O$10,IF($N188="Fail",'Lists &amp; Settings'!$O$9,IF($N188="Insufficient Evidence",'Lists &amp; Settings'!$O$10,IF($N188="Pass",IF($M188&gt;='Lists &amp; Settings'!$N$2,'Lists &amp; Settings'!$O$2,IF($M188&gt;='Lists &amp; Settings'!$N$3,'Lists &amp; Settings'!$O$3,'Lists &amp; Settings'!$O$4)),IF($N188="Partial",IF($M188&gt;='Lists &amp; Settings'!$N$6,'Lists &amp; Settings'!$O$6,IF($M188&gt;='Lists &amp; Settings'!$N$7,'Lists &amp; Settings'!$O$7,'Lists &amp; Settings'!$O$8)),'Lists &amp; Settings'!$O$10))))))</f>
        <v/>
      </c>
      <c r="T188" s="7"/>
      <c r="U188" s="7"/>
      <c r="V188" s="7"/>
      <c r="W188" s="7"/>
      <c r="X188" s="7"/>
      <c r="Y188" s="7"/>
      <c r="Z188" s="7"/>
      <c r="AA188" s="76"/>
      <c r="AB188" s="76"/>
    </row>
    <row r="189" ht="15.75" customHeight="1">
      <c r="A189" s="7"/>
      <c r="B189" s="7"/>
      <c r="C189" s="7"/>
      <c r="D189" s="7"/>
      <c r="E189" s="7"/>
      <c r="F189" s="7"/>
      <c r="G189" s="7"/>
      <c r="H189" s="7"/>
      <c r="I189" s="19"/>
      <c r="J189" s="19"/>
      <c r="K189" s="76"/>
      <c r="L189" s="19"/>
      <c r="M189" s="77"/>
      <c r="N189" s="78"/>
      <c r="O189" s="19"/>
      <c r="P189" s="7"/>
      <c r="Q189" s="7"/>
      <c r="R189" s="7"/>
      <c r="S189" s="7" t="str">
        <f>IF($C189="","",IF(OR($M189="",$N189=""),'Lists &amp; Settings'!$O$10,IF($N189="Fail",'Lists &amp; Settings'!$O$9,IF($N189="Insufficient Evidence",'Lists &amp; Settings'!$O$10,IF($N189="Pass",IF($M189&gt;='Lists &amp; Settings'!$N$2,'Lists &amp; Settings'!$O$2,IF($M189&gt;='Lists &amp; Settings'!$N$3,'Lists &amp; Settings'!$O$3,'Lists &amp; Settings'!$O$4)),IF($N189="Partial",IF($M189&gt;='Lists &amp; Settings'!$N$6,'Lists &amp; Settings'!$O$6,IF($M189&gt;='Lists &amp; Settings'!$N$7,'Lists &amp; Settings'!$O$7,'Lists &amp; Settings'!$O$8)),'Lists &amp; Settings'!$O$10))))))</f>
        <v/>
      </c>
      <c r="T189" s="7"/>
      <c r="U189" s="7"/>
      <c r="V189" s="7"/>
      <c r="W189" s="7"/>
      <c r="X189" s="7"/>
      <c r="Y189" s="7"/>
      <c r="Z189" s="7"/>
      <c r="AA189" s="76"/>
      <c r="AB189" s="76"/>
    </row>
    <row r="190" ht="15.75" customHeight="1">
      <c r="A190" s="7"/>
      <c r="B190" s="7"/>
      <c r="C190" s="7"/>
      <c r="D190" s="7"/>
      <c r="E190" s="7"/>
      <c r="F190" s="7"/>
      <c r="G190" s="7"/>
      <c r="H190" s="7"/>
      <c r="I190" s="19"/>
      <c r="J190" s="19"/>
      <c r="K190" s="76"/>
      <c r="L190" s="19"/>
      <c r="M190" s="77"/>
      <c r="N190" s="78"/>
      <c r="O190" s="19"/>
      <c r="P190" s="7"/>
      <c r="Q190" s="7"/>
      <c r="R190" s="7"/>
      <c r="S190" s="7" t="str">
        <f>IF($C190="","",IF(OR($M190="",$N190=""),'Lists &amp; Settings'!$O$10,IF($N190="Fail",'Lists &amp; Settings'!$O$9,IF($N190="Insufficient Evidence",'Lists &amp; Settings'!$O$10,IF($N190="Pass",IF($M190&gt;='Lists &amp; Settings'!$N$2,'Lists &amp; Settings'!$O$2,IF($M190&gt;='Lists &amp; Settings'!$N$3,'Lists &amp; Settings'!$O$3,'Lists &amp; Settings'!$O$4)),IF($N190="Partial",IF($M190&gt;='Lists &amp; Settings'!$N$6,'Lists &amp; Settings'!$O$6,IF($M190&gt;='Lists &amp; Settings'!$N$7,'Lists &amp; Settings'!$O$7,'Lists &amp; Settings'!$O$8)),'Lists &amp; Settings'!$O$10))))))</f>
        <v/>
      </c>
      <c r="T190" s="7"/>
      <c r="U190" s="7"/>
      <c r="V190" s="7"/>
      <c r="W190" s="7"/>
      <c r="X190" s="7"/>
      <c r="Y190" s="7"/>
      <c r="Z190" s="7"/>
      <c r="AA190" s="76"/>
      <c r="AB190" s="76"/>
    </row>
    <row r="191" ht="15.75" customHeight="1">
      <c r="A191" s="7"/>
      <c r="B191" s="7"/>
      <c r="C191" s="7"/>
      <c r="D191" s="7"/>
      <c r="E191" s="7"/>
      <c r="F191" s="7"/>
      <c r="G191" s="7"/>
      <c r="H191" s="7"/>
      <c r="I191" s="19"/>
      <c r="J191" s="19"/>
      <c r="K191" s="76"/>
      <c r="L191" s="19"/>
      <c r="M191" s="77"/>
      <c r="N191" s="78"/>
      <c r="O191" s="19"/>
      <c r="P191" s="7"/>
      <c r="Q191" s="7"/>
      <c r="R191" s="7"/>
      <c r="S191" s="7" t="str">
        <f>IF($C191="","",IF(OR($M191="",$N191=""),'Lists &amp; Settings'!$O$10,IF($N191="Fail",'Lists &amp; Settings'!$O$9,IF($N191="Insufficient Evidence",'Lists &amp; Settings'!$O$10,IF($N191="Pass",IF($M191&gt;='Lists &amp; Settings'!$N$2,'Lists &amp; Settings'!$O$2,IF($M191&gt;='Lists &amp; Settings'!$N$3,'Lists &amp; Settings'!$O$3,'Lists &amp; Settings'!$O$4)),IF($N191="Partial",IF($M191&gt;='Lists &amp; Settings'!$N$6,'Lists &amp; Settings'!$O$6,IF($M191&gt;='Lists &amp; Settings'!$N$7,'Lists &amp; Settings'!$O$7,'Lists &amp; Settings'!$O$8)),'Lists &amp; Settings'!$O$10))))))</f>
        <v/>
      </c>
      <c r="T191" s="7"/>
      <c r="U191" s="7"/>
      <c r="V191" s="7"/>
      <c r="W191" s="7"/>
      <c r="X191" s="7"/>
      <c r="Y191" s="7"/>
      <c r="Z191" s="7"/>
      <c r="AA191" s="76"/>
      <c r="AB191" s="76"/>
    </row>
    <row r="192" ht="15.75" customHeight="1">
      <c r="A192" s="7"/>
      <c r="B192" s="7"/>
      <c r="C192" s="7"/>
      <c r="D192" s="7"/>
      <c r="E192" s="7"/>
      <c r="F192" s="7"/>
      <c r="G192" s="7"/>
      <c r="H192" s="7"/>
      <c r="I192" s="19"/>
      <c r="J192" s="19"/>
      <c r="K192" s="76"/>
      <c r="L192" s="19"/>
      <c r="M192" s="77"/>
      <c r="N192" s="78"/>
      <c r="O192" s="19"/>
      <c r="P192" s="7"/>
      <c r="Q192" s="7"/>
      <c r="R192" s="7"/>
      <c r="S192" s="7" t="str">
        <f>IF($C192="","",IF(OR($M192="",$N192=""),'Lists &amp; Settings'!$O$10,IF($N192="Fail",'Lists &amp; Settings'!$O$9,IF($N192="Insufficient Evidence",'Lists &amp; Settings'!$O$10,IF($N192="Pass",IF($M192&gt;='Lists &amp; Settings'!$N$2,'Lists &amp; Settings'!$O$2,IF($M192&gt;='Lists &amp; Settings'!$N$3,'Lists &amp; Settings'!$O$3,'Lists &amp; Settings'!$O$4)),IF($N192="Partial",IF($M192&gt;='Lists &amp; Settings'!$N$6,'Lists &amp; Settings'!$O$6,IF($M192&gt;='Lists &amp; Settings'!$N$7,'Lists &amp; Settings'!$O$7,'Lists &amp; Settings'!$O$8)),'Lists &amp; Settings'!$O$10))))))</f>
        <v/>
      </c>
      <c r="T192" s="7"/>
      <c r="U192" s="7"/>
      <c r="V192" s="7"/>
      <c r="W192" s="7"/>
      <c r="X192" s="7"/>
      <c r="Y192" s="7"/>
      <c r="Z192" s="7"/>
      <c r="AA192" s="76"/>
      <c r="AB192" s="76"/>
    </row>
    <row r="193" ht="15.75" customHeight="1">
      <c r="A193" s="7"/>
      <c r="B193" s="7"/>
      <c r="C193" s="7"/>
      <c r="D193" s="7"/>
      <c r="E193" s="7"/>
      <c r="F193" s="7"/>
      <c r="G193" s="7"/>
      <c r="H193" s="7"/>
      <c r="I193" s="19"/>
      <c r="J193" s="19"/>
      <c r="K193" s="76"/>
      <c r="L193" s="19"/>
      <c r="M193" s="77"/>
      <c r="N193" s="78"/>
      <c r="O193" s="19"/>
      <c r="P193" s="7"/>
      <c r="Q193" s="7"/>
      <c r="R193" s="7"/>
      <c r="S193" s="7" t="str">
        <f>IF($C193="","",IF(OR($M193="",$N193=""),'Lists &amp; Settings'!$O$10,IF($N193="Fail",'Lists &amp; Settings'!$O$9,IF($N193="Insufficient Evidence",'Lists &amp; Settings'!$O$10,IF($N193="Pass",IF($M193&gt;='Lists &amp; Settings'!$N$2,'Lists &amp; Settings'!$O$2,IF($M193&gt;='Lists &amp; Settings'!$N$3,'Lists &amp; Settings'!$O$3,'Lists &amp; Settings'!$O$4)),IF($N193="Partial",IF($M193&gt;='Lists &amp; Settings'!$N$6,'Lists &amp; Settings'!$O$6,IF($M193&gt;='Lists &amp; Settings'!$N$7,'Lists &amp; Settings'!$O$7,'Lists &amp; Settings'!$O$8)),'Lists &amp; Settings'!$O$10))))))</f>
        <v/>
      </c>
      <c r="T193" s="7"/>
      <c r="U193" s="7"/>
      <c r="V193" s="7"/>
      <c r="W193" s="7"/>
      <c r="X193" s="7"/>
      <c r="Y193" s="7"/>
      <c r="Z193" s="7"/>
      <c r="AA193" s="76"/>
      <c r="AB193" s="76"/>
    </row>
    <row r="194" ht="15.75" customHeight="1">
      <c r="A194" s="7"/>
      <c r="B194" s="7"/>
      <c r="C194" s="7"/>
      <c r="D194" s="7"/>
      <c r="E194" s="7"/>
      <c r="F194" s="7"/>
      <c r="G194" s="7"/>
      <c r="H194" s="7"/>
      <c r="I194" s="19"/>
      <c r="J194" s="19"/>
      <c r="K194" s="76"/>
      <c r="L194" s="19"/>
      <c r="M194" s="77"/>
      <c r="N194" s="78"/>
      <c r="O194" s="19"/>
      <c r="P194" s="7"/>
      <c r="Q194" s="7"/>
      <c r="R194" s="7"/>
      <c r="S194" s="7" t="str">
        <f>IF($C194="","",IF(OR($M194="",$N194=""),'Lists &amp; Settings'!$O$10,IF($N194="Fail",'Lists &amp; Settings'!$O$9,IF($N194="Insufficient Evidence",'Lists &amp; Settings'!$O$10,IF($N194="Pass",IF($M194&gt;='Lists &amp; Settings'!$N$2,'Lists &amp; Settings'!$O$2,IF($M194&gt;='Lists &amp; Settings'!$N$3,'Lists &amp; Settings'!$O$3,'Lists &amp; Settings'!$O$4)),IF($N194="Partial",IF($M194&gt;='Lists &amp; Settings'!$N$6,'Lists &amp; Settings'!$O$6,IF($M194&gt;='Lists &amp; Settings'!$N$7,'Lists &amp; Settings'!$O$7,'Lists &amp; Settings'!$O$8)),'Lists &amp; Settings'!$O$10))))))</f>
        <v/>
      </c>
      <c r="T194" s="7"/>
      <c r="U194" s="7"/>
      <c r="V194" s="7"/>
      <c r="W194" s="7"/>
      <c r="X194" s="7"/>
      <c r="Y194" s="7"/>
      <c r="Z194" s="7"/>
      <c r="AA194" s="76"/>
      <c r="AB194" s="76"/>
    </row>
    <row r="195" ht="15.75" customHeight="1">
      <c r="A195" s="7"/>
      <c r="B195" s="7"/>
      <c r="C195" s="7"/>
      <c r="D195" s="7"/>
      <c r="E195" s="7"/>
      <c r="F195" s="7"/>
      <c r="G195" s="7"/>
      <c r="H195" s="7"/>
      <c r="I195" s="19"/>
      <c r="J195" s="19"/>
      <c r="K195" s="76"/>
      <c r="L195" s="19"/>
      <c r="M195" s="77"/>
      <c r="N195" s="78"/>
      <c r="O195" s="19"/>
      <c r="P195" s="7"/>
      <c r="Q195" s="7"/>
      <c r="R195" s="7"/>
      <c r="S195" s="7" t="str">
        <f>IF($C195="","",IF(OR($M195="",$N195=""),'Lists &amp; Settings'!$O$10,IF($N195="Fail",'Lists &amp; Settings'!$O$9,IF($N195="Insufficient Evidence",'Lists &amp; Settings'!$O$10,IF($N195="Pass",IF($M195&gt;='Lists &amp; Settings'!$N$2,'Lists &amp; Settings'!$O$2,IF($M195&gt;='Lists &amp; Settings'!$N$3,'Lists &amp; Settings'!$O$3,'Lists &amp; Settings'!$O$4)),IF($N195="Partial",IF($M195&gt;='Lists &amp; Settings'!$N$6,'Lists &amp; Settings'!$O$6,IF($M195&gt;='Lists &amp; Settings'!$N$7,'Lists &amp; Settings'!$O$7,'Lists &amp; Settings'!$O$8)),'Lists &amp; Settings'!$O$10))))))</f>
        <v/>
      </c>
      <c r="T195" s="7"/>
      <c r="U195" s="7"/>
      <c r="V195" s="7"/>
      <c r="W195" s="7"/>
      <c r="X195" s="7"/>
      <c r="Y195" s="7"/>
      <c r="Z195" s="7"/>
      <c r="AA195" s="76"/>
      <c r="AB195" s="76"/>
    </row>
    <row r="196" ht="15.75" customHeight="1">
      <c r="A196" s="7"/>
      <c r="B196" s="7"/>
      <c r="C196" s="7"/>
      <c r="D196" s="7"/>
      <c r="E196" s="7"/>
      <c r="F196" s="7"/>
      <c r="G196" s="7"/>
      <c r="H196" s="7"/>
      <c r="I196" s="19"/>
      <c r="J196" s="19"/>
      <c r="K196" s="76"/>
      <c r="L196" s="19"/>
      <c r="M196" s="77"/>
      <c r="N196" s="78"/>
      <c r="O196" s="19"/>
      <c r="P196" s="7"/>
      <c r="Q196" s="7"/>
      <c r="R196" s="7"/>
      <c r="S196" s="7" t="str">
        <f>IF($C196="","",IF(OR($M196="",$N196=""),'Lists &amp; Settings'!$O$10,IF($N196="Fail",'Lists &amp; Settings'!$O$9,IF($N196="Insufficient Evidence",'Lists &amp; Settings'!$O$10,IF($N196="Pass",IF($M196&gt;='Lists &amp; Settings'!$N$2,'Lists &amp; Settings'!$O$2,IF($M196&gt;='Lists &amp; Settings'!$N$3,'Lists &amp; Settings'!$O$3,'Lists &amp; Settings'!$O$4)),IF($N196="Partial",IF($M196&gt;='Lists &amp; Settings'!$N$6,'Lists &amp; Settings'!$O$6,IF($M196&gt;='Lists &amp; Settings'!$N$7,'Lists &amp; Settings'!$O$7,'Lists &amp; Settings'!$O$8)),'Lists &amp; Settings'!$O$10))))))</f>
        <v/>
      </c>
      <c r="T196" s="7"/>
      <c r="U196" s="7"/>
      <c r="V196" s="7"/>
      <c r="W196" s="7"/>
      <c r="X196" s="7"/>
      <c r="Y196" s="7"/>
      <c r="Z196" s="7"/>
      <c r="AA196" s="76"/>
      <c r="AB196" s="76"/>
    </row>
    <row r="197" ht="15.75" customHeight="1">
      <c r="A197" s="7"/>
      <c r="B197" s="7"/>
      <c r="C197" s="7"/>
      <c r="D197" s="7"/>
      <c r="E197" s="7"/>
      <c r="F197" s="7"/>
      <c r="G197" s="7"/>
      <c r="H197" s="7"/>
      <c r="I197" s="19"/>
      <c r="J197" s="19"/>
      <c r="K197" s="76"/>
      <c r="L197" s="19"/>
      <c r="M197" s="77"/>
      <c r="N197" s="78"/>
      <c r="O197" s="19"/>
      <c r="P197" s="7"/>
      <c r="Q197" s="7"/>
      <c r="R197" s="7"/>
      <c r="S197" s="7" t="str">
        <f>IF($C197="","",IF(OR($M197="",$N197=""),'Lists &amp; Settings'!$O$10,IF($N197="Fail",'Lists &amp; Settings'!$O$9,IF($N197="Insufficient Evidence",'Lists &amp; Settings'!$O$10,IF($N197="Pass",IF($M197&gt;='Lists &amp; Settings'!$N$2,'Lists &amp; Settings'!$O$2,IF($M197&gt;='Lists &amp; Settings'!$N$3,'Lists &amp; Settings'!$O$3,'Lists &amp; Settings'!$O$4)),IF($N197="Partial",IF($M197&gt;='Lists &amp; Settings'!$N$6,'Lists &amp; Settings'!$O$6,IF($M197&gt;='Lists &amp; Settings'!$N$7,'Lists &amp; Settings'!$O$7,'Lists &amp; Settings'!$O$8)),'Lists &amp; Settings'!$O$10))))))</f>
        <v/>
      </c>
      <c r="T197" s="7"/>
      <c r="U197" s="7"/>
      <c r="V197" s="7"/>
      <c r="W197" s="7"/>
      <c r="X197" s="7"/>
      <c r="Y197" s="7"/>
      <c r="Z197" s="7"/>
      <c r="AA197" s="76"/>
      <c r="AB197" s="76"/>
    </row>
    <row r="198" ht="15.75" customHeight="1">
      <c r="A198" s="7"/>
      <c r="B198" s="7"/>
      <c r="C198" s="7"/>
      <c r="D198" s="7"/>
      <c r="E198" s="7"/>
      <c r="F198" s="7"/>
      <c r="G198" s="7"/>
      <c r="H198" s="7"/>
      <c r="I198" s="19"/>
      <c r="J198" s="19"/>
      <c r="K198" s="76"/>
      <c r="L198" s="19"/>
      <c r="M198" s="77"/>
      <c r="N198" s="78"/>
      <c r="O198" s="19"/>
      <c r="P198" s="7"/>
      <c r="Q198" s="7"/>
      <c r="R198" s="7"/>
      <c r="S198" s="7" t="str">
        <f>IF($C198="","",IF(OR($M198="",$N198=""),'Lists &amp; Settings'!$O$10,IF($N198="Fail",'Lists &amp; Settings'!$O$9,IF($N198="Insufficient Evidence",'Lists &amp; Settings'!$O$10,IF($N198="Pass",IF($M198&gt;='Lists &amp; Settings'!$N$2,'Lists &amp; Settings'!$O$2,IF($M198&gt;='Lists &amp; Settings'!$N$3,'Lists &amp; Settings'!$O$3,'Lists &amp; Settings'!$O$4)),IF($N198="Partial",IF($M198&gt;='Lists &amp; Settings'!$N$6,'Lists &amp; Settings'!$O$6,IF($M198&gt;='Lists &amp; Settings'!$N$7,'Lists &amp; Settings'!$O$7,'Lists &amp; Settings'!$O$8)),'Lists &amp; Settings'!$O$10))))))</f>
        <v/>
      </c>
      <c r="T198" s="7"/>
      <c r="U198" s="7"/>
      <c r="V198" s="7"/>
      <c r="W198" s="7"/>
      <c r="X198" s="7"/>
      <c r="Y198" s="7"/>
      <c r="Z198" s="7"/>
      <c r="AA198" s="76"/>
      <c r="AB198" s="76"/>
    </row>
    <row r="199" ht="15.75" customHeight="1">
      <c r="A199" s="7"/>
      <c r="B199" s="7"/>
      <c r="C199" s="7"/>
      <c r="D199" s="7"/>
      <c r="E199" s="7"/>
      <c r="F199" s="7"/>
      <c r="G199" s="7"/>
      <c r="H199" s="7"/>
      <c r="I199" s="19"/>
      <c r="J199" s="19"/>
      <c r="K199" s="76"/>
      <c r="L199" s="19"/>
      <c r="M199" s="77"/>
      <c r="N199" s="78"/>
      <c r="O199" s="19"/>
      <c r="P199" s="7"/>
      <c r="Q199" s="7"/>
      <c r="R199" s="7"/>
      <c r="S199" s="7" t="str">
        <f>IF($C199="","",IF(OR($M199="",$N199=""),'Lists &amp; Settings'!$O$10,IF($N199="Fail",'Lists &amp; Settings'!$O$9,IF($N199="Insufficient Evidence",'Lists &amp; Settings'!$O$10,IF($N199="Pass",IF($M199&gt;='Lists &amp; Settings'!$N$2,'Lists &amp; Settings'!$O$2,IF($M199&gt;='Lists &amp; Settings'!$N$3,'Lists &amp; Settings'!$O$3,'Lists &amp; Settings'!$O$4)),IF($N199="Partial",IF($M199&gt;='Lists &amp; Settings'!$N$6,'Lists &amp; Settings'!$O$6,IF($M199&gt;='Lists &amp; Settings'!$N$7,'Lists &amp; Settings'!$O$7,'Lists &amp; Settings'!$O$8)),'Lists &amp; Settings'!$O$10))))))</f>
        <v/>
      </c>
      <c r="T199" s="7"/>
      <c r="U199" s="7"/>
      <c r="V199" s="7"/>
      <c r="W199" s="7"/>
      <c r="X199" s="7"/>
      <c r="Y199" s="7"/>
      <c r="Z199" s="7"/>
      <c r="AA199" s="76"/>
      <c r="AB199" s="76"/>
    </row>
    <row r="200" ht="15.75" customHeight="1">
      <c r="A200" s="7"/>
      <c r="B200" s="7"/>
      <c r="C200" s="7"/>
      <c r="D200" s="7"/>
      <c r="E200" s="7"/>
      <c r="F200" s="7"/>
      <c r="G200" s="7"/>
      <c r="H200" s="7"/>
      <c r="I200" s="19"/>
      <c r="J200" s="19"/>
      <c r="K200" s="76"/>
      <c r="L200" s="19"/>
      <c r="M200" s="77"/>
      <c r="N200" s="78"/>
      <c r="O200" s="19"/>
      <c r="P200" s="7"/>
      <c r="Q200" s="7"/>
      <c r="R200" s="7"/>
      <c r="S200" s="7" t="str">
        <f>IF($C200="","",IF(OR($M200="",$N200=""),'Lists &amp; Settings'!$O$10,IF($N200="Fail",'Lists &amp; Settings'!$O$9,IF($N200="Insufficient Evidence",'Lists &amp; Settings'!$O$10,IF($N200="Pass",IF($M200&gt;='Lists &amp; Settings'!$N$2,'Lists &amp; Settings'!$O$2,IF($M200&gt;='Lists &amp; Settings'!$N$3,'Lists &amp; Settings'!$O$3,'Lists &amp; Settings'!$O$4)),IF($N200="Partial",IF($M200&gt;='Lists &amp; Settings'!$N$6,'Lists &amp; Settings'!$O$6,IF($M200&gt;='Lists &amp; Settings'!$N$7,'Lists &amp; Settings'!$O$7,'Lists &amp; Settings'!$O$8)),'Lists &amp; Settings'!$O$10))))))</f>
        <v/>
      </c>
      <c r="T200" s="7"/>
      <c r="U200" s="7"/>
      <c r="V200" s="7"/>
      <c r="W200" s="7"/>
      <c r="X200" s="7"/>
      <c r="Y200" s="7"/>
      <c r="Z200" s="7"/>
      <c r="AA200" s="76"/>
      <c r="AB200" s="76"/>
    </row>
    <row r="201" ht="15.75" customHeight="1">
      <c r="A201" s="7"/>
      <c r="B201" s="7"/>
      <c r="C201" s="7"/>
      <c r="D201" s="7"/>
      <c r="E201" s="7"/>
      <c r="F201" s="7"/>
      <c r="G201" s="7"/>
      <c r="H201" s="7"/>
      <c r="I201" s="19"/>
      <c r="J201" s="19"/>
      <c r="K201" s="76"/>
      <c r="L201" s="19"/>
      <c r="M201" s="77"/>
      <c r="N201" s="78"/>
      <c r="O201" s="19"/>
      <c r="P201" s="7"/>
      <c r="Q201" s="7"/>
      <c r="R201" s="7"/>
      <c r="S201" s="7" t="str">
        <f>IF($C201="","",IF(OR($M201="",$N201=""),'Lists &amp; Settings'!$O$10,IF($N201="Fail",'Lists &amp; Settings'!$O$9,IF($N201="Insufficient Evidence",'Lists &amp; Settings'!$O$10,IF($N201="Pass",IF($M201&gt;='Lists &amp; Settings'!$N$2,'Lists &amp; Settings'!$O$2,IF($M201&gt;='Lists &amp; Settings'!$N$3,'Lists &amp; Settings'!$O$3,'Lists &amp; Settings'!$O$4)),IF($N201="Partial",IF($M201&gt;='Lists &amp; Settings'!$N$6,'Lists &amp; Settings'!$O$6,IF($M201&gt;='Lists &amp; Settings'!$N$7,'Lists &amp; Settings'!$O$7,'Lists &amp; Settings'!$O$8)),'Lists &amp; Settings'!$O$10))))))</f>
        <v/>
      </c>
      <c r="T201" s="7"/>
      <c r="U201" s="7"/>
      <c r="V201" s="7"/>
      <c r="W201" s="7"/>
      <c r="X201" s="7"/>
      <c r="Y201" s="7"/>
      <c r="Z201" s="7"/>
      <c r="AA201" s="76"/>
      <c r="AB201" s="76"/>
    </row>
    <row r="202" ht="15.75" customHeight="1">
      <c r="A202" s="7"/>
      <c r="B202" s="7"/>
      <c r="C202" s="7"/>
      <c r="D202" s="7"/>
      <c r="E202" s="7"/>
      <c r="F202" s="7"/>
      <c r="G202" s="7"/>
      <c r="H202" s="7"/>
      <c r="I202" s="19"/>
      <c r="J202" s="19"/>
      <c r="K202" s="76"/>
      <c r="L202" s="19"/>
      <c r="M202" s="77"/>
      <c r="N202" s="78"/>
      <c r="O202" s="19"/>
      <c r="P202" s="7"/>
      <c r="Q202" s="7"/>
      <c r="R202" s="7"/>
      <c r="S202" s="7" t="str">
        <f>IF($C202="","",IF(OR($M202="",$N202=""),'Lists &amp; Settings'!$O$10,IF($N202="Fail",'Lists &amp; Settings'!$O$9,IF($N202="Insufficient Evidence",'Lists &amp; Settings'!$O$10,IF($N202="Pass",IF($M202&gt;='Lists &amp; Settings'!$N$2,'Lists &amp; Settings'!$O$2,IF($M202&gt;='Lists &amp; Settings'!$N$3,'Lists &amp; Settings'!$O$3,'Lists &amp; Settings'!$O$4)),IF($N202="Partial",IF($M202&gt;='Lists &amp; Settings'!$N$6,'Lists &amp; Settings'!$O$6,IF($M202&gt;='Lists &amp; Settings'!$N$7,'Lists &amp; Settings'!$O$7,'Lists &amp; Settings'!$O$8)),'Lists &amp; Settings'!$O$10))))))</f>
        <v/>
      </c>
      <c r="T202" s="7"/>
      <c r="U202" s="7"/>
      <c r="V202" s="7"/>
      <c r="W202" s="7"/>
      <c r="X202" s="7"/>
      <c r="Y202" s="7"/>
      <c r="Z202" s="7"/>
      <c r="AA202" s="76"/>
      <c r="AB202" s="76"/>
    </row>
    <row r="203" ht="15.75" customHeight="1">
      <c r="A203" s="7"/>
      <c r="B203" s="7"/>
      <c r="C203" s="7"/>
      <c r="D203" s="7"/>
      <c r="E203" s="7"/>
      <c r="F203" s="7"/>
      <c r="G203" s="7"/>
      <c r="H203" s="7"/>
      <c r="I203" s="19"/>
      <c r="J203" s="19"/>
      <c r="K203" s="76"/>
      <c r="L203" s="19"/>
      <c r="M203" s="77"/>
      <c r="N203" s="78"/>
      <c r="O203" s="19"/>
      <c r="P203" s="7"/>
      <c r="Q203" s="7"/>
      <c r="R203" s="7"/>
      <c r="S203" s="7" t="str">
        <f>IF($C203="","",IF(OR($M203="",$N203=""),'Lists &amp; Settings'!$O$10,IF($N203="Fail",'Lists &amp; Settings'!$O$9,IF($N203="Insufficient Evidence",'Lists &amp; Settings'!$O$10,IF($N203="Pass",IF($M203&gt;='Lists &amp; Settings'!$N$2,'Lists &amp; Settings'!$O$2,IF($M203&gt;='Lists &amp; Settings'!$N$3,'Lists &amp; Settings'!$O$3,'Lists &amp; Settings'!$O$4)),IF($N203="Partial",IF($M203&gt;='Lists &amp; Settings'!$N$6,'Lists &amp; Settings'!$O$6,IF($M203&gt;='Lists &amp; Settings'!$N$7,'Lists &amp; Settings'!$O$7,'Lists &amp; Settings'!$O$8)),'Lists &amp; Settings'!$O$10))))))</f>
        <v/>
      </c>
      <c r="T203" s="7"/>
      <c r="U203" s="7"/>
      <c r="V203" s="7"/>
      <c r="W203" s="7"/>
      <c r="X203" s="7"/>
      <c r="Y203" s="7"/>
      <c r="Z203" s="7"/>
      <c r="AA203" s="76"/>
      <c r="AB203" s="76"/>
    </row>
    <row r="204" ht="15.75" customHeight="1">
      <c r="A204" s="7"/>
      <c r="B204" s="7"/>
      <c r="C204" s="7"/>
      <c r="D204" s="7"/>
      <c r="E204" s="7"/>
      <c r="F204" s="7"/>
      <c r="G204" s="7"/>
      <c r="H204" s="7"/>
      <c r="I204" s="19"/>
      <c r="J204" s="19"/>
      <c r="K204" s="76"/>
      <c r="L204" s="19"/>
      <c r="M204" s="77"/>
      <c r="N204" s="78"/>
      <c r="O204" s="19"/>
      <c r="P204" s="7"/>
      <c r="Q204" s="7"/>
      <c r="R204" s="7"/>
      <c r="S204" s="7" t="str">
        <f>IF($C204="","",IF(OR($M204="",$N204=""),'Lists &amp; Settings'!$O$10,IF($N204="Fail",'Lists &amp; Settings'!$O$9,IF($N204="Insufficient Evidence",'Lists &amp; Settings'!$O$10,IF($N204="Pass",IF($M204&gt;='Lists &amp; Settings'!$N$2,'Lists &amp; Settings'!$O$2,IF($M204&gt;='Lists &amp; Settings'!$N$3,'Lists &amp; Settings'!$O$3,'Lists &amp; Settings'!$O$4)),IF($N204="Partial",IF($M204&gt;='Lists &amp; Settings'!$N$6,'Lists &amp; Settings'!$O$6,IF($M204&gt;='Lists &amp; Settings'!$N$7,'Lists &amp; Settings'!$O$7,'Lists &amp; Settings'!$O$8)),'Lists &amp; Settings'!$O$10))))))</f>
        <v/>
      </c>
      <c r="T204" s="7"/>
      <c r="U204" s="7"/>
      <c r="V204" s="7"/>
      <c r="W204" s="7"/>
      <c r="X204" s="7"/>
      <c r="Y204" s="7"/>
      <c r="Z204" s="7"/>
      <c r="AA204" s="76"/>
      <c r="AB204" s="76"/>
    </row>
    <row r="205" ht="15.75" customHeight="1">
      <c r="A205" s="7"/>
      <c r="B205" s="7"/>
      <c r="C205" s="7"/>
      <c r="D205" s="7"/>
      <c r="E205" s="7"/>
      <c r="F205" s="7"/>
      <c r="G205" s="7"/>
      <c r="H205" s="7"/>
      <c r="I205" s="19"/>
      <c r="J205" s="19"/>
      <c r="K205" s="76"/>
      <c r="L205" s="19"/>
      <c r="M205" s="77"/>
      <c r="N205" s="78"/>
      <c r="O205" s="19"/>
      <c r="P205" s="7"/>
      <c r="Q205" s="7"/>
      <c r="R205" s="7"/>
      <c r="S205" s="7" t="str">
        <f>IF($C205="","",IF(OR($M205="",$N205=""),'Lists &amp; Settings'!$O$10,IF($N205="Fail",'Lists &amp; Settings'!$O$9,IF($N205="Insufficient Evidence",'Lists &amp; Settings'!$O$10,IF($N205="Pass",IF($M205&gt;='Lists &amp; Settings'!$N$2,'Lists &amp; Settings'!$O$2,IF($M205&gt;='Lists &amp; Settings'!$N$3,'Lists &amp; Settings'!$O$3,'Lists &amp; Settings'!$O$4)),IF($N205="Partial",IF($M205&gt;='Lists &amp; Settings'!$N$6,'Lists &amp; Settings'!$O$6,IF($M205&gt;='Lists &amp; Settings'!$N$7,'Lists &amp; Settings'!$O$7,'Lists &amp; Settings'!$O$8)),'Lists &amp; Settings'!$O$10))))))</f>
        <v/>
      </c>
      <c r="T205" s="7"/>
      <c r="U205" s="7"/>
      <c r="V205" s="7"/>
      <c r="W205" s="7"/>
      <c r="X205" s="7"/>
      <c r="Y205" s="7"/>
      <c r="Z205" s="7"/>
      <c r="AA205" s="76"/>
      <c r="AB205" s="76"/>
    </row>
    <row r="206" ht="15.75" customHeight="1">
      <c r="A206" s="7"/>
      <c r="B206" s="7"/>
      <c r="C206" s="7"/>
      <c r="D206" s="7"/>
      <c r="E206" s="7"/>
      <c r="F206" s="7"/>
      <c r="G206" s="7"/>
      <c r="H206" s="7"/>
      <c r="I206" s="19"/>
      <c r="J206" s="19"/>
      <c r="K206" s="76"/>
      <c r="L206" s="19"/>
      <c r="M206" s="77"/>
      <c r="N206" s="78"/>
      <c r="O206" s="19"/>
      <c r="P206" s="7"/>
      <c r="Q206" s="7"/>
      <c r="R206" s="7"/>
      <c r="S206" s="7" t="str">
        <f>IF($C206="","",IF(OR($M206="",$N206=""),'Lists &amp; Settings'!$O$10,IF($N206="Fail",'Lists &amp; Settings'!$O$9,IF($N206="Insufficient Evidence",'Lists &amp; Settings'!$O$10,IF($N206="Pass",IF($M206&gt;='Lists &amp; Settings'!$N$2,'Lists &amp; Settings'!$O$2,IF($M206&gt;='Lists &amp; Settings'!$N$3,'Lists &amp; Settings'!$O$3,'Lists &amp; Settings'!$O$4)),IF($N206="Partial",IF($M206&gt;='Lists &amp; Settings'!$N$6,'Lists &amp; Settings'!$O$6,IF($M206&gt;='Lists &amp; Settings'!$N$7,'Lists &amp; Settings'!$O$7,'Lists &amp; Settings'!$O$8)),'Lists &amp; Settings'!$O$10))))))</f>
        <v/>
      </c>
      <c r="T206" s="7"/>
      <c r="U206" s="7"/>
      <c r="V206" s="7"/>
      <c r="W206" s="7"/>
      <c r="X206" s="7"/>
      <c r="Y206" s="7"/>
      <c r="Z206" s="7"/>
      <c r="AA206" s="76"/>
      <c r="AB206" s="76"/>
    </row>
    <row r="207" ht="15.75" customHeight="1">
      <c r="A207" s="7"/>
      <c r="B207" s="7"/>
      <c r="C207" s="7"/>
      <c r="D207" s="7"/>
      <c r="E207" s="7"/>
      <c r="F207" s="7"/>
      <c r="G207" s="7"/>
      <c r="H207" s="7"/>
      <c r="I207" s="19"/>
      <c r="J207" s="19"/>
      <c r="K207" s="76"/>
      <c r="L207" s="19"/>
      <c r="M207" s="77"/>
      <c r="N207" s="78"/>
      <c r="O207" s="19"/>
      <c r="P207" s="7"/>
      <c r="Q207" s="7"/>
      <c r="R207" s="7"/>
      <c r="S207" s="7" t="str">
        <f>IF($C207="","",IF(OR($M207="",$N207=""),'Lists &amp; Settings'!$O$10,IF($N207="Fail",'Lists &amp; Settings'!$O$9,IF($N207="Insufficient Evidence",'Lists &amp; Settings'!$O$10,IF($N207="Pass",IF($M207&gt;='Lists &amp; Settings'!$N$2,'Lists &amp; Settings'!$O$2,IF($M207&gt;='Lists &amp; Settings'!$N$3,'Lists &amp; Settings'!$O$3,'Lists &amp; Settings'!$O$4)),IF($N207="Partial",IF($M207&gt;='Lists &amp; Settings'!$N$6,'Lists &amp; Settings'!$O$6,IF($M207&gt;='Lists &amp; Settings'!$N$7,'Lists &amp; Settings'!$O$7,'Lists &amp; Settings'!$O$8)),'Lists &amp; Settings'!$O$10))))))</f>
        <v/>
      </c>
      <c r="T207" s="7"/>
      <c r="U207" s="7"/>
      <c r="V207" s="7"/>
      <c r="W207" s="7"/>
      <c r="X207" s="7"/>
      <c r="Y207" s="7"/>
      <c r="Z207" s="7"/>
      <c r="AA207" s="76"/>
      <c r="AB207" s="76"/>
    </row>
    <row r="208" ht="15.75" customHeight="1">
      <c r="A208" s="7"/>
      <c r="B208" s="7"/>
      <c r="C208" s="7"/>
      <c r="D208" s="7"/>
      <c r="E208" s="7"/>
      <c r="F208" s="7"/>
      <c r="G208" s="7"/>
      <c r="H208" s="7"/>
      <c r="I208" s="19"/>
      <c r="J208" s="19"/>
      <c r="K208" s="76"/>
      <c r="L208" s="19"/>
      <c r="M208" s="77"/>
      <c r="N208" s="78"/>
      <c r="O208" s="19"/>
      <c r="P208" s="7"/>
      <c r="Q208" s="7"/>
      <c r="R208" s="7"/>
      <c r="S208" s="7" t="str">
        <f>IF($C208="","",IF(OR($M208="",$N208=""),'Lists &amp; Settings'!$O$10,IF($N208="Fail",'Lists &amp; Settings'!$O$9,IF($N208="Insufficient Evidence",'Lists &amp; Settings'!$O$10,IF($N208="Pass",IF($M208&gt;='Lists &amp; Settings'!$N$2,'Lists &amp; Settings'!$O$2,IF($M208&gt;='Lists &amp; Settings'!$N$3,'Lists &amp; Settings'!$O$3,'Lists &amp; Settings'!$O$4)),IF($N208="Partial",IF($M208&gt;='Lists &amp; Settings'!$N$6,'Lists &amp; Settings'!$O$6,IF($M208&gt;='Lists &amp; Settings'!$N$7,'Lists &amp; Settings'!$O$7,'Lists &amp; Settings'!$O$8)),'Lists &amp; Settings'!$O$10))))))</f>
        <v/>
      </c>
      <c r="T208" s="7"/>
      <c r="U208" s="7"/>
      <c r="V208" s="7"/>
      <c r="W208" s="7"/>
      <c r="X208" s="7"/>
      <c r="Y208" s="7"/>
      <c r="Z208" s="7"/>
      <c r="AA208" s="76"/>
      <c r="AB208" s="76"/>
    </row>
    <row r="209" ht="15.75" customHeight="1">
      <c r="A209" s="7"/>
      <c r="B209" s="7"/>
      <c r="C209" s="7"/>
      <c r="D209" s="7"/>
      <c r="E209" s="7"/>
      <c r="F209" s="7"/>
      <c r="G209" s="7"/>
      <c r="H209" s="7"/>
      <c r="I209" s="19"/>
      <c r="J209" s="19"/>
      <c r="K209" s="76"/>
      <c r="L209" s="19"/>
      <c r="M209" s="77"/>
      <c r="N209" s="78"/>
      <c r="O209" s="19"/>
      <c r="P209" s="7"/>
      <c r="Q209" s="7"/>
      <c r="R209" s="7"/>
      <c r="S209" s="7" t="str">
        <f>IF($C209="","",IF(OR($M209="",$N209=""),'Lists &amp; Settings'!$O$10,IF($N209="Fail",'Lists &amp; Settings'!$O$9,IF($N209="Insufficient Evidence",'Lists &amp; Settings'!$O$10,IF($N209="Pass",IF($M209&gt;='Lists &amp; Settings'!$N$2,'Lists &amp; Settings'!$O$2,IF($M209&gt;='Lists &amp; Settings'!$N$3,'Lists &amp; Settings'!$O$3,'Lists &amp; Settings'!$O$4)),IF($N209="Partial",IF($M209&gt;='Lists &amp; Settings'!$N$6,'Lists &amp; Settings'!$O$6,IF($M209&gt;='Lists &amp; Settings'!$N$7,'Lists &amp; Settings'!$O$7,'Lists &amp; Settings'!$O$8)),'Lists &amp; Settings'!$O$10))))))</f>
        <v/>
      </c>
      <c r="T209" s="7"/>
      <c r="U209" s="7"/>
      <c r="V209" s="7"/>
      <c r="W209" s="7"/>
      <c r="X209" s="7"/>
      <c r="Y209" s="7"/>
      <c r="Z209" s="7"/>
      <c r="AA209" s="76"/>
      <c r="AB209" s="76"/>
    </row>
    <row r="210" ht="15.75" customHeight="1">
      <c r="A210" s="7"/>
      <c r="B210" s="7"/>
      <c r="C210" s="7"/>
      <c r="D210" s="7"/>
      <c r="E210" s="7"/>
      <c r="F210" s="7"/>
      <c r="G210" s="7"/>
      <c r="H210" s="7"/>
      <c r="I210" s="19"/>
      <c r="J210" s="19"/>
      <c r="K210" s="76"/>
      <c r="L210" s="19"/>
      <c r="M210" s="77"/>
      <c r="N210" s="78"/>
      <c r="O210" s="19"/>
      <c r="P210" s="7"/>
      <c r="Q210" s="7"/>
      <c r="R210" s="7"/>
      <c r="S210" s="7" t="str">
        <f>IF($C210="","",IF(OR($M210="",$N210=""),'Lists &amp; Settings'!$O$10,IF($N210="Fail",'Lists &amp; Settings'!$O$9,IF($N210="Insufficient Evidence",'Lists &amp; Settings'!$O$10,IF($N210="Pass",IF($M210&gt;='Lists &amp; Settings'!$N$2,'Lists &amp; Settings'!$O$2,IF($M210&gt;='Lists &amp; Settings'!$N$3,'Lists &amp; Settings'!$O$3,'Lists &amp; Settings'!$O$4)),IF($N210="Partial",IF($M210&gt;='Lists &amp; Settings'!$N$6,'Lists &amp; Settings'!$O$6,IF($M210&gt;='Lists &amp; Settings'!$N$7,'Lists &amp; Settings'!$O$7,'Lists &amp; Settings'!$O$8)),'Lists &amp; Settings'!$O$10))))))</f>
        <v/>
      </c>
      <c r="T210" s="7"/>
      <c r="U210" s="7"/>
      <c r="V210" s="7"/>
      <c r="W210" s="7"/>
      <c r="X210" s="7"/>
      <c r="Y210" s="7"/>
      <c r="Z210" s="7"/>
      <c r="AA210" s="76"/>
      <c r="AB210" s="76"/>
    </row>
    <row r="211" ht="15.75" customHeight="1">
      <c r="A211" s="7"/>
      <c r="B211" s="7"/>
      <c r="C211" s="7"/>
      <c r="D211" s="7"/>
      <c r="E211" s="7"/>
      <c r="F211" s="7"/>
      <c r="G211" s="7"/>
      <c r="H211" s="7"/>
      <c r="I211" s="19"/>
      <c r="J211" s="19"/>
      <c r="K211" s="76"/>
      <c r="L211" s="19"/>
      <c r="M211" s="77"/>
      <c r="N211" s="78"/>
      <c r="O211" s="19"/>
      <c r="P211" s="7"/>
      <c r="Q211" s="7"/>
      <c r="R211" s="7"/>
      <c r="S211" s="7" t="str">
        <f>IF($C211="","",IF(OR($M211="",$N211=""),'Lists &amp; Settings'!$O$10,IF($N211="Fail",'Lists &amp; Settings'!$O$9,IF($N211="Insufficient Evidence",'Lists &amp; Settings'!$O$10,IF($N211="Pass",IF($M211&gt;='Lists &amp; Settings'!$N$2,'Lists &amp; Settings'!$O$2,IF($M211&gt;='Lists &amp; Settings'!$N$3,'Lists &amp; Settings'!$O$3,'Lists &amp; Settings'!$O$4)),IF($N211="Partial",IF($M211&gt;='Lists &amp; Settings'!$N$6,'Lists &amp; Settings'!$O$6,IF($M211&gt;='Lists &amp; Settings'!$N$7,'Lists &amp; Settings'!$O$7,'Lists &amp; Settings'!$O$8)),'Lists &amp; Settings'!$O$10))))))</f>
        <v/>
      </c>
      <c r="T211" s="7"/>
      <c r="U211" s="7"/>
      <c r="V211" s="7"/>
      <c r="W211" s="7"/>
      <c r="X211" s="7"/>
      <c r="Y211" s="7"/>
      <c r="Z211" s="7"/>
      <c r="AA211" s="76"/>
      <c r="AB211" s="76"/>
    </row>
    <row r="212" ht="15.75" customHeight="1">
      <c r="A212" s="7"/>
      <c r="B212" s="7"/>
      <c r="C212" s="7"/>
      <c r="D212" s="7"/>
      <c r="E212" s="7"/>
      <c r="F212" s="7"/>
      <c r="G212" s="7"/>
      <c r="H212" s="7"/>
      <c r="I212" s="19"/>
      <c r="J212" s="19"/>
      <c r="K212" s="76"/>
      <c r="L212" s="19"/>
      <c r="M212" s="77"/>
      <c r="N212" s="78"/>
      <c r="O212" s="19"/>
      <c r="P212" s="7"/>
      <c r="Q212" s="7"/>
      <c r="R212" s="7"/>
      <c r="S212" s="7" t="str">
        <f>IF($C212="","",IF(OR($M212="",$N212=""),'Lists &amp; Settings'!$O$10,IF($N212="Fail",'Lists &amp; Settings'!$O$9,IF($N212="Insufficient Evidence",'Lists &amp; Settings'!$O$10,IF($N212="Pass",IF($M212&gt;='Lists &amp; Settings'!$N$2,'Lists &amp; Settings'!$O$2,IF($M212&gt;='Lists &amp; Settings'!$N$3,'Lists &amp; Settings'!$O$3,'Lists &amp; Settings'!$O$4)),IF($N212="Partial",IF($M212&gt;='Lists &amp; Settings'!$N$6,'Lists &amp; Settings'!$O$6,IF($M212&gt;='Lists &amp; Settings'!$N$7,'Lists &amp; Settings'!$O$7,'Lists &amp; Settings'!$O$8)),'Lists &amp; Settings'!$O$10))))))</f>
        <v/>
      </c>
      <c r="T212" s="7"/>
      <c r="U212" s="7"/>
      <c r="V212" s="7"/>
      <c r="W212" s="7"/>
      <c r="X212" s="7"/>
      <c r="Y212" s="7"/>
      <c r="Z212" s="7"/>
      <c r="AA212" s="76"/>
      <c r="AB212" s="76"/>
    </row>
    <row r="213" ht="15.75" customHeight="1">
      <c r="A213" s="7"/>
      <c r="B213" s="7"/>
      <c r="C213" s="7"/>
      <c r="D213" s="7"/>
      <c r="E213" s="7"/>
      <c r="F213" s="7"/>
      <c r="G213" s="7"/>
      <c r="H213" s="7"/>
      <c r="I213" s="19"/>
      <c r="J213" s="19"/>
      <c r="K213" s="76"/>
      <c r="L213" s="19"/>
      <c r="M213" s="77"/>
      <c r="N213" s="78"/>
      <c r="O213" s="19"/>
      <c r="P213" s="7"/>
      <c r="Q213" s="7"/>
      <c r="R213" s="7"/>
      <c r="S213" s="7" t="str">
        <f>IF($C213="","",IF(OR($M213="",$N213=""),'Lists &amp; Settings'!$O$10,IF($N213="Fail",'Lists &amp; Settings'!$O$9,IF($N213="Insufficient Evidence",'Lists &amp; Settings'!$O$10,IF($N213="Pass",IF($M213&gt;='Lists &amp; Settings'!$N$2,'Lists &amp; Settings'!$O$2,IF($M213&gt;='Lists &amp; Settings'!$N$3,'Lists &amp; Settings'!$O$3,'Lists &amp; Settings'!$O$4)),IF($N213="Partial",IF($M213&gt;='Lists &amp; Settings'!$N$6,'Lists &amp; Settings'!$O$6,IF($M213&gt;='Lists &amp; Settings'!$N$7,'Lists &amp; Settings'!$O$7,'Lists &amp; Settings'!$O$8)),'Lists &amp; Settings'!$O$10))))))</f>
        <v/>
      </c>
      <c r="T213" s="7"/>
      <c r="U213" s="7"/>
      <c r="V213" s="7"/>
      <c r="W213" s="7"/>
      <c r="X213" s="7"/>
      <c r="Y213" s="7"/>
      <c r="Z213" s="7"/>
      <c r="AA213" s="76"/>
      <c r="AB213" s="76"/>
    </row>
    <row r="214" ht="15.75" customHeight="1">
      <c r="A214" s="7"/>
      <c r="B214" s="7"/>
      <c r="C214" s="7"/>
      <c r="D214" s="7"/>
      <c r="E214" s="7"/>
      <c r="F214" s="7"/>
      <c r="G214" s="7"/>
      <c r="H214" s="7"/>
      <c r="I214" s="19"/>
      <c r="J214" s="19"/>
      <c r="K214" s="76"/>
      <c r="L214" s="19"/>
      <c r="M214" s="77"/>
      <c r="N214" s="78"/>
      <c r="O214" s="19"/>
      <c r="P214" s="7"/>
      <c r="Q214" s="7"/>
      <c r="R214" s="7"/>
      <c r="S214" s="7" t="str">
        <f>IF($C214="","",IF(OR($M214="",$N214=""),'Lists &amp; Settings'!$O$10,IF($N214="Fail",'Lists &amp; Settings'!$O$9,IF($N214="Insufficient Evidence",'Lists &amp; Settings'!$O$10,IF($N214="Pass",IF($M214&gt;='Lists &amp; Settings'!$N$2,'Lists &amp; Settings'!$O$2,IF($M214&gt;='Lists &amp; Settings'!$N$3,'Lists &amp; Settings'!$O$3,'Lists &amp; Settings'!$O$4)),IF($N214="Partial",IF($M214&gt;='Lists &amp; Settings'!$N$6,'Lists &amp; Settings'!$O$6,IF($M214&gt;='Lists &amp; Settings'!$N$7,'Lists &amp; Settings'!$O$7,'Lists &amp; Settings'!$O$8)),'Lists &amp; Settings'!$O$10))))))</f>
        <v/>
      </c>
      <c r="T214" s="7"/>
      <c r="U214" s="7"/>
      <c r="V214" s="7"/>
      <c r="W214" s="7"/>
      <c r="X214" s="7"/>
      <c r="Y214" s="7"/>
      <c r="Z214" s="7"/>
      <c r="AA214" s="76"/>
      <c r="AB214" s="76"/>
    </row>
    <row r="215" ht="15.75" customHeight="1">
      <c r="A215" s="7"/>
      <c r="B215" s="7"/>
      <c r="C215" s="7"/>
      <c r="D215" s="7"/>
      <c r="E215" s="7"/>
      <c r="F215" s="7"/>
      <c r="G215" s="7"/>
      <c r="H215" s="7"/>
      <c r="I215" s="19"/>
      <c r="J215" s="19"/>
      <c r="K215" s="76"/>
      <c r="L215" s="19"/>
      <c r="M215" s="77"/>
      <c r="N215" s="78"/>
      <c r="O215" s="19"/>
      <c r="P215" s="7"/>
      <c r="Q215" s="7"/>
      <c r="R215" s="7"/>
      <c r="S215" s="7" t="str">
        <f>IF($C215="","",IF(OR($M215="",$N215=""),'Lists &amp; Settings'!$O$10,IF($N215="Fail",'Lists &amp; Settings'!$O$9,IF($N215="Insufficient Evidence",'Lists &amp; Settings'!$O$10,IF($N215="Pass",IF($M215&gt;='Lists &amp; Settings'!$N$2,'Lists &amp; Settings'!$O$2,IF($M215&gt;='Lists &amp; Settings'!$N$3,'Lists &amp; Settings'!$O$3,'Lists &amp; Settings'!$O$4)),IF($N215="Partial",IF($M215&gt;='Lists &amp; Settings'!$N$6,'Lists &amp; Settings'!$O$6,IF($M215&gt;='Lists &amp; Settings'!$N$7,'Lists &amp; Settings'!$O$7,'Lists &amp; Settings'!$O$8)),'Lists &amp; Settings'!$O$10))))))</f>
        <v/>
      </c>
      <c r="T215" s="7"/>
      <c r="U215" s="7"/>
      <c r="V215" s="7"/>
      <c r="W215" s="7"/>
      <c r="X215" s="7"/>
      <c r="Y215" s="7"/>
      <c r="Z215" s="7"/>
      <c r="AA215" s="76"/>
      <c r="AB215" s="76"/>
    </row>
    <row r="216" ht="15.75" customHeight="1">
      <c r="A216" s="7"/>
      <c r="B216" s="7"/>
      <c r="C216" s="7"/>
      <c r="D216" s="7"/>
      <c r="E216" s="7"/>
      <c r="F216" s="7"/>
      <c r="G216" s="7"/>
      <c r="H216" s="7"/>
      <c r="I216" s="19"/>
      <c r="J216" s="19"/>
      <c r="K216" s="76"/>
      <c r="L216" s="19"/>
      <c r="M216" s="77"/>
      <c r="N216" s="78"/>
      <c r="O216" s="19"/>
      <c r="P216" s="7"/>
      <c r="Q216" s="7"/>
      <c r="R216" s="7"/>
      <c r="S216" s="7" t="str">
        <f>IF($C216="","",IF(OR($M216="",$N216=""),'Lists &amp; Settings'!$O$10,IF($N216="Fail",'Lists &amp; Settings'!$O$9,IF($N216="Insufficient Evidence",'Lists &amp; Settings'!$O$10,IF($N216="Pass",IF($M216&gt;='Lists &amp; Settings'!$N$2,'Lists &amp; Settings'!$O$2,IF($M216&gt;='Lists &amp; Settings'!$N$3,'Lists &amp; Settings'!$O$3,'Lists &amp; Settings'!$O$4)),IF($N216="Partial",IF($M216&gt;='Lists &amp; Settings'!$N$6,'Lists &amp; Settings'!$O$6,IF($M216&gt;='Lists &amp; Settings'!$N$7,'Lists &amp; Settings'!$O$7,'Lists &amp; Settings'!$O$8)),'Lists &amp; Settings'!$O$10))))))</f>
        <v/>
      </c>
      <c r="T216" s="7"/>
      <c r="U216" s="7"/>
      <c r="V216" s="7"/>
      <c r="W216" s="7"/>
      <c r="X216" s="7"/>
      <c r="Y216" s="7"/>
      <c r="Z216" s="7"/>
      <c r="AA216" s="76"/>
      <c r="AB216" s="76"/>
    </row>
    <row r="217" ht="15.75" customHeight="1">
      <c r="A217" s="7"/>
      <c r="B217" s="7"/>
      <c r="C217" s="7"/>
      <c r="D217" s="7"/>
      <c r="E217" s="7"/>
      <c r="F217" s="7"/>
      <c r="G217" s="7"/>
      <c r="H217" s="7"/>
      <c r="I217" s="19"/>
      <c r="J217" s="19"/>
      <c r="K217" s="76"/>
      <c r="L217" s="19"/>
      <c r="M217" s="77"/>
      <c r="N217" s="78"/>
      <c r="O217" s="19"/>
      <c r="P217" s="7"/>
      <c r="Q217" s="7"/>
      <c r="R217" s="7"/>
      <c r="S217" s="7" t="str">
        <f>IF($C217="","",IF(OR($M217="",$N217=""),'Lists &amp; Settings'!$O$10,IF($N217="Fail",'Lists &amp; Settings'!$O$9,IF($N217="Insufficient Evidence",'Lists &amp; Settings'!$O$10,IF($N217="Pass",IF($M217&gt;='Lists &amp; Settings'!$N$2,'Lists &amp; Settings'!$O$2,IF($M217&gt;='Lists &amp; Settings'!$N$3,'Lists &amp; Settings'!$O$3,'Lists &amp; Settings'!$O$4)),IF($N217="Partial",IF($M217&gt;='Lists &amp; Settings'!$N$6,'Lists &amp; Settings'!$O$6,IF($M217&gt;='Lists &amp; Settings'!$N$7,'Lists &amp; Settings'!$O$7,'Lists &amp; Settings'!$O$8)),'Lists &amp; Settings'!$O$10))))))</f>
        <v/>
      </c>
      <c r="T217" s="7"/>
      <c r="U217" s="7"/>
      <c r="V217" s="7"/>
      <c r="W217" s="7"/>
      <c r="X217" s="7"/>
      <c r="Y217" s="7"/>
      <c r="Z217" s="7"/>
      <c r="AA217" s="76"/>
      <c r="AB217" s="76"/>
    </row>
    <row r="218" ht="15.75" customHeight="1">
      <c r="A218" s="7"/>
      <c r="B218" s="7"/>
      <c r="C218" s="7"/>
      <c r="D218" s="7"/>
      <c r="E218" s="7"/>
      <c r="F218" s="7"/>
      <c r="G218" s="7"/>
      <c r="H218" s="7"/>
      <c r="I218" s="19"/>
      <c r="J218" s="19"/>
      <c r="K218" s="76"/>
      <c r="L218" s="19"/>
      <c r="M218" s="77"/>
      <c r="N218" s="78"/>
      <c r="O218" s="19"/>
      <c r="P218" s="7"/>
      <c r="Q218" s="7"/>
      <c r="R218" s="7"/>
      <c r="S218" s="7" t="str">
        <f>IF($C218="","",IF(OR($M218="",$N218=""),'Lists &amp; Settings'!$O$10,IF($N218="Fail",'Lists &amp; Settings'!$O$9,IF($N218="Insufficient Evidence",'Lists &amp; Settings'!$O$10,IF($N218="Pass",IF($M218&gt;='Lists &amp; Settings'!$N$2,'Lists &amp; Settings'!$O$2,IF($M218&gt;='Lists &amp; Settings'!$N$3,'Lists &amp; Settings'!$O$3,'Lists &amp; Settings'!$O$4)),IF($N218="Partial",IF($M218&gt;='Lists &amp; Settings'!$N$6,'Lists &amp; Settings'!$O$6,IF($M218&gt;='Lists &amp; Settings'!$N$7,'Lists &amp; Settings'!$O$7,'Lists &amp; Settings'!$O$8)),'Lists &amp; Settings'!$O$10))))))</f>
        <v/>
      </c>
      <c r="T218" s="7"/>
      <c r="U218" s="7"/>
      <c r="V218" s="7"/>
      <c r="W218" s="7"/>
      <c r="X218" s="7"/>
      <c r="Y218" s="7"/>
      <c r="Z218" s="7"/>
      <c r="AA218" s="76"/>
      <c r="AB218" s="76"/>
    </row>
    <row r="219" ht="15.75" customHeight="1">
      <c r="A219" s="7"/>
      <c r="B219" s="7"/>
      <c r="C219" s="7"/>
      <c r="D219" s="7"/>
      <c r="E219" s="7"/>
      <c r="F219" s="7"/>
      <c r="G219" s="7"/>
      <c r="H219" s="7"/>
      <c r="I219" s="19"/>
      <c r="J219" s="19"/>
      <c r="K219" s="76"/>
      <c r="L219" s="19"/>
      <c r="M219" s="77"/>
      <c r="N219" s="78"/>
      <c r="O219" s="19"/>
      <c r="P219" s="7"/>
      <c r="Q219" s="7"/>
      <c r="R219" s="7"/>
      <c r="S219" s="7" t="str">
        <f>IF($C219="","",IF(OR($M219="",$N219=""),'Lists &amp; Settings'!$O$10,IF($N219="Fail",'Lists &amp; Settings'!$O$9,IF($N219="Insufficient Evidence",'Lists &amp; Settings'!$O$10,IF($N219="Pass",IF($M219&gt;='Lists &amp; Settings'!$N$2,'Lists &amp; Settings'!$O$2,IF($M219&gt;='Lists &amp; Settings'!$N$3,'Lists &amp; Settings'!$O$3,'Lists &amp; Settings'!$O$4)),IF($N219="Partial",IF($M219&gt;='Lists &amp; Settings'!$N$6,'Lists &amp; Settings'!$O$6,IF($M219&gt;='Lists &amp; Settings'!$N$7,'Lists &amp; Settings'!$O$7,'Lists &amp; Settings'!$O$8)),'Lists &amp; Settings'!$O$10))))))</f>
        <v/>
      </c>
      <c r="T219" s="7"/>
      <c r="U219" s="7"/>
      <c r="V219" s="7"/>
      <c r="W219" s="7"/>
      <c r="X219" s="7"/>
      <c r="Y219" s="7"/>
      <c r="Z219" s="7"/>
      <c r="AA219" s="76"/>
      <c r="AB219" s="76"/>
    </row>
    <row r="220" ht="15.75" customHeight="1">
      <c r="A220" s="7"/>
      <c r="B220" s="7"/>
      <c r="C220" s="7"/>
      <c r="D220" s="7"/>
      <c r="E220" s="7"/>
      <c r="F220" s="7"/>
      <c r="G220" s="7"/>
      <c r="H220" s="7"/>
      <c r="I220" s="19"/>
      <c r="J220" s="19"/>
      <c r="K220" s="76"/>
      <c r="L220" s="19"/>
      <c r="M220" s="77"/>
      <c r="N220" s="78"/>
      <c r="O220" s="19"/>
      <c r="P220" s="7"/>
      <c r="Q220" s="7"/>
      <c r="R220" s="7"/>
      <c r="S220" s="7" t="str">
        <f>IF($C220="","",IF(OR($M220="",$N220=""),'Lists &amp; Settings'!$O$10,IF($N220="Fail",'Lists &amp; Settings'!$O$9,IF($N220="Insufficient Evidence",'Lists &amp; Settings'!$O$10,IF($N220="Pass",IF($M220&gt;='Lists &amp; Settings'!$N$2,'Lists &amp; Settings'!$O$2,IF($M220&gt;='Lists &amp; Settings'!$N$3,'Lists &amp; Settings'!$O$3,'Lists &amp; Settings'!$O$4)),IF($N220="Partial",IF($M220&gt;='Lists &amp; Settings'!$N$6,'Lists &amp; Settings'!$O$6,IF($M220&gt;='Lists &amp; Settings'!$N$7,'Lists &amp; Settings'!$O$7,'Lists &amp; Settings'!$O$8)),'Lists &amp; Settings'!$O$10))))))</f>
        <v/>
      </c>
      <c r="T220" s="7"/>
      <c r="U220" s="7"/>
      <c r="V220" s="7"/>
      <c r="W220" s="7"/>
      <c r="X220" s="7"/>
      <c r="Y220" s="7"/>
      <c r="Z220" s="7"/>
      <c r="AA220" s="76"/>
      <c r="AB220" s="76"/>
    </row>
    <row r="221" ht="15.75" customHeight="1">
      <c r="B221" s="31"/>
      <c r="N221" s="127"/>
      <c r="S221" s="31" t="str">
        <f>IF($C221="","",IF(OR($M221="",$N221=""),'Lists &amp; Settings'!$O$10,IF($N221="Fail",'Lists &amp; Settings'!$O$9,IF($N221="Insufficient Evidence",'Lists &amp; Settings'!$O$10,IF($N221="Pass",IF($M221&gt;='Lists &amp; Settings'!$N$2,'Lists &amp; Settings'!$O$2,IF($M221&gt;='Lists &amp; Settings'!$N$3,'Lists &amp; Settings'!$O$3,'Lists &amp; Settings'!$O$4)),IF($N221="Partial",IF($M221&gt;='Lists &amp; Settings'!$N$6,'Lists &amp; Settings'!$O$6,IF($M221&gt;='Lists &amp; Settings'!$N$7,'Lists &amp; Settings'!$O$7,'Lists &amp; Settings'!$O$8)),'Lists &amp; Settings'!$O$10))))))</f>
        <v/>
      </c>
      <c r="T221" s="31"/>
      <c r="U221" s="31"/>
      <c r="V221" s="31"/>
    </row>
    <row r="222" ht="15.75" customHeight="1">
      <c r="B222" s="31"/>
      <c r="N222" s="127"/>
      <c r="S222" s="31" t="str">
        <f>IF($C222="","",IF(OR($M222="",$N222=""),'Lists &amp; Settings'!$O$10,IF($N222="Fail",'Lists &amp; Settings'!$O$9,IF($N222="Insufficient Evidence",'Lists &amp; Settings'!$O$10,IF($N222="Pass",IF($M222&gt;='Lists &amp; Settings'!$N$2,'Lists &amp; Settings'!$O$2,IF($M222&gt;='Lists &amp; Settings'!$N$3,'Lists &amp; Settings'!$O$3,'Lists &amp; Settings'!$O$4)),IF($N222="Partial",IF($M222&gt;='Lists &amp; Settings'!$N$6,'Lists &amp; Settings'!$O$6,IF($M222&gt;='Lists &amp; Settings'!$N$7,'Lists &amp; Settings'!$O$7,'Lists &amp; Settings'!$O$8)),'Lists &amp; Settings'!$O$10))))))</f>
        <v/>
      </c>
      <c r="T222" s="31"/>
      <c r="U222" s="31"/>
      <c r="V222" s="31"/>
    </row>
    <row r="223" ht="15.75" customHeight="1">
      <c r="B223" s="31"/>
      <c r="N223" s="127"/>
      <c r="S223" s="31" t="str">
        <f>IF($C223="","",IF(OR($M223="",$N223=""),'Lists &amp; Settings'!$O$10,IF($N223="Fail",'Lists &amp; Settings'!$O$9,IF($N223="Insufficient Evidence",'Lists &amp; Settings'!$O$10,IF($N223="Pass",IF($M223&gt;='Lists &amp; Settings'!$N$2,'Lists &amp; Settings'!$O$2,IF($M223&gt;='Lists &amp; Settings'!$N$3,'Lists &amp; Settings'!$O$3,'Lists &amp; Settings'!$O$4)),IF($N223="Partial",IF($M223&gt;='Lists &amp; Settings'!$N$6,'Lists &amp; Settings'!$O$6,IF($M223&gt;='Lists &amp; Settings'!$N$7,'Lists &amp; Settings'!$O$7,'Lists &amp; Settings'!$O$8)),'Lists &amp; Settings'!$O$10))))))</f>
        <v/>
      </c>
      <c r="T223" s="31"/>
      <c r="U223" s="31"/>
      <c r="V223" s="31"/>
    </row>
    <row r="224" ht="15.75" customHeight="1">
      <c r="B224" s="31"/>
      <c r="N224" s="127"/>
      <c r="S224" s="31" t="str">
        <f>IF($C224="","",IF(OR($M224="",$N224=""),'Lists &amp; Settings'!$O$10,IF($N224="Fail",'Lists &amp; Settings'!$O$9,IF($N224="Insufficient Evidence",'Lists &amp; Settings'!$O$10,IF($N224="Pass",IF($M224&gt;='Lists &amp; Settings'!$N$2,'Lists &amp; Settings'!$O$2,IF($M224&gt;='Lists &amp; Settings'!$N$3,'Lists &amp; Settings'!$O$3,'Lists &amp; Settings'!$O$4)),IF($N224="Partial",IF($M224&gt;='Lists &amp; Settings'!$N$6,'Lists &amp; Settings'!$O$6,IF($M224&gt;='Lists &amp; Settings'!$N$7,'Lists &amp; Settings'!$O$7,'Lists &amp; Settings'!$O$8)),'Lists &amp; Settings'!$O$10))))))</f>
        <v/>
      </c>
      <c r="T224" s="31"/>
      <c r="U224" s="31"/>
      <c r="V224" s="31"/>
    </row>
    <row r="225" ht="15.75" customHeight="1">
      <c r="B225" s="31"/>
      <c r="N225" s="127"/>
      <c r="S225" s="31" t="str">
        <f>IF($C225="","",IF(OR($M225="",$N225=""),'Lists &amp; Settings'!$O$10,IF($N225="Fail",'Lists &amp; Settings'!$O$9,IF($N225="Insufficient Evidence",'Lists &amp; Settings'!$O$10,IF($N225="Pass",IF($M225&gt;='Lists &amp; Settings'!$N$2,'Lists &amp; Settings'!$O$2,IF($M225&gt;='Lists &amp; Settings'!$N$3,'Lists &amp; Settings'!$O$3,'Lists &amp; Settings'!$O$4)),IF($N225="Partial",IF($M225&gt;='Lists &amp; Settings'!$N$6,'Lists &amp; Settings'!$O$6,IF($M225&gt;='Lists &amp; Settings'!$N$7,'Lists &amp; Settings'!$O$7,'Lists &amp; Settings'!$O$8)),'Lists &amp; Settings'!$O$10))))))</f>
        <v/>
      </c>
      <c r="T225" s="31"/>
      <c r="U225" s="31"/>
      <c r="V225" s="31"/>
    </row>
    <row r="226" ht="15.75" customHeight="1">
      <c r="B226" s="31"/>
      <c r="N226" s="127"/>
      <c r="S226" s="31" t="str">
        <f>IF($C226="","",IF(OR($M226="",$N226=""),'Lists &amp; Settings'!$O$10,IF($N226="Fail",'Lists &amp; Settings'!$O$9,IF($N226="Insufficient Evidence",'Lists &amp; Settings'!$O$10,IF($N226="Pass",IF($M226&gt;='Lists &amp; Settings'!$N$2,'Lists &amp; Settings'!$O$2,IF($M226&gt;='Lists &amp; Settings'!$N$3,'Lists &amp; Settings'!$O$3,'Lists &amp; Settings'!$O$4)),IF($N226="Partial",IF($M226&gt;='Lists &amp; Settings'!$N$6,'Lists &amp; Settings'!$O$6,IF($M226&gt;='Lists &amp; Settings'!$N$7,'Lists &amp; Settings'!$O$7,'Lists &amp; Settings'!$O$8)),'Lists &amp; Settings'!$O$10))))))</f>
        <v/>
      </c>
      <c r="T226" s="31"/>
      <c r="U226" s="31"/>
      <c r="V226" s="31"/>
    </row>
    <row r="227" ht="15.75" customHeight="1">
      <c r="B227" s="31"/>
      <c r="N227" s="127"/>
      <c r="S227" s="31" t="str">
        <f>IF($C227="","",IF(OR($M227="",$N227=""),'Lists &amp; Settings'!$O$10,IF($N227="Fail",'Lists &amp; Settings'!$O$9,IF($N227="Insufficient Evidence",'Lists &amp; Settings'!$O$10,IF($N227="Pass",IF($M227&gt;='Lists &amp; Settings'!$N$2,'Lists &amp; Settings'!$O$2,IF($M227&gt;='Lists &amp; Settings'!$N$3,'Lists &amp; Settings'!$O$3,'Lists &amp; Settings'!$O$4)),IF($N227="Partial",IF($M227&gt;='Lists &amp; Settings'!$N$6,'Lists &amp; Settings'!$O$6,IF($M227&gt;='Lists &amp; Settings'!$N$7,'Lists &amp; Settings'!$O$7,'Lists &amp; Settings'!$O$8)),'Lists &amp; Settings'!$O$10))))))</f>
        <v/>
      </c>
      <c r="T227" s="31"/>
      <c r="U227" s="31"/>
      <c r="V227" s="31"/>
    </row>
    <row r="228" ht="15.75" customHeight="1">
      <c r="B228" s="31"/>
      <c r="N228" s="127"/>
      <c r="S228" s="31" t="str">
        <f>IF($C228="","",IF(OR($M228="",$N228=""),'Lists &amp; Settings'!$O$10,IF($N228="Fail",'Lists &amp; Settings'!$O$9,IF($N228="Insufficient Evidence",'Lists &amp; Settings'!$O$10,IF($N228="Pass",IF($M228&gt;='Lists &amp; Settings'!$N$2,'Lists &amp; Settings'!$O$2,IF($M228&gt;='Lists &amp; Settings'!$N$3,'Lists &amp; Settings'!$O$3,'Lists &amp; Settings'!$O$4)),IF($N228="Partial",IF($M228&gt;='Lists &amp; Settings'!$N$6,'Lists &amp; Settings'!$O$6,IF($M228&gt;='Lists &amp; Settings'!$N$7,'Lists &amp; Settings'!$O$7,'Lists &amp; Settings'!$O$8)),'Lists &amp; Settings'!$O$10))))))</f>
        <v/>
      </c>
      <c r="T228" s="31"/>
      <c r="U228" s="31"/>
      <c r="V228" s="31"/>
    </row>
    <row r="229" ht="15.75" customHeight="1">
      <c r="B229" s="31"/>
      <c r="N229" s="127"/>
      <c r="S229" s="31" t="str">
        <f>IF($C229="","",IF(OR($M229="",$N229=""),'Lists &amp; Settings'!$O$10,IF($N229="Fail",'Lists &amp; Settings'!$O$9,IF($N229="Insufficient Evidence",'Lists &amp; Settings'!$O$10,IF($N229="Pass",IF($M229&gt;='Lists &amp; Settings'!$N$2,'Lists &amp; Settings'!$O$2,IF($M229&gt;='Lists &amp; Settings'!$N$3,'Lists &amp; Settings'!$O$3,'Lists &amp; Settings'!$O$4)),IF($N229="Partial",IF($M229&gt;='Lists &amp; Settings'!$N$6,'Lists &amp; Settings'!$O$6,IF($M229&gt;='Lists &amp; Settings'!$N$7,'Lists &amp; Settings'!$O$7,'Lists &amp; Settings'!$O$8)),'Lists &amp; Settings'!$O$10))))))</f>
        <v/>
      </c>
      <c r="T229" s="31"/>
      <c r="U229" s="31"/>
      <c r="V229" s="31"/>
    </row>
    <row r="230" ht="15.75" customHeight="1">
      <c r="B230" s="31"/>
      <c r="N230" s="127"/>
      <c r="S230" s="31" t="str">
        <f>IF($C230="","",IF(OR($M230="",$N230=""),'Lists &amp; Settings'!$O$10,IF($N230="Fail",'Lists &amp; Settings'!$O$9,IF($N230="Insufficient Evidence",'Lists &amp; Settings'!$O$10,IF($N230="Pass",IF($M230&gt;='Lists &amp; Settings'!$N$2,'Lists &amp; Settings'!$O$2,IF($M230&gt;='Lists &amp; Settings'!$N$3,'Lists &amp; Settings'!$O$3,'Lists &amp; Settings'!$O$4)),IF($N230="Partial",IF($M230&gt;='Lists &amp; Settings'!$N$6,'Lists &amp; Settings'!$O$6,IF($M230&gt;='Lists &amp; Settings'!$N$7,'Lists &amp; Settings'!$O$7,'Lists &amp; Settings'!$O$8)),'Lists &amp; Settings'!$O$10))))))</f>
        <v/>
      </c>
      <c r="T230" s="31"/>
      <c r="U230" s="31"/>
      <c r="V230" s="31"/>
    </row>
    <row r="231" ht="15.75" customHeight="1">
      <c r="B231" s="31"/>
      <c r="N231" s="127"/>
      <c r="S231" s="31" t="str">
        <f>IF($C231="","",IF(OR($M231="",$N231=""),'Lists &amp; Settings'!$O$10,IF($N231="Fail",'Lists &amp; Settings'!$O$9,IF($N231="Insufficient Evidence",'Lists &amp; Settings'!$O$10,IF($N231="Pass",IF($M231&gt;='Lists &amp; Settings'!$N$2,'Lists &amp; Settings'!$O$2,IF($M231&gt;='Lists &amp; Settings'!$N$3,'Lists &amp; Settings'!$O$3,'Lists &amp; Settings'!$O$4)),IF($N231="Partial",IF($M231&gt;='Lists &amp; Settings'!$N$6,'Lists &amp; Settings'!$O$6,IF($M231&gt;='Lists &amp; Settings'!$N$7,'Lists &amp; Settings'!$O$7,'Lists &amp; Settings'!$O$8)),'Lists &amp; Settings'!$O$10))))))</f>
        <v/>
      </c>
      <c r="T231" s="31"/>
      <c r="U231" s="31"/>
      <c r="V231" s="31"/>
    </row>
    <row r="232" ht="15.75" customHeight="1">
      <c r="B232" s="31"/>
      <c r="N232" s="127"/>
      <c r="S232" s="31" t="str">
        <f>IF($C232="","",IF(OR($M232="",$N232=""),'Lists &amp; Settings'!$O$10,IF($N232="Fail",'Lists &amp; Settings'!$O$9,IF($N232="Insufficient Evidence",'Lists &amp; Settings'!$O$10,IF($N232="Pass",IF($M232&gt;='Lists &amp; Settings'!$N$2,'Lists &amp; Settings'!$O$2,IF($M232&gt;='Lists &amp; Settings'!$N$3,'Lists &amp; Settings'!$O$3,'Lists &amp; Settings'!$O$4)),IF($N232="Partial",IF($M232&gt;='Lists &amp; Settings'!$N$6,'Lists &amp; Settings'!$O$6,IF($M232&gt;='Lists &amp; Settings'!$N$7,'Lists &amp; Settings'!$O$7,'Lists &amp; Settings'!$O$8)),'Lists &amp; Settings'!$O$10))))))</f>
        <v/>
      </c>
      <c r="T232" s="31"/>
      <c r="U232" s="31"/>
      <c r="V232" s="31"/>
    </row>
    <row r="233" ht="15.75" customHeight="1">
      <c r="B233" s="31"/>
      <c r="N233" s="127"/>
      <c r="S233" s="31" t="str">
        <f>IF($C233="","",IF(OR($M233="",$N233=""),'Lists &amp; Settings'!$O$10,IF($N233="Fail",'Lists &amp; Settings'!$O$9,IF($N233="Insufficient Evidence",'Lists &amp; Settings'!$O$10,IF($N233="Pass",IF($M233&gt;='Lists &amp; Settings'!$N$2,'Lists &amp; Settings'!$O$2,IF($M233&gt;='Lists &amp; Settings'!$N$3,'Lists &amp; Settings'!$O$3,'Lists &amp; Settings'!$O$4)),IF($N233="Partial",IF($M233&gt;='Lists &amp; Settings'!$N$6,'Lists &amp; Settings'!$O$6,IF($M233&gt;='Lists &amp; Settings'!$N$7,'Lists &amp; Settings'!$O$7,'Lists &amp; Settings'!$O$8)),'Lists &amp; Settings'!$O$10))))))</f>
        <v/>
      </c>
      <c r="T233" s="31"/>
      <c r="U233" s="31"/>
      <c r="V233" s="31"/>
    </row>
    <row r="234" ht="15.75" customHeight="1">
      <c r="B234" s="31"/>
      <c r="N234" s="127"/>
      <c r="S234" s="31" t="str">
        <f>IF($C234="","",IF(OR($M234="",$N234=""),'Lists &amp; Settings'!$O$10,IF($N234="Fail",'Lists &amp; Settings'!$O$9,IF($N234="Insufficient Evidence",'Lists &amp; Settings'!$O$10,IF($N234="Pass",IF($M234&gt;='Lists &amp; Settings'!$N$2,'Lists &amp; Settings'!$O$2,IF($M234&gt;='Lists &amp; Settings'!$N$3,'Lists &amp; Settings'!$O$3,'Lists &amp; Settings'!$O$4)),IF($N234="Partial",IF($M234&gt;='Lists &amp; Settings'!$N$6,'Lists &amp; Settings'!$O$6,IF($M234&gt;='Lists &amp; Settings'!$N$7,'Lists &amp; Settings'!$O$7,'Lists &amp; Settings'!$O$8)),'Lists &amp; Settings'!$O$10))))))</f>
        <v/>
      </c>
      <c r="T234" s="31"/>
      <c r="U234" s="31"/>
      <c r="V234" s="31"/>
    </row>
    <row r="235" ht="15.75" customHeight="1">
      <c r="B235" s="31"/>
      <c r="N235" s="127"/>
      <c r="S235" s="31" t="str">
        <f>IF($C235="","",IF(OR($M235="",$N235=""),'Lists &amp; Settings'!$O$10,IF($N235="Fail",'Lists &amp; Settings'!$O$9,IF($N235="Insufficient Evidence",'Lists &amp; Settings'!$O$10,IF($N235="Pass",IF($M235&gt;='Lists &amp; Settings'!$N$2,'Lists &amp; Settings'!$O$2,IF($M235&gt;='Lists &amp; Settings'!$N$3,'Lists &amp; Settings'!$O$3,'Lists &amp; Settings'!$O$4)),IF($N235="Partial",IF($M235&gt;='Lists &amp; Settings'!$N$6,'Lists &amp; Settings'!$O$6,IF($M235&gt;='Lists &amp; Settings'!$N$7,'Lists &amp; Settings'!$O$7,'Lists &amp; Settings'!$O$8)),'Lists &amp; Settings'!$O$10))))))</f>
        <v/>
      </c>
      <c r="T235" s="31"/>
      <c r="U235" s="31"/>
      <c r="V235" s="31"/>
    </row>
    <row r="236" ht="15.75" customHeight="1">
      <c r="B236" s="31"/>
      <c r="N236" s="127"/>
      <c r="S236" s="31" t="str">
        <f>IF($C236="","",IF(OR($M236="",$N236=""),'Lists &amp; Settings'!$O$10,IF($N236="Fail",'Lists &amp; Settings'!$O$9,IF($N236="Insufficient Evidence",'Lists &amp; Settings'!$O$10,IF($N236="Pass",IF($M236&gt;='Lists &amp; Settings'!$N$2,'Lists &amp; Settings'!$O$2,IF($M236&gt;='Lists &amp; Settings'!$N$3,'Lists &amp; Settings'!$O$3,'Lists &amp; Settings'!$O$4)),IF($N236="Partial",IF($M236&gt;='Lists &amp; Settings'!$N$6,'Lists &amp; Settings'!$O$6,IF($M236&gt;='Lists &amp; Settings'!$N$7,'Lists &amp; Settings'!$O$7,'Lists &amp; Settings'!$O$8)),'Lists &amp; Settings'!$O$10))))))</f>
        <v/>
      </c>
      <c r="T236" s="31"/>
      <c r="U236" s="31"/>
      <c r="V236" s="31"/>
    </row>
    <row r="237" ht="15.75" customHeight="1">
      <c r="B237" s="31"/>
      <c r="N237" s="127"/>
      <c r="S237" s="31" t="str">
        <f>IF($C237="","",IF(OR($M237="",$N237=""),'Lists &amp; Settings'!$O$10,IF($N237="Fail",'Lists &amp; Settings'!$O$9,IF($N237="Insufficient Evidence",'Lists &amp; Settings'!$O$10,IF($N237="Pass",IF($M237&gt;='Lists &amp; Settings'!$N$2,'Lists &amp; Settings'!$O$2,IF($M237&gt;='Lists &amp; Settings'!$N$3,'Lists &amp; Settings'!$O$3,'Lists &amp; Settings'!$O$4)),IF($N237="Partial",IF($M237&gt;='Lists &amp; Settings'!$N$6,'Lists &amp; Settings'!$O$6,IF($M237&gt;='Lists &amp; Settings'!$N$7,'Lists &amp; Settings'!$O$7,'Lists &amp; Settings'!$O$8)),'Lists &amp; Settings'!$O$10))))))</f>
        <v/>
      </c>
      <c r="T237" s="31"/>
      <c r="U237" s="31"/>
      <c r="V237" s="31"/>
    </row>
    <row r="238" ht="15.75" customHeight="1">
      <c r="B238" s="31"/>
      <c r="N238" s="127"/>
      <c r="S238" s="31" t="str">
        <f>IF($C238="","",IF(OR($M238="",$N238=""),'Lists &amp; Settings'!$O$10,IF($N238="Fail",'Lists &amp; Settings'!$O$9,IF($N238="Insufficient Evidence",'Lists &amp; Settings'!$O$10,IF($N238="Pass",IF($M238&gt;='Lists &amp; Settings'!$N$2,'Lists &amp; Settings'!$O$2,IF($M238&gt;='Lists &amp; Settings'!$N$3,'Lists &amp; Settings'!$O$3,'Lists &amp; Settings'!$O$4)),IF($N238="Partial",IF($M238&gt;='Lists &amp; Settings'!$N$6,'Lists &amp; Settings'!$O$6,IF($M238&gt;='Lists &amp; Settings'!$N$7,'Lists &amp; Settings'!$O$7,'Lists &amp; Settings'!$O$8)),'Lists &amp; Settings'!$O$10))))))</f>
        <v/>
      </c>
      <c r="T238" s="31"/>
      <c r="U238" s="31"/>
      <c r="V238" s="31"/>
    </row>
    <row r="239" ht="15.75" customHeight="1">
      <c r="B239" s="31"/>
      <c r="N239" s="127"/>
      <c r="S239" s="31" t="str">
        <f>IF($C239="","",IF(OR($M239="",$N239=""),'Lists &amp; Settings'!$O$10,IF($N239="Fail",'Lists &amp; Settings'!$O$9,IF($N239="Insufficient Evidence",'Lists &amp; Settings'!$O$10,IF($N239="Pass",IF($M239&gt;='Lists &amp; Settings'!$N$2,'Lists &amp; Settings'!$O$2,IF($M239&gt;='Lists &amp; Settings'!$N$3,'Lists &amp; Settings'!$O$3,'Lists &amp; Settings'!$O$4)),IF($N239="Partial",IF($M239&gt;='Lists &amp; Settings'!$N$6,'Lists &amp; Settings'!$O$6,IF($M239&gt;='Lists &amp; Settings'!$N$7,'Lists &amp; Settings'!$O$7,'Lists &amp; Settings'!$O$8)),'Lists &amp; Settings'!$O$10))))))</f>
        <v/>
      </c>
      <c r="T239" s="31"/>
      <c r="U239" s="31"/>
      <c r="V239" s="31"/>
    </row>
    <row r="240" ht="15.75" customHeight="1">
      <c r="B240" s="31"/>
      <c r="N240" s="127"/>
      <c r="S240" s="31" t="str">
        <f>IF($C240="","",IF(OR($M240="",$N240=""),'Lists &amp; Settings'!$O$10,IF($N240="Fail",'Lists &amp; Settings'!$O$9,IF($N240="Insufficient Evidence",'Lists &amp; Settings'!$O$10,IF($N240="Pass",IF($M240&gt;='Lists &amp; Settings'!$N$2,'Lists &amp; Settings'!$O$2,IF($M240&gt;='Lists &amp; Settings'!$N$3,'Lists &amp; Settings'!$O$3,'Lists &amp; Settings'!$O$4)),IF($N240="Partial",IF($M240&gt;='Lists &amp; Settings'!$N$6,'Lists &amp; Settings'!$O$6,IF($M240&gt;='Lists &amp; Settings'!$N$7,'Lists &amp; Settings'!$O$7,'Lists &amp; Settings'!$O$8)),'Lists &amp; Settings'!$O$10))))))</f>
        <v/>
      </c>
      <c r="T240" s="31"/>
      <c r="U240" s="31"/>
      <c r="V240" s="31"/>
    </row>
    <row r="241" ht="15.75" customHeight="1">
      <c r="B241" s="31"/>
      <c r="N241" s="127"/>
      <c r="S241" s="31" t="str">
        <f>IF($C241="","",IF(OR($M241="",$N241=""),'Lists &amp; Settings'!$O$10,IF($N241="Fail",'Lists &amp; Settings'!$O$9,IF($N241="Insufficient Evidence",'Lists &amp; Settings'!$O$10,IF($N241="Pass",IF($M241&gt;='Lists &amp; Settings'!$N$2,'Lists &amp; Settings'!$O$2,IF($M241&gt;='Lists &amp; Settings'!$N$3,'Lists &amp; Settings'!$O$3,'Lists &amp; Settings'!$O$4)),IF($N241="Partial",IF($M241&gt;='Lists &amp; Settings'!$N$6,'Lists &amp; Settings'!$O$6,IF($M241&gt;='Lists &amp; Settings'!$N$7,'Lists &amp; Settings'!$O$7,'Lists &amp; Settings'!$O$8)),'Lists &amp; Settings'!$O$10))))))</f>
        <v/>
      </c>
      <c r="T241" s="31"/>
      <c r="U241" s="31"/>
      <c r="V241" s="31"/>
    </row>
    <row r="242" ht="15.75" customHeight="1">
      <c r="B242" s="31"/>
      <c r="N242" s="127"/>
      <c r="S242" s="31" t="str">
        <f>IF($C242="","",IF(OR($M242="",$N242=""),'Lists &amp; Settings'!$O$10,IF($N242="Fail",'Lists &amp; Settings'!$O$9,IF($N242="Insufficient Evidence",'Lists &amp; Settings'!$O$10,IF($N242="Pass",IF($M242&gt;='Lists &amp; Settings'!$N$2,'Lists &amp; Settings'!$O$2,IF($M242&gt;='Lists &amp; Settings'!$N$3,'Lists &amp; Settings'!$O$3,'Lists &amp; Settings'!$O$4)),IF($N242="Partial",IF($M242&gt;='Lists &amp; Settings'!$N$6,'Lists &amp; Settings'!$O$6,IF($M242&gt;='Lists &amp; Settings'!$N$7,'Lists &amp; Settings'!$O$7,'Lists &amp; Settings'!$O$8)),'Lists &amp; Settings'!$O$10))))))</f>
        <v/>
      </c>
      <c r="T242" s="31"/>
      <c r="U242" s="31"/>
      <c r="V242" s="31"/>
    </row>
    <row r="243" ht="15.75" customHeight="1">
      <c r="B243" s="31"/>
      <c r="N243" s="127"/>
      <c r="S243" s="31" t="str">
        <f>IF($C243="","",IF(OR($M243="",$N243=""),'Lists &amp; Settings'!$O$10,IF($N243="Fail",'Lists &amp; Settings'!$O$9,IF($N243="Insufficient Evidence",'Lists &amp; Settings'!$O$10,IF($N243="Pass",IF($M243&gt;='Lists &amp; Settings'!$N$2,'Lists &amp; Settings'!$O$2,IF($M243&gt;='Lists &amp; Settings'!$N$3,'Lists &amp; Settings'!$O$3,'Lists &amp; Settings'!$O$4)),IF($N243="Partial",IF($M243&gt;='Lists &amp; Settings'!$N$6,'Lists &amp; Settings'!$O$6,IF($M243&gt;='Lists &amp; Settings'!$N$7,'Lists &amp; Settings'!$O$7,'Lists &amp; Settings'!$O$8)),'Lists &amp; Settings'!$O$10))))))</f>
        <v/>
      </c>
      <c r="T243" s="31"/>
      <c r="U243" s="31"/>
      <c r="V243" s="31"/>
    </row>
    <row r="244" ht="15.75" customHeight="1">
      <c r="B244" s="31"/>
      <c r="N244" s="127"/>
      <c r="S244" s="31" t="str">
        <f>IF($C244="","",IF(OR($M244="",$N244=""),'Lists &amp; Settings'!$O$10,IF($N244="Fail",'Lists &amp; Settings'!$O$9,IF($N244="Insufficient Evidence",'Lists &amp; Settings'!$O$10,IF($N244="Pass",IF($M244&gt;='Lists &amp; Settings'!$N$2,'Lists &amp; Settings'!$O$2,IF($M244&gt;='Lists &amp; Settings'!$N$3,'Lists &amp; Settings'!$O$3,'Lists &amp; Settings'!$O$4)),IF($N244="Partial",IF($M244&gt;='Lists &amp; Settings'!$N$6,'Lists &amp; Settings'!$O$6,IF($M244&gt;='Lists &amp; Settings'!$N$7,'Lists &amp; Settings'!$O$7,'Lists &amp; Settings'!$O$8)),'Lists &amp; Settings'!$O$10))))))</f>
        <v/>
      </c>
      <c r="T244" s="31"/>
      <c r="U244" s="31"/>
      <c r="V244" s="31"/>
    </row>
    <row r="245" ht="15.75" customHeight="1">
      <c r="B245" s="31"/>
      <c r="N245" s="127"/>
      <c r="S245" s="31" t="str">
        <f>IF($C245="","",IF(OR($M245="",$N245=""),'Lists &amp; Settings'!$O$10,IF($N245="Fail",'Lists &amp; Settings'!$O$9,IF($N245="Insufficient Evidence",'Lists &amp; Settings'!$O$10,IF($N245="Pass",IF($M245&gt;='Lists &amp; Settings'!$N$2,'Lists &amp; Settings'!$O$2,IF($M245&gt;='Lists &amp; Settings'!$N$3,'Lists &amp; Settings'!$O$3,'Lists &amp; Settings'!$O$4)),IF($N245="Partial",IF($M245&gt;='Lists &amp; Settings'!$N$6,'Lists &amp; Settings'!$O$6,IF($M245&gt;='Lists &amp; Settings'!$N$7,'Lists &amp; Settings'!$O$7,'Lists &amp; Settings'!$O$8)),'Lists &amp; Settings'!$O$10))))))</f>
        <v/>
      </c>
      <c r="T245" s="31"/>
      <c r="U245" s="31"/>
      <c r="V245" s="31"/>
    </row>
    <row r="246" ht="15.75" customHeight="1">
      <c r="B246" s="31"/>
      <c r="N246" s="127"/>
      <c r="S246" s="31" t="str">
        <f>IF($C246="","",IF(OR($M246="",$N246=""),'Lists &amp; Settings'!$O$10,IF($N246="Fail",'Lists &amp; Settings'!$O$9,IF($N246="Insufficient Evidence",'Lists &amp; Settings'!$O$10,IF($N246="Pass",IF($M246&gt;='Lists &amp; Settings'!$N$2,'Lists &amp; Settings'!$O$2,IF($M246&gt;='Lists &amp; Settings'!$N$3,'Lists &amp; Settings'!$O$3,'Lists &amp; Settings'!$O$4)),IF($N246="Partial",IF($M246&gt;='Lists &amp; Settings'!$N$6,'Lists &amp; Settings'!$O$6,IF($M246&gt;='Lists &amp; Settings'!$N$7,'Lists &amp; Settings'!$O$7,'Lists &amp; Settings'!$O$8)),'Lists &amp; Settings'!$O$10))))))</f>
        <v/>
      </c>
      <c r="T246" s="31"/>
      <c r="U246" s="31"/>
      <c r="V246" s="31"/>
    </row>
    <row r="247" ht="15.75" customHeight="1">
      <c r="B247" s="31"/>
      <c r="N247" s="127"/>
      <c r="S247" s="31" t="str">
        <f>IF($C247="","",IF(OR($M247="",$N247=""),'Lists &amp; Settings'!$O$10,IF($N247="Fail",'Lists &amp; Settings'!$O$9,IF($N247="Insufficient Evidence",'Lists &amp; Settings'!$O$10,IF($N247="Pass",IF($M247&gt;='Lists &amp; Settings'!$N$2,'Lists &amp; Settings'!$O$2,IF($M247&gt;='Lists &amp; Settings'!$N$3,'Lists &amp; Settings'!$O$3,'Lists &amp; Settings'!$O$4)),IF($N247="Partial",IF($M247&gt;='Lists &amp; Settings'!$N$6,'Lists &amp; Settings'!$O$6,IF($M247&gt;='Lists &amp; Settings'!$N$7,'Lists &amp; Settings'!$O$7,'Lists &amp; Settings'!$O$8)),'Lists &amp; Settings'!$O$10))))))</f>
        <v/>
      </c>
      <c r="T247" s="31"/>
      <c r="U247" s="31"/>
      <c r="V247" s="31"/>
    </row>
    <row r="248" ht="15.75" customHeight="1">
      <c r="B248" s="31"/>
      <c r="N248" s="127"/>
      <c r="S248" s="31" t="str">
        <f>IF($C248="","",IF(OR($M248="",$N248=""),'Lists &amp; Settings'!$O$10,IF($N248="Fail",'Lists &amp; Settings'!$O$9,IF($N248="Insufficient Evidence",'Lists &amp; Settings'!$O$10,IF($N248="Pass",IF($M248&gt;='Lists &amp; Settings'!$N$2,'Lists &amp; Settings'!$O$2,IF($M248&gt;='Lists &amp; Settings'!$N$3,'Lists &amp; Settings'!$O$3,'Lists &amp; Settings'!$O$4)),IF($N248="Partial",IF($M248&gt;='Lists &amp; Settings'!$N$6,'Lists &amp; Settings'!$O$6,IF($M248&gt;='Lists &amp; Settings'!$N$7,'Lists &amp; Settings'!$O$7,'Lists &amp; Settings'!$O$8)),'Lists &amp; Settings'!$O$10))))))</f>
        <v/>
      </c>
      <c r="T248" s="31"/>
      <c r="U248" s="31"/>
      <c r="V248" s="31"/>
    </row>
    <row r="249" ht="15.75" customHeight="1">
      <c r="B249" s="31"/>
      <c r="N249" s="127"/>
      <c r="S249" s="31" t="str">
        <f>IF($C249="","",IF(OR($M249="",$N249=""),'Lists &amp; Settings'!$O$10,IF($N249="Fail",'Lists &amp; Settings'!$O$9,IF($N249="Insufficient Evidence",'Lists &amp; Settings'!$O$10,IF($N249="Pass",IF($M249&gt;='Lists &amp; Settings'!$N$2,'Lists &amp; Settings'!$O$2,IF($M249&gt;='Lists &amp; Settings'!$N$3,'Lists &amp; Settings'!$O$3,'Lists &amp; Settings'!$O$4)),IF($N249="Partial",IF($M249&gt;='Lists &amp; Settings'!$N$6,'Lists &amp; Settings'!$O$6,IF($M249&gt;='Lists &amp; Settings'!$N$7,'Lists &amp; Settings'!$O$7,'Lists &amp; Settings'!$O$8)),'Lists &amp; Settings'!$O$10))))))</f>
        <v/>
      </c>
      <c r="T249" s="31"/>
      <c r="U249" s="31"/>
      <c r="V249" s="31"/>
    </row>
    <row r="250" ht="15.75" customHeight="1">
      <c r="B250" s="31"/>
      <c r="N250" s="127"/>
      <c r="S250" s="31" t="str">
        <f>IF($C250="","",IF(OR($M250="",$N250=""),'Lists &amp; Settings'!$O$10,IF($N250="Fail",'Lists &amp; Settings'!$O$9,IF($N250="Insufficient Evidence",'Lists &amp; Settings'!$O$10,IF($N250="Pass",IF($M250&gt;='Lists &amp; Settings'!$N$2,'Lists &amp; Settings'!$O$2,IF($M250&gt;='Lists &amp; Settings'!$N$3,'Lists &amp; Settings'!$O$3,'Lists &amp; Settings'!$O$4)),IF($N250="Partial",IF($M250&gt;='Lists &amp; Settings'!$N$6,'Lists &amp; Settings'!$O$6,IF($M250&gt;='Lists &amp; Settings'!$N$7,'Lists &amp; Settings'!$O$7,'Lists &amp; Settings'!$O$8)),'Lists &amp; Settings'!$O$10))))))</f>
        <v/>
      </c>
      <c r="T250" s="31"/>
      <c r="U250" s="31"/>
      <c r="V250" s="31"/>
    </row>
    <row r="251" ht="15.75" customHeight="1">
      <c r="B251" s="31"/>
      <c r="N251" s="127"/>
      <c r="S251" s="31" t="str">
        <f>IF($C251="","",IF(OR($M251="",$N251=""),'Lists &amp; Settings'!$O$10,IF($N251="Fail",'Lists &amp; Settings'!$O$9,IF($N251="Insufficient Evidence",'Lists &amp; Settings'!$O$10,IF($N251="Pass",IF($M251&gt;='Lists &amp; Settings'!$N$2,'Lists &amp; Settings'!$O$2,IF($M251&gt;='Lists &amp; Settings'!$N$3,'Lists &amp; Settings'!$O$3,'Lists &amp; Settings'!$O$4)),IF($N251="Partial",IF($M251&gt;='Lists &amp; Settings'!$N$6,'Lists &amp; Settings'!$O$6,IF($M251&gt;='Lists &amp; Settings'!$N$7,'Lists &amp; Settings'!$O$7,'Lists &amp; Settings'!$O$8)),'Lists &amp; Settings'!$O$10))))))</f>
        <v/>
      </c>
      <c r="T251" s="31"/>
      <c r="U251" s="31"/>
      <c r="V251" s="31"/>
    </row>
    <row r="252" ht="15.75" customHeight="1">
      <c r="B252" s="31"/>
      <c r="N252" s="127"/>
      <c r="S252" s="31" t="str">
        <f>IF($C252="","",IF(OR($M252="",$N252=""),'Lists &amp; Settings'!$O$10,IF($N252="Fail",'Lists &amp; Settings'!$O$9,IF($N252="Insufficient Evidence",'Lists &amp; Settings'!$O$10,IF($N252="Pass",IF($M252&gt;='Lists &amp; Settings'!$N$2,'Lists &amp; Settings'!$O$2,IF($M252&gt;='Lists &amp; Settings'!$N$3,'Lists &amp; Settings'!$O$3,'Lists &amp; Settings'!$O$4)),IF($N252="Partial",IF($M252&gt;='Lists &amp; Settings'!$N$6,'Lists &amp; Settings'!$O$6,IF($M252&gt;='Lists &amp; Settings'!$N$7,'Lists &amp; Settings'!$O$7,'Lists &amp; Settings'!$O$8)),'Lists &amp; Settings'!$O$10))))))</f>
        <v/>
      </c>
      <c r="T252" s="31"/>
      <c r="U252" s="31"/>
      <c r="V252" s="31"/>
    </row>
    <row r="253" ht="15.75" customHeight="1">
      <c r="B253" s="31"/>
      <c r="N253" s="127"/>
      <c r="S253" s="31" t="str">
        <f>IF($C253="","",IF(OR($M253="",$N253=""),'Lists &amp; Settings'!$O$10,IF($N253="Fail",'Lists &amp; Settings'!$O$9,IF($N253="Insufficient Evidence",'Lists &amp; Settings'!$O$10,IF($N253="Pass",IF($M253&gt;='Lists &amp; Settings'!$N$2,'Lists &amp; Settings'!$O$2,IF($M253&gt;='Lists &amp; Settings'!$N$3,'Lists &amp; Settings'!$O$3,'Lists &amp; Settings'!$O$4)),IF($N253="Partial",IF($M253&gt;='Lists &amp; Settings'!$N$6,'Lists &amp; Settings'!$O$6,IF($M253&gt;='Lists &amp; Settings'!$N$7,'Lists &amp; Settings'!$O$7,'Lists &amp; Settings'!$O$8)),'Lists &amp; Settings'!$O$10))))))</f>
        <v/>
      </c>
      <c r="T253" s="31"/>
      <c r="U253" s="31"/>
      <c r="V253" s="31"/>
    </row>
    <row r="254" ht="15.75" customHeight="1">
      <c r="B254" s="31"/>
      <c r="N254" s="127"/>
      <c r="S254" s="31" t="str">
        <f>IF($C254="","",IF(OR($M254="",$N254=""),'Lists &amp; Settings'!$O$10,IF($N254="Fail",'Lists &amp; Settings'!$O$9,IF($N254="Insufficient Evidence",'Lists &amp; Settings'!$O$10,IF($N254="Pass",IF($M254&gt;='Lists &amp; Settings'!$N$2,'Lists &amp; Settings'!$O$2,IF($M254&gt;='Lists &amp; Settings'!$N$3,'Lists &amp; Settings'!$O$3,'Lists &amp; Settings'!$O$4)),IF($N254="Partial",IF($M254&gt;='Lists &amp; Settings'!$N$6,'Lists &amp; Settings'!$O$6,IF($M254&gt;='Lists &amp; Settings'!$N$7,'Lists &amp; Settings'!$O$7,'Lists &amp; Settings'!$O$8)),'Lists &amp; Settings'!$O$10))))))</f>
        <v/>
      </c>
      <c r="T254" s="31"/>
      <c r="U254" s="31"/>
      <c r="V254" s="31"/>
    </row>
    <row r="255" ht="15.75" customHeight="1">
      <c r="B255" s="31"/>
      <c r="N255" s="127"/>
      <c r="S255" s="31" t="str">
        <f>IF($C255="","",IF(OR($M255="",$N255=""),'Lists &amp; Settings'!$O$10,IF($N255="Fail",'Lists &amp; Settings'!$O$9,IF($N255="Insufficient Evidence",'Lists &amp; Settings'!$O$10,IF($N255="Pass",IF($M255&gt;='Lists &amp; Settings'!$N$2,'Lists &amp; Settings'!$O$2,IF($M255&gt;='Lists &amp; Settings'!$N$3,'Lists &amp; Settings'!$O$3,'Lists &amp; Settings'!$O$4)),IF($N255="Partial",IF($M255&gt;='Lists &amp; Settings'!$N$6,'Lists &amp; Settings'!$O$6,IF($M255&gt;='Lists &amp; Settings'!$N$7,'Lists &amp; Settings'!$O$7,'Lists &amp; Settings'!$O$8)),'Lists &amp; Settings'!$O$10))))))</f>
        <v/>
      </c>
      <c r="T255" s="31"/>
      <c r="U255" s="31"/>
      <c r="V255" s="31"/>
    </row>
    <row r="256" ht="15.75" customHeight="1">
      <c r="B256" s="31"/>
      <c r="N256" s="127"/>
      <c r="S256" s="31" t="str">
        <f>IF($C256="","",IF(OR($M256="",$N256=""),'Lists &amp; Settings'!$O$10,IF($N256="Fail",'Lists &amp; Settings'!$O$9,IF($N256="Insufficient Evidence",'Lists &amp; Settings'!$O$10,IF($N256="Pass",IF($M256&gt;='Lists &amp; Settings'!$N$2,'Lists &amp; Settings'!$O$2,IF($M256&gt;='Lists &amp; Settings'!$N$3,'Lists &amp; Settings'!$O$3,'Lists &amp; Settings'!$O$4)),IF($N256="Partial",IF($M256&gt;='Lists &amp; Settings'!$N$6,'Lists &amp; Settings'!$O$6,IF($M256&gt;='Lists &amp; Settings'!$N$7,'Lists &amp; Settings'!$O$7,'Lists &amp; Settings'!$O$8)),'Lists &amp; Settings'!$O$10))))))</f>
        <v/>
      </c>
      <c r="T256" s="31"/>
      <c r="U256" s="31"/>
      <c r="V256" s="31"/>
    </row>
    <row r="257" ht="15.75" customHeight="1">
      <c r="B257" s="31"/>
      <c r="N257" s="127"/>
      <c r="S257" s="31" t="str">
        <f>IF($C257="","",IF(OR($M257="",$N257=""),'Lists &amp; Settings'!$O$10,IF($N257="Fail",'Lists &amp; Settings'!$O$9,IF($N257="Insufficient Evidence",'Lists &amp; Settings'!$O$10,IF($N257="Pass",IF($M257&gt;='Lists &amp; Settings'!$N$2,'Lists &amp; Settings'!$O$2,IF($M257&gt;='Lists &amp; Settings'!$N$3,'Lists &amp; Settings'!$O$3,'Lists &amp; Settings'!$O$4)),IF($N257="Partial",IF($M257&gt;='Lists &amp; Settings'!$N$6,'Lists &amp; Settings'!$O$6,IF($M257&gt;='Lists &amp; Settings'!$N$7,'Lists &amp; Settings'!$O$7,'Lists &amp; Settings'!$O$8)),'Lists &amp; Settings'!$O$10))))))</f>
        <v/>
      </c>
      <c r="T257" s="31"/>
      <c r="U257" s="31"/>
      <c r="V257" s="31"/>
    </row>
    <row r="258" ht="15.75" customHeight="1">
      <c r="B258" s="31"/>
      <c r="N258" s="127"/>
      <c r="S258" s="31" t="str">
        <f>IF($C258="","",IF(OR($M258="",$N258=""),'Lists &amp; Settings'!$O$10,IF($N258="Fail",'Lists &amp; Settings'!$O$9,IF($N258="Insufficient Evidence",'Lists &amp; Settings'!$O$10,IF($N258="Pass",IF($M258&gt;='Lists &amp; Settings'!$N$2,'Lists &amp; Settings'!$O$2,IF($M258&gt;='Lists &amp; Settings'!$N$3,'Lists &amp; Settings'!$O$3,'Lists &amp; Settings'!$O$4)),IF($N258="Partial",IF($M258&gt;='Lists &amp; Settings'!$N$6,'Lists &amp; Settings'!$O$6,IF($M258&gt;='Lists &amp; Settings'!$N$7,'Lists &amp; Settings'!$O$7,'Lists &amp; Settings'!$O$8)),'Lists &amp; Settings'!$O$10))))))</f>
        <v/>
      </c>
      <c r="T258" s="31"/>
      <c r="U258" s="31"/>
      <c r="V258" s="31"/>
    </row>
    <row r="259" ht="15.75" customHeight="1">
      <c r="B259" s="31"/>
      <c r="N259" s="127"/>
      <c r="S259" s="31" t="str">
        <f>IF($C259="","",IF(OR($M259="",$N259=""),'Lists &amp; Settings'!$O$10,IF($N259="Fail",'Lists &amp; Settings'!$O$9,IF($N259="Insufficient Evidence",'Lists &amp; Settings'!$O$10,IF($N259="Pass",IF($M259&gt;='Lists &amp; Settings'!$N$2,'Lists &amp; Settings'!$O$2,IF($M259&gt;='Lists &amp; Settings'!$N$3,'Lists &amp; Settings'!$O$3,'Lists &amp; Settings'!$O$4)),IF($N259="Partial",IF($M259&gt;='Lists &amp; Settings'!$N$6,'Lists &amp; Settings'!$O$6,IF($M259&gt;='Lists &amp; Settings'!$N$7,'Lists &amp; Settings'!$O$7,'Lists &amp; Settings'!$O$8)),'Lists &amp; Settings'!$O$10))))))</f>
        <v/>
      </c>
      <c r="T259" s="31"/>
      <c r="U259" s="31"/>
      <c r="V259" s="31"/>
    </row>
    <row r="260" ht="15.75" customHeight="1">
      <c r="B260" s="31"/>
      <c r="N260" s="127"/>
      <c r="S260" s="31" t="str">
        <f>IF($C260="","",IF(OR($M260="",$N260=""),'Lists &amp; Settings'!$O$10,IF($N260="Fail",'Lists &amp; Settings'!$O$9,IF($N260="Insufficient Evidence",'Lists &amp; Settings'!$O$10,IF($N260="Pass",IF($M260&gt;='Lists &amp; Settings'!$N$2,'Lists &amp; Settings'!$O$2,IF($M260&gt;='Lists &amp; Settings'!$N$3,'Lists &amp; Settings'!$O$3,'Lists &amp; Settings'!$O$4)),IF($N260="Partial",IF($M260&gt;='Lists &amp; Settings'!$N$6,'Lists &amp; Settings'!$O$6,IF($M260&gt;='Lists &amp; Settings'!$N$7,'Lists &amp; Settings'!$O$7,'Lists &amp; Settings'!$O$8)),'Lists &amp; Settings'!$O$10))))))</f>
        <v/>
      </c>
      <c r="T260" s="31"/>
      <c r="U260" s="31"/>
      <c r="V260" s="31"/>
    </row>
    <row r="261" ht="15.75" customHeight="1">
      <c r="B261" s="31"/>
      <c r="N261" s="127"/>
      <c r="S261" s="31" t="str">
        <f>IF($C261="","",IF(OR($M261="",$N261=""),'Lists &amp; Settings'!$O$10,IF($N261="Fail",'Lists &amp; Settings'!$O$9,IF($N261="Insufficient Evidence",'Lists &amp; Settings'!$O$10,IF($N261="Pass",IF($M261&gt;='Lists &amp; Settings'!$N$2,'Lists &amp; Settings'!$O$2,IF($M261&gt;='Lists &amp; Settings'!$N$3,'Lists &amp; Settings'!$O$3,'Lists &amp; Settings'!$O$4)),IF($N261="Partial",IF($M261&gt;='Lists &amp; Settings'!$N$6,'Lists &amp; Settings'!$O$6,IF($M261&gt;='Lists &amp; Settings'!$N$7,'Lists &amp; Settings'!$O$7,'Lists &amp; Settings'!$O$8)),'Lists &amp; Settings'!$O$10))))))</f>
        <v/>
      </c>
      <c r="T261" s="31"/>
      <c r="U261" s="31"/>
      <c r="V261" s="31"/>
    </row>
    <row r="262" ht="15.75" customHeight="1">
      <c r="B262" s="31"/>
      <c r="N262" s="127"/>
      <c r="S262" s="31" t="str">
        <f>IF($C262="","",IF(OR($M262="",$N262=""),'Lists &amp; Settings'!$O$10,IF($N262="Fail",'Lists &amp; Settings'!$O$9,IF($N262="Insufficient Evidence",'Lists &amp; Settings'!$O$10,IF($N262="Pass",IF($M262&gt;='Lists &amp; Settings'!$N$2,'Lists &amp; Settings'!$O$2,IF($M262&gt;='Lists &amp; Settings'!$N$3,'Lists &amp; Settings'!$O$3,'Lists &amp; Settings'!$O$4)),IF($N262="Partial",IF($M262&gt;='Lists &amp; Settings'!$N$6,'Lists &amp; Settings'!$O$6,IF($M262&gt;='Lists &amp; Settings'!$N$7,'Lists &amp; Settings'!$O$7,'Lists &amp; Settings'!$O$8)),'Lists &amp; Settings'!$O$10))))))</f>
        <v/>
      </c>
      <c r="T262" s="31"/>
      <c r="U262" s="31"/>
      <c r="V262" s="31"/>
    </row>
    <row r="263" ht="15.75" customHeight="1">
      <c r="B263" s="31"/>
      <c r="N263" s="127"/>
      <c r="S263" s="31" t="str">
        <f>IF($C263="","",IF(OR($M263="",$N263=""),'Lists &amp; Settings'!$O$10,IF($N263="Fail",'Lists &amp; Settings'!$O$9,IF($N263="Insufficient Evidence",'Lists &amp; Settings'!$O$10,IF($N263="Pass",IF($M263&gt;='Lists &amp; Settings'!$N$2,'Lists &amp; Settings'!$O$2,IF($M263&gt;='Lists &amp; Settings'!$N$3,'Lists &amp; Settings'!$O$3,'Lists &amp; Settings'!$O$4)),IF($N263="Partial",IF($M263&gt;='Lists &amp; Settings'!$N$6,'Lists &amp; Settings'!$O$6,IF($M263&gt;='Lists &amp; Settings'!$N$7,'Lists &amp; Settings'!$O$7,'Lists &amp; Settings'!$O$8)),'Lists &amp; Settings'!$O$10))))))</f>
        <v/>
      </c>
      <c r="T263" s="31"/>
      <c r="U263" s="31"/>
      <c r="V263" s="31"/>
    </row>
    <row r="264" ht="15.75" customHeight="1">
      <c r="B264" s="31"/>
      <c r="N264" s="127"/>
      <c r="S264" s="31" t="str">
        <f>IF($C264="","",IF(OR($M264="",$N264=""),'Lists &amp; Settings'!$O$10,IF($N264="Fail",'Lists &amp; Settings'!$O$9,IF($N264="Insufficient Evidence",'Lists &amp; Settings'!$O$10,IF($N264="Pass",IF($M264&gt;='Lists &amp; Settings'!$N$2,'Lists &amp; Settings'!$O$2,IF($M264&gt;='Lists &amp; Settings'!$N$3,'Lists &amp; Settings'!$O$3,'Lists &amp; Settings'!$O$4)),IF($N264="Partial",IF($M264&gt;='Lists &amp; Settings'!$N$6,'Lists &amp; Settings'!$O$6,IF($M264&gt;='Lists &amp; Settings'!$N$7,'Lists &amp; Settings'!$O$7,'Lists &amp; Settings'!$O$8)),'Lists &amp; Settings'!$O$10))))))</f>
        <v/>
      </c>
      <c r="T264" s="31"/>
      <c r="U264" s="31"/>
      <c r="V264" s="31"/>
    </row>
    <row r="265" ht="15.75" customHeight="1">
      <c r="B265" s="31"/>
      <c r="N265" s="127"/>
      <c r="S265" s="31" t="str">
        <f>IF($C265="","",IF(OR($M265="",$N265=""),'Lists &amp; Settings'!$O$10,IF($N265="Fail",'Lists &amp; Settings'!$O$9,IF($N265="Insufficient Evidence",'Lists &amp; Settings'!$O$10,IF($N265="Pass",IF($M265&gt;='Lists &amp; Settings'!$N$2,'Lists &amp; Settings'!$O$2,IF($M265&gt;='Lists &amp; Settings'!$N$3,'Lists &amp; Settings'!$O$3,'Lists &amp; Settings'!$O$4)),IF($N265="Partial",IF($M265&gt;='Lists &amp; Settings'!$N$6,'Lists &amp; Settings'!$O$6,IF($M265&gt;='Lists &amp; Settings'!$N$7,'Lists &amp; Settings'!$O$7,'Lists &amp; Settings'!$O$8)),'Lists &amp; Settings'!$O$10))))))</f>
        <v/>
      </c>
      <c r="T265" s="31"/>
      <c r="U265" s="31"/>
      <c r="V265" s="31"/>
    </row>
    <row r="266" ht="15.75" customHeight="1">
      <c r="B266" s="31"/>
      <c r="N266" s="127"/>
      <c r="S266" s="31" t="str">
        <f>IF($C266="","",IF(OR($M266="",$N266=""),'Lists &amp; Settings'!$O$10,IF($N266="Fail",'Lists &amp; Settings'!$O$9,IF($N266="Insufficient Evidence",'Lists &amp; Settings'!$O$10,IF($N266="Pass",IF($M266&gt;='Lists &amp; Settings'!$N$2,'Lists &amp; Settings'!$O$2,IF($M266&gt;='Lists &amp; Settings'!$N$3,'Lists &amp; Settings'!$O$3,'Lists &amp; Settings'!$O$4)),IF($N266="Partial",IF($M266&gt;='Lists &amp; Settings'!$N$6,'Lists &amp; Settings'!$O$6,IF($M266&gt;='Lists &amp; Settings'!$N$7,'Lists &amp; Settings'!$O$7,'Lists &amp; Settings'!$O$8)),'Lists &amp; Settings'!$O$10))))))</f>
        <v/>
      </c>
      <c r="T266" s="31"/>
      <c r="U266" s="31"/>
      <c r="V266" s="31"/>
    </row>
    <row r="267" ht="15.75" customHeight="1">
      <c r="B267" s="31"/>
      <c r="N267" s="127"/>
      <c r="S267" s="31" t="str">
        <f>IF($C267="","",IF(OR($M267="",$N267=""),'Lists &amp; Settings'!$O$10,IF($N267="Fail",'Lists &amp; Settings'!$O$9,IF($N267="Insufficient Evidence",'Lists &amp; Settings'!$O$10,IF($N267="Pass",IF($M267&gt;='Lists &amp; Settings'!$N$2,'Lists &amp; Settings'!$O$2,IF($M267&gt;='Lists &amp; Settings'!$N$3,'Lists &amp; Settings'!$O$3,'Lists &amp; Settings'!$O$4)),IF($N267="Partial",IF($M267&gt;='Lists &amp; Settings'!$N$6,'Lists &amp; Settings'!$O$6,IF($M267&gt;='Lists &amp; Settings'!$N$7,'Lists &amp; Settings'!$O$7,'Lists &amp; Settings'!$O$8)),'Lists &amp; Settings'!$O$10))))))</f>
        <v/>
      </c>
      <c r="T267" s="31"/>
      <c r="U267" s="31"/>
      <c r="V267" s="31"/>
    </row>
    <row r="268" ht="15.75" customHeight="1">
      <c r="B268" s="31"/>
      <c r="N268" s="127"/>
      <c r="S268" s="31" t="str">
        <f>IF($C268="","",IF(OR($M268="",$N268=""),'Lists &amp; Settings'!$O$10,IF($N268="Fail",'Lists &amp; Settings'!$O$9,IF($N268="Insufficient Evidence",'Lists &amp; Settings'!$O$10,IF($N268="Pass",IF($M268&gt;='Lists &amp; Settings'!$N$2,'Lists &amp; Settings'!$O$2,IF($M268&gt;='Lists &amp; Settings'!$N$3,'Lists &amp; Settings'!$O$3,'Lists &amp; Settings'!$O$4)),IF($N268="Partial",IF($M268&gt;='Lists &amp; Settings'!$N$6,'Lists &amp; Settings'!$O$6,IF($M268&gt;='Lists &amp; Settings'!$N$7,'Lists &amp; Settings'!$O$7,'Lists &amp; Settings'!$O$8)),'Lists &amp; Settings'!$O$10))))))</f>
        <v/>
      </c>
      <c r="T268" s="31"/>
      <c r="U268" s="31"/>
      <c r="V268" s="31"/>
    </row>
    <row r="269" ht="15.75" customHeight="1">
      <c r="B269" s="31"/>
      <c r="N269" s="127"/>
      <c r="S269" s="31" t="str">
        <f>IF($C269="","",IF(OR($M269="",$N269=""),'Lists &amp; Settings'!$O$10,IF($N269="Fail",'Lists &amp; Settings'!$O$9,IF($N269="Insufficient Evidence",'Lists &amp; Settings'!$O$10,IF($N269="Pass",IF($M269&gt;='Lists &amp; Settings'!$N$2,'Lists &amp; Settings'!$O$2,IF($M269&gt;='Lists &amp; Settings'!$N$3,'Lists &amp; Settings'!$O$3,'Lists &amp; Settings'!$O$4)),IF($N269="Partial",IF($M269&gt;='Lists &amp; Settings'!$N$6,'Lists &amp; Settings'!$O$6,IF($M269&gt;='Lists &amp; Settings'!$N$7,'Lists &amp; Settings'!$O$7,'Lists &amp; Settings'!$O$8)),'Lists &amp; Settings'!$O$10))))))</f>
        <v/>
      </c>
      <c r="T269" s="31"/>
      <c r="U269" s="31"/>
      <c r="V269" s="31"/>
    </row>
    <row r="270" ht="15.75" customHeight="1">
      <c r="B270" s="31"/>
      <c r="N270" s="127"/>
      <c r="S270" s="31" t="str">
        <f>IF($C270="","",IF(OR($M270="",$N270=""),'Lists &amp; Settings'!$O$10,IF($N270="Fail",'Lists &amp; Settings'!$O$9,IF($N270="Insufficient Evidence",'Lists &amp; Settings'!$O$10,IF($N270="Pass",IF($M270&gt;='Lists &amp; Settings'!$N$2,'Lists &amp; Settings'!$O$2,IF($M270&gt;='Lists &amp; Settings'!$N$3,'Lists &amp; Settings'!$O$3,'Lists &amp; Settings'!$O$4)),IF($N270="Partial",IF($M270&gt;='Lists &amp; Settings'!$N$6,'Lists &amp; Settings'!$O$6,IF($M270&gt;='Lists &amp; Settings'!$N$7,'Lists &amp; Settings'!$O$7,'Lists &amp; Settings'!$O$8)),'Lists &amp; Settings'!$O$10))))))</f>
        <v/>
      </c>
      <c r="T270" s="31"/>
      <c r="U270" s="31"/>
      <c r="V270" s="31"/>
    </row>
    <row r="271" ht="15.75" customHeight="1">
      <c r="B271" s="31"/>
      <c r="N271" s="127"/>
      <c r="S271" s="31" t="str">
        <f>IF($C271="","",IF(OR($M271="",$N271=""),'Lists &amp; Settings'!$O$10,IF($N271="Fail",'Lists &amp; Settings'!$O$9,IF($N271="Insufficient Evidence",'Lists &amp; Settings'!$O$10,IF($N271="Pass",IF($M271&gt;='Lists &amp; Settings'!$N$2,'Lists &amp; Settings'!$O$2,IF($M271&gt;='Lists &amp; Settings'!$N$3,'Lists &amp; Settings'!$O$3,'Lists &amp; Settings'!$O$4)),IF($N271="Partial",IF($M271&gt;='Lists &amp; Settings'!$N$6,'Lists &amp; Settings'!$O$6,IF($M271&gt;='Lists &amp; Settings'!$N$7,'Lists &amp; Settings'!$O$7,'Lists &amp; Settings'!$O$8)),'Lists &amp; Settings'!$O$10))))))</f>
        <v/>
      </c>
      <c r="T271" s="31"/>
      <c r="U271" s="31"/>
      <c r="V271" s="31"/>
    </row>
    <row r="272" ht="15.75" customHeight="1">
      <c r="B272" s="31"/>
      <c r="N272" s="127"/>
      <c r="S272" s="31" t="str">
        <f>IF($C272="","",IF(OR($M272="",$N272=""),'Lists &amp; Settings'!$O$10,IF($N272="Fail",'Lists &amp; Settings'!$O$9,IF($N272="Insufficient Evidence",'Lists &amp; Settings'!$O$10,IF($N272="Pass",IF($M272&gt;='Lists &amp; Settings'!$N$2,'Lists &amp; Settings'!$O$2,IF($M272&gt;='Lists &amp; Settings'!$N$3,'Lists &amp; Settings'!$O$3,'Lists &amp; Settings'!$O$4)),IF($N272="Partial",IF($M272&gt;='Lists &amp; Settings'!$N$6,'Lists &amp; Settings'!$O$6,IF($M272&gt;='Lists &amp; Settings'!$N$7,'Lists &amp; Settings'!$O$7,'Lists &amp; Settings'!$O$8)),'Lists &amp; Settings'!$O$10))))))</f>
        <v/>
      </c>
      <c r="T272" s="31"/>
      <c r="U272" s="31"/>
      <c r="V272" s="31"/>
    </row>
    <row r="273" ht="15.75" customHeight="1">
      <c r="B273" s="31"/>
      <c r="N273" s="127"/>
      <c r="S273" s="31" t="str">
        <f>IF($C273="","",IF(OR($M273="",$N273=""),'Lists &amp; Settings'!$O$10,IF($N273="Fail",'Lists &amp; Settings'!$O$9,IF($N273="Insufficient Evidence",'Lists &amp; Settings'!$O$10,IF($N273="Pass",IF($M273&gt;='Lists &amp; Settings'!$N$2,'Lists &amp; Settings'!$O$2,IF($M273&gt;='Lists &amp; Settings'!$N$3,'Lists &amp; Settings'!$O$3,'Lists &amp; Settings'!$O$4)),IF($N273="Partial",IF($M273&gt;='Lists &amp; Settings'!$N$6,'Lists &amp; Settings'!$O$6,IF($M273&gt;='Lists &amp; Settings'!$N$7,'Lists &amp; Settings'!$O$7,'Lists &amp; Settings'!$O$8)),'Lists &amp; Settings'!$O$10))))))</f>
        <v/>
      </c>
      <c r="T273" s="31"/>
      <c r="U273" s="31"/>
      <c r="V273" s="31"/>
    </row>
    <row r="274" ht="15.75" customHeight="1">
      <c r="B274" s="31"/>
      <c r="N274" s="127"/>
      <c r="S274" s="31" t="str">
        <f>IF($C274="","",IF(OR($M274="",$N274=""),'Lists &amp; Settings'!$O$10,IF($N274="Fail",'Lists &amp; Settings'!$O$9,IF($N274="Insufficient Evidence",'Lists &amp; Settings'!$O$10,IF($N274="Pass",IF($M274&gt;='Lists &amp; Settings'!$N$2,'Lists &amp; Settings'!$O$2,IF($M274&gt;='Lists &amp; Settings'!$N$3,'Lists &amp; Settings'!$O$3,'Lists &amp; Settings'!$O$4)),IF($N274="Partial",IF($M274&gt;='Lists &amp; Settings'!$N$6,'Lists &amp; Settings'!$O$6,IF($M274&gt;='Lists &amp; Settings'!$N$7,'Lists &amp; Settings'!$O$7,'Lists &amp; Settings'!$O$8)),'Lists &amp; Settings'!$O$10))))))</f>
        <v/>
      </c>
      <c r="T274" s="31"/>
      <c r="U274" s="31"/>
      <c r="V274" s="31"/>
    </row>
    <row r="275" ht="15.75" customHeight="1">
      <c r="B275" s="31"/>
      <c r="N275" s="127"/>
      <c r="S275" s="31" t="str">
        <f>IF($C275="","",IF(OR($M275="",$N275=""),'Lists &amp; Settings'!$O$10,IF($N275="Fail",'Lists &amp; Settings'!$O$9,IF($N275="Insufficient Evidence",'Lists &amp; Settings'!$O$10,IF($N275="Pass",IF($M275&gt;='Lists &amp; Settings'!$N$2,'Lists &amp; Settings'!$O$2,IF($M275&gt;='Lists &amp; Settings'!$N$3,'Lists &amp; Settings'!$O$3,'Lists &amp; Settings'!$O$4)),IF($N275="Partial",IF($M275&gt;='Lists &amp; Settings'!$N$6,'Lists &amp; Settings'!$O$6,IF($M275&gt;='Lists &amp; Settings'!$N$7,'Lists &amp; Settings'!$O$7,'Lists &amp; Settings'!$O$8)),'Lists &amp; Settings'!$O$10))))))</f>
        <v/>
      </c>
      <c r="T275" s="31"/>
      <c r="U275" s="31"/>
      <c r="V275" s="31"/>
    </row>
    <row r="276" ht="15.75" customHeight="1">
      <c r="B276" s="31"/>
      <c r="N276" s="127"/>
      <c r="S276" s="31" t="str">
        <f>IF($C276="","",IF(OR($M276="",$N276=""),'Lists &amp; Settings'!$O$10,IF($N276="Fail",'Lists &amp; Settings'!$O$9,IF($N276="Insufficient Evidence",'Lists &amp; Settings'!$O$10,IF($N276="Pass",IF($M276&gt;='Lists &amp; Settings'!$N$2,'Lists &amp; Settings'!$O$2,IF($M276&gt;='Lists &amp; Settings'!$N$3,'Lists &amp; Settings'!$O$3,'Lists &amp; Settings'!$O$4)),IF($N276="Partial",IF($M276&gt;='Lists &amp; Settings'!$N$6,'Lists &amp; Settings'!$O$6,IF($M276&gt;='Lists &amp; Settings'!$N$7,'Lists &amp; Settings'!$O$7,'Lists &amp; Settings'!$O$8)),'Lists &amp; Settings'!$O$10))))))</f>
        <v/>
      </c>
      <c r="T276" s="31"/>
      <c r="U276" s="31"/>
      <c r="V276" s="31"/>
    </row>
    <row r="277" ht="15.75" customHeight="1">
      <c r="B277" s="31"/>
      <c r="N277" s="127"/>
      <c r="S277" s="31" t="str">
        <f>IF($C277="","",IF(OR($M277="",$N277=""),'Lists &amp; Settings'!$O$10,IF($N277="Fail",'Lists &amp; Settings'!$O$9,IF($N277="Insufficient Evidence",'Lists &amp; Settings'!$O$10,IF($N277="Pass",IF($M277&gt;='Lists &amp; Settings'!$N$2,'Lists &amp; Settings'!$O$2,IF($M277&gt;='Lists &amp; Settings'!$N$3,'Lists &amp; Settings'!$O$3,'Lists &amp; Settings'!$O$4)),IF($N277="Partial",IF($M277&gt;='Lists &amp; Settings'!$N$6,'Lists &amp; Settings'!$O$6,IF($M277&gt;='Lists &amp; Settings'!$N$7,'Lists &amp; Settings'!$O$7,'Lists &amp; Settings'!$O$8)),'Lists &amp; Settings'!$O$10))))))</f>
        <v/>
      </c>
      <c r="T277" s="31"/>
      <c r="U277" s="31"/>
      <c r="V277" s="31"/>
    </row>
    <row r="278" ht="15.75" customHeight="1">
      <c r="B278" s="31"/>
      <c r="N278" s="127"/>
      <c r="S278" s="31" t="str">
        <f>IF($C278="","",IF(OR($M278="",$N278=""),'Lists &amp; Settings'!$O$10,IF($N278="Fail",'Lists &amp; Settings'!$O$9,IF($N278="Insufficient Evidence",'Lists &amp; Settings'!$O$10,IF($N278="Pass",IF($M278&gt;='Lists &amp; Settings'!$N$2,'Lists &amp; Settings'!$O$2,IF($M278&gt;='Lists &amp; Settings'!$N$3,'Lists &amp; Settings'!$O$3,'Lists &amp; Settings'!$O$4)),IF($N278="Partial",IF($M278&gt;='Lists &amp; Settings'!$N$6,'Lists &amp; Settings'!$O$6,IF($M278&gt;='Lists &amp; Settings'!$N$7,'Lists &amp; Settings'!$O$7,'Lists &amp; Settings'!$O$8)),'Lists &amp; Settings'!$O$10))))))</f>
        <v/>
      </c>
      <c r="T278" s="31"/>
      <c r="U278" s="31"/>
      <c r="V278" s="31"/>
    </row>
    <row r="279" ht="15.75" customHeight="1">
      <c r="B279" s="31"/>
      <c r="N279" s="127"/>
      <c r="S279" s="31" t="str">
        <f>IF($C279="","",IF(OR($M279="",$N279=""),'Lists &amp; Settings'!$O$10,IF($N279="Fail",'Lists &amp; Settings'!$O$9,IF($N279="Insufficient Evidence",'Lists &amp; Settings'!$O$10,IF($N279="Pass",IF($M279&gt;='Lists &amp; Settings'!$N$2,'Lists &amp; Settings'!$O$2,IF($M279&gt;='Lists &amp; Settings'!$N$3,'Lists &amp; Settings'!$O$3,'Lists &amp; Settings'!$O$4)),IF($N279="Partial",IF($M279&gt;='Lists &amp; Settings'!$N$6,'Lists &amp; Settings'!$O$6,IF($M279&gt;='Lists &amp; Settings'!$N$7,'Lists &amp; Settings'!$O$7,'Lists &amp; Settings'!$O$8)),'Lists &amp; Settings'!$O$10))))))</f>
        <v/>
      </c>
      <c r="T279" s="31"/>
      <c r="U279" s="31"/>
      <c r="V279" s="31"/>
    </row>
    <row r="280" ht="15.75" customHeight="1">
      <c r="B280" s="31"/>
      <c r="N280" s="127"/>
      <c r="S280" s="31" t="str">
        <f>IF($C280="","",IF(OR($M280="",$N280=""),'Lists &amp; Settings'!$O$10,IF($N280="Fail",'Lists &amp; Settings'!$O$9,IF($N280="Insufficient Evidence",'Lists &amp; Settings'!$O$10,IF($N280="Pass",IF($M280&gt;='Lists &amp; Settings'!$N$2,'Lists &amp; Settings'!$O$2,IF($M280&gt;='Lists &amp; Settings'!$N$3,'Lists &amp; Settings'!$O$3,'Lists &amp; Settings'!$O$4)),IF($N280="Partial",IF($M280&gt;='Lists &amp; Settings'!$N$6,'Lists &amp; Settings'!$O$6,IF($M280&gt;='Lists &amp; Settings'!$N$7,'Lists &amp; Settings'!$O$7,'Lists &amp; Settings'!$O$8)),'Lists &amp; Settings'!$O$10))))))</f>
        <v/>
      </c>
      <c r="T280" s="31"/>
      <c r="U280" s="31"/>
      <c r="V280" s="31"/>
    </row>
    <row r="281" ht="15.75" customHeight="1">
      <c r="B281" s="31"/>
      <c r="N281" s="127"/>
      <c r="S281" s="31" t="str">
        <f>IF($C281="","",IF(OR($M281="",$N281=""),'Lists &amp; Settings'!$O$10,IF($N281="Fail",'Lists &amp; Settings'!$O$9,IF($N281="Insufficient Evidence",'Lists &amp; Settings'!$O$10,IF($N281="Pass",IF($M281&gt;='Lists &amp; Settings'!$N$2,'Lists &amp; Settings'!$O$2,IF($M281&gt;='Lists &amp; Settings'!$N$3,'Lists &amp; Settings'!$O$3,'Lists &amp; Settings'!$O$4)),IF($N281="Partial",IF($M281&gt;='Lists &amp; Settings'!$N$6,'Lists &amp; Settings'!$O$6,IF($M281&gt;='Lists &amp; Settings'!$N$7,'Lists &amp; Settings'!$O$7,'Lists &amp; Settings'!$O$8)),'Lists &amp; Settings'!$O$10))))))</f>
        <v/>
      </c>
      <c r="T281" s="31"/>
      <c r="U281" s="31"/>
      <c r="V281" s="31"/>
    </row>
    <row r="282" ht="15.75" customHeight="1">
      <c r="B282" s="31"/>
      <c r="N282" s="127"/>
      <c r="S282" s="31" t="str">
        <f>IF($C282="","",IF(OR($M282="",$N282=""),'Lists &amp; Settings'!$O$10,IF($N282="Fail",'Lists &amp; Settings'!$O$9,IF($N282="Insufficient Evidence",'Lists &amp; Settings'!$O$10,IF($N282="Pass",IF($M282&gt;='Lists &amp; Settings'!$N$2,'Lists &amp; Settings'!$O$2,IF($M282&gt;='Lists &amp; Settings'!$N$3,'Lists &amp; Settings'!$O$3,'Lists &amp; Settings'!$O$4)),IF($N282="Partial",IF($M282&gt;='Lists &amp; Settings'!$N$6,'Lists &amp; Settings'!$O$6,IF($M282&gt;='Lists &amp; Settings'!$N$7,'Lists &amp; Settings'!$O$7,'Lists &amp; Settings'!$O$8)),'Lists &amp; Settings'!$O$10))))))</f>
        <v/>
      </c>
      <c r="T282" s="31"/>
      <c r="U282" s="31"/>
      <c r="V282" s="31"/>
    </row>
    <row r="283" ht="15.75" customHeight="1">
      <c r="B283" s="31"/>
      <c r="N283" s="127"/>
      <c r="S283" s="31" t="str">
        <f>IF($C283="","",IF(OR($M283="",$N283=""),'Lists &amp; Settings'!$O$10,IF($N283="Fail",'Lists &amp; Settings'!$O$9,IF($N283="Insufficient Evidence",'Lists &amp; Settings'!$O$10,IF($N283="Pass",IF($M283&gt;='Lists &amp; Settings'!$N$2,'Lists &amp; Settings'!$O$2,IF($M283&gt;='Lists &amp; Settings'!$N$3,'Lists &amp; Settings'!$O$3,'Lists &amp; Settings'!$O$4)),IF($N283="Partial",IF($M283&gt;='Lists &amp; Settings'!$N$6,'Lists &amp; Settings'!$O$6,IF($M283&gt;='Lists &amp; Settings'!$N$7,'Lists &amp; Settings'!$O$7,'Lists &amp; Settings'!$O$8)),'Lists &amp; Settings'!$O$10))))))</f>
        <v/>
      </c>
      <c r="T283" s="31"/>
      <c r="U283" s="31"/>
      <c r="V283" s="31"/>
    </row>
    <row r="284" ht="15.75" customHeight="1">
      <c r="B284" s="31"/>
      <c r="N284" s="127"/>
      <c r="S284" s="31" t="str">
        <f>IF($C284="","",IF(OR($M284="",$N284=""),'Lists &amp; Settings'!$O$10,IF($N284="Fail",'Lists &amp; Settings'!$O$9,IF($N284="Insufficient Evidence",'Lists &amp; Settings'!$O$10,IF($N284="Pass",IF($M284&gt;='Lists &amp; Settings'!$N$2,'Lists &amp; Settings'!$O$2,IF($M284&gt;='Lists &amp; Settings'!$N$3,'Lists &amp; Settings'!$O$3,'Lists &amp; Settings'!$O$4)),IF($N284="Partial",IF($M284&gt;='Lists &amp; Settings'!$N$6,'Lists &amp; Settings'!$O$6,IF($M284&gt;='Lists &amp; Settings'!$N$7,'Lists &amp; Settings'!$O$7,'Lists &amp; Settings'!$O$8)),'Lists &amp; Settings'!$O$10))))))</f>
        <v/>
      </c>
      <c r="T284" s="31"/>
      <c r="U284" s="31"/>
      <c r="V284" s="31"/>
    </row>
    <row r="285" ht="15.75" customHeight="1">
      <c r="B285" s="31"/>
      <c r="N285" s="127"/>
      <c r="S285" s="31" t="str">
        <f>IF($C285="","",IF(OR($M285="",$N285=""),'Lists &amp; Settings'!$O$10,IF($N285="Fail",'Lists &amp; Settings'!$O$9,IF($N285="Insufficient Evidence",'Lists &amp; Settings'!$O$10,IF($N285="Pass",IF($M285&gt;='Lists &amp; Settings'!$N$2,'Lists &amp; Settings'!$O$2,IF($M285&gt;='Lists &amp; Settings'!$N$3,'Lists &amp; Settings'!$O$3,'Lists &amp; Settings'!$O$4)),IF($N285="Partial",IF($M285&gt;='Lists &amp; Settings'!$N$6,'Lists &amp; Settings'!$O$6,IF($M285&gt;='Lists &amp; Settings'!$N$7,'Lists &amp; Settings'!$O$7,'Lists &amp; Settings'!$O$8)),'Lists &amp; Settings'!$O$10))))))</f>
        <v/>
      </c>
      <c r="T285" s="31"/>
      <c r="U285" s="31"/>
      <c r="V285" s="31"/>
    </row>
    <row r="286" ht="15.75" customHeight="1">
      <c r="B286" s="31"/>
      <c r="N286" s="127"/>
      <c r="S286" s="31" t="str">
        <f>IF($C286="","",IF(OR($M286="",$N286=""),'Lists &amp; Settings'!$O$10,IF($N286="Fail",'Lists &amp; Settings'!$O$9,IF($N286="Insufficient Evidence",'Lists &amp; Settings'!$O$10,IF($N286="Pass",IF($M286&gt;='Lists &amp; Settings'!$N$2,'Lists &amp; Settings'!$O$2,IF($M286&gt;='Lists &amp; Settings'!$N$3,'Lists &amp; Settings'!$O$3,'Lists &amp; Settings'!$O$4)),IF($N286="Partial",IF($M286&gt;='Lists &amp; Settings'!$N$6,'Lists &amp; Settings'!$O$6,IF($M286&gt;='Lists &amp; Settings'!$N$7,'Lists &amp; Settings'!$O$7,'Lists &amp; Settings'!$O$8)),'Lists &amp; Settings'!$O$10))))))</f>
        <v/>
      </c>
      <c r="T286" s="31"/>
      <c r="U286" s="31"/>
      <c r="V286" s="31"/>
    </row>
    <row r="287" ht="15.75" customHeight="1">
      <c r="B287" s="31"/>
      <c r="N287" s="127"/>
      <c r="S287" s="31" t="str">
        <f>IF($C287="","",IF(OR($M287="",$N287=""),'Lists &amp; Settings'!$O$10,IF($N287="Fail",'Lists &amp; Settings'!$O$9,IF($N287="Insufficient Evidence",'Lists &amp; Settings'!$O$10,IF($N287="Pass",IF($M287&gt;='Lists &amp; Settings'!$N$2,'Lists &amp; Settings'!$O$2,IF($M287&gt;='Lists &amp; Settings'!$N$3,'Lists &amp; Settings'!$O$3,'Lists &amp; Settings'!$O$4)),IF($N287="Partial",IF($M287&gt;='Lists &amp; Settings'!$N$6,'Lists &amp; Settings'!$O$6,IF($M287&gt;='Lists &amp; Settings'!$N$7,'Lists &amp; Settings'!$O$7,'Lists &amp; Settings'!$O$8)),'Lists &amp; Settings'!$O$10))))))</f>
        <v/>
      </c>
      <c r="T287" s="31"/>
      <c r="U287" s="31"/>
      <c r="V287" s="31"/>
    </row>
    <row r="288" ht="15.75" customHeight="1">
      <c r="B288" s="31"/>
      <c r="N288" s="127"/>
      <c r="S288" s="31" t="str">
        <f>IF($C288="","",IF(OR($M288="",$N288=""),'Lists &amp; Settings'!$O$10,IF($N288="Fail",'Lists &amp; Settings'!$O$9,IF($N288="Insufficient Evidence",'Lists &amp; Settings'!$O$10,IF($N288="Pass",IF($M288&gt;='Lists &amp; Settings'!$N$2,'Lists &amp; Settings'!$O$2,IF($M288&gt;='Lists &amp; Settings'!$N$3,'Lists &amp; Settings'!$O$3,'Lists &amp; Settings'!$O$4)),IF($N288="Partial",IF($M288&gt;='Lists &amp; Settings'!$N$6,'Lists &amp; Settings'!$O$6,IF($M288&gt;='Lists &amp; Settings'!$N$7,'Lists &amp; Settings'!$O$7,'Lists &amp; Settings'!$O$8)),'Lists &amp; Settings'!$O$10))))))</f>
        <v/>
      </c>
      <c r="T288" s="31"/>
      <c r="U288" s="31"/>
      <c r="V288" s="31"/>
    </row>
    <row r="289" ht="15.75" customHeight="1">
      <c r="B289" s="31"/>
      <c r="N289" s="127"/>
      <c r="S289" s="31" t="str">
        <f>IF($C289="","",IF(OR($M289="",$N289=""),'Lists &amp; Settings'!$O$10,IF($N289="Fail",'Lists &amp; Settings'!$O$9,IF($N289="Insufficient Evidence",'Lists &amp; Settings'!$O$10,IF($N289="Pass",IF($M289&gt;='Lists &amp; Settings'!$N$2,'Lists &amp; Settings'!$O$2,IF($M289&gt;='Lists &amp; Settings'!$N$3,'Lists &amp; Settings'!$O$3,'Lists &amp; Settings'!$O$4)),IF($N289="Partial",IF($M289&gt;='Lists &amp; Settings'!$N$6,'Lists &amp; Settings'!$O$6,IF($M289&gt;='Lists &amp; Settings'!$N$7,'Lists &amp; Settings'!$O$7,'Lists &amp; Settings'!$O$8)),'Lists &amp; Settings'!$O$10))))))</f>
        <v/>
      </c>
      <c r="T289" s="31"/>
      <c r="U289" s="31"/>
      <c r="V289" s="31"/>
    </row>
    <row r="290" ht="15.75" customHeight="1">
      <c r="B290" s="31"/>
      <c r="N290" s="127"/>
      <c r="S290" s="31" t="str">
        <f>IF($C290="","",IF(OR($M290="",$N290=""),'Lists &amp; Settings'!$O$10,IF($N290="Fail",'Lists &amp; Settings'!$O$9,IF($N290="Insufficient Evidence",'Lists &amp; Settings'!$O$10,IF($N290="Pass",IF($M290&gt;='Lists &amp; Settings'!$N$2,'Lists &amp; Settings'!$O$2,IF($M290&gt;='Lists &amp; Settings'!$N$3,'Lists &amp; Settings'!$O$3,'Lists &amp; Settings'!$O$4)),IF($N290="Partial",IF($M290&gt;='Lists &amp; Settings'!$N$6,'Lists &amp; Settings'!$O$6,IF($M290&gt;='Lists &amp; Settings'!$N$7,'Lists &amp; Settings'!$O$7,'Lists &amp; Settings'!$O$8)),'Lists &amp; Settings'!$O$10))))))</f>
        <v/>
      </c>
      <c r="T290" s="31"/>
      <c r="U290" s="31"/>
      <c r="V290" s="31"/>
    </row>
    <row r="291" ht="15.75" customHeight="1">
      <c r="B291" s="31"/>
      <c r="N291" s="127"/>
      <c r="S291" s="31" t="str">
        <f>IF($C291="","",IF(OR($M291="",$N291=""),'Lists &amp; Settings'!$O$10,IF($N291="Fail",'Lists &amp; Settings'!$O$9,IF($N291="Insufficient Evidence",'Lists &amp; Settings'!$O$10,IF($N291="Pass",IF($M291&gt;='Lists &amp; Settings'!$N$2,'Lists &amp; Settings'!$O$2,IF($M291&gt;='Lists &amp; Settings'!$N$3,'Lists &amp; Settings'!$O$3,'Lists &amp; Settings'!$O$4)),IF($N291="Partial",IF($M291&gt;='Lists &amp; Settings'!$N$6,'Lists &amp; Settings'!$O$6,IF($M291&gt;='Lists &amp; Settings'!$N$7,'Lists &amp; Settings'!$O$7,'Lists &amp; Settings'!$O$8)),'Lists &amp; Settings'!$O$10))))))</f>
        <v/>
      </c>
      <c r="T291" s="31"/>
      <c r="U291" s="31"/>
      <c r="V291" s="31"/>
    </row>
    <row r="292" ht="15.75" customHeight="1">
      <c r="B292" s="31"/>
      <c r="N292" s="127"/>
      <c r="S292" s="31" t="str">
        <f>IF($C292="","",IF(OR($M292="",$N292=""),'Lists &amp; Settings'!$O$10,IF($N292="Fail",'Lists &amp; Settings'!$O$9,IF($N292="Insufficient Evidence",'Lists &amp; Settings'!$O$10,IF($N292="Pass",IF($M292&gt;='Lists &amp; Settings'!$N$2,'Lists &amp; Settings'!$O$2,IF($M292&gt;='Lists &amp; Settings'!$N$3,'Lists &amp; Settings'!$O$3,'Lists &amp; Settings'!$O$4)),IF($N292="Partial",IF($M292&gt;='Lists &amp; Settings'!$N$6,'Lists &amp; Settings'!$O$6,IF($M292&gt;='Lists &amp; Settings'!$N$7,'Lists &amp; Settings'!$O$7,'Lists &amp; Settings'!$O$8)),'Lists &amp; Settings'!$O$10))))))</f>
        <v/>
      </c>
      <c r="T292" s="31"/>
      <c r="U292" s="31"/>
      <c r="V292" s="31"/>
    </row>
    <row r="293" ht="15.75" customHeight="1">
      <c r="B293" s="31"/>
      <c r="N293" s="127"/>
      <c r="S293" s="31" t="str">
        <f>IF($C293="","",IF(OR($M293="",$N293=""),'Lists &amp; Settings'!$O$10,IF($N293="Fail",'Lists &amp; Settings'!$O$9,IF($N293="Insufficient Evidence",'Lists &amp; Settings'!$O$10,IF($N293="Pass",IF($M293&gt;='Lists &amp; Settings'!$N$2,'Lists &amp; Settings'!$O$2,IF($M293&gt;='Lists &amp; Settings'!$N$3,'Lists &amp; Settings'!$O$3,'Lists &amp; Settings'!$O$4)),IF($N293="Partial",IF($M293&gt;='Lists &amp; Settings'!$N$6,'Lists &amp; Settings'!$O$6,IF($M293&gt;='Lists &amp; Settings'!$N$7,'Lists &amp; Settings'!$O$7,'Lists &amp; Settings'!$O$8)),'Lists &amp; Settings'!$O$10))))))</f>
        <v/>
      </c>
      <c r="T293" s="31"/>
      <c r="U293" s="31"/>
      <c r="V293" s="31"/>
    </row>
    <row r="294" ht="15.75" customHeight="1">
      <c r="B294" s="31"/>
      <c r="N294" s="127"/>
      <c r="S294" s="31" t="str">
        <f>IF($C294="","",IF(OR($M294="",$N294=""),'Lists &amp; Settings'!$O$10,IF($N294="Fail",'Lists &amp; Settings'!$O$9,IF($N294="Insufficient Evidence",'Lists &amp; Settings'!$O$10,IF($N294="Pass",IF($M294&gt;='Lists &amp; Settings'!$N$2,'Lists &amp; Settings'!$O$2,IF($M294&gt;='Lists &amp; Settings'!$N$3,'Lists &amp; Settings'!$O$3,'Lists &amp; Settings'!$O$4)),IF($N294="Partial",IF($M294&gt;='Lists &amp; Settings'!$N$6,'Lists &amp; Settings'!$O$6,IF($M294&gt;='Lists &amp; Settings'!$N$7,'Lists &amp; Settings'!$O$7,'Lists &amp; Settings'!$O$8)),'Lists &amp; Settings'!$O$10))))))</f>
        <v/>
      </c>
      <c r="T294" s="31"/>
      <c r="U294" s="31"/>
      <c r="V294" s="31"/>
    </row>
    <row r="295" ht="15.75" customHeight="1">
      <c r="B295" s="31"/>
      <c r="N295" s="127"/>
      <c r="S295" s="31" t="str">
        <f>IF($C295="","",IF(OR($M295="",$N295=""),'Lists &amp; Settings'!$O$10,IF($N295="Fail",'Lists &amp; Settings'!$O$9,IF($N295="Insufficient Evidence",'Lists &amp; Settings'!$O$10,IF($N295="Pass",IF($M295&gt;='Lists &amp; Settings'!$N$2,'Lists &amp; Settings'!$O$2,IF($M295&gt;='Lists &amp; Settings'!$N$3,'Lists &amp; Settings'!$O$3,'Lists &amp; Settings'!$O$4)),IF($N295="Partial",IF($M295&gt;='Lists &amp; Settings'!$N$6,'Lists &amp; Settings'!$O$6,IF($M295&gt;='Lists &amp; Settings'!$N$7,'Lists &amp; Settings'!$O$7,'Lists &amp; Settings'!$O$8)),'Lists &amp; Settings'!$O$10))))))</f>
        <v/>
      </c>
      <c r="T295" s="31"/>
      <c r="U295" s="31"/>
      <c r="V295" s="31"/>
    </row>
    <row r="296" ht="15.75" customHeight="1">
      <c r="B296" s="31"/>
      <c r="N296" s="127"/>
      <c r="S296" s="31" t="str">
        <f>IF($C296="","",IF(OR($M296="",$N296=""),'Lists &amp; Settings'!$O$10,IF($N296="Fail",'Lists &amp; Settings'!$O$9,IF($N296="Insufficient Evidence",'Lists &amp; Settings'!$O$10,IF($N296="Pass",IF($M296&gt;='Lists &amp; Settings'!$N$2,'Lists &amp; Settings'!$O$2,IF($M296&gt;='Lists &amp; Settings'!$N$3,'Lists &amp; Settings'!$O$3,'Lists &amp; Settings'!$O$4)),IF($N296="Partial",IF($M296&gt;='Lists &amp; Settings'!$N$6,'Lists &amp; Settings'!$O$6,IF($M296&gt;='Lists &amp; Settings'!$N$7,'Lists &amp; Settings'!$O$7,'Lists &amp; Settings'!$O$8)),'Lists &amp; Settings'!$O$10))))))</f>
        <v/>
      </c>
      <c r="T296" s="31"/>
      <c r="U296" s="31"/>
      <c r="V296" s="31"/>
    </row>
    <row r="297" ht="15.75" customHeight="1">
      <c r="B297" s="31"/>
      <c r="N297" s="127"/>
      <c r="S297" s="31" t="str">
        <f>IF($C297="","",IF(OR($M297="",$N297=""),'Lists &amp; Settings'!$O$10,IF($N297="Fail",'Lists &amp; Settings'!$O$9,IF($N297="Insufficient Evidence",'Lists &amp; Settings'!$O$10,IF($N297="Pass",IF($M297&gt;='Lists &amp; Settings'!$N$2,'Lists &amp; Settings'!$O$2,IF($M297&gt;='Lists &amp; Settings'!$N$3,'Lists &amp; Settings'!$O$3,'Lists &amp; Settings'!$O$4)),IF($N297="Partial",IF($M297&gt;='Lists &amp; Settings'!$N$6,'Lists &amp; Settings'!$O$6,IF($M297&gt;='Lists &amp; Settings'!$N$7,'Lists &amp; Settings'!$O$7,'Lists &amp; Settings'!$O$8)),'Lists &amp; Settings'!$O$10))))))</f>
        <v/>
      </c>
      <c r="T297" s="31"/>
      <c r="U297" s="31"/>
      <c r="V297" s="31"/>
    </row>
    <row r="298" ht="15.75" customHeight="1">
      <c r="B298" s="31"/>
      <c r="N298" s="127"/>
      <c r="S298" s="31" t="str">
        <f>IF($C298="","",IF(OR($M298="",$N298=""),'Lists &amp; Settings'!$O$10,IF($N298="Fail",'Lists &amp; Settings'!$O$9,IF($N298="Insufficient Evidence",'Lists &amp; Settings'!$O$10,IF($N298="Pass",IF($M298&gt;='Lists &amp; Settings'!$N$2,'Lists &amp; Settings'!$O$2,IF($M298&gt;='Lists &amp; Settings'!$N$3,'Lists &amp; Settings'!$O$3,'Lists &amp; Settings'!$O$4)),IF($N298="Partial",IF($M298&gt;='Lists &amp; Settings'!$N$6,'Lists &amp; Settings'!$O$6,IF($M298&gt;='Lists &amp; Settings'!$N$7,'Lists &amp; Settings'!$O$7,'Lists &amp; Settings'!$O$8)),'Lists &amp; Settings'!$O$10))))))</f>
        <v/>
      </c>
      <c r="T298" s="31"/>
      <c r="U298" s="31"/>
      <c r="V298" s="31"/>
    </row>
    <row r="299" ht="15.75" customHeight="1">
      <c r="B299" s="31"/>
      <c r="N299" s="127"/>
      <c r="S299" s="31" t="str">
        <f>IF($C299="","",IF(OR($M299="",$N299=""),'Lists &amp; Settings'!$O$10,IF($N299="Fail",'Lists &amp; Settings'!$O$9,IF($N299="Insufficient Evidence",'Lists &amp; Settings'!$O$10,IF($N299="Pass",IF($M299&gt;='Lists &amp; Settings'!$N$2,'Lists &amp; Settings'!$O$2,IF($M299&gt;='Lists &amp; Settings'!$N$3,'Lists &amp; Settings'!$O$3,'Lists &amp; Settings'!$O$4)),IF($N299="Partial",IF($M299&gt;='Lists &amp; Settings'!$N$6,'Lists &amp; Settings'!$O$6,IF($M299&gt;='Lists &amp; Settings'!$N$7,'Lists &amp; Settings'!$O$7,'Lists &amp; Settings'!$O$8)),'Lists &amp; Settings'!$O$10))))))</f>
        <v/>
      </c>
      <c r="T299" s="31"/>
      <c r="U299" s="31"/>
      <c r="V299" s="31"/>
    </row>
    <row r="300" ht="15.75" customHeight="1">
      <c r="B300" s="31"/>
      <c r="N300" s="127"/>
      <c r="S300" s="31" t="str">
        <f>IF($C300="","",IF(OR($M300="",$N300=""),'Lists &amp; Settings'!$O$10,IF($N300="Fail",'Lists &amp; Settings'!$O$9,IF($N300="Insufficient Evidence",'Lists &amp; Settings'!$O$10,IF($N300="Pass",IF($M300&gt;='Lists &amp; Settings'!$N$2,'Lists &amp; Settings'!$O$2,IF($M300&gt;='Lists &amp; Settings'!$N$3,'Lists &amp; Settings'!$O$3,'Lists &amp; Settings'!$O$4)),IF($N300="Partial",IF($M300&gt;='Lists &amp; Settings'!$N$6,'Lists &amp; Settings'!$O$6,IF($M300&gt;='Lists &amp; Settings'!$N$7,'Lists &amp; Settings'!$O$7,'Lists &amp; Settings'!$O$8)),'Lists &amp; Settings'!$O$10))))))</f>
        <v/>
      </c>
      <c r="T300" s="31"/>
      <c r="U300" s="31"/>
      <c r="V300" s="31"/>
    </row>
    <row r="301" ht="15.75" customHeight="1">
      <c r="B301" s="31"/>
      <c r="N301" s="127"/>
      <c r="S301" s="31" t="str">
        <f>IF($C301="","",IF(OR($M301="",$N301=""),'Lists &amp; Settings'!$O$10,IF($N301="Fail",'Lists &amp; Settings'!$O$9,IF($N301="Insufficient Evidence",'Lists &amp; Settings'!$O$10,IF($N301="Pass",IF($M301&gt;='Lists &amp; Settings'!$N$2,'Lists &amp; Settings'!$O$2,IF($M301&gt;='Lists &amp; Settings'!$N$3,'Lists &amp; Settings'!$O$3,'Lists &amp; Settings'!$O$4)),IF($N301="Partial",IF($M301&gt;='Lists &amp; Settings'!$N$6,'Lists &amp; Settings'!$O$6,IF($M301&gt;='Lists &amp; Settings'!$N$7,'Lists &amp; Settings'!$O$7,'Lists &amp; Settings'!$O$8)),'Lists &amp; Settings'!$O$10))))))</f>
        <v/>
      </c>
      <c r="T301" s="31"/>
      <c r="U301" s="31"/>
      <c r="V301" s="31"/>
    </row>
    <row r="302" ht="15.75" customHeight="1">
      <c r="B302" s="31"/>
      <c r="N302" s="127"/>
      <c r="S302" s="31" t="str">
        <f>IF($C302="","",IF(OR($M302="",$N302=""),'Lists &amp; Settings'!$O$10,IF($N302="Fail",'Lists &amp; Settings'!$O$9,IF($N302="Insufficient Evidence",'Lists &amp; Settings'!$O$10,IF($N302="Pass",IF($M302&gt;='Lists &amp; Settings'!$N$2,'Lists &amp; Settings'!$O$2,IF($M302&gt;='Lists &amp; Settings'!$N$3,'Lists &amp; Settings'!$O$3,'Lists &amp; Settings'!$O$4)),IF($N302="Partial",IF($M302&gt;='Lists &amp; Settings'!$N$6,'Lists &amp; Settings'!$O$6,IF($M302&gt;='Lists &amp; Settings'!$N$7,'Lists &amp; Settings'!$O$7,'Lists &amp; Settings'!$O$8)),'Lists &amp; Settings'!$O$10))))))</f>
        <v/>
      </c>
      <c r="T302" s="31"/>
      <c r="U302" s="31"/>
      <c r="V302" s="31"/>
    </row>
    <row r="303" ht="15.75" customHeight="1">
      <c r="B303" s="31"/>
      <c r="N303" s="127"/>
      <c r="S303" s="31" t="str">
        <f>IF($C303="","",IF(OR($M303="",$N303=""),'Lists &amp; Settings'!$O$10,IF($N303="Fail",'Lists &amp; Settings'!$O$9,IF($N303="Insufficient Evidence",'Lists &amp; Settings'!$O$10,IF($N303="Pass",IF($M303&gt;='Lists &amp; Settings'!$N$2,'Lists &amp; Settings'!$O$2,IF($M303&gt;='Lists &amp; Settings'!$N$3,'Lists &amp; Settings'!$O$3,'Lists &amp; Settings'!$O$4)),IF($N303="Partial",IF($M303&gt;='Lists &amp; Settings'!$N$6,'Lists &amp; Settings'!$O$6,IF($M303&gt;='Lists &amp; Settings'!$N$7,'Lists &amp; Settings'!$O$7,'Lists &amp; Settings'!$O$8)),'Lists &amp; Settings'!$O$10))))))</f>
        <v/>
      </c>
      <c r="T303" s="31"/>
      <c r="U303" s="31"/>
      <c r="V303" s="31"/>
    </row>
    <row r="304" ht="15.75" customHeight="1">
      <c r="B304" s="31"/>
      <c r="N304" s="127"/>
      <c r="S304" s="31" t="str">
        <f>IF($C304="","",IF(OR($M304="",$N304=""),'Lists &amp; Settings'!$O$10,IF($N304="Fail",'Lists &amp; Settings'!$O$9,IF($N304="Insufficient Evidence",'Lists &amp; Settings'!$O$10,IF($N304="Pass",IF($M304&gt;='Lists &amp; Settings'!$N$2,'Lists &amp; Settings'!$O$2,IF($M304&gt;='Lists &amp; Settings'!$N$3,'Lists &amp; Settings'!$O$3,'Lists &amp; Settings'!$O$4)),IF($N304="Partial",IF($M304&gt;='Lists &amp; Settings'!$N$6,'Lists &amp; Settings'!$O$6,IF($M304&gt;='Lists &amp; Settings'!$N$7,'Lists &amp; Settings'!$O$7,'Lists &amp; Settings'!$O$8)),'Lists &amp; Settings'!$O$10))))))</f>
        <v/>
      </c>
      <c r="T304" s="31"/>
      <c r="U304" s="31"/>
      <c r="V304" s="31"/>
    </row>
    <row r="305" ht="15.75" customHeight="1">
      <c r="B305" s="31"/>
      <c r="N305" s="127"/>
      <c r="S305" s="31" t="str">
        <f>IF($C305="","",IF(OR($M305="",$N305=""),'Lists &amp; Settings'!$O$10,IF($N305="Fail",'Lists &amp; Settings'!$O$9,IF($N305="Insufficient Evidence",'Lists &amp; Settings'!$O$10,IF($N305="Pass",IF($M305&gt;='Lists &amp; Settings'!$N$2,'Lists &amp; Settings'!$O$2,IF($M305&gt;='Lists &amp; Settings'!$N$3,'Lists &amp; Settings'!$O$3,'Lists &amp; Settings'!$O$4)),IF($N305="Partial",IF($M305&gt;='Lists &amp; Settings'!$N$6,'Lists &amp; Settings'!$O$6,IF($M305&gt;='Lists &amp; Settings'!$N$7,'Lists &amp; Settings'!$O$7,'Lists &amp; Settings'!$O$8)),'Lists &amp; Settings'!$O$10))))))</f>
        <v/>
      </c>
      <c r="T305" s="31"/>
      <c r="U305" s="31"/>
      <c r="V305" s="31"/>
    </row>
    <row r="306" ht="15.75" customHeight="1">
      <c r="B306" s="31"/>
      <c r="N306" s="127"/>
      <c r="S306" s="31" t="str">
        <f>IF($C306="","",IF(OR($M306="",$N306=""),'Lists &amp; Settings'!$O$10,IF($N306="Fail",'Lists &amp; Settings'!$O$9,IF($N306="Insufficient Evidence",'Lists &amp; Settings'!$O$10,IF($N306="Pass",IF($M306&gt;='Lists &amp; Settings'!$N$2,'Lists &amp; Settings'!$O$2,IF($M306&gt;='Lists &amp; Settings'!$N$3,'Lists &amp; Settings'!$O$3,'Lists &amp; Settings'!$O$4)),IF($N306="Partial",IF($M306&gt;='Lists &amp; Settings'!$N$6,'Lists &amp; Settings'!$O$6,IF($M306&gt;='Lists &amp; Settings'!$N$7,'Lists &amp; Settings'!$O$7,'Lists &amp; Settings'!$O$8)),'Lists &amp; Settings'!$O$10))))))</f>
        <v/>
      </c>
      <c r="T306" s="31"/>
      <c r="U306" s="31"/>
      <c r="V306" s="31"/>
    </row>
    <row r="307" ht="15.75" customHeight="1">
      <c r="B307" s="31"/>
      <c r="N307" s="127"/>
      <c r="S307" s="31" t="str">
        <f>IF($C307="","",IF(OR($M307="",$N307=""),'Lists &amp; Settings'!$O$10,IF($N307="Fail",'Lists &amp; Settings'!$O$9,IF($N307="Insufficient Evidence",'Lists &amp; Settings'!$O$10,IF($N307="Pass",IF($M307&gt;='Lists &amp; Settings'!$N$2,'Lists &amp; Settings'!$O$2,IF($M307&gt;='Lists &amp; Settings'!$N$3,'Lists &amp; Settings'!$O$3,'Lists &amp; Settings'!$O$4)),IF($N307="Partial",IF($M307&gt;='Lists &amp; Settings'!$N$6,'Lists &amp; Settings'!$O$6,IF($M307&gt;='Lists &amp; Settings'!$N$7,'Lists &amp; Settings'!$O$7,'Lists &amp; Settings'!$O$8)),'Lists &amp; Settings'!$O$10))))))</f>
        <v/>
      </c>
      <c r="T307" s="31"/>
      <c r="U307" s="31"/>
      <c r="V307" s="31"/>
    </row>
    <row r="308" ht="15.75" customHeight="1">
      <c r="B308" s="31"/>
      <c r="N308" s="127"/>
      <c r="S308" s="31" t="str">
        <f>IF($C308="","",IF(OR($M308="",$N308=""),'Lists &amp; Settings'!$O$10,IF($N308="Fail",'Lists &amp; Settings'!$O$9,IF($N308="Insufficient Evidence",'Lists &amp; Settings'!$O$10,IF($N308="Pass",IF($M308&gt;='Lists &amp; Settings'!$N$2,'Lists &amp; Settings'!$O$2,IF($M308&gt;='Lists &amp; Settings'!$N$3,'Lists &amp; Settings'!$O$3,'Lists &amp; Settings'!$O$4)),IF($N308="Partial",IF($M308&gt;='Lists &amp; Settings'!$N$6,'Lists &amp; Settings'!$O$6,IF($M308&gt;='Lists &amp; Settings'!$N$7,'Lists &amp; Settings'!$O$7,'Lists &amp; Settings'!$O$8)),'Lists &amp; Settings'!$O$10))))))</f>
        <v/>
      </c>
      <c r="T308" s="31"/>
      <c r="U308" s="31"/>
      <c r="V308" s="31"/>
    </row>
    <row r="309" ht="15.75" customHeight="1">
      <c r="B309" s="31"/>
      <c r="N309" s="127"/>
      <c r="S309" s="31" t="str">
        <f>IF($C309="","",IF(OR($M309="",$N309=""),'Lists &amp; Settings'!$O$10,IF($N309="Fail",'Lists &amp; Settings'!$O$9,IF($N309="Insufficient Evidence",'Lists &amp; Settings'!$O$10,IF($N309="Pass",IF($M309&gt;='Lists &amp; Settings'!$N$2,'Lists &amp; Settings'!$O$2,IF($M309&gt;='Lists &amp; Settings'!$N$3,'Lists &amp; Settings'!$O$3,'Lists &amp; Settings'!$O$4)),IF($N309="Partial",IF($M309&gt;='Lists &amp; Settings'!$N$6,'Lists &amp; Settings'!$O$6,IF($M309&gt;='Lists &amp; Settings'!$N$7,'Lists &amp; Settings'!$O$7,'Lists &amp; Settings'!$O$8)),'Lists &amp; Settings'!$O$10))))))</f>
        <v/>
      </c>
      <c r="T309" s="31"/>
      <c r="U309" s="31"/>
      <c r="V309" s="31"/>
    </row>
    <row r="310" ht="15.75" customHeight="1">
      <c r="B310" s="31"/>
      <c r="N310" s="127"/>
      <c r="S310" s="31" t="str">
        <f>IF($C310="","",IF(OR($M310="",$N310=""),'Lists &amp; Settings'!$O$10,IF($N310="Fail",'Lists &amp; Settings'!$O$9,IF($N310="Insufficient Evidence",'Lists &amp; Settings'!$O$10,IF($N310="Pass",IF($M310&gt;='Lists &amp; Settings'!$N$2,'Lists &amp; Settings'!$O$2,IF($M310&gt;='Lists &amp; Settings'!$N$3,'Lists &amp; Settings'!$O$3,'Lists &amp; Settings'!$O$4)),IF($N310="Partial",IF($M310&gt;='Lists &amp; Settings'!$N$6,'Lists &amp; Settings'!$O$6,IF($M310&gt;='Lists &amp; Settings'!$N$7,'Lists &amp; Settings'!$O$7,'Lists &amp; Settings'!$O$8)),'Lists &amp; Settings'!$O$10))))))</f>
        <v/>
      </c>
      <c r="T310" s="31"/>
      <c r="U310" s="31"/>
      <c r="V310" s="31"/>
    </row>
    <row r="311" ht="15.75" customHeight="1">
      <c r="B311" s="31"/>
      <c r="N311" s="127"/>
      <c r="S311" s="31" t="str">
        <f>IF($C311="","",IF(OR($M311="",$N311=""),'Lists &amp; Settings'!$O$10,IF($N311="Fail",'Lists &amp; Settings'!$O$9,IF($N311="Insufficient Evidence",'Lists &amp; Settings'!$O$10,IF($N311="Pass",IF($M311&gt;='Lists &amp; Settings'!$N$2,'Lists &amp; Settings'!$O$2,IF($M311&gt;='Lists &amp; Settings'!$N$3,'Lists &amp; Settings'!$O$3,'Lists &amp; Settings'!$O$4)),IF($N311="Partial",IF($M311&gt;='Lists &amp; Settings'!$N$6,'Lists &amp; Settings'!$O$6,IF($M311&gt;='Lists &amp; Settings'!$N$7,'Lists &amp; Settings'!$O$7,'Lists &amp; Settings'!$O$8)),'Lists &amp; Settings'!$O$10))))))</f>
        <v/>
      </c>
      <c r="T311" s="31"/>
      <c r="U311" s="31"/>
      <c r="V311" s="31"/>
    </row>
    <row r="312" ht="15.75" customHeight="1">
      <c r="B312" s="31"/>
      <c r="N312" s="127"/>
      <c r="S312" s="31" t="str">
        <f>IF($C312="","",IF(OR($M312="",$N312=""),'Lists &amp; Settings'!$O$10,IF($N312="Fail",'Lists &amp; Settings'!$O$9,IF($N312="Insufficient Evidence",'Lists &amp; Settings'!$O$10,IF($N312="Pass",IF($M312&gt;='Lists &amp; Settings'!$N$2,'Lists &amp; Settings'!$O$2,IF($M312&gt;='Lists &amp; Settings'!$N$3,'Lists &amp; Settings'!$O$3,'Lists &amp; Settings'!$O$4)),IF($N312="Partial",IF($M312&gt;='Lists &amp; Settings'!$N$6,'Lists &amp; Settings'!$O$6,IF($M312&gt;='Lists &amp; Settings'!$N$7,'Lists &amp; Settings'!$O$7,'Lists &amp; Settings'!$O$8)),'Lists &amp; Settings'!$O$10))))))</f>
        <v/>
      </c>
      <c r="T312" s="31"/>
      <c r="U312" s="31"/>
      <c r="V312" s="31"/>
    </row>
    <row r="313" ht="15.75" customHeight="1">
      <c r="B313" s="31"/>
      <c r="N313" s="127"/>
      <c r="S313" s="31" t="str">
        <f>IF($C313="","",IF(OR($M313="",$N313=""),'Lists &amp; Settings'!$O$10,IF($N313="Fail",'Lists &amp; Settings'!$O$9,IF($N313="Insufficient Evidence",'Lists &amp; Settings'!$O$10,IF($N313="Pass",IF($M313&gt;='Lists &amp; Settings'!$N$2,'Lists &amp; Settings'!$O$2,IF($M313&gt;='Lists &amp; Settings'!$N$3,'Lists &amp; Settings'!$O$3,'Lists &amp; Settings'!$O$4)),IF($N313="Partial",IF($M313&gt;='Lists &amp; Settings'!$N$6,'Lists &amp; Settings'!$O$6,IF($M313&gt;='Lists &amp; Settings'!$N$7,'Lists &amp; Settings'!$O$7,'Lists &amp; Settings'!$O$8)),'Lists &amp; Settings'!$O$10))))))</f>
        <v/>
      </c>
      <c r="T313" s="31"/>
      <c r="U313" s="31"/>
      <c r="V313" s="31"/>
    </row>
    <row r="314" ht="15.75" customHeight="1">
      <c r="B314" s="31"/>
      <c r="N314" s="127"/>
      <c r="S314" s="31" t="str">
        <f>IF($C314="","",IF(OR($M314="",$N314=""),'Lists &amp; Settings'!$O$10,IF($N314="Fail",'Lists &amp; Settings'!$O$9,IF($N314="Insufficient Evidence",'Lists &amp; Settings'!$O$10,IF($N314="Pass",IF($M314&gt;='Lists &amp; Settings'!$N$2,'Lists &amp; Settings'!$O$2,IF($M314&gt;='Lists &amp; Settings'!$N$3,'Lists &amp; Settings'!$O$3,'Lists &amp; Settings'!$O$4)),IF($N314="Partial",IF($M314&gt;='Lists &amp; Settings'!$N$6,'Lists &amp; Settings'!$O$6,IF($M314&gt;='Lists &amp; Settings'!$N$7,'Lists &amp; Settings'!$O$7,'Lists &amp; Settings'!$O$8)),'Lists &amp; Settings'!$O$10))))))</f>
        <v/>
      </c>
      <c r="T314" s="31"/>
      <c r="U314" s="31"/>
      <c r="V314" s="31"/>
    </row>
    <row r="315" ht="15.75" customHeight="1">
      <c r="B315" s="31"/>
      <c r="N315" s="127"/>
      <c r="S315" s="31" t="str">
        <f>IF($C315="","",IF(OR($M315="",$N315=""),'Lists &amp; Settings'!$O$10,IF($N315="Fail",'Lists &amp; Settings'!$O$9,IF($N315="Insufficient Evidence",'Lists &amp; Settings'!$O$10,IF($N315="Pass",IF($M315&gt;='Lists &amp; Settings'!$N$2,'Lists &amp; Settings'!$O$2,IF($M315&gt;='Lists &amp; Settings'!$N$3,'Lists &amp; Settings'!$O$3,'Lists &amp; Settings'!$O$4)),IF($N315="Partial",IF($M315&gt;='Lists &amp; Settings'!$N$6,'Lists &amp; Settings'!$O$6,IF($M315&gt;='Lists &amp; Settings'!$N$7,'Lists &amp; Settings'!$O$7,'Lists &amp; Settings'!$O$8)),'Lists &amp; Settings'!$O$10))))))</f>
        <v/>
      </c>
      <c r="T315" s="31"/>
      <c r="U315" s="31"/>
      <c r="V315" s="31"/>
    </row>
    <row r="316" ht="15.75" customHeight="1">
      <c r="B316" s="31"/>
      <c r="N316" s="127"/>
      <c r="S316" s="31" t="str">
        <f>IF($C316="","",IF(OR($M316="",$N316=""),'Lists &amp; Settings'!$O$10,IF($N316="Fail",'Lists &amp; Settings'!$O$9,IF($N316="Insufficient Evidence",'Lists &amp; Settings'!$O$10,IF($N316="Pass",IF($M316&gt;='Lists &amp; Settings'!$N$2,'Lists &amp; Settings'!$O$2,IF($M316&gt;='Lists &amp; Settings'!$N$3,'Lists &amp; Settings'!$O$3,'Lists &amp; Settings'!$O$4)),IF($N316="Partial",IF($M316&gt;='Lists &amp; Settings'!$N$6,'Lists &amp; Settings'!$O$6,IF($M316&gt;='Lists &amp; Settings'!$N$7,'Lists &amp; Settings'!$O$7,'Lists &amp; Settings'!$O$8)),'Lists &amp; Settings'!$O$10))))))</f>
        <v/>
      </c>
      <c r="T316" s="31"/>
      <c r="U316" s="31"/>
      <c r="V316" s="31"/>
    </row>
    <row r="317" ht="15.75" customHeight="1">
      <c r="B317" s="31"/>
      <c r="N317" s="127"/>
      <c r="S317" s="31" t="str">
        <f>IF($C317="","",IF(OR($M317="",$N317=""),'Lists &amp; Settings'!$O$10,IF($N317="Fail",'Lists &amp; Settings'!$O$9,IF($N317="Insufficient Evidence",'Lists &amp; Settings'!$O$10,IF($N317="Pass",IF($M317&gt;='Lists &amp; Settings'!$N$2,'Lists &amp; Settings'!$O$2,IF($M317&gt;='Lists &amp; Settings'!$N$3,'Lists &amp; Settings'!$O$3,'Lists &amp; Settings'!$O$4)),IF($N317="Partial",IF($M317&gt;='Lists &amp; Settings'!$N$6,'Lists &amp; Settings'!$O$6,IF($M317&gt;='Lists &amp; Settings'!$N$7,'Lists &amp; Settings'!$O$7,'Lists &amp; Settings'!$O$8)),'Lists &amp; Settings'!$O$10))))))</f>
        <v/>
      </c>
      <c r="T317" s="31"/>
      <c r="U317" s="31"/>
      <c r="V317" s="31"/>
    </row>
    <row r="318" ht="15.75" customHeight="1">
      <c r="B318" s="31"/>
      <c r="N318" s="127"/>
      <c r="S318" s="31" t="str">
        <f>IF($C318="","",IF(OR($M318="",$N318=""),'Lists &amp; Settings'!$O$10,IF($N318="Fail",'Lists &amp; Settings'!$O$9,IF($N318="Insufficient Evidence",'Lists &amp; Settings'!$O$10,IF($N318="Pass",IF($M318&gt;='Lists &amp; Settings'!$N$2,'Lists &amp; Settings'!$O$2,IF($M318&gt;='Lists &amp; Settings'!$N$3,'Lists &amp; Settings'!$O$3,'Lists &amp; Settings'!$O$4)),IF($N318="Partial",IF($M318&gt;='Lists &amp; Settings'!$N$6,'Lists &amp; Settings'!$O$6,IF($M318&gt;='Lists &amp; Settings'!$N$7,'Lists &amp; Settings'!$O$7,'Lists &amp; Settings'!$O$8)),'Lists &amp; Settings'!$O$10))))))</f>
        <v/>
      </c>
      <c r="T318" s="31"/>
      <c r="U318" s="31"/>
      <c r="V318" s="31"/>
    </row>
    <row r="319" ht="15.75" customHeight="1">
      <c r="B319" s="31"/>
      <c r="N319" s="127"/>
      <c r="S319" s="31" t="str">
        <f>IF($C319="","",IF(OR($M319="",$N319=""),'Lists &amp; Settings'!$O$10,IF($N319="Fail",'Lists &amp; Settings'!$O$9,IF($N319="Insufficient Evidence",'Lists &amp; Settings'!$O$10,IF($N319="Pass",IF($M319&gt;='Lists &amp; Settings'!$N$2,'Lists &amp; Settings'!$O$2,IF($M319&gt;='Lists &amp; Settings'!$N$3,'Lists &amp; Settings'!$O$3,'Lists &amp; Settings'!$O$4)),IF($N319="Partial",IF($M319&gt;='Lists &amp; Settings'!$N$6,'Lists &amp; Settings'!$O$6,IF($M319&gt;='Lists &amp; Settings'!$N$7,'Lists &amp; Settings'!$O$7,'Lists &amp; Settings'!$O$8)),'Lists &amp; Settings'!$O$10))))))</f>
        <v/>
      </c>
      <c r="T319" s="31"/>
      <c r="U319" s="31"/>
      <c r="V319" s="31"/>
    </row>
    <row r="320" ht="15.75" customHeight="1">
      <c r="B320" s="31"/>
      <c r="N320" s="127"/>
      <c r="S320" s="31" t="str">
        <f>IF($C320="","",IF(OR($M320="",$N320=""),'Lists &amp; Settings'!$O$10,IF($N320="Fail",'Lists &amp; Settings'!$O$9,IF($N320="Insufficient Evidence",'Lists &amp; Settings'!$O$10,IF($N320="Pass",IF($M320&gt;='Lists &amp; Settings'!$N$2,'Lists &amp; Settings'!$O$2,IF($M320&gt;='Lists &amp; Settings'!$N$3,'Lists &amp; Settings'!$O$3,'Lists &amp; Settings'!$O$4)),IF($N320="Partial",IF($M320&gt;='Lists &amp; Settings'!$N$6,'Lists &amp; Settings'!$O$6,IF($M320&gt;='Lists &amp; Settings'!$N$7,'Lists &amp; Settings'!$O$7,'Lists &amp; Settings'!$O$8)),'Lists &amp; Settings'!$O$10))))))</f>
        <v/>
      </c>
      <c r="T320" s="31"/>
      <c r="U320" s="31"/>
      <c r="V320" s="31"/>
    </row>
    <row r="321" ht="15.75" customHeight="1">
      <c r="B321" s="31"/>
      <c r="N321" s="127"/>
      <c r="S321" s="31" t="str">
        <f>IF($C321="","",IF(OR($M321="",$N321=""),'Lists &amp; Settings'!$O$10,IF($N321="Fail",'Lists &amp; Settings'!$O$9,IF($N321="Insufficient Evidence",'Lists &amp; Settings'!$O$10,IF($N321="Pass",IF($M321&gt;='Lists &amp; Settings'!$N$2,'Lists &amp; Settings'!$O$2,IF($M321&gt;='Lists &amp; Settings'!$N$3,'Lists &amp; Settings'!$O$3,'Lists &amp; Settings'!$O$4)),IF($N321="Partial",IF($M321&gt;='Lists &amp; Settings'!$N$6,'Lists &amp; Settings'!$O$6,IF($M321&gt;='Lists &amp; Settings'!$N$7,'Lists &amp; Settings'!$O$7,'Lists &amp; Settings'!$O$8)),'Lists &amp; Settings'!$O$10))))))</f>
        <v/>
      </c>
      <c r="T321" s="31"/>
      <c r="U321" s="31"/>
      <c r="V321" s="31"/>
    </row>
    <row r="322" ht="15.75" customHeight="1">
      <c r="B322" s="31"/>
      <c r="N322" s="127"/>
      <c r="S322" s="31" t="str">
        <f>IF($C322="","",IF(OR($M322="",$N322=""),'Lists &amp; Settings'!$O$10,IF($N322="Fail",'Lists &amp; Settings'!$O$9,IF($N322="Insufficient Evidence",'Lists &amp; Settings'!$O$10,IF($N322="Pass",IF($M322&gt;='Lists &amp; Settings'!$N$2,'Lists &amp; Settings'!$O$2,IF($M322&gt;='Lists &amp; Settings'!$N$3,'Lists &amp; Settings'!$O$3,'Lists &amp; Settings'!$O$4)),IF($N322="Partial",IF($M322&gt;='Lists &amp; Settings'!$N$6,'Lists &amp; Settings'!$O$6,IF($M322&gt;='Lists &amp; Settings'!$N$7,'Lists &amp; Settings'!$O$7,'Lists &amp; Settings'!$O$8)),'Lists &amp; Settings'!$O$10))))))</f>
        <v/>
      </c>
      <c r="T322" s="31"/>
      <c r="U322" s="31"/>
      <c r="V322" s="31"/>
    </row>
    <row r="323" ht="15.75" customHeight="1">
      <c r="B323" s="31"/>
      <c r="N323" s="127"/>
      <c r="S323" s="31" t="str">
        <f>IF($C323="","",IF(OR($M323="",$N323=""),'Lists &amp; Settings'!$O$10,IF($N323="Fail",'Lists &amp; Settings'!$O$9,IF($N323="Insufficient Evidence",'Lists &amp; Settings'!$O$10,IF($N323="Pass",IF($M323&gt;='Lists &amp; Settings'!$N$2,'Lists &amp; Settings'!$O$2,IF($M323&gt;='Lists &amp; Settings'!$N$3,'Lists &amp; Settings'!$O$3,'Lists &amp; Settings'!$O$4)),IF($N323="Partial",IF($M323&gt;='Lists &amp; Settings'!$N$6,'Lists &amp; Settings'!$O$6,IF($M323&gt;='Lists &amp; Settings'!$N$7,'Lists &amp; Settings'!$O$7,'Lists &amp; Settings'!$O$8)),'Lists &amp; Settings'!$O$10))))))</f>
        <v/>
      </c>
      <c r="T323" s="31"/>
      <c r="U323" s="31"/>
      <c r="V323" s="31"/>
    </row>
    <row r="324" ht="15.75" customHeight="1">
      <c r="B324" s="31"/>
      <c r="N324" s="127"/>
      <c r="S324" s="31" t="str">
        <f>IF($C324="","",IF(OR($M324="",$N324=""),'Lists &amp; Settings'!$O$10,IF($N324="Fail",'Lists &amp; Settings'!$O$9,IF($N324="Insufficient Evidence",'Lists &amp; Settings'!$O$10,IF($N324="Pass",IF($M324&gt;='Lists &amp; Settings'!$N$2,'Lists &amp; Settings'!$O$2,IF($M324&gt;='Lists &amp; Settings'!$N$3,'Lists &amp; Settings'!$O$3,'Lists &amp; Settings'!$O$4)),IF($N324="Partial",IF($M324&gt;='Lists &amp; Settings'!$N$6,'Lists &amp; Settings'!$O$6,IF($M324&gt;='Lists &amp; Settings'!$N$7,'Lists &amp; Settings'!$O$7,'Lists &amp; Settings'!$O$8)),'Lists &amp; Settings'!$O$10))))))</f>
        <v/>
      </c>
      <c r="T324" s="31"/>
      <c r="U324" s="31"/>
      <c r="V324" s="31"/>
    </row>
    <row r="325" ht="15.75" customHeight="1">
      <c r="B325" s="31"/>
      <c r="N325" s="127"/>
      <c r="S325" s="31" t="str">
        <f>IF($C325="","",IF(OR($M325="",$N325=""),'Lists &amp; Settings'!$O$10,IF($N325="Fail",'Lists &amp; Settings'!$O$9,IF($N325="Insufficient Evidence",'Lists &amp; Settings'!$O$10,IF($N325="Pass",IF($M325&gt;='Lists &amp; Settings'!$N$2,'Lists &amp; Settings'!$O$2,IF($M325&gt;='Lists &amp; Settings'!$N$3,'Lists &amp; Settings'!$O$3,'Lists &amp; Settings'!$O$4)),IF($N325="Partial",IF($M325&gt;='Lists &amp; Settings'!$N$6,'Lists &amp; Settings'!$O$6,IF($M325&gt;='Lists &amp; Settings'!$N$7,'Lists &amp; Settings'!$O$7,'Lists &amp; Settings'!$O$8)),'Lists &amp; Settings'!$O$10))))))</f>
        <v/>
      </c>
      <c r="T325" s="31"/>
      <c r="U325" s="31"/>
      <c r="V325" s="31"/>
    </row>
    <row r="326" ht="15.75" customHeight="1">
      <c r="B326" s="31"/>
      <c r="N326" s="127"/>
      <c r="S326" s="31" t="str">
        <f>IF($C326="","",IF(OR($M326="",$N326=""),'Lists &amp; Settings'!$O$10,IF($N326="Fail",'Lists &amp; Settings'!$O$9,IF($N326="Insufficient Evidence",'Lists &amp; Settings'!$O$10,IF($N326="Pass",IF($M326&gt;='Lists &amp; Settings'!$N$2,'Lists &amp; Settings'!$O$2,IF($M326&gt;='Lists &amp; Settings'!$N$3,'Lists &amp; Settings'!$O$3,'Lists &amp; Settings'!$O$4)),IF($N326="Partial",IF($M326&gt;='Lists &amp; Settings'!$N$6,'Lists &amp; Settings'!$O$6,IF($M326&gt;='Lists &amp; Settings'!$N$7,'Lists &amp; Settings'!$O$7,'Lists &amp; Settings'!$O$8)),'Lists &amp; Settings'!$O$10))))))</f>
        <v/>
      </c>
      <c r="T326" s="31"/>
      <c r="U326" s="31"/>
      <c r="V326" s="31"/>
    </row>
    <row r="327" ht="15.75" customHeight="1">
      <c r="B327" s="31"/>
      <c r="N327" s="127"/>
      <c r="S327" s="31" t="str">
        <f>IF($C327="","",IF(OR($M327="",$N327=""),'Lists &amp; Settings'!$O$10,IF($N327="Fail",'Lists &amp; Settings'!$O$9,IF($N327="Insufficient Evidence",'Lists &amp; Settings'!$O$10,IF($N327="Pass",IF($M327&gt;='Lists &amp; Settings'!$N$2,'Lists &amp; Settings'!$O$2,IF($M327&gt;='Lists &amp; Settings'!$N$3,'Lists &amp; Settings'!$O$3,'Lists &amp; Settings'!$O$4)),IF($N327="Partial",IF($M327&gt;='Lists &amp; Settings'!$N$6,'Lists &amp; Settings'!$O$6,IF($M327&gt;='Lists &amp; Settings'!$N$7,'Lists &amp; Settings'!$O$7,'Lists &amp; Settings'!$O$8)),'Lists &amp; Settings'!$O$10))))))</f>
        <v/>
      </c>
      <c r="T327" s="31"/>
      <c r="U327" s="31"/>
      <c r="V327" s="31"/>
    </row>
    <row r="328" ht="15.75" customHeight="1">
      <c r="B328" s="31"/>
      <c r="N328" s="127"/>
      <c r="S328" s="31" t="str">
        <f>IF($C328="","",IF(OR($M328="",$N328=""),'Lists &amp; Settings'!$O$10,IF($N328="Fail",'Lists &amp; Settings'!$O$9,IF($N328="Insufficient Evidence",'Lists &amp; Settings'!$O$10,IF($N328="Pass",IF($M328&gt;='Lists &amp; Settings'!$N$2,'Lists &amp; Settings'!$O$2,IF($M328&gt;='Lists &amp; Settings'!$N$3,'Lists &amp; Settings'!$O$3,'Lists &amp; Settings'!$O$4)),IF($N328="Partial",IF($M328&gt;='Lists &amp; Settings'!$N$6,'Lists &amp; Settings'!$O$6,IF($M328&gt;='Lists &amp; Settings'!$N$7,'Lists &amp; Settings'!$O$7,'Lists &amp; Settings'!$O$8)),'Lists &amp; Settings'!$O$10))))))</f>
        <v/>
      </c>
      <c r="T328" s="31"/>
      <c r="U328" s="31"/>
      <c r="V328" s="31"/>
    </row>
    <row r="329" ht="15.75" customHeight="1">
      <c r="B329" s="31"/>
      <c r="N329" s="127"/>
      <c r="S329" s="31" t="str">
        <f>IF($C329="","",IF(OR($M329="",$N329=""),'Lists &amp; Settings'!$O$10,IF($N329="Fail",'Lists &amp; Settings'!$O$9,IF($N329="Insufficient Evidence",'Lists &amp; Settings'!$O$10,IF($N329="Pass",IF($M329&gt;='Lists &amp; Settings'!$N$2,'Lists &amp; Settings'!$O$2,IF($M329&gt;='Lists &amp; Settings'!$N$3,'Lists &amp; Settings'!$O$3,'Lists &amp; Settings'!$O$4)),IF($N329="Partial",IF($M329&gt;='Lists &amp; Settings'!$N$6,'Lists &amp; Settings'!$O$6,IF($M329&gt;='Lists &amp; Settings'!$N$7,'Lists &amp; Settings'!$O$7,'Lists &amp; Settings'!$O$8)),'Lists &amp; Settings'!$O$10))))))</f>
        <v/>
      </c>
      <c r="T329" s="31"/>
      <c r="U329" s="31"/>
      <c r="V329" s="31"/>
    </row>
    <row r="330" ht="15.75" customHeight="1">
      <c r="B330" s="31"/>
      <c r="N330" s="127"/>
      <c r="S330" s="31" t="str">
        <f>IF($C330="","",IF(OR($M330="",$N330=""),'Lists &amp; Settings'!$O$10,IF($N330="Fail",'Lists &amp; Settings'!$O$9,IF($N330="Insufficient Evidence",'Lists &amp; Settings'!$O$10,IF($N330="Pass",IF($M330&gt;='Lists &amp; Settings'!$N$2,'Lists &amp; Settings'!$O$2,IF($M330&gt;='Lists &amp; Settings'!$N$3,'Lists &amp; Settings'!$O$3,'Lists &amp; Settings'!$O$4)),IF($N330="Partial",IF($M330&gt;='Lists &amp; Settings'!$N$6,'Lists &amp; Settings'!$O$6,IF($M330&gt;='Lists &amp; Settings'!$N$7,'Lists &amp; Settings'!$O$7,'Lists &amp; Settings'!$O$8)),'Lists &amp; Settings'!$O$10))))))</f>
        <v/>
      </c>
      <c r="T330" s="31"/>
      <c r="U330" s="31"/>
      <c r="V330" s="31"/>
    </row>
    <row r="331" ht="15.75" customHeight="1">
      <c r="B331" s="31"/>
      <c r="N331" s="127"/>
      <c r="S331" s="31" t="str">
        <f>IF($C331="","",IF(OR($M331="",$N331=""),'Lists &amp; Settings'!$O$10,IF($N331="Fail",'Lists &amp; Settings'!$O$9,IF($N331="Insufficient Evidence",'Lists &amp; Settings'!$O$10,IF($N331="Pass",IF($M331&gt;='Lists &amp; Settings'!$N$2,'Lists &amp; Settings'!$O$2,IF($M331&gt;='Lists &amp; Settings'!$N$3,'Lists &amp; Settings'!$O$3,'Lists &amp; Settings'!$O$4)),IF($N331="Partial",IF($M331&gt;='Lists &amp; Settings'!$N$6,'Lists &amp; Settings'!$O$6,IF($M331&gt;='Lists &amp; Settings'!$N$7,'Lists &amp; Settings'!$O$7,'Lists &amp; Settings'!$O$8)),'Lists &amp; Settings'!$O$10))))))</f>
        <v/>
      </c>
      <c r="T331" s="31"/>
      <c r="U331" s="31"/>
      <c r="V331" s="31"/>
    </row>
    <row r="332" ht="15.75" customHeight="1">
      <c r="B332" s="31"/>
      <c r="N332" s="127"/>
      <c r="S332" s="31" t="str">
        <f>IF($C332="","",IF(OR($M332="",$N332=""),'Lists &amp; Settings'!$O$10,IF($N332="Fail",'Lists &amp; Settings'!$O$9,IF($N332="Insufficient Evidence",'Lists &amp; Settings'!$O$10,IF($N332="Pass",IF($M332&gt;='Lists &amp; Settings'!$N$2,'Lists &amp; Settings'!$O$2,IF($M332&gt;='Lists &amp; Settings'!$N$3,'Lists &amp; Settings'!$O$3,'Lists &amp; Settings'!$O$4)),IF($N332="Partial",IF($M332&gt;='Lists &amp; Settings'!$N$6,'Lists &amp; Settings'!$O$6,IF($M332&gt;='Lists &amp; Settings'!$N$7,'Lists &amp; Settings'!$O$7,'Lists &amp; Settings'!$O$8)),'Lists &amp; Settings'!$O$10))))))</f>
        <v/>
      </c>
      <c r="T332" s="31"/>
      <c r="U332" s="31"/>
      <c r="V332" s="31"/>
    </row>
    <row r="333" ht="15.75" customHeight="1">
      <c r="B333" s="31"/>
      <c r="N333" s="127"/>
      <c r="S333" s="31" t="str">
        <f>IF($C333="","",IF(OR($M333="",$N333=""),'Lists &amp; Settings'!$O$10,IF($N333="Fail",'Lists &amp; Settings'!$O$9,IF($N333="Insufficient Evidence",'Lists &amp; Settings'!$O$10,IF($N333="Pass",IF($M333&gt;='Lists &amp; Settings'!$N$2,'Lists &amp; Settings'!$O$2,IF($M333&gt;='Lists &amp; Settings'!$N$3,'Lists &amp; Settings'!$O$3,'Lists &amp; Settings'!$O$4)),IF($N333="Partial",IF($M333&gt;='Lists &amp; Settings'!$N$6,'Lists &amp; Settings'!$O$6,IF($M333&gt;='Lists &amp; Settings'!$N$7,'Lists &amp; Settings'!$O$7,'Lists &amp; Settings'!$O$8)),'Lists &amp; Settings'!$O$10))))))</f>
        <v/>
      </c>
      <c r="T333" s="31"/>
      <c r="U333" s="31"/>
      <c r="V333" s="31"/>
    </row>
    <row r="334" ht="15.75" customHeight="1">
      <c r="B334" s="31"/>
      <c r="N334" s="127"/>
      <c r="S334" s="31" t="str">
        <f>IF($C334="","",IF(OR($M334="",$N334=""),'Lists &amp; Settings'!$O$10,IF($N334="Fail",'Lists &amp; Settings'!$O$9,IF($N334="Insufficient Evidence",'Lists &amp; Settings'!$O$10,IF($N334="Pass",IF($M334&gt;='Lists &amp; Settings'!$N$2,'Lists &amp; Settings'!$O$2,IF($M334&gt;='Lists &amp; Settings'!$N$3,'Lists &amp; Settings'!$O$3,'Lists &amp; Settings'!$O$4)),IF($N334="Partial",IF($M334&gt;='Lists &amp; Settings'!$N$6,'Lists &amp; Settings'!$O$6,IF($M334&gt;='Lists &amp; Settings'!$N$7,'Lists &amp; Settings'!$O$7,'Lists &amp; Settings'!$O$8)),'Lists &amp; Settings'!$O$10))))))</f>
        <v/>
      </c>
      <c r="T334" s="31"/>
      <c r="U334" s="31"/>
      <c r="V334" s="31"/>
    </row>
    <row r="335" ht="15.75" customHeight="1">
      <c r="B335" s="31"/>
      <c r="N335" s="127"/>
      <c r="S335" s="31" t="str">
        <f>IF($C335="","",IF(OR($M335="",$N335=""),'Lists &amp; Settings'!$O$10,IF($N335="Fail",'Lists &amp; Settings'!$O$9,IF($N335="Insufficient Evidence",'Lists &amp; Settings'!$O$10,IF($N335="Pass",IF($M335&gt;='Lists &amp; Settings'!$N$2,'Lists &amp; Settings'!$O$2,IF($M335&gt;='Lists &amp; Settings'!$N$3,'Lists &amp; Settings'!$O$3,'Lists &amp; Settings'!$O$4)),IF($N335="Partial",IF($M335&gt;='Lists &amp; Settings'!$N$6,'Lists &amp; Settings'!$O$6,IF($M335&gt;='Lists &amp; Settings'!$N$7,'Lists &amp; Settings'!$O$7,'Lists &amp; Settings'!$O$8)),'Lists &amp; Settings'!$O$10))))))</f>
        <v/>
      </c>
      <c r="T335" s="31"/>
      <c r="U335" s="31"/>
      <c r="V335" s="31"/>
    </row>
    <row r="336" ht="15.75" customHeight="1">
      <c r="B336" s="31"/>
      <c r="N336" s="127"/>
      <c r="S336" s="31" t="str">
        <f>IF($C336="","",IF(OR($M336="",$N336=""),'Lists &amp; Settings'!$O$10,IF($N336="Fail",'Lists &amp; Settings'!$O$9,IF($N336="Insufficient Evidence",'Lists &amp; Settings'!$O$10,IF($N336="Pass",IF($M336&gt;='Lists &amp; Settings'!$N$2,'Lists &amp; Settings'!$O$2,IF($M336&gt;='Lists &amp; Settings'!$N$3,'Lists &amp; Settings'!$O$3,'Lists &amp; Settings'!$O$4)),IF($N336="Partial",IF($M336&gt;='Lists &amp; Settings'!$N$6,'Lists &amp; Settings'!$O$6,IF($M336&gt;='Lists &amp; Settings'!$N$7,'Lists &amp; Settings'!$O$7,'Lists &amp; Settings'!$O$8)),'Lists &amp; Settings'!$O$10))))))</f>
        <v/>
      </c>
      <c r="T336" s="31"/>
      <c r="U336" s="31"/>
      <c r="V336" s="31"/>
    </row>
    <row r="337" ht="15.75" customHeight="1">
      <c r="B337" s="31"/>
      <c r="N337" s="127"/>
      <c r="S337" s="31" t="str">
        <f>IF($C337="","",IF(OR($M337="",$N337=""),'Lists &amp; Settings'!$O$10,IF($N337="Fail",'Lists &amp; Settings'!$O$9,IF($N337="Insufficient Evidence",'Lists &amp; Settings'!$O$10,IF($N337="Pass",IF($M337&gt;='Lists &amp; Settings'!$N$2,'Lists &amp; Settings'!$O$2,IF($M337&gt;='Lists &amp; Settings'!$N$3,'Lists &amp; Settings'!$O$3,'Lists &amp; Settings'!$O$4)),IF($N337="Partial",IF($M337&gt;='Lists &amp; Settings'!$N$6,'Lists &amp; Settings'!$O$6,IF($M337&gt;='Lists &amp; Settings'!$N$7,'Lists &amp; Settings'!$O$7,'Lists &amp; Settings'!$O$8)),'Lists &amp; Settings'!$O$10))))))</f>
        <v/>
      </c>
      <c r="T337" s="31"/>
      <c r="U337" s="31"/>
      <c r="V337" s="31"/>
    </row>
    <row r="338" ht="15.75" customHeight="1">
      <c r="B338" s="31"/>
      <c r="N338" s="127"/>
      <c r="S338" s="31" t="str">
        <f>IF($C338="","",IF(OR($M338="",$N338=""),'Lists &amp; Settings'!$O$10,IF($N338="Fail",'Lists &amp; Settings'!$O$9,IF($N338="Insufficient Evidence",'Lists &amp; Settings'!$O$10,IF($N338="Pass",IF($M338&gt;='Lists &amp; Settings'!$N$2,'Lists &amp; Settings'!$O$2,IF($M338&gt;='Lists &amp; Settings'!$N$3,'Lists &amp; Settings'!$O$3,'Lists &amp; Settings'!$O$4)),IF($N338="Partial",IF($M338&gt;='Lists &amp; Settings'!$N$6,'Lists &amp; Settings'!$O$6,IF($M338&gt;='Lists &amp; Settings'!$N$7,'Lists &amp; Settings'!$O$7,'Lists &amp; Settings'!$O$8)),'Lists &amp; Settings'!$O$10))))))</f>
        <v/>
      </c>
      <c r="T338" s="31"/>
      <c r="U338" s="31"/>
      <c r="V338" s="31"/>
    </row>
    <row r="339" ht="15.75" customHeight="1">
      <c r="B339" s="31"/>
      <c r="N339" s="127"/>
      <c r="S339" s="31" t="str">
        <f>IF($C339="","",IF(OR($M339="",$N339=""),'Lists &amp; Settings'!$O$10,IF($N339="Fail",'Lists &amp; Settings'!$O$9,IF($N339="Insufficient Evidence",'Lists &amp; Settings'!$O$10,IF($N339="Pass",IF($M339&gt;='Lists &amp; Settings'!$N$2,'Lists &amp; Settings'!$O$2,IF($M339&gt;='Lists &amp; Settings'!$N$3,'Lists &amp; Settings'!$O$3,'Lists &amp; Settings'!$O$4)),IF($N339="Partial",IF($M339&gt;='Lists &amp; Settings'!$N$6,'Lists &amp; Settings'!$O$6,IF($M339&gt;='Lists &amp; Settings'!$N$7,'Lists &amp; Settings'!$O$7,'Lists &amp; Settings'!$O$8)),'Lists &amp; Settings'!$O$10))))))</f>
        <v/>
      </c>
      <c r="T339" s="31"/>
      <c r="U339" s="31"/>
      <c r="V339" s="31"/>
    </row>
    <row r="340" ht="15.75" customHeight="1">
      <c r="B340" s="31"/>
      <c r="N340" s="127"/>
      <c r="S340" s="31" t="str">
        <f>IF($C340="","",IF(OR($M340="",$N340=""),'Lists &amp; Settings'!$O$10,IF($N340="Fail",'Lists &amp; Settings'!$O$9,IF($N340="Insufficient Evidence",'Lists &amp; Settings'!$O$10,IF($N340="Pass",IF($M340&gt;='Lists &amp; Settings'!$N$2,'Lists &amp; Settings'!$O$2,IF($M340&gt;='Lists &amp; Settings'!$N$3,'Lists &amp; Settings'!$O$3,'Lists &amp; Settings'!$O$4)),IF($N340="Partial",IF($M340&gt;='Lists &amp; Settings'!$N$6,'Lists &amp; Settings'!$O$6,IF($M340&gt;='Lists &amp; Settings'!$N$7,'Lists &amp; Settings'!$O$7,'Lists &amp; Settings'!$O$8)),'Lists &amp; Settings'!$O$10))))))</f>
        <v/>
      </c>
      <c r="T340" s="31"/>
      <c r="U340" s="31"/>
      <c r="V340" s="31"/>
    </row>
    <row r="341" ht="15.75" customHeight="1">
      <c r="B341" s="31"/>
      <c r="N341" s="127"/>
      <c r="S341" s="31" t="str">
        <f>IF($C341="","",IF(OR($M341="",$N341=""),'Lists &amp; Settings'!$O$10,IF($N341="Fail",'Lists &amp; Settings'!$O$9,IF($N341="Insufficient Evidence",'Lists &amp; Settings'!$O$10,IF($N341="Pass",IF($M341&gt;='Lists &amp; Settings'!$N$2,'Lists &amp; Settings'!$O$2,IF($M341&gt;='Lists &amp; Settings'!$N$3,'Lists &amp; Settings'!$O$3,'Lists &amp; Settings'!$O$4)),IF($N341="Partial",IF($M341&gt;='Lists &amp; Settings'!$N$6,'Lists &amp; Settings'!$O$6,IF($M341&gt;='Lists &amp; Settings'!$N$7,'Lists &amp; Settings'!$O$7,'Lists &amp; Settings'!$O$8)),'Lists &amp; Settings'!$O$10))))))</f>
        <v/>
      </c>
      <c r="T341" s="31"/>
      <c r="U341" s="31"/>
      <c r="V341" s="31"/>
    </row>
    <row r="342" ht="15.75" customHeight="1">
      <c r="B342" s="31"/>
      <c r="N342" s="127"/>
      <c r="S342" s="31" t="str">
        <f>IF($C342="","",IF(OR($M342="",$N342=""),'Lists &amp; Settings'!$O$10,IF($N342="Fail",'Lists &amp; Settings'!$O$9,IF($N342="Insufficient Evidence",'Lists &amp; Settings'!$O$10,IF($N342="Pass",IF($M342&gt;='Lists &amp; Settings'!$N$2,'Lists &amp; Settings'!$O$2,IF($M342&gt;='Lists &amp; Settings'!$N$3,'Lists &amp; Settings'!$O$3,'Lists &amp; Settings'!$O$4)),IF($N342="Partial",IF($M342&gt;='Lists &amp; Settings'!$N$6,'Lists &amp; Settings'!$O$6,IF($M342&gt;='Lists &amp; Settings'!$N$7,'Lists &amp; Settings'!$O$7,'Lists &amp; Settings'!$O$8)),'Lists &amp; Settings'!$O$10))))))</f>
        <v/>
      </c>
      <c r="T342" s="31"/>
      <c r="U342" s="31"/>
      <c r="V342" s="31"/>
    </row>
    <row r="343" ht="15.75" customHeight="1">
      <c r="B343" s="31"/>
      <c r="N343" s="127"/>
      <c r="S343" s="31" t="str">
        <f>IF($C343="","",IF(OR($M343="",$N343=""),'Lists &amp; Settings'!$O$10,IF($N343="Fail",'Lists &amp; Settings'!$O$9,IF($N343="Insufficient Evidence",'Lists &amp; Settings'!$O$10,IF($N343="Pass",IF($M343&gt;='Lists &amp; Settings'!$N$2,'Lists &amp; Settings'!$O$2,IF($M343&gt;='Lists &amp; Settings'!$N$3,'Lists &amp; Settings'!$O$3,'Lists &amp; Settings'!$O$4)),IF($N343="Partial",IF($M343&gt;='Lists &amp; Settings'!$N$6,'Lists &amp; Settings'!$O$6,IF($M343&gt;='Lists &amp; Settings'!$N$7,'Lists &amp; Settings'!$O$7,'Lists &amp; Settings'!$O$8)),'Lists &amp; Settings'!$O$10))))))</f>
        <v/>
      </c>
      <c r="T343" s="31"/>
      <c r="U343" s="31"/>
      <c r="V343" s="31"/>
    </row>
    <row r="344" ht="15.75" customHeight="1">
      <c r="B344" s="31"/>
      <c r="N344" s="127"/>
      <c r="S344" s="31" t="str">
        <f>IF($C344="","",IF(OR($M344="",$N344=""),'Lists &amp; Settings'!$O$10,IF($N344="Fail",'Lists &amp; Settings'!$O$9,IF($N344="Insufficient Evidence",'Lists &amp; Settings'!$O$10,IF($N344="Pass",IF($M344&gt;='Lists &amp; Settings'!$N$2,'Lists &amp; Settings'!$O$2,IF($M344&gt;='Lists &amp; Settings'!$N$3,'Lists &amp; Settings'!$O$3,'Lists &amp; Settings'!$O$4)),IF($N344="Partial",IF($M344&gt;='Lists &amp; Settings'!$N$6,'Lists &amp; Settings'!$O$6,IF($M344&gt;='Lists &amp; Settings'!$N$7,'Lists &amp; Settings'!$O$7,'Lists &amp; Settings'!$O$8)),'Lists &amp; Settings'!$O$10))))))</f>
        <v/>
      </c>
      <c r="T344" s="31"/>
      <c r="U344" s="31"/>
      <c r="V344" s="31"/>
    </row>
    <row r="345" ht="15.75" customHeight="1">
      <c r="B345" s="31"/>
      <c r="N345" s="127"/>
      <c r="S345" s="31" t="str">
        <f>IF($C345="","",IF(OR($M345="",$N345=""),'Lists &amp; Settings'!$O$10,IF($N345="Fail",'Lists &amp; Settings'!$O$9,IF($N345="Insufficient Evidence",'Lists &amp; Settings'!$O$10,IF($N345="Pass",IF($M345&gt;='Lists &amp; Settings'!$N$2,'Lists &amp; Settings'!$O$2,IF($M345&gt;='Lists &amp; Settings'!$N$3,'Lists &amp; Settings'!$O$3,'Lists &amp; Settings'!$O$4)),IF($N345="Partial",IF($M345&gt;='Lists &amp; Settings'!$N$6,'Lists &amp; Settings'!$O$6,IF($M345&gt;='Lists &amp; Settings'!$N$7,'Lists &amp; Settings'!$O$7,'Lists &amp; Settings'!$O$8)),'Lists &amp; Settings'!$O$10))))))</f>
        <v/>
      </c>
      <c r="T345" s="31"/>
      <c r="U345" s="31"/>
      <c r="V345" s="31"/>
    </row>
    <row r="346" ht="15.75" customHeight="1">
      <c r="B346" s="31"/>
      <c r="N346" s="127"/>
      <c r="S346" s="31" t="str">
        <f>IF($C346="","",IF(OR($M346="",$N346=""),'Lists &amp; Settings'!$O$10,IF($N346="Fail",'Lists &amp; Settings'!$O$9,IF($N346="Insufficient Evidence",'Lists &amp; Settings'!$O$10,IF($N346="Pass",IF($M346&gt;='Lists &amp; Settings'!$N$2,'Lists &amp; Settings'!$O$2,IF($M346&gt;='Lists &amp; Settings'!$N$3,'Lists &amp; Settings'!$O$3,'Lists &amp; Settings'!$O$4)),IF($N346="Partial",IF($M346&gt;='Lists &amp; Settings'!$N$6,'Lists &amp; Settings'!$O$6,IF($M346&gt;='Lists &amp; Settings'!$N$7,'Lists &amp; Settings'!$O$7,'Lists &amp; Settings'!$O$8)),'Lists &amp; Settings'!$O$10))))))</f>
        <v/>
      </c>
      <c r="T346" s="31"/>
      <c r="U346" s="31"/>
      <c r="V346" s="31"/>
    </row>
    <row r="347" ht="15.75" customHeight="1">
      <c r="B347" s="31"/>
      <c r="N347" s="127"/>
      <c r="S347" s="31" t="str">
        <f>IF($C347="","",IF(OR($M347="",$N347=""),'Lists &amp; Settings'!$O$10,IF($N347="Fail",'Lists &amp; Settings'!$O$9,IF($N347="Insufficient Evidence",'Lists &amp; Settings'!$O$10,IF($N347="Pass",IF($M347&gt;='Lists &amp; Settings'!$N$2,'Lists &amp; Settings'!$O$2,IF($M347&gt;='Lists &amp; Settings'!$N$3,'Lists &amp; Settings'!$O$3,'Lists &amp; Settings'!$O$4)),IF($N347="Partial",IF($M347&gt;='Lists &amp; Settings'!$N$6,'Lists &amp; Settings'!$O$6,IF($M347&gt;='Lists &amp; Settings'!$N$7,'Lists &amp; Settings'!$O$7,'Lists &amp; Settings'!$O$8)),'Lists &amp; Settings'!$O$10))))))</f>
        <v/>
      </c>
      <c r="T347" s="31"/>
      <c r="U347" s="31"/>
      <c r="V347" s="31"/>
    </row>
    <row r="348" ht="15.75" customHeight="1">
      <c r="B348" s="31"/>
      <c r="N348" s="127"/>
      <c r="S348" s="31" t="str">
        <f>IF($C348="","",IF(OR($M348="",$N348=""),'Lists &amp; Settings'!$O$10,IF($N348="Fail",'Lists &amp; Settings'!$O$9,IF($N348="Insufficient Evidence",'Lists &amp; Settings'!$O$10,IF($N348="Pass",IF($M348&gt;='Lists &amp; Settings'!$N$2,'Lists &amp; Settings'!$O$2,IF($M348&gt;='Lists &amp; Settings'!$N$3,'Lists &amp; Settings'!$O$3,'Lists &amp; Settings'!$O$4)),IF($N348="Partial",IF($M348&gt;='Lists &amp; Settings'!$N$6,'Lists &amp; Settings'!$O$6,IF($M348&gt;='Lists &amp; Settings'!$N$7,'Lists &amp; Settings'!$O$7,'Lists &amp; Settings'!$O$8)),'Lists &amp; Settings'!$O$10))))))</f>
        <v/>
      </c>
      <c r="T348" s="31"/>
      <c r="U348" s="31"/>
      <c r="V348" s="31"/>
    </row>
    <row r="349" ht="15.75" customHeight="1">
      <c r="B349" s="31"/>
      <c r="N349" s="127"/>
      <c r="S349" s="31" t="str">
        <f>IF($C349="","",IF(OR($M349="",$N349=""),'Lists &amp; Settings'!$O$10,IF($N349="Fail",'Lists &amp; Settings'!$O$9,IF($N349="Insufficient Evidence",'Lists &amp; Settings'!$O$10,IF($N349="Pass",IF($M349&gt;='Lists &amp; Settings'!$N$2,'Lists &amp; Settings'!$O$2,IF($M349&gt;='Lists &amp; Settings'!$N$3,'Lists &amp; Settings'!$O$3,'Lists &amp; Settings'!$O$4)),IF($N349="Partial",IF($M349&gt;='Lists &amp; Settings'!$N$6,'Lists &amp; Settings'!$O$6,IF($M349&gt;='Lists &amp; Settings'!$N$7,'Lists &amp; Settings'!$O$7,'Lists &amp; Settings'!$O$8)),'Lists &amp; Settings'!$O$10))))))</f>
        <v/>
      </c>
      <c r="T349" s="31"/>
      <c r="U349" s="31"/>
      <c r="V349" s="31"/>
    </row>
    <row r="350" ht="15.75" customHeight="1">
      <c r="B350" s="31"/>
      <c r="N350" s="127"/>
      <c r="S350" s="31" t="str">
        <f>IF($C350="","",IF(OR($M350="",$N350=""),'Lists &amp; Settings'!$O$10,IF($N350="Fail",'Lists &amp; Settings'!$O$9,IF($N350="Insufficient Evidence",'Lists &amp; Settings'!$O$10,IF($N350="Pass",IF($M350&gt;='Lists &amp; Settings'!$N$2,'Lists &amp; Settings'!$O$2,IF($M350&gt;='Lists &amp; Settings'!$N$3,'Lists &amp; Settings'!$O$3,'Lists &amp; Settings'!$O$4)),IF($N350="Partial",IF($M350&gt;='Lists &amp; Settings'!$N$6,'Lists &amp; Settings'!$O$6,IF($M350&gt;='Lists &amp; Settings'!$N$7,'Lists &amp; Settings'!$O$7,'Lists &amp; Settings'!$O$8)),'Lists &amp; Settings'!$O$10))))))</f>
        <v/>
      </c>
      <c r="T350" s="31"/>
      <c r="U350" s="31"/>
      <c r="V350" s="31"/>
    </row>
    <row r="351" ht="15.75" customHeight="1">
      <c r="B351" s="31"/>
      <c r="N351" s="127"/>
      <c r="S351" s="31" t="str">
        <f>IF($C351="","",IF(OR($M351="",$N351=""),'Lists &amp; Settings'!$O$10,IF($N351="Fail",'Lists &amp; Settings'!$O$9,IF($N351="Insufficient Evidence",'Lists &amp; Settings'!$O$10,IF($N351="Pass",IF($M351&gt;='Lists &amp; Settings'!$N$2,'Lists &amp; Settings'!$O$2,IF($M351&gt;='Lists &amp; Settings'!$N$3,'Lists &amp; Settings'!$O$3,'Lists &amp; Settings'!$O$4)),IF($N351="Partial",IF($M351&gt;='Lists &amp; Settings'!$N$6,'Lists &amp; Settings'!$O$6,IF($M351&gt;='Lists &amp; Settings'!$N$7,'Lists &amp; Settings'!$O$7,'Lists &amp; Settings'!$O$8)),'Lists &amp; Settings'!$O$10))))))</f>
        <v/>
      </c>
      <c r="T351" s="31"/>
      <c r="U351" s="31"/>
      <c r="V351" s="31"/>
    </row>
    <row r="352" ht="15.75" customHeight="1">
      <c r="B352" s="31"/>
      <c r="N352" s="127"/>
      <c r="S352" s="31" t="str">
        <f>IF($C352="","",IF(OR($M352="",$N352=""),'Lists &amp; Settings'!$O$10,IF($N352="Fail",'Lists &amp; Settings'!$O$9,IF($N352="Insufficient Evidence",'Lists &amp; Settings'!$O$10,IF($N352="Pass",IF($M352&gt;='Lists &amp; Settings'!$N$2,'Lists &amp; Settings'!$O$2,IF($M352&gt;='Lists &amp; Settings'!$N$3,'Lists &amp; Settings'!$O$3,'Lists &amp; Settings'!$O$4)),IF($N352="Partial",IF($M352&gt;='Lists &amp; Settings'!$N$6,'Lists &amp; Settings'!$O$6,IF($M352&gt;='Lists &amp; Settings'!$N$7,'Lists &amp; Settings'!$O$7,'Lists &amp; Settings'!$O$8)),'Lists &amp; Settings'!$O$10))))))</f>
        <v/>
      </c>
      <c r="T352" s="31"/>
      <c r="U352" s="31"/>
      <c r="V352" s="31"/>
    </row>
    <row r="353" ht="15.75" customHeight="1">
      <c r="B353" s="31"/>
      <c r="N353" s="127"/>
      <c r="S353" s="31" t="str">
        <f>IF($C353="","",IF(OR($M353="",$N353=""),'Lists &amp; Settings'!$O$10,IF($N353="Fail",'Lists &amp; Settings'!$O$9,IF($N353="Insufficient Evidence",'Lists &amp; Settings'!$O$10,IF($N353="Pass",IF($M353&gt;='Lists &amp; Settings'!$N$2,'Lists &amp; Settings'!$O$2,IF($M353&gt;='Lists &amp; Settings'!$N$3,'Lists &amp; Settings'!$O$3,'Lists &amp; Settings'!$O$4)),IF($N353="Partial",IF($M353&gt;='Lists &amp; Settings'!$N$6,'Lists &amp; Settings'!$O$6,IF($M353&gt;='Lists &amp; Settings'!$N$7,'Lists &amp; Settings'!$O$7,'Lists &amp; Settings'!$O$8)),'Lists &amp; Settings'!$O$10))))))</f>
        <v/>
      </c>
      <c r="T353" s="31"/>
      <c r="U353" s="31"/>
      <c r="V353" s="31"/>
    </row>
    <row r="354" ht="15.75" customHeight="1">
      <c r="B354" s="31"/>
      <c r="N354" s="127"/>
      <c r="S354" s="31" t="str">
        <f>IF($C354="","",IF(OR($M354="",$N354=""),'Lists &amp; Settings'!$O$10,IF($N354="Fail",'Lists &amp; Settings'!$O$9,IF($N354="Insufficient Evidence",'Lists &amp; Settings'!$O$10,IF($N354="Pass",IF($M354&gt;='Lists &amp; Settings'!$N$2,'Lists &amp; Settings'!$O$2,IF($M354&gt;='Lists &amp; Settings'!$N$3,'Lists &amp; Settings'!$O$3,'Lists &amp; Settings'!$O$4)),IF($N354="Partial",IF($M354&gt;='Lists &amp; Settings'!$N$6,'Lists &amp; Settings'!$O$6,IF($M354&gt;='Lists &amp; Settings'!$N$7,'Lists &amp; Settings'!$O$7,'Lists &amp; Settings'!$O$8)),'Lists &amp; Settings'!$O$10))))))</f>
        <v/>
      </c>
      <c r="T354" s="31"/>
      <c r="U354" s="31"/>
      <c r="V354" s="31"/>
    </row>
    <row r="355" ht="15.75" customHeight="1">
      <c r="B355" s="31"/>
      <c r="N355" s="127"/>
      <c r="S355" s="31" t="str">
        <f>IF($C355="","",IF(OR($M355="",$N355=""),'Lists &amp; Settings'!$O$10,IF($N355="Fail",'Lists &amp; Settings'!$O$9,IF($N355="Insufficient Evidence",'Lists &amp; Settings'!$O$10,IF($N355="Pass",IF($M355&gt;='Lists &amp; Settings'!$N$2,'Lists &amp; Settings'!$O$2,IF($M355&gt;='Lists &amp; Settings'!$N$3,'Lists &amp; Settings'!$O$3,'Lists &amp; Settings'!$O$4)),IF($N355="Partial",IF($M355&gt;='Lists &amp; Settings'!$N$6,'Lists &amp; Settings'!$O$6,IF($M355&gt;='Lists &amp; Settings'!$N$7,'Lists &amp; Settings'!$O$7,'Lists &amp; Settings'!$O$8)),'Lists &amp; Settings'!$O$10))))))</f>
        <v/>
      </c>
      <c r="T355" s="31"/>
      <c r="U355" s="31"/>
      <c r="V355" s="31"/>
    </row>
    <row r="356" ht="15.75" customHeight="1">
      <c r="B356" s="31"/>
      <c r="N356" s="127"/>
      <c r="S356" s="31" t="str">
        <f>IF($C356="","",IF(OR($M356="",$N356=""),'Lists &amp; Settings'!$O$10,IF($N356="Fail",'Lists &amp; Settings'!$O$9,IF($N356="Insufficient Evidence",'Lists &amp; Settings'!$O$10,IF($N356="Pass",IF($M356&gt;='Lists &amp; Settings'!$N$2,'Lists &amp; Settings'!$O$2,IF($M356&gt;='Lists &amp; Settings'!$N$3,'Lists &amp; Settings'!$O$3,'Lists &amp; Settings'!$O$4)),IF($N356="Partial",IF($M356&gt;='Lists &amp; Settings'!$N$6,'Lists &amp; Settings'!$O$6,IF($M356&gt;='Lists &amp; Settings'!$N$7,'Lists &amp; Settings'!$O$7,'Lists &amp; Settings'!$O$8)),'Lists &amp; Settings'!$O$10))))))</f>
        <v/>
      </c>
      <c r="T356" s="31"/>
      <c r="U356" s="31"/>
      <c r="V356" s="31"/>
    </row>
    <row r="357" ht="15.75" customHeight="1">
      <c r="B357" s="31"/>
      <c r="N357" s="127"/>
      <c r="S357" s="31" t="str">
        <f>IF($C357="","",IF(OR($M357="",$N357=""),'Lists &amp; Settings'!$O$10,IF($N357="Fail",'Lists &amp; Settings'!$O$9,IF($N357="Insufficient Evidence",'Lists &amp; Settings'!$O$10,IF($N357="Pass",IF($M357&gt;='Lists &amp; Settings'!$N$2,'Lists &amp; Settings'!$O$2,IF($M357&gt;='Lists &amp; Settings'!$N$3,'Lists &amp; Settings'!$O$3,'Lists &amp; Settings'!$O$4)),IF($N357="Partial",IF($M357&gt;='Lists &amp; Settings'!$N$6,'Lists &amp; Settings'!$O$6,IF($M357&gt;='Lists &amp; Settings'!$N$7,'Lists &amp; Settings'!$O$7,'Lists &amp; Settings'!$O$8)),'Lists &amp; Settings'!$O$10))))))</f>
        <v/>
      </c>
      <c r="T357" s="31"/>
      <c r="U357" s="31"/>
      <c r="V357" s="31"/>
    </row>
    <row r="358" ht="15.75" customHeight="1">
      <c r="B358" s="31"/>
      <c r="N358" s="127"/>
      <c r="S358" s="31" t="str">
        <f>IF($C358="","",IF(OR($M358="",$N358=""),'Lists &amp; Settings'!$O$10,IF($N358="Fail",'Lists &amp; Settings'!$O$9,IF($N358="Insufficient Evidence",'Lists &amp; Settings'!$O$10,IF($N358="Pass",IF($M358&gt;='Lists &amp; Settings'!$N$2,'Lists &amp; Settings'!$O$2,IF($M358&gt;='Lists &amp; Settings'!$N$3,'Lists &amp; Settings'!$O$3,'Lists &amp; Settings'!$O$4)),IF($N358="Partial",IF($M358&gt;='Lists &amp; Settings'!$N$6,'Lists &amp; Settings'!$O$6,IF($M358&gt;='Lists &amp; Settings'!$N$7,'Lists &amp; Settings'!$O$7,'Lists &amp; Settings'!$O$8)),'Lists &amp; Settings'!$O$10))))))</f>
        <v/>
      </c>
      <c r="T358" s="31"/>
      <c r="U358" s="31"/>
      <c r="V358" s="31"/>
    </row>
    <row r="359" ht="15.75" customHeight="1">
      <c r="B359" s="31"/>
      <c r="N359" s="127"/>
      <c r="S359" s="31" t="str">
        <f>IF($C359="","",IF(OR($M359="",$N359=""),'Lists &amp; Settings'!$O$10,IF($N359="Fail",'Lists &amp; Settings'!$O$9,IF($N359="Insufficient Evidence",'Lists &amp; Settings'!$O$10,IF($N359="Pass",IF($M359&gt;='Lists &amp; Settings'!$N$2,'Lists &amp; Settings'!$O$2,IF($M359&gt;='Lists &amp; Settings'!$N$3,'Lists &amp; Settings'!$O$3,'Lists &amp; Settings'!$O$4)),IF($N359="Partial",IF($M359&gt;='Lists &amp; Settings'!$N$6,'Lists &amp; Settings'!$O$6,IF($M359&gt;='Lists &amp; Settings'!$N$7,'Lists &amp; Settings'!$O$7,'Lists &amp; Settings'!$O$8)),'Lists &amp; Settings'!$O$10))))))</f>
        <v/>
      </c>
      <c r="T359" s="31"/>
      <c r="U359" s="31"/>
      <c r="V359" s="31"/>
    </row>
    <row r="360" ht="15.75" customHeight="1">
      <c r="B360" s="31"/>
      <c r="N360" s="127"/>
      <c r="S360" s="31" t="str">
        <f>IF($C360="","",IF(OR($M360="",$N360=""),'Lists &amp; Settings'!$O$10,IF($N360="Fail",'Lists &amp; Settings'!$O$9,IF($N360="Insufficient Evidence",'Lists &amp; Settings'!$O$10,IF($N360="Pass",IF($M360&gt;='Lists &amp; Settings'!$N$2,'Lists &amp; Settings'!$O$2,IF($M360&gt;='Lists &amp; Settings'!$N$3,'Lists &amp; Settings'!$O$3,'Lists &amp; Settings'!$O$4)),IF($N360="Partial",IF($M360&gt;='Lists &amp; Settings'!$N$6,'Lists &amp; Settings'!$O$6,IF($M360&gt;='Lists &amp; Settings'!$N$7,'Lists &amp; Settings'!$O$7,'Lists &amp; Settings'!$O$8)),'Lists &amp; Settings'!$O$10))))))</f>
        <v/>
      </c>
      <c r="T360" s="31"/>
      <c r="U360" s="31"/>
      <c r="V360" s="31"/>
    </row>
    <row r="361" ht="15.75" customHeight="1">
      <c r="B361" s="31"/>
      <c r="N361" s="127"/>
      <c r="S361" s="31" t="str">
        <f>IF($C361="","",IF(OR($M361="",$N361=""),'Lists &amp; Settings'!$O$10,IF($N361="Fail",'Lists &amp; Settings'!$O$9,IF($N361="Insufficient Evidence",'Lists &amp; Settings'!$O$10,IF($N361="Pass",IF($M361&gt;='Lists &amp; Settings'!$N$2,'Lists &amp; Settings'!$O$2,IF($M361&gt;='Lists &amp; Settings'!$N$3,'Lists &amp; Settings'!$O$3,'Lists &amp; Settings'!$O$4)),IF($N361="Partial",IF($M361&gt;='Lists &amp; Settings'!$N$6,'Lists &amp; Settings'!$O$6,IF($M361&gt;='Lists &amp; Settings'!$N$7,'Lists &amp; Settings'!$O$7,'Lists &amp; Settings'!$O$8)),'Lists &amp; Settings'!$O$10))))))</f>
        <v/>
      </c>
      <c r="T361" s="31"/>
      <c r="U361" s="31"/>
      <c r="V361" s="31"/>
    </row>
    <row r="362" ht="15.75" customHeight="1">
      <c r="B362" s="31"/>
      <c r="N362" s="127"/>
      <c r="S362" s="31" t="str">
        <f>IF($C362="","",IF(OR($M362="",$N362=""),'Lists &amp; Settings'!$O$10,IF($N362="Fail",'Lists &amp; Settings'!$O$9,IF($N362="Insufficient Evidence",'Lists &amp; Settings'!$O$10,IF($N362="Pass",IF($M362&gt;='Lists &amp; Settings'!$N$2,'Lists &amp; Settings'!$O$2,IF($M362&gt;='Lists &amp; Settings'!$N$3,'Lists &amp; Settings'!$O$3,'Lists &amp; Settings'!$O$4)),IF($N362="Partial",IF($M362&gt;='Lists &amp; Settings'!$N$6,'Lists &amp; Settings'!$O$6,IF($M362&gt;='Lists &amp; Settings'!$N$7,'Lists &amp; Settings'!$O$7,'Lists &amp; Settings'!$O$8)),'Lists &amp; Settings'!$O$10))))))</f>
        <v/>
      </c>
      <c r="T362" s="31"/>
      <c r="U362" s="31"/>
      <c r="V362" s="31"/>
    </row>
    <row r="363" ht="15.75" customHeight="1">
      <c r="B363" s="31"/>
      <c r="N363" s="127"/>
      <c r="S363" s="31" t="str">
        <f>IF($C363="","",IF(OR($M363="",$N363=""),'Lists &amp; Settings'!$O$10,IF($N363="Fail",'Lists &amp; Settings'!$O$9,IF($N363="Insufficient Evidence",'Lists &amp; Settings'!$O$10,IF($N363="Pass",IF($M363&gt;='Lists &amp; Settings'!$N$2,'Lists &amp; Settings'!$O$2,IF($M363&gt;='Lists &amp; Settings'!$N$3,'Lists &amp; Settings'!$O$3,'Lists &amp; Settings'!$O$4)),IF($N363="Partial",IF($M363&gt;='Lists &amp; Settings'!$N$6,'Lists &amp; Settings'!$O$6,IF($M363&gt;='Lists &amp; Settings'!$N$7,'Lists &amp; Settings'!$O$7,'Lists &amp; Settings'!$O$8)),'Lists &amp; Settings'!$O$10))))))</f>
        <v/>
      </c>
      <c r="T363" s="31"/>
      <c r="U363" s="31"/>
      <c r="V363" s="31"/>
    </row>
    <row r="364" ht="15.75" customHeight="1">
      <c r="B364" s="31"/>
      <c r="N364" s="127"/>
      <c r="S364" s="31" t="str">
        <f>IF($C364="","",IF(OR($M364="",$N364=""),'Lists &amp; Settings'!$O$10,IF($N364="Fail",'Lists &amp; Settings'!$O$9,IF($N364="Insufficient Evidence",'Lists &amp; Settings'!$O$10,IF($N364="Pass",IF($M364&gt;='Lists &amp; Settings'!$N$2,'Lists &amp; Settings'!$O$2,IF($M364&gt;='Lists &amp; Settings'!$N$3,'Lists &amp; Settings'!$O$3,'Lists &amp; Settings'!$O$4)),IF($N364="Partial",IF($M364&gt;='Lists &amp; Settings'!$N$6,'Lists &amp; Settings'!$O$6,IF($M364&gt;='Lists &amp; Settings'!$N$7,'Lists &amp; Settings'!$O$7,'Lists &amp; Settings'!$O$8)),'Lists &amp; Settings'!$O$10))))))</f>
        <v/>
      </c>
      <c r="T364" s="31"/>
      <c r="U364" s="31"/>
      <c r="V364" s="31"/>
    </row>
    <row r="365" ht="15.75" customHeight="1">
      <c r="B365" s="31"/>
      <c r="N365" s="127"/>
      <c r="S365" s="31" t="str">
        <f>IF($C365="","",IF(OR($M365="",$N365=""),'Lists &amp; Settings'!$O$10,IF($N365="Fail",'Lists &amp; Settings'!$O$9,IF($N365="Insufficient Evidence",'Lists &amp; Settings'!$O$10,IF($N365="Pass",IF($M365&gt;='Lists &amp; Settings'!$N$2,'Lists &amp; Settings'!$O$2,IF($M365&gt;='Lists &amp; Settings'!$N$3,'Lists &amp; Settings'!$O$3,'Lists &amp; Settings'!$O$4)),IF($N365="Partial",IF($M365&gt;='Lists &amp; Settings'!$N$6,'Lists &amp; Settings'!$O$6,IF($M365&gt;='Lists &amp; Settings'!$N$7,'Lists &amp; Settings'!$O$7,'Lists &amp; Settings'!$O$8)),'Lists &amp; Settings'!$O$10))))))</f>
        <v/>
      </c>
      <c r="T365" s="31"/>
      <c r="U365" s="31"/>
      <c r="V365" s="31"/>
    </row>
    <row r="366" ht="15.75" customHeight="1">
      <c r="B366" s="31"/>
      <c r="N366" s="127"/>
      <c r="S366" s="31" t="str">
        <f>IF($C366="","",IF(OR($M366="",$N366=""),'Lists &amp; Settings'!$O$10,IF($N366="Fail",'Lists &amp; Settings'!$O$9,IF($N366="Insufficient Evidence",'Lists &amp; Settings'!$O$10,IF($N366="Pass",IF($M366&gt;='Lists &amp; Settings'!$N$2,'Lists &amp; Settings'!$O$2,IF($M366&gt;='Lists &amp; Settings'!$N$3,'Lists &amp; Settings'!$O$3,'Lists &amp; Settings'!$O$4)),IF($N366="Partial",IF($M366&gt;='Lists &amp; Settings'!$N$6,'Lists &amp; Settings'!$O$6,IF($M366&gt;='Lists &amp; Settings'!$N$7,'Lists &amp; Settings'!$O$7,'Lists &amp; Settings'!$O$8)),'Lists &amp; Settings'!$O$10))))))</f>
        <v/>
      </c>
      <c r="T366" s="31"/>
      <c r="U366" s="31"/>
      <c r="V366" s="31"/>
    </row>
    <row r="367" ht="15.75" customHeight="1">
      <c r="B367" s="31"/>
      <c r="N367" s="127"/>
      <c r="S367" s="31" t="str">
        <f>IF($C367="","",IF(OR($M367="",$N367=""),'Lists &amp; Settings'!$O$10,IF($N367="Fail",'Lists &amp; Settings'!$O$9,IF($N367="Insufficient Evidence",'Lists &amp; Settings'!$O$10,IF($N367="Pass",IF($M367&gt;='Lists &amp; Settings'!$N$2,'Lists &amp; Settings'!$O$2,IF($M367&gt;='Lists &amp; Settings'!$N$3,'Lists &amp; Settings'!$O$3,'Lists &amp; Settings'!$O$4)),IF($N367="Partial",IF($M367&gt;='Lists &amp; Settings'!$N$6,'Lists &amp; Settings'!$O$6,IF($M367&gt;='Lists &amp; Settings'!$N$7,'Lists &amp; Settings'!$O$7,'Lists &amp; Settings'!$O$8)),'Lists &amp; Settings'!$O$10))))))</f>
        <v/>
      </c>
      <c r="T367" s="31"/>
      <c r="U367" s="31"/>
      <c r="V367" s="31"/>
    </row>
    <row r="368" ht="15.75" customHeight="1">
      <c r="B368" s="31"/>
      <c r="N368" s="127"/>
      <c r="S368" s="31" t="str">
        <f>IF($C368="","",IF(OR($M368="",$N368=""),'Lists &amp; Settings'!$O$10,IF($N368="Fail",'Lists &amp; Settings'!$O$9,IF($N368="Insufficient Evidence",'Lists &amp; Settings'!$O$10,IF($N368="Pass",IF($M368&gt;='Lists &amp; Settings'!$N$2,'Lists &amp; Settings'!$O$2,IF($M368&gt;='Lists &amp; Settings'!$N$3,'Lists &amp; Settings'!$O$3,'Lists &amp; Settings'!$O$4)),IF($N368="Partial",IF($M368&gt;='Lists &amp; Settings'!$N$6,'Lists &amp; Settings'!$O$6,IF($M368&gt;='Lists &amp; Settings'!$N$7,'Lists &amp; Settings'!$O$7,'Lists &amp; Settings'!$O$8)),'Lists &amp; Settings'!$O$10))))))</f>
        <v/>
      </c>
      <c r="T368" s="31"/>
      <c r="U368" s="31"/>
      <c r="V368" s="31"/>
    </row>
    <row r="369" ht="15.75" customHeight="1">
      <c r="B369" s="31"/>
      <c r="N369" s="127"/>
      <c r="S369" s="31" t="str">
        <f>IF($C369="","",IF(OR($M369="",$N369=""),'Lists &amp; Settings'!$O$10,IF($N369="Fail",'Lists &amp; Settings'!$O$9,IF($N369="Insufficient Evidence",'Lists &amp; Settings'!$O$10,IF($N369="Pass",IF($M369&gt;='Lists &amp; Settings'!$N$2,'Lists &amp; Settings'!$O$2,IF($M369&gt;='Lists &amp; Settings'!$N$3,'Lists &amp; Settings'!$O$3,'Lists &amp; Settings'!$O$4)),IF($N369="Partial",IF($M369&gt;='Lists &amp; Settings'!$N$6,'Lists &amp; Settings'!$O$6,IF($M369&gt;='Lists &amp; Settings'!$N$7,'Lists &amp; Settings'!$O$7,'Lists &amp; Settings'!$O$8)),'Lists &amp; Settings'!$O$10))))))</f>
        <v/>
      </c>
      <c r="T369" s="31"/>
      <c r="U369" s="31"/>
      <c r="V369" s="31"/>
    </row>
    <row r="370" ht="15.75" customHeight="1">
      <c r="B370" s="31"/>
      <c r="N370" s="127"/>
      <c r="S370" s="31" t="str">
        <f>IF($C370="","",IF(OR($M370="",$N370=""),'Lists &amp; Settings'!$O$10,IF($N370="Fail",'Lists &amp; Settings'!$O$9,IF($N370="Insufficient Evidence",'Lists &amp; Settings'!$O$10,IF($N370="Pass",IF($M370&gt;='Lists &amp; Settings'!$N$2,'Lists &amp; Settings'!$O$2,IF($M370&gt;='Lists &amp; Settings'!$N$3,'Lists &amp; Settings'!$O$3,'Lists &amp; Settings'!$O$4)),IF($N370="Partial",IF($M370&gt;='Lists &amp; Settings'!$N$6,'Lists &amp; Settings'!$O$6,IF($M370&gt;='Lists &amp; Settings'!$N$7,'Lists &amp; Settings'!$O$7,'Lists &amp; Settings'!$O$8)),'Lists &amp; Settings'!$O$10))))))</f>
        <v/>
      </c>
      <c r="T370" s="31"/>
      <c r="U370" s="31"/>
      <c r="V370" s="31"/>
    </row>
    <row r="371" ht="15.75" customHeight="1">
      <c r="B371" s="31"/>
      <c r="N371" s="127"/>
      <c r="S371" s="31" t="str">
        <f>IF($C371="","",IF(OR($M371="",$N371=""),'Lists &amp; Settings'!$O$10,IF($N371="Fail",'Lists &amp; Settings'!$O$9,IF($N371="Insufficient Evidence",'Lists &amp; Settings'!$O$10,IF($N371="Pass",IF($M371&gt;='Lists &amp; Settings'!$N$2,'Lists &amp; Settings'!$O$2,IF($M371&gt;='Lists &amp; Settings'!$N$3,'Lists &amp; Settings'!$O$3,'Lists &amp; Settings'!$O$4)),IF($N371="Partial",IF($M371&gt;='Lists &amp; Settings'!$N$6,'Lists &amp; Settings'!$O$6,IF($M371&gt;='Lists &amp; Settings'!$N$7,'Lists &amp; Settings'!$O$7,'Lists &amp; Settings'!$O$8)),'Lists &amp; Settings'!$O$10))))))</f>
        <v/>
      </c>
      <c r="T371" s="31"/>
      <c r="U371" s="31"/>
      <c r="V371" s="31"/>
    </row>
    <row r="372" ht="15.75" customHeight="1">
      <c r="B372" s="31"/>
      <c r="N372" s="127"/>
      <c r="S372" s="31" t="str">
        <f>IF($C372="","",IF(OR($M372="",$N372=""),'Lists &amp; Settings'!$O$10,IF($N372="Fail",'Lists &amp; Settings'!$O$9,IF($N372="Insufficient Evidence",'Lists &amp; Settings'!$O$10,IF($N372="Pass",IF($M372&gt;='Lists &amp; Settings'!$N$2,'Lists &amp; Settings'!$O$2,IF($M372&gt;='Lists &amp; Settings'!$N$3,'Lists &amp; Settings'!$O$3,'Lists &amp; Settings'!$O$4)),IF($N372="Partial",IF($M372&gt;='Lists &amp; Settings'!$N$6,'Lists &amp; Settings'!$O$6,IF($M372&gt;='Lists &amp; Settings'!$N$7,'Lists &amp; Settings'!$O$7,'Lists &amp; Settings'!$O$8)),'Lists &amp; Settings'!$O$10))))))</f>
        <v/>
      </c>
      <c r="T372" s="31"/>
      <c r="U372" s="31"/>
      <c r="V372" s="31"/>
    </row>
    <row r="373" ht="15.75" customHeight="1">
      <c r="B373" s="31"/>
      <c r="N373" s="127"/>
      <c r="S373" s="31" t="str">
        <f>IF($C373="","",IF(OR($M373="",$N373=""),'Lists &amp; Settings'!$O$10,IF($N373="Fail",'Lists &amp; Settings'!$O$9,IF($N373="Insufficient Evidence",'Lists &amp; Settings'!$O$10,IF($N373="Pass",IF($M373&gt;='Lists &amp; Settings'!$N$2,'Lists &amp; Settings'!$O$2,IF($M373&gt;='Lists &amp; Settings'!$N$3,'Lists &amp; Settings'!$O$3,'Lists &amp; Settings'!$O$4)),IF($N373="Partial",IF($M373&gt;='Lists &amp; Settings'!$N$6,'Lists &amp; Settings'!$O$6,IF($M373&gt;='Lists &amp; Settings'!$N$7,'Lists &amp; Settings'!$O$7,'Lists &amp; Settings'!$O$8)),'Lists &amp; Settings'!$O$10))))))</f>
        <v/>
      </c>
      <c r="T373" s="31"/>
      <c r="U373" s="31"/>
      <c r="V373" s="31"/>
    </row>
    <row r="374" ht="15.75" customHeight="1">
      <c r="B374" s="31"/>
      <c r="N374" s="127"/>
      <c r="S374" s="31" t="str">
        <f>IF($C374="","",IF(OR($M374="",$N374=""),'Lists &amp; Settings'!$O$10,IF($N374="Fail",'Lists &amp; Settings'!$O$9,IF($N374="Insufficient Evidence",'Lists &amp; Settings'!$O$10,IF($N374="Pass",IF($M374&gt;='Lists &amp; Settings'!$N$2,'Lists &amp; Settings'!$O$2,IF($M374&gt;='Lists &amp; Settings'!$N$3,'Lists &amp; Settings'!$O$3,'Lists &amp; Settings'!$O$4)),IF($N374="Partial",IF($M374&gt;='Lists &amp; Settings'!$N$6,'Lists &amp; Settings'!$O$6,IF($M374&gt;='Lists &amp; Settings'!$N$7,'Lists &amp; Settings'!$O$7,'Lists &amp; Settings'!$O$8)),'Lists &amp; Settings'!$O$10))))))</f>
        <v/>
      </c>
      <c r="T374" s="31"/>
      <c r="U374" s="31"/>
      <c r="V374" s="31"/>
    </row>
    <row r="375" ht="15.75" customHeight="1">
      <c r="B375" s="31"/>
      <c r="N375" s="127"/>
      <c r="S375" s="31" t="str">
        <f>IF($C375="","",IF(OR($M375="",$N375=""),'Lists &amp; Settings'!$O$10,IF($N375="Fail",'Lists &amp; Settings'!$O$9,IF($N375="Insufficient Evidence",'Lists &amp; Settings'!$O$10,IF($N375="Pass",IF($M375&gt;='Lists &amp; Settings'!$N$2,'Lists &amp; Settings'!$O$2,IF($M375&gt;='Lists &amp; Settings'!$N$3,'Lists &amp; Settings'!$O$3,'Lists &amp; Settings'!$O$4)),IF($N375="Partial",IF($M375&gt;='Lists &amp; Settings'!$N$6,'Lists &amp; Settings'!$O$6,IF($M375&gt;='Lists &amp; Settings'!$N$7,'Lists &amp; Settings'!$O$7,'Lists &amp; Settings'!$O$8)),'Lists &amp; Settings'!$O$10))))))</f>
        <v/>
      </c>
      <c r="T375" s="31"/>
      <c r="U375" s="31"/>
      <c r="V375" s="31"/>
    </row>
    <row r="376" ht="15.75" customHeight="1">
      <c r="B376" s="31"/>
      <c r="N376" s="127"/>
      <c r="S376" s="31" t="str">
        <f>IF($C376="","",IF(OR($M376="",$N376=""),'Lists &amp; Settings'!$O$10,IF($N376="Fail",'Lists &amp; Settings'!$O$9,IF($N376="Insufficient Evidence",'Lists &amp; Settings'!$O$10,IF($N376="Pass",IF($M376&gt;='Lists &amp; Settings'!$N$2,'Lists &amp; Settings'!$O$2,IF($M376&gt;='Lists &amp; Settings'!$N$3,'Lists &amp; Settings'!$O$3,'Lists &amp; Settings'!$O$4)),IF($N376="Partial",IF($M376&gt;='Lists &amp; Settings'!$N$6,'Lists &amp; Settings'!$O$6,IF($M376&gt;='Lists &amp; Settings'!$N$7,'Lists &amp; Settings'!$O$7,'Lists &amp; Settings'!$O$8)),'Lists &amp; Settings'!$O$10))))))</f>
        <v/>
      </c>
      <c r="T376" s="31"/>
      <c r="U376" s="31"/>
      <c r="V376" s="31"/>
    </row>
    <row r="377" ht="15.75" customHeight="1">
      <c r="B377" s="31"/>
      <c r="N377" s="127"/>
      <c r="S377" s="31" t="str">
        <f>IF($C377="","",IF(OR($M377="",$N377=""),'Lists &amp; Settings'!$O$10,IF($N377="Fail",'Lists &amp; Settings'!$O$9,IF($N377="Insufficient Evidence",'Lists &amp; Settings'!$O$10,IF($N377="Pass",IF($M377&gt;='Lists &amp; Settings'!$N$2,'Lists &amp; Settings'!$O$2,IF($M377&gt;='Lists &amp; Settings'!$N$3,'Lists &amp; Settings'!$O$3,'Lists &amp; Settings'!$O$4)),IF($N377="Partial",IF($M377&gt;='Lists &amp; Settings'!$N$6,'Lists &amp; Settings'!$O$6,IF($M377&gt;='Lists &amp; Settings'!$N$7,'Lists &amp; Settings'!$O$7,'Lists &amp; Settings'!$O$8)),'Lists &amp; Settings'!$O$10))))))</f>
        <v/>
      </c>
      <c r="T377" s="31"/>
      <c r="U377" s="31"/>
      <c r="V377" s="31"/>
    </row>
    <row r="378" ht="15.75" customHeight="1">
      <c r="B378" s="31"/>
      <c r="N378" s="127"/>
      <c r="S378" s="31" t="str">
        <f>IF($C378="","",IF(OR($M378="",$N378=""),'Lists &amp; Settings'!$O$10,IF($N378="Fail",'Lists &amp; Settings'!$O$9,IF($N378="Insufficient Evidence",'Lists &amp; Settings'!$O$10,IF($N378="Pass",IF($M378&gt;='Lists &amp; Settings'!$N$2,'Lists &amp; Settings'!$O$2,IF($M378&gt;='Lists &amp; Settings'!$N$3,'Lists &amp; Settings'!$O$3,'Lists &amp; Settings'!$O$4)),IF($N378="Partial",IF($M378&gt;='Lists &amp; Settings'!$N$6,'Lists &amp; Settings'!$O$6,IF($M378&gt;='Lists &amp; Settings'!$N$7,'Lists &amp; Settings'!$O$7,'Lists &amp; Settings'!$O$8)),'Lists &amp; Settings'!$O$10))))))</f>
        <v/>
      </c>
      <c r="T378" s="31"/>
      <c r="U378" s="31"/>
      <c r="V378" s="31"/>
    </row>
    <row r="379" ht="15.75" customHeight="1">
      <c r="B379" s="31"/>
      <c r="N379" s="127"/>
      <c r="S379" s="31" t="str">
        <f>IF($C379="","",IF(OR($M379="",$N379=""),'Lists &amp; Settings'!$O$10,IF($N379="Fail",'Lists &amp; Settings'!$O$9,IF($N379="Insufficient Evidence",'Lists &amp; Settings'!$O$10,IF($N379="Pass",IF($M379&gt;='Lists &amp; Settings'!$N$2,'Lists &amp; Settings'!$O$2,IF($M379&gt;='Lists &amp; Settings'!$N$3,'Lists &amp; Settings'!$O$3,'Lists &amp; Settings'!$O$4)),IF($N379="Partial",IF($M379&gt;='Lists &amp; Settings'!$N$6,'Lists &amp; Settings'!$O$6,IF($M379&gt;='Lists &amp; Settings'!$N$7,'Lists &amp; Settings'!$O$7,'Lists &amp; Settings'!$O$8)),'Lists &amp; Settings'!$O$10))))))</f>
        <v/>
      </c>
      <c r="T379" s="31"/>
      <c r="U379" s="31"/>
      <c r="V379" s="31"/>
    </row>
    <row r="380" ht="15.75" customHeight="1">
      <c r="B380" s="31"/>
      <c r="N380" s="127"/>
      <c r="S380" s="31" t="str">
        <f>IF($C380="","",IF(OR($M380="",$N380=""),'Lists &amp; Settings'!$O$10,IF($N380="Fail",'Lists &amp; Settings'!$O$9,IF($N380="Insufficient Evidence",'Lists &amp; Settings'!$O$10,IF($N380="Pass",IF($M380&gt;='Lists &amp; Settings'!$N$2,'Lists &amp; Settings'!$O$2,IF($M380&gt;='Lists &amp; Settings'!$N$3,'Lists &amp; Settings'!$O$3,'Lists &amp; Settings'!$O$4)),IF($N380="Partial",IF($M380&gt;='Lists &amp; Settings'!$N$6,'Lists &amp; Settings'!$O$6,IF($M380&gt;='Lists &amp; Settings'!$N$7,'Lists &amp; Settings'!$O$7,'Lists &amp; Settings'!$O$8)),'Lists &amp; Settings'!$O$10))))))</f>
        <v/>
      </c>
      <c r="T380" s="31"/>
      <c r="U380" s="31"/>
      <c r="V380" s="31"/>
    </row>
    <row r="381" ht="15.75" customHeight="1">
      <c r="B381" s="31"/>
      <c r="N381" s="127"/>
      <c r="S381" s="31" t="str">
        <f>IF($C381="","",IF(OR($M381="",$N381=""),'Lists &amp; Settings'!$O$10,IF($N381="Fail",'Lists &amp; Settings'!$O$9,IF($N381="Insufficient Evidence",'Lists &amp; Settings'!$O$10,IF($N381="Pass",IF($M381&gt;='Lists &amp; Settings'!$N$2,'Lists &amp; Settings'!$O$2,IF($M381&gt;='Lists &amp; Settings'!$N$3,'Lists &amp; Settings'!$O$3,'Lists &amp; Settings'!$O$4)),IF($N381="Partial",IF($M381&gt;='Lists &amp; Settings'!$N$6,'Lists &amp; Settings'!$O$6,IF($M381&gt;='Lists &amp; Settings'!$N$7,'Lists &amp; Settings'!$O$7,'Lists &amp; Settings'!$O$8)),'Lists &amp; Settings'!$O$10))))))</f>
        <v/>
      </c>
      <c r="T381" s="31"/>
      <c r="U381" s="31"/>
      <c r="V381" s="31"/>
    </row>
    <row r="382" ht="15.75" customHeight="1">
      <c r="B382" s="31"/>
      <c r="N382" s="127"/>
      <c r="S382" s="31" t="str">
        <f>IF($C382="","",IF(OR($M382="",$N382=""),'Lists &amp; Settings'!$O$10,IF($N382="Fail",'Lists &amp; Settings'!$O$9,IF($N382="Insufficient Evidence",'Lists &amp; Settings'!$O$10,IF($N382="Pass",IF($M382&gt;='Lists &amp; Settings'!$N$2,'Lists &amp; Settings'!$O$2,IF($M382&gt;='Lists &amp; Settings'!$N$3,'Lists &amp; Settings'!$O$3,'Lists &amp; Settings'!$O$4)),IF($N382="Partial",IF($M382&gt;='Lists &amp; Settings'!$N$6,'Lists &amp; Settings'!$O$6,IF($M382&gt;='Lists &amp; Settings'!$N$7,'Lists &amp; Settings'!$O$7,'Lists &amp; Settings'!$O$8)),'Lists &amp; Settings'!$O$10))))))</f>
        <v/>
      </c>
      <c r="T382" s="31"/>
      <c r="U382" s="31"/>
      <c r="V382" s="31"/>
    </row>
    <row r="383" ht="15.75" customHeight="1">
      <c r="B383" s="31"/>
      <c r="N383" s="127"/>
      <c r="S383" s="31" t="str">
        <f>IF($C383="","",IF(OR($M383="",$N383=""),'Lists &amp; Settings'!$O$10,IF($N383="Fail",'Lists &amp; Settings'!$O$9,IF($N383="Insufficient Evidence",'Lists &amp; Settings'!$O$10,IF($N383="Pass",IF($M383&gt;='Lists &amp; Settings'!$N$2,'Lists &amp; Settings'!$O$2,IF($M383&gt;='Lists &amp; Settings'!$N$3,'Lists &amp; Settings'!$O$3,'Lists &amp; Settings'!$O$4)),IF($N383="Partial",IF($M383&gt;='Lists &amp; Settings'!$N$6,'Lists &amp; Settings'!$O$6,IF($M383&gt;='Lists &amp; Settings'!$N$7,'Lists &amp; Settings'!$O$7,'Lists &amp; Settings'!$O$8)),'Lists &amp; Settings'!$O$10))))))</f>
        <v/>
      </c>
      <c r="T383" s="31"/>
      <c r="U383" s="31"/>
      <c r="V383" s="31"/>
    </row>
    <row r="384" ht="15.75" customHeight="1">
      <c r="B384" s="31"/>
      <c r="N384" s="127"/>
      <c r="S384" s="31" t="str">
        <f>IF($C384="","",IF(OR($M384="",$N384=""),'Lists &amp; Settings'!$O$10,IF($N384="Fail",'Lists &amp; Settings'!$O$9,IF($N384="Insufficient Evidence",'Lists &amp; Settings'!$O$10,IF($N384="Pass",IF($M384&gt;='Lists &amp; Settings'!$N$2,'Lists &amp; Settings'!$O$2,IF($M384&gt;='Lists &amp; Settings'!$N$3,'Lists &amp; Settings'!$O$3,'Lists &amp; Settings'!$O$4)),IF($N384="Partial",IF($M384&gt;='Lists &amp; Settings'!$N$6,'Lists &amp; Settings'!$O$6,IF($M384&gt;='Lists &amp; Settings'!$N$7,'Lists &amp; Settings'!$O$7,'Lists &amp; Settings'!$O$8)),'Lists &amp; Settings'!$O$10))))))</f>
        <v/>
      </c>
      <c r="T384" s="31"/>
      <c r="U384" s="31"/>
      <c r="V384" s="31"/>
    </row>
    <row r="385" ht="15.75" customHeight="1">
      <c r="B385" s="31"/>
      <c r="N385" s="127"/>
      <c r="S385" s="31" t="str">
        <f>IF($C385="","",IF(OR($M385="",$N385=""),'Lists &amp; Settings'!$O$10,IF($N385="Fail",'Lists &amp; Settings'!$O$9,IF($N385="Insufficient Evidence",'Lists &amp; Settings'!$O$10,IF($N385="Pass",IF($M385&gt;='Lists &amp; Settings'!$N$2,'Lists &amp; Settings'!$O$2,IF($M385&gt;='Lists &amp; Settings'!$N$3,'Lists &amp; Settings'!$O$3,'Lists &amp; Settings'!$O$4)),IF($N385="Partial",IF($M385&gt;='Lists &amp; Settings'!$N$6,'Lists &amp; Settings'!$O$6,IF($M385&gt;='Lists &amp; Settings'!$N$7,'Lists &amp; Settings'!$O$7,'Lists &amp; Settings'!$O$8)),'Lists &amp; Settings'!$O$10))))))</f>
        <v/>
      </c>
      <c r="T385" s="31"/>
      <c r="U385" s="31"/>
      <c r="V385" s="31"/>
    </row>
    <row r="386" ht="15.75" customHeight="1">
      <c r="B386" s="31"/>
      <c r="N386" s="127"/>
      <c r="S386" s="31" t="str">
        <f>IF($C386="","",IF(OR($M386="",$N386=""),'Lists &amp; Settings'!$O$10,IF($N386="Fail",'Lists &amp; Settings'!$O$9,IF($N386="Insufficient Evidence",'Lists &amp; Settings'!$O$10,IF($N386="Pass",IF($M386&gt;='Lists &amp; Settings'!$N$2,'Lists &amp; Settings'!$O$2,IF($M386&gt;='Lists &amp; Settings'!$N$3,'Lists &amp; Settings'!$O$3,'Lists &amp; Settings'!$O$4)),IF($N386="Partial",IF($M386&gt;='Lists &amp; Settings'!$N$6,'Lists &amp; Settings'!$O$6,IF($M386&gt;='Lists &amp; Settings'!$N$7,'Lists &amp; Settings'!$O$7,'Lists &amp; Settings'!$O$8)),'Lists &amp; Settings'!$O$10))))))</f>
        <v/>
      </c>
      <c r="T386" s="31"/>
      <c r="U386" s="31"/>
      <c r="V386" s="31"/>
    </row>
    <row r="387" ht="15.75" customHeight="1">
      <c r="B387" s="31"/>
      <c r="N387" s="127"/>
      <c r="S387" s="31" t="str">
        <f>IF($C387="","",IF(OR($M387="",$N387=""),'Lists &amp; Settings'!$O$10,IF($N387="Fail",'Lists &amp; Settings'!$O$9,IF($N387="Insufficient Evidence",'Lists &amp; Settings'!$O$10,IF($N387="Pass",IF($M387&gt;='Lists &amp; Settings'!$N$2,'Lists &amp; Settings'!$O$2,IF($M387&gt;='Lists &amp; Settings'!$N$3,'Lists &amp; Settings'!$O$3,'Lists &amp; Settings'!$O$4)),IF($N387="Partial",IF($M387&gt;='Lists &amp; Settings'!$N$6,'Lists &amp; Settings'!$O$6,IF($M387&gt;='Lists &amp; Settings'!$N$7,'Lists &amp; Settings'!$O$7,'Lists &amp; Settings'!$O$8)),'Lists &amp; Settings'!$O$10))))))</f>
        <v/>
      </c>
      <c r="T387" s="31"/>
      <c r="U387" s="31"/>
      <c r="V387" s="31"/>
    </row>
    <row r="388" ht="15.75" customHeight="1">
      <c r="B388" s="31"/>
      <c r="N388" s="127"/>
      <c r="S388" s="31" t="str">
        <f>IF($C388="","",IF(OR($M388="",$N388=""),'Lists &amp; Settings'!$O$10,IF($N388="Fail",'Lists &amp; Settings'!$O$9,IF($N388="Insufficient Evidence",'Lists &amp; Settings'!$O$10,IF($N388="Pass",IF($M388&gt;='Lists &amp; Settings'!$N$2,'Lists &amp; Settings'!$O$2,IF($M388&gt;='Lists &amp; Settings'!$N$3,'Lists &amp; Settings'!$O$3,'Lists &amp; Settings'!$O$4)),IF($N388="Partial",IF($M388&gt;='Lists &amp; Settings'!$N$6,'Lists &amp; Settings'!$O$6,IF($M388&gt;='Lists &amp; Settings'!$N$7,'Lists &amp; Settings'!$O$7,'Lists &amp; Settings'!$O$8)),'Lists &amp; Settings'!$O$10))))))</f>
        <v/>
      </c>
      <c r="T388" s="31"/>
      <c r="U388" s="31"/>
      <c r="V388" s="31"/>
    </row>
    <row r="389" ht="15.75" customHeight="1">
      <c r="B389" s="31"/>
      <c r="N389" s="127"/>
      <c r="S389" s="31" t="str">
        <f>IF($C389="","",IF(OR($M389="",$N389=""),'Lists &amp; Settings'!$O$10,IF($N389="Fail",'Lists &amp; Settings'!$O$9,IF($N389="Insufficient Evidence",'Lists &amp; Settings'!$O$10,IF($N389="Pass",IF($M389&gt;='Lists &amp; Settings'!$N$2,'Lists &amp; Settings'!$O$2,IF($M389&gt;='Lists &amp; Settings'!$N$3,'Lists &amp; Settings'!$O$3,'Lists &amp; Settings'!$O$4)),IF($N389="Partial",IF($M389&gt;='Lists &amp; Settings'!$N$6,'Lists &amp; Settings'!$O$6,IF($M389&gt;='Lists &amp; Settings'!$N$7,'Lists &amp; Settings'!$O$7,'Lists &amp; Settings'!$O$8)),'Lists &amp; Settings'!$O$10))))))</f>
        <v/>
      </c>
      <c r="T389" s="31"/>
      <c r="U389" s="31"/>
      <c r="V389" s="31"/>
    </row>
    <row r="390" ht="15.75" customHeight="1">
      <c r="B390" s="31"/>
      <c r="N390" s="127"/>
      <c r="S390" s="31" t="str">
        <f>IF($C390="","",IF(OR($M390="",$N390=""),'Lists &amp; Settings'!$O$10,IF($N390="Fail",'Lists &amp; Settings'!$O$9,IF($N390="Insufficient Evidence",'Lists &amp; Settings'!$O$10,IF($N390="Pass",IF($M390&gt;='Lists &amp; Settings'!$N$2,'Lists &amp; Settings'!$O$2,IF($M390&gt;='Lists &amp; Settings'!$N$3,'Lists &amp; Settings'!$O$3,'Lists &amp; Settings'!$O$4)),IF($N390="Partial",IF($M390&gt;='Lists &amp; Settings'!$N$6,'Lists &amp; Settings'!$O$6,IF($M390&gt;='Lists &amp; Settings'!$N$7,'Lists &amp; Settings'!$O$7,'Lists &amp; Settings'!$O$8)),'Lists &amp; Settings'!$O$10))))))</f>
        <v/>
      </c>
      <c r="T390" s="31"/>
      <c r="U390" s="31"/>
      <c r="V390" s="31"/>
    </row>
    <row r="391" ht="15.75" customHeight="1">
      <c r="B391" s="31"/>
      <c r="N391" s="127"/>
      <c r="S391" s="31" t="str">
        <f>IF($C391="","",IF(OR($M391="",$N391=""),'Lists &amp; Settings'!$O$10,IF($N391="Fail",'Lists &amp; Settings'!$O$9,IF($N391="Insufficient Evidence",'Lists &amp; Settings'!$O$10,IF($N391="Pass",IF($M391&gt;='Lists &amp; Settings'!$N$2,'Lists &amp; Settings'!$O$2,IF($M391&gt;='Lists &amp; Settings'!$N$3,'Lists &amp; Settings'!$O$3,'Lists &amp; Settings'!$O$4)),IF($N391="Partial",IF($M391&gt;='Lists &amp; Settings'!$N$6,'Lists &amp; Settings'!$O$6,IF($M391&gt;='Lists &amp; Settings'!$N$7,'Lists &amp; Settings'!$O$7,'Lists &amp; Settings'!$O$8)),'Lists &amp; Settings'!$O$10))))))</f>
        <v/>
      </c>
      <c r="T391" s="31"/>
      <c r="U391" s="31"/>
      <c r="V391" s="31"/>
    </row>
    <row r="392" ht="15.75" customHeight="1">
      <c r="B392" s="31"/>
      <c r="N392" s="127"/>
      <c r="S392" s="31" t="str">
        <f>IF($C392="","",IF(OR($M392="",$N392=""),'Lists &amp; Settings'!$O$10,IF($N392="Fail",'Lists &amp; Settings'!$O$9,IF($N392="Insufficient Evidence",'Lists &amp; Settings'!$O$10,IF($N392="Pass",IF($M392&gt;='Lists &amp; Settings'!$N$2,'Lists &amp; Settings'!$O$2,IF($M392&gt;='Lists &amp; Settings'!$N$3,'Lists &amp; Settings'!$O$3,'Lists &amp; Settings'!$O$4)),IF($N392="Partial",IF($M392&gt;='Lists &amp; Settings'!$N$6,'Lists &amp; Settings'!$O$6,IF($M392&gt;='Lists &amp; Settings'!$N$7,'Lists &amp; Settings'!$O$7,'Lists &amp; Settings'!$O$8)),'Lists &amp; Settings'!$O$10))))))</f>
        <v/>
      </c>
      <c r="T392" s="31"/>
      <c r="U392" s="31"/>
      <c r="V392" s="31"/>
    </row>
    <row r="393" ht="15.75" customHeight="1">
      <c r="B393" s="31"/>
      <c r="N393" s="127"/>
      <c r="S393" s="31" t="str">
        <f>IF($C393="","",IF(OR($M393="",$N393=""),'Lists &amp; Settings'!$O$10,IF($N393="Fail",'Lists &amp; Settings'!$O$9,IF($N393="Insufficient Evidence",'Lists &amp; Settings'!$O$10,IF($N393="Pass",IF($M393&gt;='Lists &amp; Settings'!$N$2,'Lists &amp; Settings'!$O$2,IF($M393&gt;='Lists &amp; Settings'!$N$3,'Lists &amp; Settings'!$O$3,'Lists &amp; Settings'!$O$4)),IF($N393="Partial",IF($M393&gt;='Lists &amp; Settings'!$N$6,'Lists &amp; Settings'!$O$6,IF($M393&gt;='Lists &amp; Settings'!$N$7,'Lists &amp; Settings'!$O$7,'Lists &amp; Settings'!$O$8)),'Lists &amp; Settings'!$O$10))))))</f>
        <v/>
      </c>
      <c r="T393" s="31"/>
      <c r="U393" s="31"/>
      <c r="V393" s="31"/>
    </row>
    <row r="394" ht="15.75" customHeight="1">
      <c r="B394" s="31"/>
      <c r="N394" s="127"/>
      <c r="S394" s="31" t="str">
        <f>IF($C394="","",IF(OR($M394="",$N394=""),'Lists &amp; Settings'!$O$10,IF($N394="Fail",'Lists &amp; Settings'!$O$9,IF($N394="Insufficient Evidence",'Lists &amp; Settings'!$O$10,IF($N394="Pass",IF($M394&gt;='Lists &amp; Settings'!$N$2,'Lists &amp; Settings'!$O$2,IF($M394&gt;='Lists &amp; Settings'!$N$3,'Lists &amp; Settings'!$O$3,'Lists &amp; Settings'!$O$4)),IF($N394="Partial",IF($M394&gt;='Lists &amp; Settings'!$N$6,'Lists &amp; Settings'!$O$6,IF($M394&gt;='Lists &amp; Settings'!$N$7,'Lists &amp; Settings'!$O$7,'Lists &amp; Settings'!$O$8)),'Lists &amp; Settings'!$O$10))))))</f>
        <v/>
      </c>
      <c r="T394" s="31"/>
      <c r="U394" s="31"/>
      <c r="V394" s="31"/>
    </row>
    <row r="395" ht="15.75" customHeight="1">
      <c r="B395" s="31"/>
      <c r="N395" s="127"/>
      <c r="S395" s="31" t="str">
        <f>IF($C395="","",IF(OR($M395="",$N395=""),'Lists &amp; Settings'!$O$10,IF($N395="Fail",'Lists &amp; Settings'!$O$9,IF($N395="Insufficient Evidence",'Lists &amp; Settings'!$O$10,IF($N395="Pass",IF($M395&gt;='Lists &amp; Settings'!$N$2,'Lists &amp; Settings'!$O$2,IF($M395&gt;='Lists &amp; Settings'!$N$3,'Lists &amp; Settings'!$O$3,'Lists &amp; Settings'!$O$4)),IF($N395="Partial",IF($M395&gt;='Lists &amp; Settings'!$N$6,'Lists &amp; Settings'!$O$6,IF($M395&gt;='Lists &amp; Settings'!$N$7,'Lists &amp; Settings'!$O$7,'Lists &amp; Settings'!$O$8)),'Lists &amp; Settings'!$O$10))))))</f>
        <v/>
      </c>
      <c r="T395" s="31"/>
      <c r="U395" s="31"/>
      <c r="V395" s="31"/>
    </row>
    <row r="396" ht="15.75" customHeight="1">
      <c r="B396" s="31"/>
      <c r="N396" s="127"/>
      <c r="S396" s="31" t="str">
        <f>IF($C396="","",IF(OR($M396="",$N396=""),'Lists &amp; Settings'!$O$10,IF($N396="Fail",'Lists &amp; Settings'!$O$9,IF($N396="Insufficient Evidence",'Lists &amp; Settings'!$O$10,IF($N396="Pass",IF($M396&gt;='Lists &amp; Settings'!$N$2,'Lists &amp; Settings'!$O$2,IF($M396&gt;='Lists &amp; Settings'!$N$3,'Lists &amp; Settings'!$O$3,'Lists &amp; Settings'!$O$4)),IF($N396="Partial",IF($M396&gt;='Lists &amp; Settings'!$N$6,'Lists &amp; Settings'!$O$6,IF($M396&gt;='Lists &amp; Settings'!$N$7,'Lists &amp; Settings'!$O$7,'Lists &amp; Settings'!$O$8)),'Lists &amp; Settings'!$O$10))))))</f>
        <v/>
      </c>
      <c r="T396" s="31"/>
      <c r="U396" s="31"/>
      <c r="V396" s="31"/>
    </row>
    <row r="397" ht="15.75" customHeight="1">
      <c r="B397" s="31"/>
      <c r="N397" s="127"/>
      <c r="S397" s="31" t="str">
        <f>IF($C397="","",IF(OR($M397="",$N397=""),'Lists &amp; Settings'!$O$10,IF($N397="Fail",'Lists &amp; Settings'!$O$9,IF($N397="Insufficient Evidence",'Lists &amp; Settings'!$O$10,IF($N397="Pass",IF($M397&gt;='Lists &amp; Settings'!$N$2,'Lists &amp; Settings'!$O$2,IF($M397&gt;='Lists &amp; Settings'!$N$3,'Lists &amp; Settings'!$O$3,'Lists &amp; Settings'!$O$4)),IF($N397="Partial",IF($M397&gt;='Lists &amp; Settings'!$N$6,'Lists &amp; Settings'!$O$6,IF($M397&gt;='Lists &amp; Settings'!$N$7,'Lists &amp; Settings'!$O$7,'Lists &amp; Settings'!$O$8)),'Lists &amp; Settings'!$O$10))))))</f>
        <v/>
      </c>
      <c r="T397" s="31"/>
      <c r="U397" s="31"/>
      <c r="V397" s="31"/>
    </row>
    <row r="398" ht="15.75" customHeight="1">
      <c r="B398" s="31"/>
      <c r="N398" s="127"/>
      <c r="S398" s="31" t="str">
        <f>IF($C398="","",IF(OR($M398="",$N398=""),'Lists &amp; Settings'!$O$10,IF($N398="Fail",'Lists &amp; Settings'!$O$9,IF($N398="Insufficient Evidence",'Lists &amp; Settings'!$O$10,IF($N398="Pass",IF($M398&gt;='Lists &amp; Settings'!$N$2,'Lists &amp; Settings'!$O$2,IF($M398&gt;='Lists &amp; Settings'!$N$3,'Lists &amp; Settings'!$O$3,'Lists &amp; Settings'!$O$4)),IF($N398="Partial",IF($M398&gt;='Lists &amp; Settings'!$N$6,'Lists &amp; Settings'!$O$6,IF($M398&gt;='Lists &amp; Settings'!$N$7,'Lists &amp; Settings'!$O$7,'Lists &amp; Settings'!$O$8)),'Lists &amp; Settings'!$O$10))))))</f>
        <v/>
      </c>
      <c r="T398" s="31"/>
      <c r="U398" s="31"/>
      <c r="V398" s="31"/>
    </row>
    <row r="399" ht="15.75" customHeight="1">
      <c r="B399" s="31"/>
      <c r="N399" s="127"/>
      <c r="S399" s="31" t="str">
        <f>IF($C399="","",IF(OR($M399="",$N399=""),'Lists &amp; Settings'!$O$10,IF($N399="Fail",'Lists &amp; Settings'!$O$9,IF($N399="Insufficient Evidence",'Lists &amp; Settings'!$O$10,IF($N399="Pass",IF($M399&gt;='Lists &amp; Settings'!$N$2,'Lists &amp; Settings'!$O$2,IF($M399&gt;='Lists &amp; Settings'!$N$3,'Lists &amp; Settings'!$O$3,'Lists &amp; Settings'!$O$4)),IF($N399="Partial",IF($M399&gt;='Lists &amp; Settings'!$N$6,'Lists &amp; Settings'!$O$6,IF($M399&gt;='Lists &amp; Settings'!$N$7,'Lists &amp; Settings'!$O$7,'Lists &amp; Settings'!$O$8)),'Lists &amp; Settings'!$O$10))))))</f>
        <v/>
      </c>
      <c r="T399" s="31"/>
      <c r="U399" s="31"/>
      <c r="V399" s="31"/>
    </row>
    <row r="400" ht="15.75" customHeight="1">
      <c r="B400" s="31"/>
      <c r="N400" s="127"/>
      <c r="S400" s="31" t="str">
        <f>IF($C400="","",IF(OR($M400="",$N400=""),'Lists &amp; Settings'!$O$10,IF($N400="Fail",'Lists &amp; Settings'!$O$9,IF($N400="Insufficient Evidence",'Lists &amp; Settings'!$O$10,IF($N400="Pass",IF($M400&gt;='Lists &amp; Settings'!$N$2,'Lists &amp; Settings'!$O$2,IF($M400&gt;='Lists &amp; Settings'!$N$3,'Lists &amp; Settings'!$O$3,'Lists &amp; Settings'!$O$4)),IF($N400="Partial",IF($M400&gt;='Lists &amp; Settings'!$N$6,'Lists &amp; Settings'!$O$6,IF($M400&gt;='Lists &amp; Settings'!$N$7,'Lists &amp; Settings'!$O$7,'Lists &amp; Settings'!$O$8)),'Lists &amp; Settings'!$O$10))))))</f>
        <v/>
      </c>
      <c r="T400" s="31"/>
      <c r="U400" s="31"/>
      <c r="V400" s="31"/>
    </row>
    <row r="401" ht="15.75" customHeight="1">
      <c r="B401" s="31"/>
      <c r="N401" s="127"/>
      <c r="S401" s="31" t="str">
        <f>IF($C401="","",IF(OR($M401="",$N401=""),'Lists &amp; Settings'!$O$10,IF($N401="Fail",'Lists &amp; Settings'!$O$9,IF($N401="Insufficient Evidence",'Lists &amp; Settings'!$O$10,IF($N401="Pass",IF($M401&gt;='Lists &amp; Settings'!$N$2,'Lists &amp; Settings'!$O$2,IF($M401&gt;='Lists &amp; Settings'!$N$3,'Lists &amp; Settings'!$O$3,'Lists &amp; Settings'!$O$4)),IF($N401="Partial",IF($M401&gt;='Lists &amp; Settings'!$N$6,'Lists &amp; Settings'!$O$6,IF($M401&gt;='Lists &amp; Settings'!$N$7,'Lists &amp; Settings'!$O$7,'Lists &amp; Settings'!$O$8)),'Lists &amp; Settings'!$O$10))))))</f>
        <v/>
      </c>
      <c r="T401" s="31"/>
      <c r="U401" s="31"/>
      <c r="V401" s="31"/>
    </row>
    <row r="402" ht="15.75" customHeight="1">
      <c r="B402" s="31"/>
      <c r="N402" s="127"/>
      <c r="S402" s="31" t="str">
        <f>IF($C402="","",IF(OR($M402="",$N402=""),'Lists &amp; Settings'!$O$10,IF($N402="Fail",'Lists &amp; Settings'!$O$9,IF($N402="Insufficient Evidence",'Lists &amp; Settings'!$O$10,IF($N402="Pass",IF($M402&gt;='Lists &amp; Settings'!$N$2,'Lists &amp; Settings'!$O$2,IF($M402&gt;='Lists &amp; Settings'!$N$3,'Lists &amp; Settings'!$O$3,'Lists &amp; Settings'!$O$4)),IF($N402="Partial",IF($M402&gt;='Lists &amp; Settings'!$N$6,'Lists &amp; Settings'!$O$6,IF($M402&gt;='Lists &amp; Settings'!$N$7,'Lists &amp; Settings'!$O$7,'Lists &amp; Settings'!$O$8)),'Lists &amp; Settings'!$O$10))))))</f>
        <v/>
      </c>
      <c r="T402" s="31"/>
      <c r="U402" s="31"/>
      <c r="V402" s="31"/>
    </row>
    <row r="403" ht="15.75" customHeight="1">
      <c r="B403" s="31"/>
      <c r="N403" s="127"/>
      <c r="S403" s="31" t="str">
        <f>IF($C403="","",IF(OR($M403="",$N403=""),'Lists &amp; Settings'!$O$10,IF($N403="Fail",'Lists &amp; Settings'!$O$9,IF($N403="Insufficient Evidence",'Lists &amp; Settings'!$O$10,IF($N403="Pass",IF($M403&gt;='Lists &amp; Settings'!$N$2,'Lists &amp; Settings'!$O$2,IF($M403&gt;='Lists &amp; Settings'!$N$3,'Lists &amp; Settings'!$O$3,'Lists &amp; Settings'!$O$4)),IF($N403="Partial",IF($M403&gt;='Lists &amp; Settings'!$N$6,'Lists &amp; Settings'!$O$6,IF($M403&gt;='Lists &amp; Settings'!$N$7,'Lists &amp; Settings'!$O$7,'Lists &amp; Settings'!$O$8)),'Lists &amp; Settings'!$O$10))))))</f>
        <v/>
      </c>
      <c r="T403" s="31"/>
      <c r="U403" s="31"/>
      <c r="V403" s="31"/>
    </row>
    <row r="404" ht="15.75" customHeight="1">
      <c r="B404" s="31"/>
      <c r="N404" s="127"/>
      <c r="S404" s="31" t="str">
        <f>IF($C404="","",IF(OR($M404="",$N404=""),'Lists &amp; Settings'!$O$10,IF($N404="Fail",'Lists &amp; Settings'!$O$9,IF($N404="Insufficient Evidence",'Lists &amp; Settings'!$O$10,IF($N404="Pass",IF($M404&gt;='Lists &amp; Settings'!$N$2,'Lists &amp; Settings'!$O$2,IF($M404&gt;='Lists &amp; Settings'!$N$3,'Lists &amp; Settings'!$O$3,'Lists &amp; Settings'!$O$4)),IF($N404="Partial",IF($M404&gt;='Lists &amp; Settings'!$N$6,'Lists &amp; Settings'!$O$6,IF($M404&gt;='Lists &amp; Settings'!$N$7,'Lists &amp; Settings'!$O$7,'Lists &amp; Settings'!$O$8)),'Lists &amp; Settings'!$O$10))))))</f>
        <v/>
      </c>
      <c r="T404" s="31"/>
      <c r="U404" s="31"/>
      <c r="V404" s="31"/>
    </row>
    <row r="405" ht="15.75" customHeight="1">
      <c r="B405" s="31"/>
      <c r="N405" s="127"/>
      <c r="S405" s="31" t="str">
        <f>IF($C405="","",IF(OR($M405="",$N405=""),'Lists &amp; Settings'!$O$10,IF($N405="Fail",'Lists &amp; Settings'!$O$9,IF($N405="Insufficient Evidence",'Lists &amp; Settings'!$O$10,IF($N405="Pass",IF($M405&gt;='Lists &amp; Settings'!$N$2,'Lists &amp; Settings'!$O$2,IF($M405&gt;='Lists &amp; Settings'!$N$3,'Lists &amp; Settings'!$O$3,'Lists &amp; Settings'!$O$4)),IF($N405="Partial",IF($M405&gt;='Lists &amp; Settings'!$N$6,'Lists &amp; Settings'!$O$6,IF($M405&gt;='Lists &amp; Settings'!$N$7,'Lists &amp; Settings'!$O$7,'Lists &amp; Settings'!$O$8)),'Lists &amp; Settings'!$O$10))))))</f>
        <v/>
      </c>
      <c r="T405" s="31"/>
      <c r="U405" s="31"/>
      <c r="V405" s="31"/>
    </row>
    <row r="406" ht="15.75" customHeight="1">
      <c r="B406" s="31"/>
      <c r="N406" s="127"/>
      <c r="S406" s="31" t="str">
        <f>IF($C406="","",IF(OR($M406="",$N406=""),'Lists &amp; Settings'!$O$10,IF($N406="Fail",'Lists &amp; Settings'!$O$9,IF($N406="Insufficient Evidence",'Lists &amp; Settings'!$O$10,IF($N406="Pass",IF($M406&gt;='Lists &amp; Settings'!$N$2,'Lists &amp; Settings'!$O$2,IF($M406&gt;='Lists &amp; Settings'!$N$3,'Lists &amp; Settings'!$O$3,'Lists &amp; Settings'!$O$4)),IF($N406="Partial",IF($M406&gt;='Lists &amp; Settings'!$N$6,'Lists &amp; Settings'!$O$6,IF($M406&gt;='Lists &amp; Settings'!$N$7,'Lists &amp; Settings'!$O$7,'Lists &amp; Settings'!$O$8)),'Lists &amp; Settings'!$O$10))))))</f>
        <v/>
      </c>
      <c r="T406" s="31"/>
      <c r="U406" s="31"/>
      <c r="V406" s="31"/>
    </row>
    <row r="407" ht="15.75" customHeight="1">
      <c r="B407" s="31"/>
      <c r="N407" s="127"/>
      <c r="S407" s="31" t="str">
        <f>IF($C407="","",IF(OR($M407="",$N407=""),'Lists &amp; Settings'!$O$10,IF($N407="Fail",'Lists &amp; Settings'!$O$9,IF($N407="Insufficient Evidence",'Lists &amp; Settings'!$O$10,IF($N407="Pass",IF($M407&gt;='Lists &amp; Settings'!$N$2,'Lists &amp; Settings'!$O$2,IF($M407&gt;='Lists &amp; Settings'!$N$3,'Lists &amp; Settings'!$O$3,'Lists &amp; Settings'!$O$4)),IF($N407="Partial",IF($M407&gt;='Lists &amp; Settings'!$N$6,'Lists &amp; Settings'!$O$6,IF($M407&gt;='Lists &amp; Settings'!$N$7,'Lists &amp; Settings'!$O$7,'Lists &amp; Settings'!$O$8)),'Lists &amp; Settings'!$O$10))))))</f>
        <v/>
      </c>
      <c r="T407" s="31"/>
      <c r="U407" s="31"/>
      <c r="V407" s="31"/>
    </row>
    <row r="408" ht="15.75" customHeight="1">
      <c r="B408" s="31"/>
      <c r="N408" s="127"/>
      <c r="S408" s="31" t="str">
        <f>IF($C408="","",IF(OR($M408="",$N408=""),'Lists &amp; Settings'!$O$10,IF($N408="Fail",'Lists &amp; Settings'!$O$9,IF($N408="Insufficient Evidence",'Lists &amp; Settings'!$O$10,IF($N408="Pass",IF($M408&gt;='Lists &amp; Settings'!$N$2,'Lists &amp; Settings'!$O$2,IF($M408&gt;='Lists &amp; Settings'!$N$3,'Lists &amp; Settings'!$O$3,'Lists &amp; Settings'!$O$4)),IF($N408="Partial",IF($M408&gt;='Lists &amp; Settings'!$N$6,'Lists &amp; Settings'!$O$6,IF($M408&gt;='Lists &amp; Settings'!$N$7,'Lists &amp; Settings'!$O$7,'Lists &amp; Settings'!$O$8)),'Lists &amp; Settings'!$O$10))))))</f>
        <v/>
      </c>
      <c r="T408" s="31"/>
      <c r="U408" s="31"/>
      <c r="V408" s="31"/>
    </row>
    <row r="409" ht="15.75" customHeight="1">
      <c r="B409" s="31"/>
      <c r="N409" s="127"/>
      <c r="S409" s="31" t="str">
        <f>IF($C409="","",IF(OR($M409="",$N409=""),'Lists &amp; Settings'!$O$10,IF($N409="Fail",'Lists &amp; Settings'!$O$9,IF($N409="Insufficient Evidence",'Lists &amp; Settings'!$O$10,IF($N409="Pass",IF($M409&gt;='Lists &amp; Settings'!$N$2,'Lists &amp; Settings'!$O$2,IF($M409&gt;='Lists &amp; Settings'!$N$3,'Lists &amp; Settings'!$O$3,'Lists &amp; Settings'!$O$4)),IF($N409="Partial",IF($M409&gt;='Lists &amp; Settings'!$N$6,'Lists &amp; Settings'!$O$6,IF($M409&gt;='Lists &amp; Settings'!$N$7,'Lists &amp; Settings'!$O$7,'Lists &amp; Settings'!$O$8)),'Lists &amp; Settings'!$O$10))))))</f>
        <v/>
      </c>
      <c r="T409" s="31"/>
      <c r="U409" s="31"/>
      <c r="V409" s="31"/>
    </row>
    <row r="410" ht="15.75" customHeight="1">
      <c r="B410" s="31"/>
      <c r="N410" s="127"/>
      <c r="S410" s="31" t="str">
        <f>IF($C410="","",IF(OR($M410="",$N410=""),'Lists &amp; Settings'!$O$10,IF($N410="Fail",'Lists &amp; Settings'!$O$9,IF($N410="Insufficient Evidence",'Lists &amp; Settings'!$O$10,IF($N410="Pass",IF($M410&gt;='Lists &amp; Settings'!$N$2,'Lists &amp; Settings'!$O$2,IF($M410&gt;='Lists &amp; Settings'!$N$3,'Lists &amp; Settings'!$O$3,'Lists &amp; Settings'!$O$4)),IF($N410="Partial",IF($M410&gt;='Lists &amp; Settings'!$N$6,'Lists &amp; Settings'!$O$6,IF($M410&gt;='Lists &amp; Settings'!$N$7,'Lists &amp; Settings'!$O$7,'Lists &amp; Settings'!$O$8)),'Lists &amp; Settings'!$O$10))))))</f>
        <v/>
      </c>
      <c r="T410" s="31"/>
      <c r="U410" s="31"/>
      <c r="V410" s="31"/>
    </row>
    <row r="411" ht="15.75" customHeight="1">
      <c r="B411" s="31"/>
      <c r="N411" s="127"/>
      <c r="S411" s="31" t="str">
        <f>IF($C411="","",IF(OR($M411="",$N411=""),'Lists &amp; Settings'!$O$10,IF($N411="Fail",'Lists &amp; Settings'!$O$9,IF($N411="Insufficient Evidence",'Lists &amp; Settings'!$O$10,IF($N411="Pass",IF($M411&gt;='Lists &amp; Settings'!$N$2,'Lists &amp; Settings'!$O$2,IF($M411&gt;='Lists &amp; Settings'!$N$3,'Lists &amp; Settings'!$O$3,'Lists &amp; Settings'!$O$4)),IF($N411="Partial",IF($M411&gt;='Lists &amp; Settings'!$N$6,'Lists &amp; Settings'!$O$6,IF($M411&gt;='Lists &amp; Settings'!$N$7,'Lists &amp; Settings'!$O$7,'Lists &amp; Settings'!$O$8)),'Lists &amp; Settings'!$O$10))))))</f>
        <v/>
      </c>
      <c r="T411" s="31"/>
      <c r="U411" s="31"/>
      <c r="V411" s="31"/>
    </row>
    <row r="412" ht="15.75" customHeight="1">
      <c r="B412" s="31"/>
      <c r="N412" s="127"/>
      <c r="S412" s="31" t="str">
        <f>IF($C412="","",IF(OR($M412="",$N412=""),'Lists &amp; Settings'!$O$10,IF($N412="Fail",'Lists &amp; Settings'!$O$9,IF($N412="Insufficient Evidence",'Lists &amp; Settings'!$O$10,IF($N412="Pass",IF($M412&gt;='Lists &amp; Settings'!$N$2,'Lists &amp; Settings'!$O$2,IF($M412&gt;='Lists &amp; Settings'!$N$3,'Lists &amp; Settings'!$O$3,'Lists &amp; Settings'!$O$4)),IF($N412="Partial",IF($M412&gt;='Lists &amp; Settings'!$N$6,'Lists &amp; Settings'!$O$6,IF($M412&gt;='Lists &amp; Settings'!$N$7,'Lists &amp; Settings'!$O$7,'Lists &amp; Settings'!$O$8)),'Lists &amp; Settings'!$O$10))))))</f>
        <v/>
      </c>
      <c r="T412" s="31"/>
      <c r="U412" s="31"/>
      <c r="V412" s="31"/>
    </row>
    <row r="413" ht="15.75" customHeight="1">
      <c r="B413" s="31"/>
      <c r="N413" s="127"/>
      <c r="S413" s="31" t="str">
        <f>IF($C413="","",IF(OR($M413="",$N413=""),'Lists &amp; Settings'!$O$10,IF($N413="Fail",'Lists &amp; Settings'!$O$9,IF($N413="Insufficient Evidence",'Lists &amp; Settings'!$O$10,IF($N413="Pass",IF($M413&gt;='Lists &amp; Settings'!$N$2,'Lists &amp; Settings'!$O$2,IF($M413&gt;='Lists &amp; Settings'!$N$3,'Lists &amp; Settings'!$O$3,'Lists &amp; Settings'!$O$4)),IF($N413="Partial",IF($M413&gt;='Lists &amp; Settings'!$N$6,'Lists &amp; Settings'!$O$6,IF($M413&gt;='Lists &amp; Settings'!$N$7,'Lists &amp; Settings'!$O$7,'Lists &amp; Settings'!$O$8)),'Lists &amp; Settings'!$O$10))))))</f>
        <v/>
      </c>
      <c r="T413" s="31"/>
      <c r="U413" s="31"/>
      <c r="V413" s="31"/>
    </row>
    <row r="414" ht="15.75" customHeight="1">
      <c r="B414" s="31"/>
      <c r="N414" s="127"/>
      <c r="S414" s="31" t="str">
        <f>IF($C414="","",IF(OR($M414="",$N414=""),'Lists &amp; Settings'!$O$10,IF($N414="Fail",'Lists &amp; Settings'!$O$9,IF($N414="Insufficient Evidence",'Lists &amp; Settings'!$O$10,IF($N414="Pass",IF($M414&gt;='Lists &amp; Settings'!$N$2,'Lists &amp; Settings'!$O$2,IF($M414&gt;='Lists &amp; Settings'!$N$3,'Lists &amp; Settings'!$O$3,'Lists &amp; Settings'!$O$4)),IF($N414="Partial",IF($M414&gt;='Lists &amp; Settings'!$N$6,'Lists &amp; Settings'!$O$6,IF($M414&gt;='Lists &amp; Settings'!$N$7,'Lists &amp; Settings'!$O$7,'Lists &amp; Settings'!$O$8)),'Lists &amp; Settings'!$O$10))))))</f>
        <v/>
      </c>
      <c r="T414" s="31"/>
      <c r="U414" s="31"/>
      <c r="V414" s="31"/>
    </row>
    <row r="415" ht="15.75" customHeight="1">
      <c r="B415" s="31"/>
      <c r="N415" s="127"/>
      <c r="S415" s="31" t="str">
        <f>IF($C415="","",IF(OR($M415="",$N415=""),'Lists &amp; Settings'!$O$10,IF($N415="Fail",'Lists &amp; Settings'!$O$9,IF($N415="Insufficient Evidence",'Lists &amp; Settings'!$O$10,IF($N415="Pass",IF($M415&gt;='Lists &amp; Settings'!$N$2,'Lists &amp; Settings'!$O$2,IF($M415&gt;='Lists &amp; Settings'!$N$3,'Lists &amp; Settings'!$O$3,'Lists &amp; Settings'!$O$4)),IF($N415="Partial",IF($M415&gt;='Lists &amp; Settings'!$N$6,'Lists &amp; Settings'!$O$6,IF($M415&gt;='Lists &amp; Settings'!$N$7,'Lists &amp; Settings'!$O$7,'Lists &amp; Settings'!$O$8)),'Lists &amp; Settings'!$O$10))))))</f>
        <v/>
      </c>
      <c r="T415" s="31"/>
      <c r="U415" s="31"/>
      <c r="V415" s="31"/>
    </row>
    <row r="416" ht="15.75" customHeight="1">
      <c r="B416" s="31"/>
      <c r="N416" s="127"/>
      <c r="S416" s="31" t="str">
        <f>IF($C416="","",IF(OR($M416="",$N416=""),'Lists &amp; Settings'!$O$10,IF($N416="Fail",'Lists &amp; Settings'!$O$9,IF($N416="Insufficient Evidence",'Lists &amp; Settings'!$O$10,IF($N416="Pass",IF($M416&gt;='Lists &amp; Settings'!$N$2,'Lists &amp; Settings'!$O$2,IF($M416&gt;='Lists &amp; Settings'!$N$3,'Lists &amp; Settings'!$O$3,'Lists &amp; Settings'!$O$4)),IF($N416="Partial",IF($M416&gt;='Lists &amp; Settings'!$N$6,'Lists &amp; Settings'!$O$6,IF($M416&gt;='Lists &amp; Settings'!$N$7,'Lists &amp; Settings'!$O$7,'Lists &amp; Settings'!$O$8)),'Lists &amp; Settings'!$O$10))))))</f>
        <v/>
      </c>
      <c r="T416" s="31"/>
      <c r="U416" s="31"/>
      <c r="V416" s="31"/>
    </row>
    <row r="417" ht="15.75" customHeight="1">
      <c r="B417" s="31"/>
      <c r="N417" s="127"/>
      <c r="S417" s="31" t="str">
        <f>IF($C417="","",IF(OR($M417="",$N417=""),'Lists &amp; Settings'!$O$10,IF($N417="Fail",'Lists &amp; Settings'!$O$9,IF($N417="Insufficient Evidence",'Lists &amp; Settings'!$O$10,IF($N417="Pass",IF($M417&gt;='Lists &amp; Settings'!$N$2,'Lists &amp; Settings'!$O$2,IF($M417&gt;='Lists &amp; Settings'!$N$3,'Lists &amp; Settings'!$O$3,'Lists &amp; Settings'!$O$4)),IF($N417="Partial",IF($M417&gt;='Lists &amp; Settings'!$N$6,'Lists &amp; Settings'!$O$6,IF($M417&gt;='Lists &amp; Settings'!$N$7,'Lists &amp; Settings'!$O$7,'Lists &amp; Settings'!$O$8)),'Lists &amp; Settings'!$O$10))))))</f>
        <v/>
      </c>
      <c r="T417" s="31"/>
      <c r="U417" s="31"/>
      <c r="V417" s="31"/>
    </row>
    <row r="418" ht="15.75" customHeight="1">
      <c r="B418" s="31"/>
      <c r="N418" s="127"/>
      <c r="S418" s="31" t="str">
        <f>IF($C418="","",IF(OR($M418="",$N418=""),'Lists &amp; Settings'!$O$10,IF($N418="Fail",'Lists &amp; Settings'!$O$9,IF($N418="Insufficient Evidence",'Lists &amp; Settings'!$O$10,IF($N418="Pass",IF($M418&gt;='Lists &amp; Settings'!$N$2,'Lists &amp; Settings'!$O$2,IF($M418&gt;='Lists &amp; Settings'!$N$3,'Lists &amp; Settings'!$O$3,'Lists &amp; Settings'!$O$4)),IF($N418="Partial",IF($M418&gt;='Lists &amp; Settings'!$N$6,'Lists &amp; Settings'!$O$6,IF($M418&gt;='Lists &amp; Settings'!$N$7,'Lists &amp; Settings'!$O$7,'Lists &amp; Settings'!$O$8)),'Lists &amp; Settings'!$O$10))))))</f>
        <v/>
      </c>
      <c r="T418" s="31"/>
      <c r="U418" s="31"/>
      <c r="V418" s="31"/>
    </row>
    <row r="419" ht="15.75" customHeight="1">
      <c r="B419" s="31"/>
      <c r="N419" s="127"/>
      <c r="S419" s="31" t="str">
        <f>IF($C419="","",IF(OR($M419="",$N419=""),'Lists &amp; Settings'!$O$10,IF($N419="Fail",'Lists &amp; Settings'!$O$9,IF($N419="Insufficient Evidence",'Lists &amp; Settings'!$O$10,IF($N419="Pass",IF($M419&gt;='Lists &amp; Settings'!$N$2,'Lists &amp; Settings'!$O$2,IF($M419&gt;='Lists &amp; Settings'!$N$3,'Lists &amp; Settings'!$O$3,'Lists &amp; Settings'!$O$4)),IF($N419="Partial",IF($M419&gt;='Lists &amp; Settings'!$N$6,'Lists &amp; Settings'!$O$6,IF($M419&gt;='Lists &amp; Settings'!$N$7,'Lists &amp; Settings'!$O$7,'Lists &amp; Settings'!$O$8)),'Lists &amp; Settings'!$O$10))))))</f>
        <v/>
      </c>
      <c r="T419" s="31"/>
      <c r="U419" s="31"/>
      <c r="V419" s="31"/>
    </row>
    <row r="420" ht="15.75" customHeight="1">
      <c r="B420" s="31"/>
      <c r="N420" s="127"/>
      <c r="S420" s="31" t="str">
        <f>IF($C420="","",IF(OR($M420="",$N420=""),'Lists &amp; Settings'!$O$10,IF($N420="Fail",'Lists &amp; Settings'!$O$9,IF($N420="Insufficient Evidence",'Lists &amp; Settings'!$O$10,IF($N420="Pass",IF($M420&gt;='Lists &amp; Settings'!$N$2,'Lists &amp; Settings'!$O$2,IF($M420&gt;='Lists &amp; Settings'!$N$3,'Lists &amp; Settings'!$O$3,'Lists &amp; Settings'!$O$4)),IF($N420="Partial",IF($M420&gt;='Lists &amp; Settings'!$N$6,'Lists &amp; Settings'!$O$6,IF($M420&gt;='Lists &amp; Settings'!$N$7,'Lists &amp; Settings'!$O$7,'Lists &amp; Settings'!$O$8)),'Lists &amp; Settings'!$O$10))))))</f>
        <v/>
      </c>
      <c r="T420" s="31"/>
      <c r="U420" s="31"/>
      <c r="V420" s="31"/>
    </row>
    <row r="421" ht="15.75" customHeight="1">
      <c r="B421" s="31"/>
      <c r="N421" s="127"/>
      <c r="S421" s="31" t="str">
        <f>IF($C421="","",IF(OR($M421="",$N421=""),'Lists &amp; Settings'!$O$10,IF($N421="Fail",'Lists &amp; Settings'!$O$9,IF($N421="Insufficient Evidence",'Lists &amp; Settings'!$O$10,IF($N421="Pass",IF($M421&gt;='Lists &amp; Settings'!$N$2,'Lists &amp; Settings'!$O$2,IF($M421&gt;='Lists &amp; Settings'!$N$3,'Lists &amp; Settings'!$O$3,'Lists &amp; Settings'!$O$4)),IF($N421="Partial",IF($M421&gt;='Lists &amp; Settings'!$N$6,'Lists &amp; Settings'!$O$6,IF($M421&gt;='Lists &amp; Settings'!$N$7,'Lists &amp; Settings'!$O$7,'Lists &amp; Settings'!$O$8)),'Lists &amp; Settings'!$O$10))))))</f>
        <v/>
      </c>
      <c r="T421" s="31"/>
      <c r="U421" s="31"/>
      <c r="V421" s="31"/>
    </row>
    <row r="422" ht="15.75" customHeight="1">
      <c r="B422" s="31"/>
      <c r="N422" s="127"/>
      <c r="S422" s="31" t="str">
        <f>IF($C422="","",IF(OR($M422="",$N422=""),'Lists &amp; Settings'!$O$10,IF($N422="Fail",'Lists &amp; Settings'!$O$9,IF($N422="Insufficient Evidence",'Lists &amp; Settings'!$O$10,IF($N422="Pass",IF($M422&gt;='Lists &amp; Settings'!$N$2,'Lists &amp; Settings'!$O$2,IF($M422&gt;='Lists &amp; Settings'!$N$3,'Lists &amp; Settings'!$O$3,'Lists &amp; Settings'!$O$4)),IF($N422="Partial",IF($M422&gt;='Lists &amp; Settings'!$N$6,'Lists &amp; Settings'!$O$6,IF($M422&gt;='Lists &amp; Settings'!$N$7,'Lists &amp; Settings'!$O$7,'Lists &amp; Settings'!$O$8)),'Lists &amp; Settings'!$O$10))))))</f>
        <v/>
      </c>
      <c r="T422" s="31"/>
      <c r="U422" s="31"/>
      <c r="V422" s="31"/>
    </row>
    <row r="423" ht="15.75" customHeight="1">
      <c r="B423" s="31"/>
      <c r="N423" s="127"/>
      <c r="S423" s="31" t="str">
        <f>IF($C423="","",IF(OR($M423="",$N423=""),'Lists &amp; Settings'!$O$10,IF($N423="Fail",'Lists &amp; Settings'!$O$9,IF($N423="Insufficient Evidence",'Lists &amp; Settings'!$O$10,IF($N423="Pass",IF($M423&gt;='Lists &amp; Settings'!$N$2,'Lists &amp; Settings'!$O$2,IF($M423&gt;='Lists &amp; Settings'!$N$3,'Lists &amp; Settings'!$O$3,'Lists &amp; Settings'!$O$4)),IF($N423="Partial",IF($M423&gt;='Lists &amp; Settings'!$N$6,'Lists &amp; Settings'!$O$6,IF($M423&gt;='Lists &amp; Settings'!$N$7,'Lists &amp; Settings'!$O$7,'Lists &amp; Settings'!$O$8)),'Lists &amp; Settings'!$O$10))))))</f>
        <v/>
      </c>
      <c r="T423" s="31"/>
      <c r="U423" s="31"/>
      <c r="V423" s="31"/>
    </row>
    <row r="424" ht="15.75" customHeight="1">
      <c r="B424" s="31"/>
      <c r="N424" s="127"/>
      <c r="S424" s="31" t="str">
        <f>IF($C424="","",IF(OR($M424="",$N424=""),'Lists &amp; Settings'!$O$10,IF($N424="Fail",'Lists &amp; Settings'!$O$9,IF($N424="Insufficient Evidence",'Lists &amp; Settings'!$O$10,IF($N424="Pass",IF($M424&gt;='Lists &amp; Settings'!$N$2,'Lists &amp; Settings'!$O$2,IF($M424&gt;='Lists &amp; Settings'!$N$3,'Lists &amp; Settings'!$O$3,'Lists &amp; Settings'!$O$4)),IF($N424="Partial",IF($M424&gt;='Lists &amp; Settings'!$N$6,'Lists &amp; Settings'!$O$6,IF($M424&gt;='Lists &amp; Settings'!$N$7,'Lists &amp; Settings'!$O$7,'Lists &amp; Settings'!$O$8)),'Lists &amp; Settings'!$O$10))))))</f>
        <v/>
      </c>
      <c r="T424" s="31"/>
      <c r="U424" s="31"/>
      <c r="V424" s="31"/>
    </row>
    <row r="425" ht="15.75" customHeight="1">
      <c r="B425" s="31"/>
      <c r="N425" s="127"/>
      <c r="S425" s="31" t="str">
        <f>IF($C425="","",IF(OR($M425="",$N425=""),'Lists &amp; Settings'!$O$10,IF($N425="Fail",'Lists &amp; Settings'!$O$9,IF($N425="Insufficient Evidence",'Lists &amp; Settings'!$O$10,IF($N425="Pass",IF($M425&gt;='Lists &amp; Settings'!$N$2,'Lists &amp; Settings'!$O$2,IF($M425&gt;='Lists &amp; Settings'!$N$3,'Lists &amp; Settings'!$O$3,'Lists &amp; Settings'!$O$4)),IF($N425="Partial",IF($M425&gt;='Lists &amp; Settings'!$N$6,'Lists &amp; Settings'!$O$6,IF($M425&gt;='Lists &amp; Settings'!$N$7,'Lists &amp; Settings'!$O$7,'Lists &amp; Settings'!$O$8)),'Lists &amp; Settings'!$O$10))))))</f>
        <v/>
      </c>
      <c r="T425" s="31"/>
      <c r="U425" s="31"/>
      <c r="V425" s="31"/>
    </row>
    <row r="426" ht="15.75" customHeight="1">
      <c r="B426" s="31"/>
      <c r="N426" s="127"/>
      <c r="S426" s="31" t="str">
        <f>IF($C426="","",IF(OR($M426="",$N426=""),'Lists &amp; Settings'!$O$10,IF($N426="Fail",'Lists &amp; Settings'!$O$9,IF($N426="Insufficient Evidence",'Lists &amp; Settings'!$O$10,IF($N426="Pass",IF($M426&gt;='Lists &amp; Settings'!$N$2,'Lists &amp; Settings'!$O$2,IF($M426&gt;='Lists &amp; Settings'!$N$3,'Lists &amp; Settings'!$O$3,'Lists &amp; Settings'!$O$4)),IF($N426="Partial",IF($M426&gt;='Lists &amp; Settings'!$N$6,'Lists &amp; Settings'!$O$6,IF($M426&gt;='Lists &amp; Settings'!$N$7,'Lists &amp; Settings'!$O$7,'Lists &amp; Settings'!$O$8)),'Lists &amp; Settings'!$O$10))))))</f>
        <v/>
      </c>
      <c r="T426" s="31"/>
      <c r="U426" s="31"/>
      <c r="V426" s="31"/>
    </row>
    <row r="427" ht="15.75" customHeight="1">
      <c r="B427" s="31"/>
      <c r="N427" s="127"/>
      <c r="S427" s="31" t="str">
        <f>IF($C427="","",IF(OR($M427="",$N427=""),'Lists &amp; Settings'!$O$10,IF($N427="Fail",'Lists &amp; Settings'!$O$9,IF($N427="Insufficient Evidence",'Lists &amp; Settings'!$O$10,IF($N427="Pass",IF($M427&gt;='Lists &amp; Settings'!$N$2,'Lists &amp; Settings'!$O$2,IF($M427&gt;='Lists &amp; Settings'!$N$3,'Lists &amp; Settings'!$O$3,'Lists &amp; Settings'!$O$4)),IF($N427="Partial",IF($M427&gt;='Lists &amp; Settings'!$N$6,'Lists &amp; Settings'!$O$6,IF($M427&gt;='Lists &amp; Settings'!$N$7,'Lists &amp; Settings'!$O$7,'Lists &amp; Settings'!$O$8)),'Lists &amp; Settings'!$O$10))))))</f>
        <v/>
      </c>
      <c r="T427" s="31"/>
      <c r="U427" s="31"/>
      <c r="V427" s="31"/>
    </row>
    <row r="428" ht="15.75" customHeight="1">
      <c r="B428" s="31"/>
      <c r="N428" s="127"/>
      <c r="S428" s="31" t="str">
        <f>IF($C428="","",IF(OR($M428="",$N428=""),'Lists &amp; Settings'!$O$10,IF($N428="Fail",'Lists &amp; Settings'!$O$9,IF($N428="Insufficient Evidence",'Lists &amp; Settings'!$O$10,IF($N428="Pass",IF($M428&gt;='Lists &amp; Settings'!$N$2,'Lists &amp; Settings'!$O$2,IF($M428&gt;='Lists &amp; Settings'!$N$3,'Lists &amp; Settings'!$O$3,'Lists &amp; Settings'!$O$4)),IF($N428="Partial",IF($M428&gt;='Lists &amp; Settings'!$N$6,'Lists &amp; Settings'!$O$6,IF($M428&gt;='Lists &amp; Settings'!$N$7,'Lists &amp; Settings'!$O$7,'Lists &amp; Settings'!$O$8)),'Lists &amp; Settings'!$O$10))))))</f>
        <v/>
      </c>
      <c r="T428" s="31"/>
      <c r="U428" s="31"/>
      <c r="V428" s="31"/>
    </row>
    <row r="429" ht="15.75" customHeight="1">
      <c r="B429" s="31"/>
      <c r="N429" s="127"/>
      <c r="S429" s="31" t="str">
        <f>IF($C429="","",IF(OR($M429="",$N429=""),'Lists &amp; Settings'!$O$10,IF($N429="Fail",'Lists &amp; Settings'!$O$9,IF($N429="Insufficient Evidence",'Lists &amp; Settings'!$O$10,IF($N429="Pass",IF($M429&gt;='Lists &amp; Settings'!$N$2,'Lists &amp; Settings'!$O$2,IF($M429&gt;='Lists &amp; Settings'!$N$3,'Lists &amp; Settings'!$O$3,'Lists &amp; Settings'!$O$4)),IF($N429="Partial",IF($M429&gt;='Lists &amp; Settings'!$N$6,'Lists &amp; Settings'!$O$6,IF($M429&gt;='Lists &amp; Settings'!$N$7,'Lists &amp; Settings'!$O$7,'Lists &amp; Settings'!$O$8)),'Lists &amp; Settings'!$O$10))))))</f>
        <v/>
      </c>
      <c r="T429" s="31"/>
      <c r="U429" s="31"/>
      <c r="V429" s="31"/>
    </row>
    <row r="430" ht="15.75" customHeight="1">
      <c r="B430" s="31"/>
      <c r="N430" s="127"/>
      <c r="S430" s="31" t="str">
        <f>IF($C430="","",IF(OR($M430="",$N430=""),'Lists &amp; Settings'!$O$10,IF($N430="Fail",'Lists &amp; Settings'!$O$9,IF($N430="Insufficient Evidence",'Lists &amp; Settings'!$O$10,IF($N430="Pass",IF($M430&gt;='Lists &amp; Settings'!$N$2,'Lists &amp; Settings'!$O$2,IF($M430&gt;='Lists &amp; Settings'!$N$3,'Lists &amp; Settings'!$O$3,'Lists &amp; Settings'!$O$4)),IF($N430="Partial",IF($M430&gt;='Lists &amp; Settings'!$N$6,'Lists &amp; Settings'!$O$6,IF($M430&gt;='Lists &amp; Settings'!$N$7,'Lists &amp; Settings'!$O$7,'Lists &amp; Settings'!$O$8)),'Lists &amp; Settings'!$O$10))))))</f>
        <v/>
      </c>
      <c r="T430" s="31"/>
      <c r="U430" s="31"/>
      <c r="V430" s="31"/>
    </row>
    <row r="431" ht="15.75" customHeight="1">
      <c r="B431" s="31"/>
      <c r="N431" s="127"/>
      <c r="S431" s="31" t="str">
        <f>IF($C431="","",IF(OR($M431="",$N431=""),'Lists &amp; Settings'!$O$10,IF($N431="Fail",'Lists &amp; Settings'!$O$9,IF($N431="Insufficient Evidence",'Lists &amp; Settings'!$O$10,IF($N431="Pass",IF($M431&gt;='Lists &amp; Settings'!$N$2,'Lists &amp; Settings'!$O$2,IF($M431&gt;='Lists &amp; Settings'!$N$3,'Lists &amp; Settings'!$O$3,'Lists &amp; Settings'!$O$4)),IF($N431="Partial",IF($M431&gt;='Lists &amp; Settings'!$N$6,'Lists &amp; Settings'!$O$6,IF($M431&gt;='Lists &amp; Settings'!$N$7,'Lists &amp; Settings'!$O$7,'Lists &amp; Settings'!$O$8)),'Lists &amp; Settings'!$O$10))))))</f>
        <v/>
      </c>
      <c r="T431" s="31"/>
      <c r="U431" s="31"/>
      <c r="V431" s="31"/>
    </row>
    <row r="432" ht="15.75" customHeight="1">
      <c r="B432" s="31"/>
      <c r="N432" s="127"/>
      <c r="S432" s="31" t="str">
        <f>IF($C432="","",IF(OR($M432="",$N432=""),'Lists &amp; Settings'!$O$10,IF($N432="Fail",'Lists &amp; Settings'!$O$9,IF($N432="Insufficient Evidence",'Lists &amp; Settings'!$O$10,IF($N432="Pass",IF($M432&gt;='Lists &amp; Settings'!$N$2,'Lists &amp; Settings'!$O$2,IF($M432&gt;='Lists &amp; Settings'!$N$3,'Lists &amp; Settings'!$O$3,'Lists &amp; Settings'!$O$4)),IF($N432="Partial",IF($M432&gt;='Lists &amp; Settings'!$N$6,'Lists &amp; Settings'!$O$6,IF($M432&gt;='Lists &amp; Settings'!$N$7,'Lists &amp; Settings'!$O$7,'Lists &amp; Settings'!$O$8)),'Lists &amp; Settings'!$O$10))))))</f>
        <v/>
      </c>
      <c r="T432" s="31"/>
      <c r="U432" s="31"/>
      <c r="V432" s="31"/>
    </row>
    <row r="433" ht="15.75" customHeight="1">
      <c r="B433" s="31"/>
      <c r="N433" s="127"/>
      <c r="S433" s="31" t="str">
        <f>IF($C433="","",IF(OR($M433="",$N433=""),'Lists &amp; Settings'!$O$10,IF($N433="Fail",'Lists &amp; Settings'!$O$9,IF($N433="Insufficient Evidence",'Lists &amp; Settings'!$O$10,IF($N433="Pass",IF($M433&gt;='Lists &amp; Settings'!$N$2,'Lists &amp; Settings'!$O$2,IF($M433&gt;='Lists &amp; Settings'!$N$3,'Lists &amp; Settings'!$O$3,'Lists &amp; Settings'!$O$4)),IF($N433="Partial",IF($M433&gt;='Lists &amp; Settings'!$N$6,'Lists &amp; Settings'!$O$6,IF($M433&gt;='Lists &amp; Settings'!$N$7,'Lists &amp; Settings'!$O$7,'Lists &amp; Settings'!$O$8)),'Lists &amp; Settings'!$O$10))))))</f>
        <v/>
      </c>
      <c r="T433" s="31"/>
      <c r="U433" s="31"/>
      <c r="V433" s="31"/>
    </row>
    <row r="434" ht="15.75" customHeight="1">
      <c r="B434" s="31"/>
      <c r="N434" s="127"/>
      <c r="S434" s="31" t="str">
        <f>IF($C434="","",IF(OR($M434="",$N434=""),'Lists &amp; Settings'!$O$10,IF($N434="Fail",'Lists &amp; Settings'!$O$9,IF($N434="Insufficient Evidence",'Lists &amp; Settings'!$O$10,IF($N434="Pass",IF($M434&gt;='Lists &amp; Settings'!$N$2,'Lists &amp; Settings'!$O$2,IF($M434&gt;='Lists &amp; Settings'!$N$3,'Lists &amp; Settings'!$O$3,'Lists &amp; Settings'!$O$4)),IF($N434="Partial",IF($M434&gt;='Lists &amp; Settings'!$N$6,'Lists &amp; Settings'!$O$6,IF($M434&gt;='Lists &amp; Settings'!$N$7,'Lists &amp; Settings'!$O$7,'Lists &amp; Settings'!$O$8)),'Lists &amp; Settings'!$O$10))))))</f>
        <v/>
      </c>
      <c r="T434" s="31"/>
      <c r="U434" s="31"/>
      <c r="V434" s="31"/>
    </row>
    <row r="435" ht="15.75" customHeight="1">
      <c r="B435" s="31"/>
      <c r="N435" s="127"/>
      <c r="S435" s="31" t="str">
        <f>IF($C435="","",IF(OR($M435="",$N435=""),'Lists &amp; Settings'!$O$10,IF($N435="Fail",'Lists &amp; Settings'!$O$9,IF($N435="Insufficient Evidence",'Lists &amp; Settings'!$O$10,IF($N435="Pass",IF($M435&gt;='Lists &amp; Settings'!$N$2,'Lists &amp; Settings'!$O$2,IF($M435&gt;='Lists &amp; Settings'!$N$3,'Lists &amp; Settings'!$O$3,'Lists &amp; Settings'!$O$4)),IF($N435="Partial",IF($M435&gt;='Lists &amp; Settings'!$N$6,'Lists &amp; Settings'!$O$6,IF($M435&gt;='Lists &amp; Settings'!$N$7,'Lists &amp; Settings'!$O$7,'Lists &amp; Settings'!$O$8)),'Lists &amp; Settings'!$O$10))))))</f>
        <v/>
      </c>
      <c r="T435" s="31"/>
      <c r="U435" s="31"/>
      <c r="V435" s="31"/>
    </row>
    <row r="436" ht="15.75" customHeight="1">
      <c r="B436" s="31"/>
      <c r="N436" s="127"/>
      <c r="S436" s="31" t="str">
        <f>IF($C436="","",IF(OR($M436="",$N436=""),'Lists &amp; Settings'!$O$10,IF($N436="Fail",'Lists &amp; Settings'!$O$9,IF($N436="Insufficient Evidence",'Lists &amp; Settings'!$O$10,IF($N436="Pass",IF($M436&gt;='Lists &amp; Settings'!$N$2,'Lists &amp; Settings'!$O$2,IF($M436&gt;='Lists &amp; Settings'!$N$3,'Lists &amp; Settings'!$O$3,'Lists &amp; Settings'!$O$4)),IF($N436="Partial",IF($M436&gt;='Lists &amp; Settings'!$N$6,'Lists &amp; Settings'!$O$6,IF($M436&gt;='Lists &amp; Settings'!$N$7,'Lists &amp; Settings'!$O$7,'Lists &amp; Settings'!$O$8)),'Lists &amp; Settings'!$O$10))))))</f>
        <v/>
      </c>
      <c r="T436" s="31"/>
      <c r="U436" s="31"/>
      <c r="V436" s="31"/>
    </row>
    <row r="437" ht="15.75" customHeight="1">
      <c r="B437" s="31"/>
      <c r="N437" s="127"/>
      <c r="S437" s="31" t="str">
        <f>IF($C437="","",IF(OR($M437="",$N437=""),'Lists &amp; Settings'!$O$10,IF($N437="Fail",'Lists &amp; Settings'!$O$9,IF($N437="Insufficient Evidence",'Lists &amp; Settings'!$O$10,IF($N437="Pass",IF($M437&gt;='Lists &amp; Settings'!$N$2,'Lists &amp; Settings'!$O$2,IF($M437&gt;='Lists &amp; Settings'!$N$3,'Lists &amp; Settings'!$O$3,'Lists &amp; Settings'!$O$4)),IF($N437="Partial",IF($M437&gt;='Lists &amp; Settings'!$N$6,'Lists &amp; Settings'!$O$6,IF($M437&gt;='Lists &amp; Settings'!$N$7,'Lists &amp; Settings'!$O$7,'Lists &amp; Settings'!$O$8)),'Lists &amp; Settings'!$O$10))))))</f>
        <v/>
      </c>
      <c r="T437" s="31"/>
      <c r="U437" s="31"/>
      <c r="V437" s="31"/>
    </row>
    <row r="438" ht="15.75" customHeight="1">
      <c r="B438" s="31"/>
      <c r="N438" s="127"/>
      <c r="S438" s="31" t="str">
        <f>IF($C438="","",IF(OR($M438="",$N438=""),'Lists &amp; Settings'!$O$10,IF($N438="Fail",'Lists &amp; Settings'!$O$9,IF($N438="Insufficient Evidence",'Lists &amp; Settings'!$O$10,IF($N438="Pass",IF($M438&gt;='Lists &amp; Settings'!$N$2,'Lists &amp; Settings'!$O$2,IF($M438&gt;='Lists &amp; Settings'!$N$3,'Lists &amp; Settings'!$O$3,'Lists &amp; Settings'!$O$4)),IF($N438="Partial",IF($M438&gt;='Lists &amp; Settings'!$N$6,'Lists &amp; Settings'!$O$6,IF($M438&gt;='Lists &amp; Settings'!$N$7,'Lists &amp; Settings'!$O$7,'Lists &amp; Settings'!$O$8)),'Lists &amp; Settings'!$O$10))))))</f>
        <v/>
      </c>
      <c r="T438" s="31"/>
      <c r="U438" s="31"/>
      <c r="V438" s="31"/>
    </row>
    <row r="439" ht="15.75" customHeight="1">
      <c r="B439" s="31"/>
      <c r="N439" s="127"/>
      <c r="S439" s="31" t="str">
        <f>IF($C439="","",IF(OR($M439="",$N439=""),'Lists &amp; Settings'!$O$10,IF($N439="Fail",'Lists &amp; Settings'!$O$9,IF($N439="Insufficient Evidence",'Lists &amp; Settings'!$O$10,IF($N439="Pass",IF($M439&gt;='Lists &amp; Settings'!$N$2,'Lists &amp; Settings'!$O$2,IF($M439&gt;='Lists &amp; Settings'!$N$3,'Lists &amp; Settings'!$O$3,'Lists &amp; Settings'!$O$4)),IF($N439="Partial",IF($M439&gt;='Lists &amp; Settings'!$N$6,'Lists &amp; Settings'!$O$6,IF($M439&gt;='Lists &amp; Settings'!$N$7,'Lists &amp; Settings'!$O$7,'Lists &amp; Settings'!$O$8)),'Lists &amp; Settings'!$O$10))))))</f>
        <v/>
      </c>
      <c r="T439" s="31"/>
      <c r="U439" s="31"/>
      <c r="V439" s="31"/>
    </row>
    <row r="440" ht="15.75" customHeight="1">
      <c r="B440" s="31"/>
      <c r="N440" s="127"/>
      <c r="S440" s="31" t="str">
        <f>IF($C440="","",IF(OR($M440="",$N440=""),'Lists &amp; Settings'!$O$10,IF($N440="Fail",'Lists &amp; Settings'!$O$9,IF($N440="Insufficient Evidence",'Lists &amp; Settings'!$O$10,IF($N440="Pass",IF($M440&gt;='Lists &amp; Settings'!$N$2,'Lists &amp; Settings'!$O$2,IF($M440&gt;='Lists &amp; Settings'!$N$3,'Lists &amp; Settings'!$O$3,'Lists &amp; Settings'!$O$4)),IF($N440="Partial",IF($M440&gt;='Lists &amp; Settings'!$N$6,'Lists &amp; Settings'!$O$6,IF($M440&gt;='Lists &amp; Settings'!$N$7,'Lists &amp; Settings'!$O$7,'Lists &amp; Settings'!$O$8)),'Lists &amp; Settings'!$O$10))))))</f>
        <v/>
      </c>
      <c r="T440" s="31"/>
      <c r="U440" s="31"/>
      <c r="V440" s="31"/>
    </row>
    <row r="441" ht="15.75" customHeight="1">
      <c r="B441" s="31"/>
      <c r="N441" s="127"/>
      <c r="S441" s="31" t="str">
        <f>IF($C441="","",IF(OR($M441="",$N441=""),'Lists &amp; Settings'!$O$10,IF($N441="Fail",'Lists &amp; Settings'!$O$9,IF($N441="Insufficient Evidence",'Lists &amp; Settings'!$O$10,IF($N441="Pass",IF($M441&gt;='Lists &amp; Settings'!$N$2,'Lists &amp; Settings'!$O$2,IF($M441&gt;='Lists &amp; Settings'!$N$3,'Lists &amp; Settings'!$O$3,'Lists &amp; Settings'!$O$4)),IF($N441="Partial",IF($M441&gt;='Lists &amp; Settings'!$N$6,'Lists &amp; Settings'!$O$6,IF($M441&gt;='Lists &amp; Settings'!$N$7,'Lists &amp; Settings'!$O$7,'Lists &amp; Settings'!$O$8)),'Lists &amp; Settings'!$O$10))))))</f>
        <v/>
      </c>
      <c r="T441" s="31"/>
      <c r="U441" s="31"/>
      <c r="V441" s="31"/>
    </row>
    <row r="442" ht="15.75" customHeight="1">
      <c r="B442" s="31"/>
      <c r="N442" s="127"/>
      <c r="S442" s="31" t="str">
        <f>IF($C442="","",IF(OR($M442="",$N442=""),'Lists &amp; Settings'!$O$10,IF($N442="Fail",'Lists &amp; Settings'!$O$9,IF($N442="Insufficient Evidence",'Lists &amp; Settings'!$O$10,IF($N442="Pass",IF($M442&gt;='Lists &amp; Settings'!$N$2,'Lists &amp; Settings'!$O$2,IF($M442&gt;='Lists &amp; Settings'!$N$3,'Lists &amp; Settings'!$O$3,'Lists &amp; Settings'!$O$4)),IF($N442="Partial",IF($M442&gt;='Lists &amp; Settings'!$N$6,'Lists &amp; Settings'!$O$6,IF($M442&gt;='Lists &amp; Settings'!$N$7,'Lists &amp; Settings'!$O$7,'Lists &amp; Settings'!$O$8)),'Lists &amp; Settings'!$O$10))))))</f>
        <v/>
      </c>
      <c r="T442" s="31"/>
      <c r="U442" s="31"/>
      <c r="V442" s="31"/>
    </row>
    <row r="443" ht="15.75" customHeight="1">
      <c r="B443" s="31"/>
      <c r="N443" s="127"/>
      <c r="S443" s="31" t="str">
        <f>IF($C443="","",IF(OR($M443="",$N443=""),'Lists &amp; Settings'!$O$10,IF($N443="Fail",'Lists &amp; Settings'!$O$9,IF($N443="Insufficient Evidence",'Lists &amp; Settings'!$O$10,IF($N443="Pass",IF($M443&gt;='Lists &amp; Settings'!$N$2,'Lists &amp; Settings'!$O$2,IF($M443&gt;='Lists &amp; Settings'!$N$3,'Lists &amp; Settings'!$O$3,'Lists &amp; Settings'!$O$4)),IF($N443="Partial",IF($M443&gt;='Lists &amp; Settings'!$N$6,'Lists &amp; Settings'!$O$6,IF($M443&gt;='Lists &amp; Settings'!$N$7,'Lists &amp; Settings'!$O$7,'Lists &amp; Settings'!$O$8)),'Lists &amp; Settings'!$O$10))))))</f>
        <v/>
      </c>
      <c r="T443" s="31"/>
      <c r="U443" s="31"/>
      <c r="V443" s="31"/>
    </row>
    <row r="444" ht="15.75" customHeight="1">
      <c r="B444" s="31"/>
      <c r="N444" s="127"/>
      <c r="S444" s="31" t="str">
        <f>IF($C444="","",IF(OR($M444="",$N444=""),'Lists &amp; Settings'!$O$10,IF($N444="Fail",'Lists &amp; Settings'!$O$9,IF($N444="Insufficient Evidence",'Lists &amp; Settings'!$O$10,IF($N444="Pass",IF($M444&gt;='Lists &amp; Settings'!$N$2,'Lists &amp; Settings'!$O$2,IF($M444&gt;='Lists &amp; Settings'!$N$3,'Lists &amp; Settings'!$O$3,'Lists &amp; Settings'!$O$4)),IF($N444="Partial",IF($M444&gt;='Lists &amp; Settings'!$N$6,'Lists &amp; Settings'!$O$6,IF($M444&gt;='Lists &amp; Settings'!$N$7,'Lists &amp; Settings'!$O$7,'Lists &amp; Settings'!$O$8)),'Lists &amp; Settings'!$O$10))))))</f>
        <v/>
      </c>
      <c r="T444" s="31"/>
      <c r="U444" s="31"/>
      <c r="V444" s="31"/>
    </row>
    <row r="445" ht="15.75" customHeight="1">
      <c r="B445" s="31"/>
      <c r="N445" s="127"/>
      <c r="S445" s="31" t="str">
        <f>IF($C445="","",IF(OR($M445="",$N445=""),'Lists &amp; Settings'!$O$10,IF($N445="Fail",'Lists &amp; Settings'!$O$9,IF($N445="Insufficient Evidence",'Lists &amp; Settings'!$O$10,IF($N445="Pass",IF($M445&gt;='Lists &amp; Settings'!$N$2,'Lists &amp; Settings'!$O$2,IF($M445&gt;='Lists &amp; Settings'!$N$3,'Lists &amp; Settings'!$O$3,'Lists &amp; Settings'!$O$4)),IF($N445="Partial",IF($M445&gt;='Lists &amp; Settings'!$N$6,'Lists &amp; Settings'!$O$6,IF($M445&gt;='Lists &amp; Settings'!$N$7,'Lists &amp; Settings'!$O$7,'Lists &amp; Settings'!$O$8)),'Lists &amp; Settings'!$O$10))))))</f>
        <v/>
      </c>
      <c r="T445" s="31"/>
      <c r="U445" s="31"/>
      <c r="V445" s="31"/>
    </row>
    <row r="446" ht="15.75" customHeight="1">
      <c r="B446" s="31"/>
      <c r="N446" s="127"/>
      <c r="S446" s="31" t="str">
        <f>IF($C446="","",IF(OR($M446="",$N446=""),'Lists &amp; Settings'!$O$10,IF($N446="Fail",'Lists &amp; Settings'!$O$9,IF($N446="Insufficient Evidence",'Lists &amp; Settings'!$O$10,IF($N446="Pass",IF($M446&gt;='Lists &amp; Settings'!$N$2,'Lists &amp; Settings'!$O$2,IF($M446&gt;='Lists &amp; Settings'!$N$3,'Lists &amp; Settings'!$O$3,'Lists &amp; Settings'!$O$4)),IF($N446="Partial",IF($M446&gt;='Lists &amp; Settings'!$N$6,'Lists &amp; Settings'!$O$6,IF($M446&gt;='Lists &amp; Settings'!$N$7,'Lists &amp; Settings'!$O$7,'Lists &amp; Settings'!$O$8)),'Lists &amp; Settings'!$O$10))))))</f>
        <v/>
      </c>
      <c r="T446" s="31"/>
      <c r="U446" s="31"/>
      <c r="V446" s="31"/>
    </row>
    <row r="447" ht="15.75" customHeight="1">
      <c r="B447" s="31"/>
      <c r="N447" s="127"/>
      <c r="S447" s="31" t="str">
        <f>IF($C447="","",IF(OR($M447="",$N447=""),'Lists &amp; Settings'!$O$10,IF($N447="Fail",'Lists &amp; Settings'!$O$9,IF($N447="Insufficient Evidence",'Lists &amp; Settings'!$O$10,IF($N447="Pass",IF($M447&gt;='Lists &amp; Settings'!$N$2,'Lists &amp; Settings'!$O$2,IF($M447&gt;='Lists &amp; Settings'!$N$3,'Lists &amp; Settings'!$O$3,'Lists &amp; Settings'!$O$4)),IF($N447="Partial",IF($M447&gt;='Lists &amp; Settings'!$N$6,'Lists &amp; Settings'!$O$6,IF($M447&gt;='Lists &amp; Settings'!$N$7,'Lists &amp; Settings'!$O$7,'Lists &amp; Settings'!$O$8)),'Lists &amp; Settings'!$O$10))))))</f>
        <v/>
      </c>
      <c r="T447" s="31"/>
      <c r="U447" s="31"/>
      <c r="V447" s="31"/>
    </row>
    <row r="448" ht="15.75" customHeight="1">
      <c r="B448" s="31"/>
      <c r="N448" s="127"/>
      <c r="S448" s="31" t="str">
        <f>IF($C448="","",IF(OR($M448="",$N448=""),'Lists &amp; Settings'!$O$10,IF($N448="Fail",'Lists &amp; Settings'!$O$9,IF($N448="Insufficient Evidence",'Lists &amp; Settings'!$O$10,IF($N448="Pass",IF($M448&gt;='Lists &amp; Settings'!$N$2,'Lists &amp; Settings'!$O$2,IF($M448&gt;='Lists &amp; Settings'!$N$3,'Lists &amp; Settings'!$O$3,'Lists &amp; Settings'!$O$4)),IF($N448="Partial",IF($M448&gt;='Lists &amp; Settings'!$N$6,'Lists &amp; Settings'!$O$6,IF($M448&gt;='Lists &amp; Settings'!$N$7,'Lists &amp; Settings'!$O$7,'Lists &amp; Settings'!$O$8)),'Lists &amp; Settings'!$O$10))))))</f>
        <v/>
      </c>
      <c r="T448" s="31"/>
      <c r="U448" s="31"/>
      <c r="V448" s="31"/>
    </row>
    <row r="449" ht="15.75" customHeight="1">
      <c r="B449" s="31"/>
      <c r="N449" s="127"/>
      <c r="S449" s="31" t="str">
        <f>IF($C449="","",IF(OR($M449="",$N449=""),'Lists &amp; Settings'!$O$10,IF($N449="Fail",'Lists &amp; Settings'!$O$9,IF($N449="Insufficient Evidence",'Lists &amp; Settings'!$O$10,IF($N449="Pass",IF($M449&gt;='Lists &amp; Settings'!$N$2,'Lists &amp; Settings'!$O$2,IF($M449&gt;='Lists &amp; Settings'!$N$3,'Lists &amp; Settings'!$O$3,'Lists &amp; Settings'!$O$4)),IF($N449="Partial",IF($M449&gt;='Lists &amp; Settings'!$N$6,'Lists &amp; Settings'!$O$6,IF($M449&gt;='Lists &amp; Settings'!$N$7,'Lists &amp; Settings'!$O$7,'Lists &amp; Settings'!$O$8)),'Lists &amp; Settings'!$O$10))))))</f>
        <v/>
      </c>
      <c r="T449" s="31"/>
      <c r="U449" s="31"/>
      <c r="V449" s="31"/>
    </row>
    <row r="450" ht="15.75" customHeight="1">
      <c r="B450" s="31"/>
      <c r="N450" s="127"/>
      <c r="S450" s="31" t="str">
        <f>IF($C450="","",IF(OR($M450="",$N450=""),'Lists &amp; Settings'!$O$10,IF($N450="Fail",'Lists &amp; Settings'!$O$9,IF($N450="Insufficient Evidence",'Lists &amp; Settings'!$O$10,IF($N450="Pass",IF($M450&gt;='Lists &amp; Settings'!$N$2,'Lists &amp; Settings'!$O$2,IF($M450&gt;='Lists &amp; Settings'!$N$3,'Lists &amp; Settings'!$O$3,'Lists &amp; Settings'!$O$4)),IF($N450="Partial",IF($M450&gt;='Lists &amp; Settings'!$N$6,'Lists &amp; Settings'!$O$6,IF($M450&gt;='Lists &amp; Settings'!$N$7,'Lists &amp; Settings'!$O$7,'Lists &amp; Settings'!$O$8)),'Lists &amp; Settings'!$O$10))))))</f>
        <v/>
      </c>
      <c r="T450" s="31"/>
      <c r="U450" s="31"/>
      <c r="V450" s="31"/>
    </row>
    <row r="451" ht="15.75" customHeight="1">
      <c r="B451" s="31"/>
      <c r="N451" s="127"/>
      <c r="S451" s="31" t="str">
        <f>IF($C451="","",IF(OR($M451="",$N451=""),'Lists &amp; Settings'!$O$10,IF($N451="Fail",'Lists &amp; Settings'!$O$9,IF($N451="Insufficient Evidence",'Lists &amp; Settings'!$O$10,IF($N451="Pass",IF($M451&gt;='Lists &amp; Settings'!$N$2,'Lists &amp; Settings'!$O$2,IF($M451&gt;='Lists &amp; Settings'!$N$3,'Lists &amp; Settings'!$O$3,'Lists &amp; Settings'!$O$4)),IF($N451="Partial",IF($M451&gt;='Lists &amp; Settings'!$N$6,'Lists &amp; Settings'!$O$6,IF($M451&gt;='Lists &amp; Settings'!$N$7,'Lists &amp; Settings'!$O$7,'Lists &amp; Settings'!$O$8)),'Lists &amp; Settings'!$O$10))))))</f>
        <v/>
      </c>
      <c r="T451" s="31"/>
      <c r="U451" s="31"/>
      <c r="V451" s="31"/>
    </row>
    <row r="452" ht="15.75" customHeight="1">
      <c r="B452" s="31"/>
      <c r="N452" s="127"/>
      <c r="S452" s="31" t="str">
        <f>IF($C452="","",IF(OR($M452="",$N452=""),'Lists &amp; Settings'!$O$10,IF($N452="Fail",'Lists &amp; Settings'!$O$9,IF($N452="Insufficient Evidence",'Lists &amp; Settings'!$O$10,IF($N452="Pass",IF($M452&gt;='Lists &amp; Settings'!$N$2,'Lists &amp; Settings'!$O$2,IF($M452&gt;='Lists &amp; Settings'!$N$3,'Lists &amp; Settings'!$O$3,'Lists &amp; Settings'!$O$4)),IF($N452="Partial",IF($M452&gt;='Lists &amp; Settings'!$N$6,'Lists &amp; Settings'!$O$6,IF($M452&gt;='Lists &amp; Settings'!$N$7,'Lists &amp; Settings'!$O$7,'Lists &amp; Settings'!$O$8)),'Lists &amp; Settings'!$O$10))))))</f>
        <v/>
      </c>
      <c r="T452" s="31"/>
      <c r="U452" s="31"/>
      <c r="V452" s="31"/>
    </row>
    <row r="453" ht="15.75" customHeight="1">
      <c r="B453" s="31"/>
      <c r="N453" s="127"/>
      <c r="S453" s="31" t="str">
        <f>IF($C453="","",IF(OR($M453="",$N453=""),'Lists &amp; Settings'!$O$10,IF($N453="Fail",'Lists &amp; Settings'!$O$9,IF($N453="Insufficient Evidence",'Lists &amp; Settings'!$O$10,IF($N453="Pass",IF($M453&gt;='Lists &amp; Settings'!$N$2,'Lists &amp; Settings'!$O$2,IF($M453&gt;='Lists &amp; Settings'!$N$3,'Lists &amp; Settings'!$O$3,'Lists &amp; Settings'!$O$4)),IF($N453="Partial",IF($M453&gt;='Lists &amp; Settings'!$N$6,'Lists &amp; Settings'!$O$6,IF($M453&gt;='Lists &amp; Settings'!$N$7,'Lists &amp; Settings'!$O$7,'Lists &amp; Settings'!$O$8)),'Lists &amp; Settings'!$O$10))))))</f>
        <v/>
      </c>
      <c r="T453" s="31"/>
      <c r="U453" s="31"/>
      <c r="V453" s="31"/>
    </row>
    <row r="454" ht="15.75" customHeight="1">
      <c r="B454" s="31"/>
      <c r="N454" s="127"/>
      <c r="S454" s="31" t="str">
        <f>IF($C454="","",IF(OR($M454="",$N454=""),'Lists &amp; Settings'!$O$10,IF($N454="Fail",'Lists &amp; Settings'!$O$9,IF($N454="Insufficient Evidence",'Lists &amp; Settings'!$O$10,IF($N454="Pass",IF($M454&gt;='Lists &amp; Settings'!$N$2,'Lists &amp; Settings'!$O$2,IF($M454&gt;='Lists &amp; Settings'!$N$3,'Lists &amp; Settings'!$O$3,'Lists &amp; Settings'!$O$4)),IF($N454="Partial",IF($M454&gt;='Lists &amp; Settings'!$N$6,'Lists &amp; Settings'!$O$6,IF($M454&gt;='Lists &amp; Settings'!$N$7,'Lists &amp; Settings'!$O$7,'Lists &amp; Settings'!$O$8)),'Lists &amp; Settings'!$O$10))))))</f>
        <v/>
      </c>
      <c r="T454" s="31"/>
      <c r="U454" s="31"/>
      <c r="V454" s="31"/>
    </row>
    <row r="455" ht="15.75" customHeight="1">
      <c r="B455" s="31"/>
      <c r="N455" s="127"/>
      <c r="S455" s="31" t="str">
        <f>IF($C455="","",IF(OR($M455="",$N455=""),'Lists &amp; Settings'!$O$10,IF($N455="Fail",'Lists &amp; Settings'!$O$9,IF($N455="Insufficient Evidence",'Lists &amp; Settings'!$O$10,IF($N455="Pass",IF($M455&gt;='Lists &amp; Settings'!$N$2,'Lists &amp; Settings'!$O$2,IF($M455&gt;='Lists &amp; Settings'!$N$3,'Lists &amp; Settings'!$O$3,'Lists &amp; Settings'!$O$4)),IF($N455="Partial",IF($M455&gt;='Lists &amp; Settings'!$N$6,'Lists &amp; Settings'!$O$6,IF($M455&gt;='Lists &amp; Settings'!$N$7,'Lists &amp; Settings'!$O$7,'Lists &amp; Settings'!$O$8)),'Lists &amp; Settings'!$O$10))))))</f>
        <v/>
      </c>
      <c r="T455" s="31"/>
      <c r="U455" s="31"/>
      <c r="V455" s="31"/>
    </row>
    <row r="456" ht="15.75" customHeight="1">
      <c r="B456" s="31"/>
      <c r="N456" s="127"/>
      <c r="S456" s="31" t="str">
        <f>IF($C456="","",IF(OR($M456="",$N456=""),'Lists &amp; Settings'!$O$10,IF($N456="Fail",'Lists &amp; Settings'!$O$9,IF($N456="Insufficient Evidence",'Lists &amp; Settings'!$O$10,IF($N456="Pass",IF($M456&gt;='Lists &amp; Settings'!$N$2,'Lists &amp; Settings'!$O$2,IF($M456&gt;='Lists &amp; Settings'!$N$3,'Lists &amp; Settings'!$O$3,'Lists &amp; Settings'!$O$4)),IF($N456="Partial",IF($M456&gt;='Lists &amp; Settings'!$N$6,'Lists &amp; Settings'!$O$6,IF($M456&gt;='Lists &amp; Settings'!$N$7,'Lists &amp; Settings'!$O$7,'Lists &amp; Settings'!$O$8)),'Lists &amp; Settings'!$O$10))))))</f>
        <v/>
      </c>
      <c r="T456" s="31"/>
      <c r="U456" s="31"/>
      <c r="V456" s="31"/>
    </row>
    <row r="457" ht="15.75" customHeight="1">
      <c r="B457" s="31"/>
      <c r="N457" s="127"/>
      <c r="S457" s="31" t="str">
        <f>IF($C457="","",IF(OR($M457="",$N457=""),'Lists &amp; Settings'!$O$10,IF($N457="Fail",'Lists &amp; Settings'!$O$9,IF($N457="Insufficient Evidence",'Lists &amp; Settings'!$O$10,IF($N457="Pass",IF($M457&gt;='Lists &amp; Settings'!$N$2,'Lists &amp; Settings'!$O$2,IF($M457&gt;='Lists &amp; Settings'!$N$3,'Lists &amp; Settings'!$O$3,'Lists &amp; Settings'!$O$4)),IF($N457="Partial",IF($M457&gt;='Lists &amp; Settings'!$N$6,'Lists &amp; Settings'!$O$6,IF($M457&gt;='Lists &amp; Settings'!$N$7,'Lists &amp; Settings'!$O$7,'Lists &amp; Settings'!$O$8)),'Lists &amp; Settings'!$O$10))))))</f>
        <v/>
      </c>
      <c r="T457" s="31"/>
      <c r="U457" s="31"/>
      <c r="V457" s="31"/>
    </row>
    <row r="458" ht="15.75" customHeight="1">
      <c r="B458" s="31"/>
      <c r="N458" s="127"/>
      <c r="S458" s="31" t="str">
        <f>IF($C458="","",IF(OR($M458="",$N458=""),'Lists &amp; Settings'!$O$10,IF($N458="Fail",'Lists &amp; Settings'!$O$9,IF($N458="Insufficient Evidence",'Lists &amp; Settings'!$O$10,IF($N458="Pass",IF($M458&gt;='Lists &amp; Settings'!$N$2,'Lists &amp; Settings'!$O$2,IF($M458&gt;='Lists &amp; Settings'!$N$3,'Lists &amp; Settings'!$O$3,'Lists &amp; Settings'!$O$4)),IF($N458="Partial",IF($M458&gt;='Lists &amp; Settings'!$N$6,'Lists &amp; Settings'!$O$6,IF($M458&gt;='Lists &amp; Settings'!$N$7,'Lists &amp; Settings'!$O$7,'Lists &amp; Settings'!$O$8)),'Lists &amp; Settings'!$O$10))))))</f>
        <v/>
      </c>
      <c r="T458" s="31"/>
      <c r="U458" s="31"/>
      <c r="V458" s="31"/>
    </row>
    <row r="459" ht="15.75" customHeight="1">
      <c r="B459" s="31"/>
      <c r="N459" s="127"/>
      <c r="S459" s="31" t="str">
        <f>IF($C459="","",IF(OR($M459="",$N459=""),'Lists &amp; Settings'!$O$10,IF($N459="Fail",'Lists &amp; Settings'!$O$9,IF($N459="Insufficient Evidence",'Lists &amp; Settings'!$O$10,IF($N459="Pass",IF($M459&gt;='Lists &amp; Settings'!$N$2,'Lists &amp; Settings'!$O$2,IF($M459&gt;='Lists &amp; Settings'!$N$3,'Lists &amp; Settings'!$O$3,'Lists &amp; Settings'!$O$4)),IF($N459="Partial",IF($M459&gt;='Lists &amp; Settings'!$N$6,'Lists &amp; Settings'!$O$6,IF($M459&gt;='Lists &amp; Settings'!$N$7,'Lists &amp; Settings'!$O$7,'Lists &amp; Settings'!$O$8)),'Lists &amp; Settings'!$O$10))))))</f>
        <v/>
      </c>
      <c r="T459" s="31"/>
      <c r="U459" s="31"/>
      <c r="V459" s="31"/>
    </row>
    <row r="460" ht="15.75" customHeight="1">
      <c r="B460" s="31"/>
      <c r="N460" s="127"/>
      <c r="S460" s="31" t="str">
        <f>IF($C460="","",IF(OR($M460="",$N460=""),'Lists &amp; Settings'!$O$10,IF($N460="Fail",'Lists &amp; Settings'!$O$9,IF($N460="Insufficient Evidence",'Lists &amp; Settings'!$O$10,IF($N460="Pass",IF($M460&gt;='Lists &amp; Settings'!$N$2,'Lists &amp; Settings'!$O$2,IF($M460&gt;='Lists &amp; Settings'!$N$3,'Lists &amp; Settings'!$O$3,'Lists &amp; Settings'!$O$4)),IF($N460="Partial",IF($M460&gt;='Lists &amp; Settings'!$N$6,'Lists &amp; Settings'!$O$6,IF($M460&gt;='Lists &amp; Settings'!$N$7,'Lists &amp; Settings'!$O$7,'Lists &amp; Settings'!$O$8)),'Lists &amp; Settings'!$O$10))))))</f>
        <v/>
      </c>
      <c r="T460" s="31"/>
      <c r="U460" s="31"/>
      <c r="V460" s="31"/>
    </row>
    <row r="461" ht="15.75" customHeight="1">
      <c r="B461" s="31"/>
      <c r="N461" s="127"/>
      <c r="S461" s="31" t="str">
        <f>IF($C461="","",IF(OR($M461="",$N461=""),'Lists &amp; Settings'!$O$10,IF($N461="Fail",'Lists &amp; Settings'!$O$9,IF($N461="Insufficient Evidence",'Lists &amp; Settings'!$O$10,IF($N461="Pass",IF($M461&gt;='Lists &amp; Settings'!$N$2,'Lists &amp; Settings'!$O$2,IF($M461&gt;='Lists &amp; Settings'!$N$3,'Lists &amp; Settings'!$O$3,'Lists &amp; Settings'!$O$4)),IF($N461="Partial",IF($M461&gt;='Lists &amp; Settings'!$N$6,'Lists &amp; Settings'!$O$6,IF($M461&gt;='Lists &amp; Settings'!$N$7,'Lists &amp; Settings'!$O$7,'Lists &amp; Settings'!$O$8)),'Lists &amp; Settings'!$O$10))))))</f>
        <v/>
      </c>
      <c r="T461" s="31"/>
      <c r="U461" s="31"/>
      <c r="V461" s="31"/>
    </row>
    <row r="462" ht="15.75" customHeight="1">
      <c r="B462" s="31"/>
      <c r="N462" s="127"/>
      <c r="S462" s="31" t="str">
        <f>IF($C462="","",IF(OR($M462="",$N462=""),'Lists &amp; Settings'!$O$10,IF($N462="Fail",'Lists &amp; Settings'!$O$9,IF($N462="Insufficient Evidence",'Lists &amp; Settings'!$O$10,IF($N462="Pass",IF($M462&gt;='Lists &amp; Settings'!$N$2,'Lists &amp; Settings'!$O$2,IF($M462&gt;='Lists &amp; Settings'!$N$3,'Lists &amp; Settings'!$O$3,'Lists &amp; Settings'!$O$4)),IF($N462="Partial",IF($M462&gt;='Lists &amp; Settings'!$N$6,'Lists &amp; Settings'!$O$6,IF($M462&gt;='Lists &amp; Settings'!$N$7,'Lists &amp; Settings'!$O$7,'Lists &amp; Settings'!$O$8)),'Lists &amp; Settings'!$O$10))))))</f>
        <v/>
      </c>
      <c r="T462" s="31"/>
      <c r="U462" s="31"/>
      <c r="V462" s="31"/>
    </row>
    <row r="463" ht="15.75" customHeight="1">
      <c r="B463" s="31"/>
      <c r="N463" s="127"/>
      <c r="S463" s="31" t="str">
        <f>IF($C463="","",IF(OR($M463="",$N463=""),'Lists &amp; Settings'!$O$10,IF($N463="Fail",'Lists &amp; Settings'!$O$9,IF($N463="Insufficient Evidence",'Lists &amp; Settings'!$O$10,IF($N463="Pass",IF($M463&gt;='Lists &amp; Settings'!$N$2,'Lists &amp; Settings'!$O$2,IF($M463&gt;='Lists &amp; Settings'!$N$3,'Lists &amp; Settings'!$O$3,'Lists &amp; Settings'!$O$4)),IF($N463="Partial",IF($M463&gt;='Lists &amp; Settings'!$N$6,'Lists &amp; Settings'!$O$6,IF($M463&gt;='Lists &amp; Settings'!$N$7,'Lists &amp; Settings'!$O$7,'Lists &amp; Settings'!$O$8)),'Lists &amp; Settings'!$O$10))))))</f>
        <v/>
      </c>
      <c r="T463" s="31"/>
      <c r="U463" s="31"/>
      <c r="V463" s="31"/>
    </row>
    <row r="464" ht="15.75" customHeight="1">
      <c r="B464" s="31"/>
      <c r="N464" s="127"/>
      <c r="S464" s="31" t="str">
        <f>IF($C464="","",IF(OR($M464="",$N464=""),'Lists &amp; Settings'!$O$10,IF($N464="Fail",'Lists &amp; Settings'!$O$9,IF($N464="Insufficient Evidence",'Lists &amp; Settings'!$O$10,IF($N464="Pass",IF($M464&gt;='Lists &amp; Settings'!$N$2,'Lists &amp; Settings'!$O$2,IF($M464&gt;='Lists &amp; Settings'!$N$3,'Lists &amp; Settings'!$O$3,'Lists &amp; Settings'!$O$4)),IF($N464="Partial",IF($M464&gt;='Lists &amp; Settings'!$N$6,'Lists &amp; Settings'!$O$6,IF($M464&gt;='Lists &amp; Settings'!$N$7,'Lists &amp; Settings'!$O$7,'Lists &amp; Settings'!$O$8)),'Lists &amp; Settings'!$O$10))))))</f>
        <v/>
      </c>
      <c r="T464" s="31"/>
      <c r="U464" s="31"/>
      <c r="V464" s="31"/>
    </row>
    <row r="465" ht="15.75" customHeight="1">
      <c r="B465" s="31"/>
      <c r="N465" s="127"/>
      <c r="S465" s="31" t="str">
        <f>IF($C465="","",IF(OR($M465="",$N465=""),'Lists &amp; Settings'!$O$10,IF($N465="Fail",'Lists &amp; Settings'!$O$9,IF($N465="Insufficient Evidence",'Lists &amp; Settings'!$O$10,IF($N465="Pass",IF($M465&gt;='Lists &amp; Settings'!$N$2,'Lists &amp; Settings'!$O$2,IF($M465&gt;='Lists &amp; Settings'!$N$3,'Lists &amp; Settings'!$O$3,'Lists &amp; Settings'!$O$4)),IF($N465="Partial",IF($M465&gt;='Lists &amp; Settings'!$N$6,'Lists &amp; Settings'!$O$6,IF($M465&gt;='Lists &amp; Settings'!$N$7,'Lists &amp; Settings'!$O$7,'Lists &amp; Settings'!$O$8)),'Lists &amp; Settings'!$O$10))))))</f>
        <v/>
      </c>
      <c r="T465" s="31"/>
      <c r="U465" s="31"/>
      <c r="V465" s="31"/>
    </row>
    <row r="466" ht="15.75" customHeight="1">
      <c r="B466" s="31"/>
      <c r="N466" s="127"/>
      <c r="S466" s="31" t="str">
        <f>IF($C466="","",IF(OR($M466="",$N466=""),'Lists &amp; Settings'!$O$10,IF($N466="Fail",'Lists &amp; Settings'!$O$9,IF($N466="Insufficient Evidence",'Lists &amp; Settings'!$O$10,IF($N466="Pass",IF($M466&gt;='Lists &amp; Settings'!$N$2,'Lists &amp; Settings'!$O$2,IF($M466&gt;='Lists &amp; Settings'!$N$3,'Lists &amp; Settings'!$O$3,'Lists &amp; Settings'!$O$4)),IF($N466="Partial",IF($M466&gt;='Lists &amp; Settings'!$N$6,'Lists &amp; Settings'!$O$6,IF($M466&gt;='Lists &amp; Settings'!$N$7,'Lists &amp; Settings'!$O$7,'Lists &amp; Settings'!$O$8)),'Lists &amp; Settings'!$O$10))))))</f>
        <v/>
      </c>
      <c r="T466" s="31"/>
      <c r="U466" s="31"/>
      <c r="V466" s="31"/>
    </row>
    <row r="467" ht="15.75" customHeight="1">
      <c r="B467" s="31"/>
      <c r="N467" s="127"/>
      <c r="S467" s="31" t="str">
        <f>IF($C467="","",IF(OR($M467="",$N467=""),'Lists &amp; Settings'!$O$10,IF($N467="Fail",'Lists &amp; Settings'!$O$9,IF($N467="Insufficient Evidence",'Lists &amp; Settings'!$O$10,IF($N467="Pass",IF($M467&gt;='Lists &amp; Settings'!$N$2,'Lists &amp; Settings'!$O$2,IF($M467&gt;='Lists &amp; Settings'!$N$3,'Lists &amp; Settings'!$O$3,'Lists &amp; Settings'!$O$4)),IF($N467="Partial",IF($M467&gt;='Lists &amp; Settings'!$N$6,'Lists &amp; Settings'!$O$6,IF($M467&gt;='Lists &amp; Settings'!$N$7,'Lists &amp; Settings'!$O$7,'Lists &amp; Settings'!$O$8)),'Lists &amp; Settings'!$O$10))))))</f>
        <v/>
      </c>
      <c r="T467" s="31"/>
      <c r="U467" s="31"/>
      <c r="V467" s="31"/>
    </row>
    <row r="468" ht="15.75" customHeight="1">
      <c r="B468" s="31"/>
      <c r="N468" s="127"/>
      <c r="S468" s="31" t="str">
        <f>IF($C468="","",IF(OR($M468="",$N468=""),'Lists &amp; Settings'!$O$10,IF($N468="Fail",'Lists &amp; Settings'!$O$9,IF($N468="Insufficient Evidence",'Lists &amp; Settings'!$O$10,IF($N468="Pass",IF($M468&gt;='Lists &amp; Settings'!$N$2,'Lists &amp; Settings'!$O$2,IF($M468&gt;='Lists &amp; Settings'!$N$3,'Lists &amp; Settings'!$O$3,'Lists &amp; Settings'!$O$4)),IF($N468="Partial",IF($M468&gt;='Lists &amp; Settings'!$N$6,'Lists &amp; Settings'!$O$6,IF($M468&gt;='Lists &amp; Settings'!$N$7,'Lists &amp; Settings'!$O$7,'Lists &amp; Settings'!$O$8)),'Lists &amp; Settings'!$O$10))))))</f>
        <v/>
      </c>
      <c r="T468" s="31"/>
      <c r="U468" s="31"/>
      <c r="V468" s="31"/>
    </row>
    <row r="469" ht="15.75" customHeight="1">
      <c r="B469" s="31"/>
      <c r="N469" s="127"/>
      <c r="S469" s="31" t="str">
        <f>IF($C469="","",IF(OR($M469="",$N469=""),'Lists &amp; Settings'!$O$10,IF($N469="Fail",'Lists &amp; Settings'!$O$9,IF($N469="Insufficient Evidence",'Lists &amp; Settings'!$O$10,IF($N469="Pass",IF($M469&gt;='Lists &amp; Settings'!$N$2,'Lists &amp; Settings'!$O$2,IF($M469&gt;='Lists &amp; Settings'!$N$3,'Lists &amp; Settings'!$O$3,'Lists &amp; Settings'!$O$4)),IF($N469="Partial",IF($M469&gt;='Lists &amp; Settings'!$N$6,'Lists &amp; Settings'!$O$6,IF($M469&gt;='Lists &amp; Settings'!$N$7,'Lists &amp; Settings'!$O$7,'Lists &amp; Settings'!$O$8)),'Lists &amp; Settings'!$O$10))))))</f>
        <v/>
      </c>
      <c r="T469" s="31"/>
      <c r="U469" s="31"/>
      <c r="V469" s="31"/>
    </row>
    <row r="470" ht="15.75" customHeight="1">
      <c r="B470" s="31"/>
      <c r="N470" s="127"/>
      <c r="S470" s="31" t="str">
        <f>IF($C470="","",IF(OR($M470="",$N470=""),'Lists &amp; Settings'!$O$10,IF($N470="Fail",'Lists &amp; Settings'!$O$9,IF($N470="Insufficient Evidence",'Lists &amp; Settings'!$O$10,IF($N470="Pass",IF($M470&gt;='Lists &amp; Settings'!$N$2,'Lists &amp; Settings'!$O$2,IF($M470&gt;='Lists &amp; Settings'!$N$3,'Lists &amp; Settings'!$O$3,'Lists &amp; Settings'!$O$4)),IF($N470="Partial",IF($M470&gt;='Lists &amp; Settings'!$N$6,'Lists &amp; Settings'!$O$6,IF($M470&gt;='Lists &amp; Settings'!$N$7,'Lists &amp; Settings'!$O$7,'Lists &amp; Settings'!$O$8)),'Lists &amp; Settings'!$O$10))))))</f>
        <v/>
      </c>
      <c r="T470" s="31"/>
      <c r="U470" s="31"/>
      <c r="V470" s="31"/>
    </row>
    <row r="471" ht="15.75" customHeight="1">
      <c r="B471" s="31"/>
      <c r="N471" s="127"/>
      <c r="S471" s="31" t="str">
        <f>IF($C471="","",IF(OR($M471="",$N471=""),'Lists &amp; Settings'!$O$10,IF($N471="Fail",'Lists &amp; Settings'!$O$9,IF($N471="Insufficient Evidence",'Lists &amp; Settings'!$O$10,IF($N471="Pass",IF($M471&gt;='Lists &amp; Settings'!$N$2,'Lists &amp; Settings'!$O$2,IF($M471&gt;='Lists &amp; Settings'!$N$3,'Lists &amp; Settings'!$O$3,'Lists &amp; Settings'!$O$4)),IF($N471="Partial",IF($M471&gt;='Lists &amp; Settings'!$N$6,'Lists &amp; Settings'!$O$6,IF($M471&gt;='Lists &amp; Settings'!$N$7,'Lists &amp; Settings'!$O$7,'Lists &amp; Settings'!$O$8)),'Lists &amp; Settings'!$O$10))))))</f>
        <v/>
      </c>
      <c r="T471" s="31"/>
      <c r="U471" s="31"/>
      <c r="V471" s="31"/>
    </row>
    <row r="472" ht="15.75" customHeight="1">
      <c r="B472" s="31"/>
      <c r="N472" s="127"/>
      <c r="S472" s="31" t="str">
        <f>IF($C472="","",IF(OR($M472="",$N472=""),'Lists &amp; Settings'!$O$10,IF($N472="Fail",'Lists &amp; Settings'!$O$9,IF($N472="Insufficient Evidence",'Lists &amp; Settings'!$O$10,IF($N472="Pass",IF($M472&gt;='Lists &amp; Settings'!$N$2,'Lists &amp; Settings'!$O$2,IF($M472&gt;='Lists &amp; Settings'!$N$3,'Lists &amp; Settings'!$O$3,'Lists &amp; Settings'!$O$4)),IF($N472="Partial",IF($M472&gt;='Lists &amp; Settings'!$N$6,'Lists &amp; Settings'!$O$6,IF($M472&gt;='Lists &amp; Settings'!$N$7,'Lists &amp; Settings'!$O$7,'Lists &amp; Settings'!$O$8)),'Lists &amp; Settings'!$O$10))))))</f>
        <v/>
      </c>
      <c r="T472" s="31"/>
      <c r="U472" s="31"/>
      <c r="V472" s="31"/>
    </row>
    <row r="473" ht="15.75" customHeight="1">
      <c r="B473" s="31"/>
      <c r="N473" s="127"/>
      <c r="S473" s="31" t="str">
        <f>IF($C473="","",IF(OR($M473="",$N473=""),'Lists &amp; Settings'!$O$10,IF($N473="Fail",'Lists &amp; Settings'!$O$9,IF($N473="Insufficient Evidence",'Lists &amp; Settings'!$O$10,IF($N473="Pass",IF($M473&gt;='Lists &amp; Settings'!$N$2,'Lists &amp; Settings'!$O$2,IF($M473&gt;='Lists &amp; Settings'!$N$3,'Lists &amp; Settings'!$O$3,'Lists &amp; Settings'!$O$4)),IF($N473="Partial",IF($M473&gt;='Lists &amp; Settings'!$N$6,'Lists &amp; Settings'!$O$6,IF($M473&gt;='Lists &amp; Settings'!$N$7,'Lists &amp; Settings'!$O$7,'Lists &amp; Settings'!$O$8)),'Lists &amp; Settings'!$O$10))))))</f>
        <v/>
      </c>
      <c r="T473" s="31"/>
      <c r="U473" s="31"/>
      <c r="V473" s="31"/>
    </row>
    <row r="474" ht="15.75" customHeight="1">
      <c r="B474" s="31"/>
      <c r="N474" s="127"/>
      <c r="S474" s="31" t="str">
        <f>IF($C474="","",IF(OR($M474="",$N474=""),'Lists &amp; Settings'!$O$10,IF($N474="Fail",'Lists &amp; Settings'!$O$9,IF($N474="Insufficient Evidence",'Lists &amp; Settings'!$O$10,IF($N474="Pass",IF($M474&gt;='Lists &amp; Settings'!$N$2,'Lists &amp; Settings'!$O$2,IF($M474&gt;='Lists &amp; Settings'!$N$3,'Lists &amp; Settings'!$O$3,'Lists &amp; Settings'!$O$4)),IF($N474="Partial",IF($M474&gt;='Lists &amp; Settings'!$N$6,'Lists &amp; Settings'!$O$6,IF($M474&gt;='Lists &amp; Settings'!$N$7,'Lists &amp; Settings'!$O$7,'Lists &amp; Settings'!$O$8)),'Lists &amp; Settings'!$O$10))))))</f>
        <v/>
      </c>
      <c r="T474" s="31"/>
      <c r="U474" s="31"/>
      <c r="V474" s="31"/>
    </row>
    <row r="475" ht="15.75" customHeight="1">
      <c r="B475" s="31"/>
      <c r="N475" s="127"/>
      <c r="S475" s="31" t="str">
        <f>IF($C475="","",IF(OR($M475="",$N475=""),'Lists &amp; Settings'!$O$10,IF($N475="Fail",'Lists &amp; Settings'!$O$9,IF($N475="Insufficient Evidence",'Lists &amp; Settings'!$O$10,IF($N475="Pass",IF($M475&gt;='Lists &amp; Settings'!$N$2,'Lists &amp; Settings'!$O$2,IF($M475&gt;='Lists &amp; Settings'!$N$3,'Lists &amp; Settings'!$O$3,'Lists &amp; Settings'!$O$4)),IF($N475="Partial",IF($M475&gt;='Lists &amp; Settings'!$N$6,'Lists &amp; Settings'!$O$6,IF($M475&gt;='Lists &amp; Settings'!$N$7,'Lists &amp; Settings'!$O$7,'Lists &amp; Settings'!$O$8)),'Lists &amp; Settings'!$O$10))))))</f>
        <v/>
      </c>
      <c r="T475" s="31"/>
      <c r="U475" s="31"/>
      <c r="V475" s="31"/>
    </row>
    <row r="476" ht="15.75" customHeight="1">
      <c r="B476" s="31"/>
      <c r="N476" s="127"/>
      <c r="S476" s="31" t="str">
        <f>IF($C476="","",IF(OR($M476="",$N476=""),'Lists &amp; Settings'!$O$10,IF($N476="Fail",'Lists &amp; Settings'!$O$9,IF($N476="Insufficient Evidence",'Lists &amp; Settings'!$O$10,IF($N476="Pass",IF($M476&gt;='Lists &amp; Settings'!$N$2,'Lists &amp; Settings'!$O$2,IF($M476&gt;='Lists &amp; Settings'!$N$3,'Lists &amp; Settings'!$O$3,'Lists &amp; Settings'!$O$4)),IF($N476="Partial",IF($M476&gt;='Lists &amp; Settings'!$N$6,'Lists &amp; Settings'!$O$6,IF($M476&gt;='Lists &amp; Settings'!$N$7,'Lists &amp; Settings'!$O$7,'Lists &amp; Settings'!$O$8)),'Lists &amp; Settings'!$O$10))))))</f>
        <v/>
      </c>
      <c r="T476" s="31"/>
      <c r="U476" s="31"/>
      <c r="V476" s="31"/>
    </row>
    <row r="477" ht="15.75" customHeight="1">
      <c r="B477" s="31"/>
      <c r="N477" s="127"/>
      <c r="S477" s="31" t="str">
        <f>IF($C477="","",IF(OR($M477="",$N477=""),'Lists &amp; Settings'!$O$10,IF($N477="Fail",'Lists &amp; Settings'!$O$9,IF($N477="Insufficient Evidence",'Lists &amp; Settings'!$O$10,IF($N477="Pass",IF($M477&gt;='Lists &amp; Settings'!$N$2,'Lists &amp; Settings'!$O$2,IF($M477&gt;='Lists &amp; Settings'!$N$3,'Lists &amp; Settings'!$O$3,'Lists &amp; Settings'!$O$4)),IF($N477="Partial",IF($M477&gt;='Lists &amp; Settings'!$N$6,'Lists &amp; Settings'!$O$6,IF($M477&gt;='Lists &amp; Settings'!$N$7,'Lists &amp; Settings'!$O$7,'Lists &amp; Settings'!$O$8)),'Lists &amp; Settings'!$O$10))))))</f>
        <v/>
      </c>
      <c r="T477" s="31"/>
      <c r="U477" s="31"/>
      <c r="V477" s="31"/>
    </row>
    <row r="478" ht="15.75" customHeight="1">
      <c r="B478" s="31"/>
      <c r="N478" s="127"/>
      <c r="S478" s="31" t="str">
        <f>IF($C478="","",IF(OR($M478="",$N478=""),'Lists &amp; Settings'!$O$10,IF($N478="Fail",'Lists &amp; Settings'!$O$9,IF($N478="Insufficient Evidence",'Lists &amp; Settings'!$O$10,IF($N478="Pass",IF($M478&gt;='Lists &amp; Settings'!$N$2,'Lists &amp; Settings'!$O$2,IF($M478&gt;='Lists &amp; Settings'!$N$3,'Lists &amp; Settings'!$O$3,'Lists &amp; Settings'!$O$4)),IF($N478="Partial",IF($M478&gt;='Lists &amp; Settings'!$N$6,'Lists &amp; Settings'!$O$6,IF($M478&gt;='Lists &amp; Settings'!$N$7,'Lists &amp; Settings'!$O$7,'Lists &amp; Settings'!$O$8)),'Lists &amp; Settings'!$O$10))))))</f>
        <v/>
      </c>
      <c r="T478" s="31"/>
      <c r="U478" s="31"/>
      <c r="V478" s="31"/>
    </row>
    <row r="479" ht="15.75" customHeight="1">
      <c r="B479" s="31"/>
      <c r="N479" s="127"/>
      <c r="S479" s="31" t="str">
        <f>IF($C479="","",IF(OR($M479="",$N479=""),'Lists &amp; Settings'!$O$10,IF($N479="Fail",'Lists &amp; Settings'!$O$9,IF($N479="Insufficient Evidence",'Lists &amp; Settings'!$O$10,IF($N479="Pass",IF($M479&gt;='Lists &amp; Settings'!$N$2,'Lists &amp; Settings'!$O$2,IF($M479&gt;='Lists &amp; Settings'!$N$3,'Lists &amp; Settings'!$O$3,'Lists &amp; Settings'!$O$4)),IF($N479="Partial",IF($M479&gt;='Lists &amp; Settings'!$N$6,'Lists &amp; Settings'!$O$6,IF($M479&gt;='Lists &amp; Settings'!$N$7,'Lists &amp; Settings'!$O$7,'Lists &amp; Settings'!$O$8)),'Lists &amp; Settings'!$O$10))))))</f>
        <v/>
      </c>
      <c r="T479" s="31"/>
      <c r="U479" s="31"/>
      <c r="V479" s="31"/>
    </row>
    <row r="480" ht="15.75" customHeight="1">
      <c r="B480" s="31"/>
      <c r="N480" s="127"/>
      <c r="S480" s="31" t="str">
        <f>IF($C480="","",IF(OR($M480="",$N480=""),'Lists &amp; Settings'!$O$10,IF($N480="Fail",'Lists &amp; Settings'!$O$9,IF($N480="Insufficient Evidence",'Lists &amp; Settings'!$O$10,IF($N480="Pass",IF($M480&gt;='Lists &amp; Settings'!$N$2,'Lists &amp; Settings'!$O$2,IF($M480&gt;='Lists &amp; Settings'!$N$3,'Lists &amp; Settings'!$O$3,'Lists &amp; Settings'!$O$4)),IF($N480="Partial",IF($M480&gt;='Lists &amp; Settings'!$N$6,'Lists &amp; Settings'!$O$6,IF($M480&gt;='Lists &amp; Settings'!$N$7,'Lists &amp; Settings'!$O$7,'Lists &amp; Settings'!$O$8)),'Lists &amp; Settings'!$O$10))))))</f>
        <v/>
      </c>
      <c r="T480" s="31"/>
      <c r="U480" s="31"/>
      <c r="V480" s="31"/>
    </row>
    <row r="481" ht="15.75" customHeight="1">
      <c r="B481" s="31"/>
      <c r="N481" s="127"/>
      <c r="S481" s="31" t="str">
        <f>IF($C481="","",IF(OR($M481="",$N481=""),'Lists &amp; Settings'!$O$10,IF($N481="Fail",'Lists &amp; Settings'!$O$9,IF($N481="Insufficient Evidence",'Lists &amp; Settings'!$O$10,IF($N481="Pass",IF($M481&gt;='Lists &amp; Settings'!$N$2,'Lists &amp; Settings'!$O$2,IF($M481&gt;='Lists &amp; Settings'!$N$3,'Lists &amp; Settings'!$O$3,'Lists &amp; Settings'!$O$4)),IF($N481="Partial",IF($M481&gt;='Lists &amp; Settings'!$N$6,'Lists &amp; Settings'!$O$6,IF($M481&gt;='Lists &amp; Settings'!$N$7,'Lists &amp; Settings'!$O$7,'Lists &amp; Settings'!$O$8)),'Lists &amp; Settings'!$O$10))))))</f>
        <v/>
      </c>
      <c r="T481" s="31"/>
      <c r="U481" s="31"/>
      <c r="V481" s="31"/>
    </row>
    <row r="482" ht="15.75" customHeight="1">
      <c r="B482" s="31"/>
      <c r="N482" s="127"/>
      <c r="S482" s="31" t="str">
        <f>IF($C482="","",IF(OR($M482="",$N482=""),'Lists &amp; Settings'!$O$10,IF($N482="Fail",'Lists &amp; Settings'!$O$9,IF($N482="Insufficient Evidence",'Lists &amp; Settings'!$O$10,IF($N482="Pass",IF($M482&gt;='Lists &amp; Settings'!$N$2,'Lists &amp; Settings'!$O$2,IF($M482&gt;='Lists &amp; Settings'!$N$3,'Lists &amp; Settings'!$O$3,'Lists &amp; Settings'!$O$4)),IF($N482="Partial",IF($M482&gt;='Lists &amp; Settings'!$N$6,'Lists &amp; Settings'!$O$6,IF($M482&gt;='Lists &amp; Settings'!$N$7,'Lists &amp; Settings'!$O$7,'Lists &amp; Settings'!$O$8)),'Lists &amp; Settings'!$O$10))))))</f>
        <v/>
      </c>
      <c r="T482" s="31"/>
      <c r="U482" s="31"/>
      <c r="V482" s="31"/>
    </row>
    <row r="483" ht="15.75" customHeight="1">
      <c r="B483" s="31"/>
      <c r="N483" s="127"/>
      <c r="S483" s="31" t="str">
        <f>IF($C483="","",IF(OR($M483="",$N483=""),'Lists &amp; Settings'!$O$10,IF($N483="Fail",'Lists &amp; Settings'!$O$9,IF($N483="Insufficient Evidence",'Lists &amp; Settings'!$O$10,IF($N483="Pass",IF($M483&gt;='Lists &amp; Settings'!$N$2,'Lists &amp; Settings'!$O$2,IF($M483&gt;='Lists &amp; Settings'!$N$3,'Lists &amp; Settings'!$O$3,'Lists &amp; Settings'!$O$4)),IF($N483="Partial",IF($M483&gt;='Lists &amp; Settings'!$N$6,'Lists &amp; Settings'!$O$6,IF($M483&gt;='Lists &amp; Settings'!$N$7,'Lists &amp; Settings'!$O$7,'Lists &amp; Settings'!$O$8)),'Lists &amp; Settings'!$O$10))))))</f>
        <v/>
      </c>
      <c r="T483" s="31"/>
      <c r="U483" s="31"/>
      <c r="V483" s="31"/>
    </row>
    <row r="484" ht="15.75" customHeight="1">
      <c r="B484" s="31"/>
      <c r="N484" s="127"/>
      <c r="S484" s="31" t="str">
        <f>IF($C484="","",IF(OR($M484="",$N484=""),'Lists &amp; Settings'!$O$10,IF($N484="Fail",'Lists &amp; Settings'!$O$9,IF($N484="Insufficient Evidence",'Lists &amp; Settings'!$O$10,IF($N484="Pass",IF($M484&gt;='Lists &amp; Settings'!$N$2,'Lists &amp; Settings'!$O$2,IF($M484&gt;='Lists &amp; Settings'!$N$3,'Lists &amp; Settings'!$O$3,'Lists &amp; Settings'!$O$4)),IF($N484="Partial",IF($M484&gt;='Lists &amp; Settings'!$N$6,'Lists &amp; Settings'!$O$6,IF($M484&gt;='Lists &amp; Settings'!$N$7,'Lists &amp; Settings'!$O$7,'Lists &amp; Settings'!$O$8)),'Lists &amp; Settings'!$O$10))))))</f>
        <v/>
      </c>
      <c r="T484" s="31"/>
      <c r="U484" s="31"/>
      <c r="V484" s="31"/>
    </row>
    <row r="485" ht="15.75" customHeight="1">
      <c r="B485" s="31"/>
      <c r="N485" s="127"/>
      <c r="S485" s="31" t="str">
        <f>IF($C485="","",IF(OR($M485="",$N485=""),'Lists &amp; Settings'!$O$10,IF($N485="Fail",'Lists &amp; Settings'!$O$9,IF($N485="Insufficient Evidence",'Lists &amp; Settings'!$O$10,IF($N485="Pass",IF($M485&gt;='Lists &amp; Settings'!$N$2,'Lists &amp; Settings'!$O$2,IF($M485&gt;='Lists &amp; Settings'!$N$3,'Lists &amp; Settings'!$O$3,'Lists &amp; Settings'!$O$4)),IF($N485="Partial",IF($M485&gt;='Lists &amp; Settings'!$N$6,'Lists &amp; Settings'!$O$6,IF($M485&gt;='Lists &amp; Settings'!$N$7,'Lists &amp; Settings'!$O$7,'Lists &amp; Settings'!$O$8)),'Lists &amp; Settings'!$O$10))))))</f>
        <v/>
      </c>
      <c r="T485" s="31"/>
      <c r="U485" s="31"/>
      <c r="V485" s="31"/>
    </row>
    <row r="486" ht="15.75" customHeight="1">
      <c r="B486" s="31"/>
      <c r="N486" s="127"/>
      <c r="S486" s="31" t="str">
        <f>IF($C486="","",IF(OR($M486="",$N486=""),'Lists &amp; Settings'!$O$10,IF($N486="Fail",'Lists &amp; Settings'!$O$9,IF($N486="Insufficient Evidence",'Lists &amp; Settings'!$O$10,IF($N486="Pass",IF($M486&gt;='Lists &amp; Settings'!$N$2,'Lists &amp; Settings'!$O$2,IF($M486&gt;='Lists &amp; Settings'!$N$3,'Lists &amp; Settings'!$O$3,'Lists &amp; Settings'!$O$4)),IF($N486="Partial",IF($M486&gt;='Lists &amp; Settings'!$N$6,'Lists &amp; Settings'!$O$6,IF($M486&gt;='Lists &amp; Settings'!$N$7,'Lists &amp; Settings'!$O$7,'Lists &amp; Settings'!$O$8)),'Lists &amp; Settings'!$O$10))))))</f>
        <v/>
      </c>
      <c r="T486" s="31"/>
      <c r="U486" s="31"/>
      <c r="V486" s="31"/>
    </row>
    <row r="487" ht="15.75" customHeight="1">
      <c r="B487" s="31"/>
      <c r="N487" s="127"/>
      <c r="S487" s="31" t="str">
        <f>IF($C487="","",IF(OR($M487="",$N487=""),'Lists &amp; Settings'!$O$10,IF($N487="Fail",'Lists &amp; Settings'!$O$9,IF($N487="Insufficient Evidence",'Lists &amp; Settings'!$O$10,IF($N487="Pass",IF($M487&gt;='Lists &amp; Settings'!$N$2,'Lists &amp; Settings'!$O$2,IF($M487&gt;='Lists &amp; Settings'!$N$3,'Lists &amp; Settings'!$O$3,'Lists &amp; Settings'!$O$4)),IF($N487="Partial",IF($M487&gt;='Lists &amp; Settings'!$N$6,'Lists &amp; Settings'!$O$6,IF($M487&gt;='Lists &amp; Settings'!$N$7,'Lists &amp; Settings'!$O$7,'Lists &amp; Settings'!$O$8)),'Lists &amp; Settings'!$O$10))))))</f>
        <v/>
      </c>
      <c r="T487" s="31"/>
      <c r="U487" s="31"/>
      <c r="V487" s="31"/>
    </row>
    <row r="488" ht="15.75" customHeight="1">
      <c r="B488" s="31"/>
      <c r="N488" s="127"/>
      <c r="S488" s="31" t="str">
        <f>IF($C488="","",IF(OR($M488="",$N488=""),'Lists &amp; Settings'!$O$10,IF($N488="Fail",'Lists &amp; Settings'!$O$9,IF($N488="Insufficient Evidence",'Lists &amp; Settings'!$O$10,IF($N488="Pass",IF($M488&gt;='Lists &amp; Settings'!$N$2,'Lists &amp; Settings'!$O$2,IF($M488&gt;='Lists &amp; Settings'!$N$3,'Lists &amp; Settings'!$O$3,'Lists &amp; Settings'!$O$4)),IF($N488="Partial",IF($M488&gt;='Lists &amp; Settings'!$N$6,'Lists &amp; Settings'!$O$6,IF($M488&gt;='Lists &amp; Settings'!$N$7,'Lists &amp; Settings'!$O$7,'Lists &amp; Settings'!$O$8)),'Lists &amp; Settings'!$O$10))))))</f>
        <v/>
      </c>
      <c r="T488" s="31"/>
      <c r="U488" s="31"/>
      <c r="V488" s="31"/>
    </row>
    <row r="489" ht="15.75" customHeight="1">
      <c r="B489" s="31"/>
      <c r="N489" s="127"/>
      <c r="S489" s="31" t="str">
        <f>IF($C489="","",IF(OR($M489="",$N489=""),'Lists &amp; Settings'!$O$10,IF($N489="Fail",'Lists &amp; Settings'!$O$9,IF($N489="Insufficient Evidence",'Lists &amp; Settings'!$O$10,IF($N489="Pass",IF($M489&gt;='Lists &amp; Settings'!$N$2,'Lists &amp; Settings'!$O$2,IF($M489&gt;='Lists &amp; Settings'!$N$3,'Lists &amp; Settings'!$O$3,'Lists &amp; Settings'!$O$4)),IF($N489="Partial",IF($M489&gt;='Lists &amp; Settings'!$N$6,'Lists &amp; Settings'!$O$6,IF($M489&gt;='Lists &amp; Settings'!$N$7,'Lists &amp; Settings'!$O$7,'Lists &amp; Settings'!$O$8)),'Lists &amp; Settings'!$O$10))))))</f>
        <v/>
      </c>
      <c r="T489" s="31"/>
      <c r="U489" s="31"/>
      <c r="V489" s="31"/>
    </row>
    <row r="490" ht="15.75" customHeight="1">
      <c r="B490" s="31"/>
      <c r="N490" s="127"/>
      <c r="S490" s="31" t="str">
        <f>IF($C490="","",IF(OR($M490="",$N490=""),'Lists &amp; Settings'!$O$10,IF($N490="Fail",'Lists &amp; Settings'!$O$9,IF($N490="Insufficient Evidence",'Lists &amp; Settings'!$O$10,IF($N490="Pass",IF($M490&gt;='Lists &amp; Settings'!$N$2,'Lists &amp; Settings'!$O$2,IF($M490&gt;='Lists &amp; Settings'!$N$3,'Lists &amp; Settings'!$O$3,'Lists &amp; Settings'!$O$4)),IF($N490="Partial",IF($M490&gt;='Lists &amp; Settings'!$N$6,'Lists &amp; Settings'!$O$6,IF($M490&gt;='Lists &amp; Settings'!$N$7,'Lists &amp; Settings'!$O$7,'Lists &amp; Settings'!$O$8)),'Lists &amp; Settings'!$O$10))))))</f>
        <v/>
      </c>
      <c r="T490" s="31"/>
      <c r="U490" s="31"/>
      <c r="V490" s="31"/>
    </row>
    <row r="491" ht="15.75" customHeight="1">
      <c r="B491" s="31"/>
      <c r="N491" s="127"/>
      <c r="S491" s="31" t="str">
        <f>IF($C491="","",IF(OR($M491="",$N491=""),'Lists &amp; Settings'!$O$10,IF($N491="Fail",'Lists &amp; Settings'!$O$9,IF($N491="Insufficient Evidence",'Lists &amp; Settings'!$O$10,IF($N491="Pass",IF($M491&gt;='Lists &amp; Settings'!$N$2,'Lists &amp; Settings'!$O$2,IF($M491&gt;='Lists &amp; Settings'!$N$3,'Lists &amp; Settings'!$O$3,'Lists &amp; Settings'!$O$4)),IF($N491="Partial",IF($M491&gt;='Lists &amp; Settings'!$N$6,'Lists &amp; Settings'!$O$6,IF($M491&gt;='Lists &amp; Settings'!$N$7,'Lists &amp; Settings'!$O$7,'Lists &amp; Settings'!$O$8)),'Lists &amp; Settings'!$O$10))))))</f>
        <v/>
      </c>
      <c r="T491" s="31"/>
      <c r="U491" s="31"/>
      <c r="V491" s="31"/>
    </row>
    <row r="492" ht="15.75" customHeight="1">
      <c r="B492" s="31"/>
      <c r="N492" s="127"/>
      <c r="S492" s="31" t="str">
        <f>IF($C492="","",IF(OR($M492="",$N492=""),'Lists &amp; Settings'!$O$10,IF($N492="Fail",'Lists &amp; Settings'!$O$9,IF($N492="Insufficient Evidence",'Lists &amp; Settings'!$O$10,IF($N492="Pass",IF($M492&gt;='Lists &amp; Settings'!$N$2,'Lists &amp; Settings'!$O$2,IF($M492&gt;='Lists &amp; Settings'!$N$3,'Lists &amp; Settings'!$O$3,'Lists &amp; Settings'!$O$4)),IF($N492="Partial",IF($M492&gt;='Lists &amp; Settings'!$N$6,'Lists &amp; Settings'!$O$6,IF($M492&gt;='Lists &amp; Settings'!$N$7,'Lists &amp; Settings'!$O$7,'Lists &amp; Settings'!$O$8)),'Lists &amp; Settings'!$O$10))))))</f>
        <v/>
      </c>
      <c r="T492" s="31"/>
      <c r="U492" s="31"/>
      <c r="V492" s="31"/>
    </row>
    <row r="493" ht="15.75" customHeight="1">
      <c r="B493" s="31"/>
      <c r="N493" s="127"/>
      <c r="S493" s="31" t="str">
        <f>IF($C493="","",IF(OR($M493="",$N493=""),'Lists &amp; Settings'!$O$10,IF($N493="Fail",'Lists &amp; Settings'!$O$9,IF($N493="Insufficient Evidence",'Lists &amp; Settings'!$O$10,IF($N493="Pass",IF($M493&gt;='Lists &amp; Settings'!$N$2,'Lists &amp; Settings'!$O$2,IF($M493&gt;='Lists &amp; Settings'!$N$3,'Lists &amp; Settings'!$O$3,'Lists &amp; Settings'!$O$4)),IF($N493="Partial",IF($M493&gt;='Lists &amp; Settings'!$N$6,'Lists &amp; Settings'!$O$6,IF($M493&gt;='Lists &amp; Settings'!$N$7,'Lists &amp; Settings'!$O$7,'Lists &amp; Settings'!$O$8)),'Lists &amp; Settings'!$O$10))))))</f>
        <v/>
      </c>
      <c r="T493" s="31"/>
      <c r="U493" s="31"/>
      <c r="V493" s="31"/>
    </row>
    <row r="494" ht="15.75" customHeight="1">
      <c r="B494" s="31"/>
      <c r="N494" s="127"/>
      <c r="S494" s="31" t="str">
        <f>IF($C494="","",IF(OR($M494="",$N494=""),'Lists &amp; Settings'!$O$10,IF($N494="Fail",'Lists &amp; Settings'!$O$9,IF($N494="Insufficient Evidence",'Lists &amp; Settings'!$O$10,IF($N494="Pass",IF($M494&gt;='Lists &amp; Settings'!$N$2,'Lists &amp; Settings'!$O$2,IF($M494&gt;='Lists &amp; Settings'!$N$3,'Lists &amp; Settings'!$O$3,'Lists &amp; Settings'!$O$4)),IF($N494="Partial",IF($M494&gt;='Lists &amp; Settings'!$N$6,'Lists &amp; Settings'!$O$6,IF($M494&gt;='Lists &amp; Settings'!$N$7,'Lists &amp; Settings'!$O$7,'Lists &amp; Settings'!$O$8)),'Lists &amp; Settings'!$O$10))))))</f>
        <v/>
      </c>
      <c r="T494" s="31"/>
      <c r="U494" s="31"/>
      <c r="V494" s="31"/>
    </row>
    <row r="495" ht="15.75" customHeight="1">
      <c r="B495" s="31"/>
      <c r="N495" s="127"/>
      <c r="S495" s="31" t="str">
        <f>IF($C495="","",IF(OR($M495="",$N495=""),'Lists &amp; Settings'!$O$10,IF($N495="Fail",'Lists &amp; Settings'!$O$9,IF($N495="Insufficient Evidence",'Lists &amp; Settings'!$O$10,IF($N495="Pass",IF($M495&gt;='Lists &amp; Settings'!$N$2,'Lists &amp; Settings'!$O$2,IF($M495&gt;='Lists &amp; Settings'!$N$3,'Lists &amp; Settings'!$O$3,'Lists &amp; Settings'!$O$4)),IF($N495="Partial",IF($M495&gt;='Lists &amp; Settings'!$N$6,'Lists &amp; Settings'!$O$6,IF($M495&gt;='Lists &amp; Settings'!$N$7,'Lists &amp; Settings'!$O$7,'Lists &amp; Settings'!$O$8)),'Lists &amp; Settings'!$O$10))))))</f>
        <v/>
      </c>
      <c r="T495" s="31"/>
      <c r="U495" s="31"/>
      <c r="V495" s="31"/>
    </row>
    <row r="496" ht="15.75" customHeight="1">
      <c r="B496" s="31"/>
      <c r="N496" s="127"/>
      <c r="S496" s="31" t="str">
        <f>IF($C496="","",IF(OR($M496="",$N496=""),'Lists &amp; Settings'!$O$10,IF($N496="Fail",'Lists &amp; Settings'!$O$9,IF($N496="Insufficient Evidence",'Lists &amp; Settings'!$O$10,IF($N496="Pass",IF($M496&gt;='Lists &amp; Settings'!$N$2,'Lists &amp; Settings'!$O$2,IF($M496&gt;='Lists &amp; Settings'!$N$3,'Lists &amp; Settings'!$O$3,'Lists &amp; Settings'!$O$4)),IF($N496="Partial",IF($M496&gt;='Lists &amp; Settings'!$N$6,'Lists &amp; Settings'!$O$6,IF($M496&gt;='Lists &amp; Settings'!$N$7,'Lists &amp; Settings'!$O$7,'Lists &amp; Settings'!$O$8)),'Lists &amp; Settings'!$O$10))))))</f>
        <v/>
      </c>
      <c r="T496" s="31"/>
      <c r="U496" s="31"/>
      <c r="V496" s="31"/>
    </row>
    <row r="497" ht="15.75" customHeight="1">
      <c r="B497" s="31"/>
      <c r="N497" s="127"/>
      <c r="S497" s="31" t="str">
        <f>IF($C497="","",IF(OR($M497="",$N497=""),'Lists &amp; Settings'!$O$10,IF($N497="Fail",'Lists &amp; Settings'!$O$9,IF($N497="Insufficient Evidence",'Lists &amp; Settings'!$O$10,IF($N497="Pass",IF($M497&gt;='Lists &amp; Settings'!$N$2,'Lists &amp; Settings'!$O$2,IF($M497&gt;='Lists &amp; Settings'!$N$3,'Lists &amp; Settings'!$O$3,'Lists &amp; Settings'!$O$4)),IF($N497="Partial",IF($M497&gt;='Lists &amp; Settings'!$N$6,'Lists &amp; Settings'!$O$6,IF($M497&gt;='Lists &amp; Settings'!$N$7,'Lists &amp; Settings'!$O$7,'Lists &amp; Settings'!$O$8)),'Lists &amp; Settings'!$O$10))))))</f>
        <v/>
      </c>
      <c r="T497" s="31"/>
      <c r="U497" s="31"/>
      <c r="V497" s="31"/>
    </row>
    <row r="498" ht="15.75" customHeight="1">
      <c r="B498" s="31"/>
      <c r="N498" s="127"/>
      <c r="S498" s="31" t="str">
        <f>IF($C498="","",IF(OR($M498="",$N498=""),'Lists &amp; Settings'!$O$10,IF($N498="Fail",'Lists &amp; Settings'!$O$9,IF($N498="Insufficient Evidence",'Lists &amp; Settings'!$O$10,IF($N498="Pass",IF($M498&gt;='Lists &amp; Settings'!$N$2,'Lists &amp; Settings'!$O$2,IF($M498&gt;='Lists &amp; Settings'!$N$3,'Lists &amp; Settings'!$O$3,'Lists &amp; Settings'!$O$4)),IF($N498="Partial",IF($M498&gt;='Lists &amp; Settings'!$N$6,'Lists &amp; Settings'!$O$6,IF($M498&gt;='Lists &amp; Settings'!$N$7,'Lists &amp; Settings'!$O$7,'Lists &amp; Settings'!$O$8)),'Lists &amp; Settings'!$O$10))))))</f>
        <v/>
      </c>
      <c r="T498" s="31"/>
      <c r="U498" s="31"/>
      <c r="V498" s="31"/>
    </row>
    <row r="499" ht="15.75" customHeight="1">
      <c r="B499" s="31"/>
      <c r="N499" s="127"/>
      <c r="S499" s="31" t="str">
        <f>IF($C499="","",IF(OR($M499="",$N499=""),'Lists &amp; Settings'!$O$10,IF($N499="Fail",'Lists &amp; Settings'!$O$9,IF($N499="Insufficient Evidence",'Lists &amp; Settings'!$O$10,IF($N499="Pass",IF($M499&gt;='Lists &amp; Settings'!$N$2,'Lists &amp; Settings'!$O$2,IF($M499&gt;='Lists &amp; Settings'!$N$3,'Lists &amp; Settings'!$O$3,'Lists &amp; Settings'!$O$4)),IF($N499="Partial",IF($M499&gt;='Lists &amp; Settings'!$N$6,'Lists &amp; Settings'!$O$6,IF($M499&gt;='Lists &amp; Settings'!$N$7,'Lists &amp; Settings'!$O$7,'Lists &amp; Settings'!$O$8)),'Lists &amp; Settings'!$O$10))))))</f>
        <v/>
      </c>
      <c r="T499" s="31"/>
      <c r="U499" s="31"/>
      <c r="V499" s="31"/>
    </row>
    <row r="500" ht="15.75" customHeight="1">
      <c r="B500" s="31"/>
      <c r="N500" s="127"/>
      <c r="S500" s="31" t="str">
        <f>IF($C500="","",IF(OR($M500="",$N500=""),'Lists &amp; Settings'!$O$10,IF($N500="Fail",'Lists &amp; Settings'!$O$9,IF($N500="Insufficient Evidence",'Lists &amp; Settings'!$O$10,IF($N500="Pass",IF($M500&gt;='Lists &amp; Settings'!$N$2,'Lists &amp; Settings'!$O$2,IF($M500&gt;='Lists &amp; Settings'!$N$3,'Lists &amp; Settings'!$O$3,'Lists &amp; Settings'!$O$4)),IF($N500="Partial",IF($M500&gt;='Lists &amp; Settings'!$N$6,'Lists &amp; Settings'!$O$6,IF($M500&gt;='Lists &amp; Settings'!$N$7,'Lists &amp; Settings'!$O$7,'Lists &amp; Settings'!$O$8)),'Lists &amp; Settings'!$O$10))))))</f>
        <v/>
      </c>
      <c r="T500" s="31"/>
      <c r="U500" s="31"/>
      <c r="V500" s="31"/>
    </row>
    <row r="501" ht="15.75" customHeight="1">
      <c r="B501" s="31"/>
      <c r="N501" s="127"/>
      <c r="S501" s="31" t="str">
        <f>IF($C501="","",IF(OR($M501="",$N501=""),'Lists &amp; Settings'!$O$10,IF($N501="Fail",'Lists &amp; Settings'!$O$9,IF($N501="Insufficient Evidence",'Lists &amp; Settings'!$O$10,IF($N501="Pass",IF($M501&gt;='Lists &amp; Settings'!$N$2,'Lists &amp; Settings'!$O$2,IF($M501&gt;='Lists &amp; Settings'!$N$3,'Lists &amp; Settings'!$O$3,'Lists &amp; Settings'!$O$4)),IF($N501="Partial",IF($M501&gt;='Lists &amp; Settings'!$N$6,'Lists &amp; Settings'!$O$6,IF($M501&gt;='Lists &amp; Settings'!$N$7,'Lists &amp; Settings'!$O$7,'Lists &amp; Settings'!$O$8)),'Lists &amp; Settings'!$O$10))))))</f>
        <v/>
      </c>
      <c r="T501" s="31"/>
      <c r="U501" s="31"/>
      <c r="V501" s="31"/>
    </row>
    <row r="502" ht="15.75" customHeight="1">
      <c r="B502" s="31"/>
      <c r="N502" s="127"/>
      <c r="S502" s="31" t="str">
        <f>IF($C502="","",IF(OR($M502="",$N502=""),'Lists &amp; Settings'!$O$10,IF($N502="Fail",'Lists &amp; Settings'!$O$9,IF($N502="Insufficient Evidence",'Lists &amp; Settings'!$O$10,IF($N502="Pass",IF($M502&gt;='Lists &amp; Settings'!$N$2,'Lists &amp; Settings'!$O$2,IF($M502&gt;='Lists &amp; Settings'!$N$3,'Lists &amp; Settings'!$O$3,'Lists &amp; Settings'!$O$4)),IF($N502="Partial",IF($M502&gt;='Lists &amp; Settings'!$N$6,'Lists &amp; Settings'!$O$6,IF($M502&gt;='Lists &amp; Settings'!$N$7,'Lists &amp; Settings'!$O$7,'Lists &amp; Settings'!$O$8)),'Lists &amp; Settings'!$O$10))))))</f>
        <v/>
      </c>
      <c r="T502" s="31"/>
      <c r="U502" s="31"/>
      <c r="V502" s="31"/>
    </row>
    <row r="503" ht="15.75" customHeight="1">
      <c r="B503" s="31"/>
      <c r="N503" s="127"/>
      <c r="S503" s="31" t="str">
        <f>IF($C503="","",IF(OR($M503="",$N503=""),'Lists &amp; Settings'!$O$10,IF($N503="Fail",'Lists &amp; Settings'!$O$9,IF($N503="Insufficient Evidence",'Lists &amp; Settings'!$O$10,IF($N503="Pass",IF($M503&gt;='Lists &amp; Settings'!$N$2,'Lists &amp; Settings'!$O$2,IF($M503&gt;='Lists &amp; Settings'!$N$3,'Lists &amp; Settings'!$O$3,'Lists &amp; Settings'!$O$4)),IF($N503="Partial",IF($M503&gt;='Lists &amp; Settings'!$N$6,'Lists &amp; Settings'!$O$6,IF($M503&gt;='Lists &amp; Settings'!$N$7,'Lists &amp; Settings'!$O$7,'Lists &amp; Settings'!$O$8)),'Lists &amp; Settings'!$O$10))))))</f>
        <v/>
      </c>
      <c r="T503" s="31"/>
      <c r="U503" s="31"/>
      <c r="V503" s="31"/>
    </row>
    <row r="504" ht="15.75" customHeight="1">
      <c r="B504" s="31"/>
      <c r="N504" s="127"/>
      <c r="S504" s="31" t="str">
        <f>IF($C504="","",IF(OR($M504="",$N504=""),'Lists &amp; Settings'!$O$10,IF($N504="Fail",'Lists &amp; Settings'!$O$9,IF($N504="Insufficient Evidence",'Lists &amp; Settings'!$O$10,IF($N504="Pass",IF($M504&gt;='Lists &amp; Settings'!$N$2,'Lists &amp; Settings'!$O$2,IF($M504&gt;='Lists &amp; Settings'!$N$3,'Lists &amp; Settings'!$O$3,'Lists &amp; Settings'!$O$4)),IF($N504="Partial",IF($M504&gt;='Lists &amp; Settings'!$N$6,'Lists &amp; Settings'!$O$6,IF($M504&gt;='Lists &amp; Settings'!$N$7,'Lists &amp; Settings'!$O$7,'Lists &amp; Settings'!$O$8)),'Lists &amp; Settings'!$O$10))))))</f>
        <v/>
      </c>
      <c r="T504" s="31"/>
      <c r="U504" s="31"/>
      <c r="V504" s="31"/>
    </row>
    <row r="505" ht="15.75" customHeight="1">
      <c r="B505" s="31"/>
      <c r="N505" s="127"/>
      <c r="S505" s="31" t="str">
        <f>IF($C505="","",IF(OR($M505="",$N505=""),'Lists &amp; Settings'!$O$10,IF($N505="Fail",'Lists &amp; Settings'!$O$9,IF($N505="Insufficient Evidence",'Lists &amp; Settings'!$O$10,IF($N505="Pass",IF($M505&gt;='Lists &amp; Settings'!$N$2,'Lists &amp; Settings'!$O$2,IF($M505&gt;='Lists &amp; Settings'!$N$3,'Lists &amp; Settings'!$O$3,'Lists &amp; Settings'!$O$4)),IF($N505="Partial",IF($M505&gt;='Lists &amp; Settings'!$N$6,'Lists &amp; Settings'!$O$6,IF($M505&gt;='Lists &amp; Settings'!$N$7,'Lists &amp; Settings'!$O$7,'Lists &amp; Settings'!$O$8)),'Lists &amp; Settings'!$O$10))))))</f>
        <v/>
      </c>
      <c r="T505" s="31"/>
      <c r="U505" s="31"/>
      <c r="V505" s="31"/>
    </row>
    <row r="506" ht="15.75" customHeight="1">
      <c r="B506" s="31"/>
      <c r="N506" s="127"/>
      <c r="S506" s="31" t="str">
        <f>IF($C506="","",IF(OR($M506="",$N506=""),'Lists &amp; Settings'!$O$10,IF($N506="Fail",'Lists &amp; Settings'!$O$9,IF($N506="Insufficient Evidence",'Lists &amp; Settings'!$O$10,IF($N506="Pass",IF($M506&gt;='Lists &amp; Settings'!$N$2,'Lists &amp; Settings'!$O$2,IF($M506&gt;='Lists &amp; Settings'!$N$3,'Lists &amp; Settings'!$O$3,'Lists &amp; Settings'!$O$4)),IF($N506="Partial",IF($M506&gt;='Lists &amp; Settings'!$N$6,'Lists &amp; Settings'!$O$6,IF($M506&gt;='Lists &amp; Settings'!$N$7,'Lists &amp; Settings'!$O$7,'Lists &amp; Settings'!$O$8)),'Lists &amp; Settings'!$O$10))))))</f>
        <v/>
      </c>
      <c r="T506" s="31"/>
      <c r="U506" s="31"/>
      <c r="V506" s="31"/>
    </row>
    <row r="507" ht="15.75" customHeight="1">
      <c r="B507" s="31"/>
      <c r="N507" s="127"/>
      <c r="S507" s="31" t="str">
        <f>IF($C507="","",IF(OR($M507="",$N507=""),'Lists &amp; Settings'!$O$10,IF($N507="Fail",'Lists &amp; Settings'!$O$9,IF($N507="Insufficient Evidence",'Lists &amp; Settings'!$O$10,IF($N507="Pass",IF($M507&gt;='Lists &amp; Settings'!$N$2,'Lists &amp; Settings'!$O$2,IF($M507&gt;='Lists &amp; Settings'!$N$3,'Lists &amp; Settings'!$O$3,'Lists &amp; Settings'!$O$4)),IF($N507="Partial",IF($M507&gt;='Lists &amp; Settings'!$N$6,'Lists &amp; Settings'!$O$6,IF($M507&gt;='Lists &amp; Settings'!$N$7,'Lists &amp; Settings'!$O$7,'Lists &amp; Settings'!$O$8)),'Lists &amp; Settings'!$O$10))))))</f>
        <v/>
      </c>
      <c r="T507" s="31"/>
      <c r="U507" s="31"/>
      <c r="V507" s="31"/>
    </row>
    <row r="508" ht="15.75" customHeight="1">
      <c r="B508" s="31"/>
      <c r="N508" s="127"/>
      <c r="S508" s="31" t="str">
        <f>IF($C508="","",IF(OR($M508="",$N508=""),'Lists &amp; Settings'!$O$10,IF($N508="Fail",'Lists &amp; Settings'!$O$9,IF($N508="Insufficient Evidence",'Lists &amp; Settings'!$O$10,IF($N508="Pass",IF($M508&gt;='Lists &amp; Settings'!$N$2,'Lists &amp; Settings'!$O$2,IF($M508&gt;='Lists &amp; Settings'!$N$3,'Lists &amp; Settings'!$O$3,'Lists &amp; Settings'!$O$4)),IF($N508="Partial",IF($M508&gt;='Lists &amp; Settings'!$N$6,'Lists &amp; Settings'!$O$6,IF($M508&gt;='Lists &amp; Settings'!$N$7,'Lists &amp; Settings'!$O$7,'Lists &amp; Settings'!$O$8)),'Lists &amp; Settings'!$O$10))))))</f>
        <v/>
      </c>
      <c r="T508" s="31"/>
      <c r="U508" s="31"/>
      <c r="V508" s="31"/>
    </row>
    <row r="509" ht="15.75" customHeight="1">
      <c r="B509" s="31"/>
      <c r="N509" s="127"/>
      <c r="S509" s="31" t="str">
        <f>IF($C509="","",IF(OR($M509="",$N509=""),'Lists &amp; Settings'!$O$10,IF($N509="Fail",'Lists &amp; Settings'!$O$9,IF($N509="Insufficient Evidence",'Lists &amp; Settings'!$O$10,IF($N509="Pass",IF($M509&gt;='Lists &amp; Settings'!$N$2,'Lists &amp; Settings'!$O$2,IF($M509&gt;='Lists &amp; Settings'!$N$3,'Lists &amp; Settings'!$O$3,'Lists &amp; Settings'!$O$4)),IF($N509="Partial",IF($M509&gt;='Lists &amp; Settings'!$N$6,'Lists &amp; Settings'!$O$6,IF($M509&gt;='Lists &amp; Settings'!$N$7,'Lists &amp; Settings'!$O$7,'Lists &amp; Settings'!$O$8)),'Lists &amp; Settings'!$O$10))))))</f>
        <v/>
      </c>
      <c r="T509" s="31"/>
      <c r="U509" s="31"/>
      <c r="V509" s="31"/>
    </row>
    <row r="510" ht="15.75" customHeight="1">
      <c r="B510" s="31"/>
      <c r="N510" s="127"/>
      <c r="S510" s="31" t="str">
        <f>IF($C510="","",IF(OR($M510="",$N510=""),'Lists &amp; Settings'!$O$10,IF($N510="Fail",'Lists &amp; Settings'!$O$9,IF($N510="Insufficient Evidence",'Lists &amp; Settings'!$O$10,IF($N510="Pass",IF($M510&gt;='Lists &amp; Settings'!$N$2,'Lists &amp; Settings'!$O$2,IF($M510&gt;='Lists &amp; Settings'!$N$3,'Lists &amp; Settings'!$O$3,'Lists &amp; Settings'!$O$4)),IF($N510="Partial",IF($M510&gt;='Lists &amp; Settings'!$N$6,'Lists &amp; Settings'!$O$6,IF($M510&gt;='Lists &amp; Settings'!$N$7,'Lists &amp; Settings'!$O$7,'Lists &amp; Settings'!$O$8)),'Lists &amp; Settings'!$O$10))))))</f>
        <v/>
      </c>
      <c r="T510" s="31"/>
      <c r="U510" s="31"/>
      <c r="V510" s="31"/>
    </row>
    <row r="511" ht="15.75" customHeight="1">
      <c r="B511" s="31"/>
      <c r="N511" s="127"/>
      <c r="S511" s="31" t="str">
        <f>IF($C511="","",IF(OR($M511="",$N511=""),'Lists &amp; Settings'!$O$10,IF($N511="Fail",'Lists &amp; Settings'!$O$9,IF($N511="Insufficient Evidence",'Lists &amp; Settings'!$O$10,IF($N511="Pass",IF($M511&gt;='Lists &amp; Settings'!$N$2,'Lists &amp; Settings'!$O$2,IF($M511&gt;='Lists &amp; Settings'!$N$3,'Lists &amp; Settings'!$O$3,'Lists &amp; Settings'!$O$4)),IF($N511="Partial",IF($M511&gt;='Lists &amp; Settings'!$N$6,'Lists &amp; Settings'!$O$6,IF($M511&gt;='Lists &amp; Settings'!$N$7,'Lists &amp; Settings'!$O$7,'Lists &amp; Settings'!$O$8)),'Lists &amp; Settings'!$O$10))))))</f>
        <v/>
      </c>
      <c r="T511" s="31"/>
      <c r="U511" s="31"/>
      <c r="V511" s="31"/>
    </row>
    <row r="512" ht="15.75" customHeight="1">
      <c r="B512" s="31"/>
      <c r="N512" s="127"/>
      <c r="S512" s="31" t="str">
        <f>IF($C512="","",IF(OR($M512="",$N512=""),'Lists &amp; Settings'!$O$10,IF($N512="Fail",'Lists &amp; Settings'!$O$9,IF($N512="Insufficient Evidence",'Lists &amp; Settings'!$O$10,IF($N512="Pass",IF($M512&gt;='Lists &amp; Settings'!$N$2,'Lists &amp; Settings'!$O$2,IF($M512&gt;='Lists &amp; Settings'!$N$3,'Lists &amp; Settings'!$O$3,'Lists &amp; Settings'!$O$4)),IF($N512="Partial",IF($M512&gt;='Lists &amp; Settings'!$N$6,'Lists &amp; Settings'!$O$6,IF($M512&gt;='Lists &amp; Settings'!$N$7,'Lists &amp; Settings'!$O$7,'Lists &amp; Settings'!$O$8)),'Lists &amp; Settings'!$O$10))))))</f>
        <v/>
      </c>
      <c r="T512" s="31"/>
      <c r="U512" s="31"/>
      <c r="V512" s="31"/>
    </row>
    <row r="513" ht="15.75" customHeight="1">
      <c r="B513" s="31"/>
      <c r="N513" s="127"/>
      <c r="S513" s="31" t="str">
        <f>IF($C513="","",IF(OR($M513="",$N513=""),'Lists &amp; Settings'!$O$10,IF($N513="Fail",'Lists &amp; Settings'!$O$9,IF($N513="Insufficient Evidence",'Lists &amp; Settings'!$O$10,IF($N513="Pass",IF($M513&gt;='Lists &amp; Settings'!$N$2,'Lists &amp; Settings'!$O$2,IF($M513&gt;='Lists &amp; Settings'!$N$3,'Lists &amp; Settings'!$O$3,'Lists &amp; Settings'!$O$4)),IF($N513="Partial",IF($M513&gt;='Lists &amp; Settings'!$N$6,'Lists &amp; Settings'!$O$6,IF($M513&gt;='Lists &amp; Settings'!$N$7,'Lists &amp; Settings'!$O$7,'Lists &amp; Settings'!$O$8)),'Lists &amp; Settings'!$O$10))))))</f>
        <v/>
      </c>
      <c r="T513" s="31"/>
      <c r="U513" s="31"/>
      <c r="V513" s="31"/>
    </row>
    <row r="514" ht="15.75" customHeight="1">
      <c r="B514" s="31"/>
      <c r="N514" s="127"/>
      <c r="S514" s="31" t="str">
        <f>IF($C514="","",IF(OR($M514="",$N514=""),'Lists &amp; Settings'!$O$10,IF($N514="Fail",'Lists &amp; Settings'!$O$9,IF($N514="Insufficient Evidence",'Lists &amp; Settings'!$O$10,IF($N514="Pass",IF($M514&gt;='Lists &amp; Settings'!$N$2,'Lists &amp; Settings'!$O$2,IF($M514&gt;='Lists &amp; Settings'!$N$3,'Lists &amp; Settings'!$O$3,'Lists &amp; Settings'!$O$4)),IF($N514="Partial",IF($M514&gt;='Lists &amp; Settings'!$N$6,'Lists &amp; Settings'!$O$6,IF($M514&gt;='Lists &amp; Settings'!$N$7,'Lists &amp; Settings'!$O$7,'Lists &amp; Settings'!$O$8)),'Lists &amp; Settings'!$O$10))))))</f>
        <v/>
      </c>
      <c r="T514" s="31"/>
      <c r="U514" s="31"/>
      <c r="V514" s="31"/>
    </row>
    <row r="515" ht="15.75" customHeight="1">
      <c r="B515" s="31"/>
      <c r="N515" s="127"/>
      <c r="S515" s="31" t="str">
        <f>IF($C515="","",IF(OR($M515="",$N515=""),'Lists &amp; Settings'!$O$10,IF($N515="Fail",'Lists &amp; Settings'!$O$9,IF($N515="Insufficient Evidence",'Lists &amp; Settings'!$O$10,IF($N515="Pass",IF($M515&gt;='Lists &amp; Settings'!$N$2,'Lists &amp; Settings'!$O$2,IF($M515&gt;='Lists &amp; Settings'!$N$3,'Lists &amp; Settings'!$O$3,'Lists &amp; Settings'!$O$4)),IF($N515="Partial",IF($M515&gt;='Lists &amp; Settings'!$N$6,'Lists &amp; Settings'!$O$6,IF($M515&gt;='Lists &amp; Settings'!$N$7,'Lists &amp; Settings'!$O$7,'Lists &amp; Settings'!$O$8)),'Lists &amp; Settings'!$O$10))))))</f>
        <v/>
      </c>
      <c r="T515" s="31"/>
      <c r="U515" s="31"/>
      <c r="V515" s="31"/>
    </row>
    <row r="516" ht="15.75" customHeight="1">
      <c r="B516" s="31"/>
      <c r="N516" s="127"/>
      <c r="S516" s="31" t="str">
        <f>IF($C516="","",IF(OR($M516="",$N516=""),'Lists &amp; Settings'!$O$10,IF($N516="Fail",'Lists &amp; Settings'!$O$9,IF($N516="Insufficient Evidence",'Lists &amp; Settings'!$O$10,IF($N516="Pass",IF($M516&gt;='Lists &amp; Settings'!$N$2,'Lists &amp; Settings'!$O$2,IF($M516&gt;='Lists &amp; Settings'!$N$3,'Lists &amp; Settings'!$O$3,'Lists &amp; Settings'!$O$4)),IF($N516="Partial",IF($M516&gt;='Lists &amp; Settings'!$N$6,'Lists &amp; Settings'!$O$6,IF($M516&gt;='Lists &amp; Settings'!$N$7,'Lists &amp; Settings'!$O$7,'Lists &amp; Settings'!$O$8)),'Lists &amp; Settings'!$O$10))))))</f>
        <v/>
      </c>
      <c r="T516" s="31"/>
      <c r="U516" s="31"/>
      <c r="V516" s="31"/>
    </row>
    <row r="517" ht="15.75" customHeight="1">
      <c r="B517" s="31"/>
      <c r="N517" s="127"/>
      <c r="S517" s="31" t="str">
        <f>IF($C517="","",IF(OR($M517="",$N517=""),'Lists &amp; Settings'!$O$10,IF($N517="Fail",'Lists &amp; Settings'!$O$9,IF($N517="Insufficient Evidence",'Lists &amp; Settings'!$O$10,IF($N517="Pass",IF($M517&gt;='Lists &amp; Settings'!$N$2,'Lists &amp; Settings'!$O$2,IF($M517&gt;='Lists &amp; Settings'!$N$3,'Lists &amp; Settings'!$O$3,'Lists &amp; Settings'!$O$4)),IF($N517="Partial",IF($M517&gt;='Lists &amp; Settings'!$N$6,'Lists &amp; Settings'!$O$6,IF($M517&gt;='Lists &amp; Settings'!$N$7,'Lists &amp; Settings'!$O$7,'Lists &amp; Settings'!$O$8)),'Lists &amp; Settings'!$O$10))))))</f>
        <v/>
      </c>
      <c r="T517" s="31"/>
      <c r="U517" s="31"/>
      <c r="V517" s="31"/>
    </row>
    <row r="518" ht="15.75" customHeight="1">
      <c r="B518" s="31"/>
      <c r="N518" s="127"/>
      <c r="S518" s="31" t="str">
        <f>IF($C518="","",IF(OR($M518="",$N518=""),'Lists &amp; Settings'!$O$10,IF($N518="Fail",'Lists &amp; Settings'!$O$9,IF($N518="Insufficient Evidence",'Lists &amp; Settings'!$O$10,IF($N518="Pass",IF($M518&gt;='Lists &amp; Settings'!$N$2,'Lists &amp; Settings'!$O$2,IF($M518&gt;='Lists &amp; Settings'!$N$3,'Lists &amp; Settings'!$O$3,'Lists &amp; Settings'!$O$4)),IF($N518="Partial",IF($M518&gt;='Lists &amp; Settings'!$N$6,'Lists &amp; Settings'!$O$6,IF($M518&gt;='Lists &amp; Settings'!$N$7,'Lists &amp; Settings'!$O$7,'Lists &amp; Settings'!$O$8)),'Lists &amp; Settings'!$O$10))))))</f>
        <v/>
      </c>
      <c r="T518" s="31"/>
      <c r="U518" s="31"/>
      <c r="V518" s="31"/>
    </row>
    <row r="519" ht="15.75" customHeight="1">
      <c r="B519" s="31"/>
      <c r="N519" s="127"/>
      <c r="S519" s="31" t="str">
        <f>IF($C519="","",IF(OR($M519="",$N519=""),'Lists &amp; Settings'!$O$10,IF($N519="Fail",'Lists &amp; Settings'!$O$9,IF($N519="Insufficient Evidence",'Lists &amp; Settings'!$O$10,IF($N519="Pass",IF($M519&gt;='Lists &amp; Settings'!$N$2,'Lists &amp; Settings'!$O$2,IF($M519&gt;='Lists &amp; Settings'!$N$3,'Lists &amp; Settings'!$O$3,'Lists &amp; Settings'!$O$4)),IF($N519="Partial",IF($M519&gt;='Lists &amp; Settings'!$N$6,'Lists &amp; Settings'!$O$6,IF($M519&gt;='Lists &amp; Settings'!$N$7,'Lists &amp; Settings'!$O$7,'Lists &amp; Settings'!$O$8)),'Lists &amp; Settings'!$O$10))))))</f>
        <v/>
      </c>
      <c r="T519" s="31"/>
      <c r="U519" s="31"/>
      <c r="V519" s="31"/>
    </row>
    <row r="520" ht="15.75" customHeight="1">
      <c r="B520" s="31"/>
      <c r="N520" s="127"/>
      <c r="S520" s="31" t="str">
        <f>IF($C520="","",IF(OR($M520="",$N520=""),'Lists &amp; Settings'!$O$10,IF($N520="Fail",'Lists &amp; Settings'!$O$9,IF($N520="Insufficient Evidence",'Lists &amp; Settings'!$O$10,IF($N520="Pass",IF($M520&gt;='Lists &amp; Settings'!$N$2,'Lists &amp; Settings'!$O$2,IF($M520&gt;='Lists &amp; Settings'!$N$3,'Lists &amp; Settings'!$O$3,'Lists &amp; Settings'!$O$4)),IF($N520="Partial",IF($M520&gt;='Lists &amp; Settings'!$N$6,'Lists &amp; Settings'!$O$6,IF($M520&gt;='Lists &amp; Settings'!$N$7,'Lists &amp; Settings'!$O$7,'Lists &amp; Settings'!$O$8)),'Lists &amp; Settings'!$O$10))))))</f>
        <v/>
      </c>
      <c r="T520" s="31"/>
      <c r="U520" s="31"/>
      <c r="V520" s="31"/>
    </row>
    <row r="521" ht="15.75" customHeight="1">
      <c r="B521" s="31"/>
      <c r="N521" s="127"/>
      <c r="S521" s="31" t="str">
        <f>IF($C521="","",IF(OR($M521="",$N521=""),'Lists &amp; Settings'!$O$10,IF($N521="Fail",'Lists &amp; Settings'!$O$9,IF($N521="Insufficient Evidence",'Lists &amp; Settings'!$O$10,IF($N521="Pass",IF($M521&gt;='Lists &amp; Settings'!$N$2,'Lists &amp; Settings'!$O$2,IF($M521&gt;='Lists &amp; Settings'!$N$3,'Lists &amp; Settings'!$O$3,'Lists &amp; Settings'!$O$4)),IF($N521="Partial",IF($M521&gt;='Lists &amp; Settings'!$N$6,'Lists &amp; Settings'!$O$6,IF($M521&gt;='Lists &amp; Settings'!$N$7,'Lists &amp; Settings'!$O$7,'Lists &amp; Settings'!$O$8)),'Lists &amp; Settings'!$O$10))))))</f>
        <v/>
      </c>
      <c r="T521" s="31"/>
      <c r="U521" s="31"/>
      <c r="V521" s="31"/>
    </row>
    <row r="522" ht="15.75" customHeight="1">
      <c r="B522" s="31"/>
      <c r="N522" s="127"/>
      <c r="S522" s="31" t="str">
        <f>IF($C522="","",IF(OR($M522="",$N522=""),'Lists &amp; Settings'!$O$10,IF($N522="Fail",'Lists &amp; Settings'!$O$9,IF($N522="Insufficient Evidence",'Lists &amp; Settings'!$O$10,IF($N522="Pass",IF($M522&gt;='Lists &amp; Settings'!$N$2,'Lists &amp; Settings'!$O$2,IF($M522&gt;='Lists &amp; Settings'!$N$3,'Lists &amp; Settings'!$O$3,'Lists &amp; Settings'!$O$4)),IF($N522="Partial",IF($M522&gt;='Lists &amp; Settings'!$N$6,'Lists &amp; Settings'!$O$6,IF($M522&gt;='Lists &amp; Settings'!$N$7,'Lists &amp; Settings'!$O$7,'Lists &amp; Settings'!$O$8)),'Lists &amp; Settings'!$O$10))))))</f>
        <v/>
      </c>
      <c r="T522" s="31"/>
      <c r="U522" s="31"/>
      <c r="V522" s="31"/>
    </row>
    <row r="523" ht="15.75" customHeight="1">
      <c r="B523" s="31"/>
      <c r="N523" s="127"/>
      <c r="S523" s="31" t="str">
        <f>IF($C523="","",IF(OR($M523="",$N523=""),'Lists &amp; Settings'!$O$10,IF($N523="Fail",'Lists &amp; Settings'!$O$9,IF($N523="Insufficient Evidence",'Lists &amp; Settings'!$O$10,IF($N523="Pass",IF($M523&gt;='Lists &amp; Settings'!$N$2,'Lists &amp; Settings'!$O$2,IF($M523&gt;='Lists &amp; Settings'!$N$3,'Lists &amp; Settings'!$O$3,'Lists &amp; Settings'!$O$4)),IF($N523="Partial",IF($M523&gt;='Lists &amp; Settings'!$N$6,'Lists &amp; Settings'!$O$6,IF($M523&gt;='Lists &amp; Settings'!$N$7,'Lists &amp; Settings'!$O$7,'Lists &amp; Settings'!$O$8)),'Lists &amp; Settings'!$O$10))))))</f>
        <v/>
      </c>
      <c r="T523" s="31"/>
      <c r="U523" s="31"/>
      <c r="V523" s="31"/>
    </row>
    <row r="524" ht="15.75" customHeight="1">
      <c r="B524" s="31"/>
      <c r="N524" s="127"/>
      <c r="S524" s="31" t="str">
        <f>IF($C524="","",IF(OR($M524="",$N524=""),'Lists &amp; Settings'!$O$10,IF($N524="Fail",'Lists &amp; Settings'!$O$9,IF($N524="Insufficient Evidence",'Lists &amp; Settings'!$O$10,IF($N524="Pass",IF($M524&gt;='Lists &amp; Settings'!$N$2,'Lists &amp; Settings'!$O$2,IF($M524&gt;='Lists &amp; Settings'!$N$3,'Lists &amp; Settings'!$O$3,'Lists &amp; Settings'!$O$4)),IF($N524="Partial",IF($M524&gt;='Lists &amp; Settings'!$N$6,'Lists &amp; Settings'!$O$6,IF($M524&gt;='Lists &amp; Settings'!$N$7,'Lists &amp; Settings'!$O$7,'Lists &amp; Settings'!$O$8)),'Lists &amp; Settings'!$O$10))))))</f>
        <v/>
      </c>
      <c r="T524" s="31"/>
      <c r="U524" s="31"/>
      <c r="V524" s="31"/>
    </row>
    <row r="525" ht="15.75" customHeight="1">
      <c r="B525" s="31"/>
      <c r="N525" s="127"/>
      <c r="S525" s="31" t="str">
        <f>IF($C525="","",IF(OR($M525="",$N525=""),'Lists &amp; Settings'!$O$10,IF($N525="Fail",'Lists &amp; Settings'!$O$9,IF($N525="Insufficient Evidence",'Lists &amp; Settings'!$O$10,IF($N525="Pass",IF($M525&gt;='Lists &amp; Settings'!$N$2,'Lists &amp; Settings'!$O$2,IF($M525&gt;='Lists &amp; Settings'!$N$3,'Lists &amp; Settings'!$O$3,'Lists &amp; Settings'!$O$4)),IF($N525="Partial",IF($M525&gt;='Lists &amp; Settings'!$N$6,'Lists &amp; Settings'!$O$6,IF($M525&gt;='Lists &amp; Settings'!$N$7,'Lists &amp; Settings'!$O$7,'Lists &amp; Settings'!$O$8)),'Lists &amp; Settings'!$O$10))))))</f>
        <v/>
      </c>
      <c r="T525" s="31"/>
      <c r="U525" s="31"/>
      <c r="V525" s="31"/>
    </row>
    <row r="526" ht="15.75" customHeight="1">
      <c r="B526" s="31"/>
      <c r="N526" s="127"/>
      <c r="S526" s="31" t="str">
        <f>IF($C526="","",IF(OR($M526="",$N526=""),'Lists &amp; Settings'!$O$10,IF($N526="Fail",'Lists &amp; Settings'!$O$9,IF($N526="Insufficient Evidence",'Lists &amp; Settings'!$O$10,IF($N526="Pass",IF($M526&gt;='Lists &amp; Settings'!$N$2,'Lists &amp; Settings'!$O$2,IF($M526&gt;='Lists &amp; Settings'!$N$3,'Lists &amp; Settings'!$O$3,'Lists &amp; Settings'!$O$4)),IF($N526="Partial",IF($M526&gt;='Lists &amp; Settings'!$N$6,'Lists &amp; Settings'!$O$6,IF($M526&gt;='Lists &amp; Settings'!$N$7,'Lists &amp; Settings'!$O$7,'Lists &amp; Settings'!$O$8)),'Lists &amp; Settings'!$O$10))))))</f>
        <v/>
      </c>
      <c r="T526" s="31"/>
      <c r="U526" s="31"/>
      <c r="V526" s="31"/>
    </row>
    <row r="527" ht="15.75" customHeight="1">
      <c r="B527" s="31"/>
      <c r="N527" s="127"/>
      <c r="S527" s="31" t="str">
        <f>IF($C527="","",IF(OR($M527="",$N527=""),'Lists &amp; Settings'!$O$10,IF($N527="Fail",'Lists &amp; Settings'!$O$9,IF($N527="Insufficient Evidence",'Lists &amp; Settings'!$O$10,IF($N527="Pass",IF($M527&gt;='Lists &amp; Settings'!$N$2,'Lists &amp; Settings'!$O$2,IF($M527&gt;='Lists &amp; Settings'!$N$3,'Lists &amp; Settings'!$O$3,'Lists &amp; Settings'!$O$4)),IF($N527="Partial",IF($M527&gt;='Lists &amp; Settings'!$N$6,'Lists &amp; Settings'!$O$6,IF($M527&gt;='Lists &amp; Settings'!$N$7,'Lists &amp; Settings'!$O$7,'Lists &amp; Settings'!$O$8)),'Lists &amp; Settings'!$O$10))))))</f>
        <v/>
      </c>
      <c r="T527" s="31"/>
      <c r="U527" s="31"/>
      <c r="V527" s="31"/>
    </row>
    <row r="528" ht="15.75" customHeight="1">
      <c r="B528" s="31"/>
      <c r="N528" s="127"/>
      <c r="S528" s="31" t="str">
        <f>IF($C528="","",IF(OR($M528="",$N528=""),'Lists &amp; Settings'!$O$10,IF($N528="Fail",'Lists &amp; Settings'!$O$9,IF($N528="Insufficient Evidence",'Lists &amp; Settings'!$O$10,IF($N528="Pass",IF($M528&gt;='Lists &amp; Settings'!$N$2,'Lists &amp; Settings'!$O$2,IF($M528&gt;='Lists &amp; Settings'!$N$3,'Lists &amp; Settings'!$O$3,'Lists &amp; Settings'!$O$4)),IF($N528="Partial",IF($M528&gt;='Lists &amp; Settings'!$N$6,'Lists &amp; Settings'!$O$6,IF($M528&gt;='Lists &amp; Settings'!$N$7,'Lists &amp; Settings'!$O$7,'Lists &amp; Settings'!$O$8)),'Lists &amp; Settings'!$O$10))))))</f>
        <v/>
      </c>
      <c r="T528" s="31"/>
      <c r="U528" s="31"/>
      <c r="V528" s="31"/>
    </row>
    <row r="529" ht="15.75" customHeight="1">
      <c r="B529" s="31"/>
      <c r="N529" s="127"/>
      <c r="S529" s="31" t="str">
        <f>IF($C529="","",IF(OR($M529="",$N529=""),'Lists &amp; Settings'!$O$10,IF($N529="Fail",'Lists &amp; Settings'!$O$9,IF($N529="Insufficient Evidence",'Lists &amp; Settings'!$O$10,IF($N529="Pass",IF($M529&gt;='Lists &amp; Settings'!$N$2,'Lists &amp; Settings'!$O$2,IF($M529&gt;='Lists &amp; Settings'!$N$3,'Lists &amp; Settings'!$O$3,'Lists &amp; Settings'!$O$4)),IF($N529="Partial",IF($M529&gt;='Lists &amp; Settings'!$N$6,'Lists &amp; Settings'!$O$6,IF($M529&gt;='Lists &amp; Settings'!$N$7,'Lists &amp; Settings'!$O$7,'Lists &amp; Settings'!$O$8)),'Lists &amp; Settings'!$O$10))))))</f>
        <v/>
      </c>
      <c r="T529" s="31"/>
      <c r="U529" s="31"/>
      <c r="V529" s="31"/>
    </row>
    <row r="530" ht="15.75" customHeight="1">
      <c r="B530" s="31"/>
      <c r="N530" s="127"/>
      <c r="S530" s="31" t="str">
        <f>IF($C530="","",IF(OR($M530="",$N530=""),'Lists &amp; Settings'!$O$10,IF($N530="Fail",'Lists &amp; Settings'!$O$9,IF($N530="Insufficient Evidence",'Lists &amp; Settings'!$O$10,IF($N530="Pass",IF($M530&gt;='Lists &amp; Settings'!$N$2,'Lists &amp; Settings'!$O$2,IF($M530&gt;='Lists &amp; Settings'!$N$3,'Lists &amp; Settings'!$O$3,'Lists &amp; Settings'!$O$4)),IF($N530="Partial",IF($M530&gt;='Lists &amp; Settings'!$N$6,'Lists &amp; Settings'!$O$6,IF($M530&gt;='Lists &amp; Settings'!$N$7,'Lists &amp; Settings'!$O$7,'Lists &amp; Settings'!$O$8)),'Lists &amp; Settings'!$O$10))))))</f>
        <v/>
      </c>
      <c r="T530" s="31"/>
      <c r="U530" s="31"/>
      <c r="V530" s="31"/>
    </row>
    <row r="531" ht="15.75" customHeight="1">
      <c r="B531" s="31"/>
      <c r="N531" s="127"/>
      <c r="S531" s="31" t="str">
        <f>IF($C531="","",IF(OR($M531="",$N531=""),'Lists &amp; Settings'!$O$10,IF($N531="Fail",'Lists &amp; Settings'!$O$9,IF($N531="Insufficient Evidence",'Lists &amp; Settings'!$O$10,IF($N531="Pass",IF($M531&gt;='Lists &amp; Settings'!$N$2,'Lists &amp; Settings'!$O$2,IF($M531&gt;='Lists &amp; Settings'!$N$3,'Lists &amp; Settings'!$O$3,'Lists &amp; Settings'!$O$4)),IF($N531="Partial",IF($M531&gt;='Lists &amp; Settings'!$N$6,'Lists &amp; Settings'!$O$6,IF($M531&gt;='Lists &amp; Settings'!$N$7,'Lists &amp; Settings'!$O$7,'Lists &amp; Settings'!$O$8)),'Lists &amp; Settings'!$O$10))))))</f>
        <v/>
      </c>
      <c r="T531" s="31"/>
      <c r="U531" s="31"/>
      <c r="V531" s="31"/>
    </row>
    <row r="532" ht="15.75" customHeight="1">
      <c r="B532" s="31"/>
      <c r="N532" s="127"/>
      <c r="S532" s="31" t="str">
        <f>IF($C532="","",IF(OR($M532="",$N532=""),'Lists &amp; Settings'!$O$10,IF($N532="Fail",'Lists &amp; Settings'!$O$9,IF($N532="Insufficient Evidence",'Lists &amp; Settings'!$O$10,IF($N532="Pass",IF($M532&gt;='Lists &amp; Settings'!$N$2,'Lists &amp; Settings'!$O$2,IF($M532&gt;='Lists &amp; Settings'!$N$3,'Lists &amp; Settings'!$O$3,'Lists &amp; Settings'!$O$4)),IF($N532="Partial",IF($M532&gt;='Lists &amp; Settings'!$N$6,'Lists &amp; Settings'!$O$6,IF($M532&gt;='Lists &amp; Settings'!$N$7,'Lists &amp; Settings'!$O$7,'Lists &amp; Settings'!$O$8)),'Lists &amp; Settings'!$O$10))))))</f>
        <v/>
      </c>
      <c r="T532" s="31"/>
      <c r="U532" s="31"/>
      <c r="V532" s="31"/>
    </row>
    <row r="533" ht="15.75" customHeight="1">
      <c r="B533" s="31"/>
      <c r="N533" s="127"/>
      <c r="S533" s="31" t="str">
        <f>IF($C533="","",IF(OR($M533="",$N533=""),'Lists &amp; Settings'!$O$10,IF($N533="Fail",'Lists &amp; Settings'!$O$9,IF($N533="Insufficient Evidence",'Lists &amp; Settings'!$O$10,IF($N533="Pass",IF($M533&gt;='Lists &amp; Settings'!$N$2,'Lists &amp; Settings'!$O$2,IF($M533&gt;='Lists &amp; Settings'!$N$3,'Lists &amp; Settings'!$O$3,'Lists &amp; Settings'!$O$4)),IF($N533="Partial",IF($M533&gt;='Lists &amp; Settings'!$N$6,'Lists &amp; Settings'!$O$6,IF($M533&gt;='Lists &amp; Settings'!$N$7,'Lists &amp; Settings'!$O$7,'Lists &amp; Settings'!$O$8)),'Lists &amp; Settings'!$O$10))))))</f>
        <v/>
      </c>
      <c r="T533" s="31"/>
      <c r="U533" s="31"/>
      <c r="V533" s="31"/>
    </row>
    <row r="534" ht="15.75" customHeight="1">
      <c r="B534" s="31"/>
      <c r="N534" s="127"/>
      <c r="S534" s="31" t="str">
        <f>IF($C534="","",IF(OR($M534="",$N534=""),'Lists &amp; Settings'!$O$10,IF($N534="Fail",'Lists &amp; Settings'!$O$9,IF($N534="Insufficient Evidence",'Lists &amp; Settings'!$O$10,IF($N534="Pass",IF($M534&gt;='Lists &amp; Settings'!$N$2,'Lists &amp; Settings'!$O$2,IF($M534&gt;='Lists &amp; Settings'!$N$3,'Lists &amp; Settings'!$O$3,'Lists &amp; Settings'!$O$4)),IF($N534="Partial",IF($M534&gt;='Lists &amp; Settings'!$N$6,'Lists &amp; Settings'!$O$6,IF($M534&gt;='Lists &amp; Settings'!$N$7,'Lists &amp; Settings'!$O$7,'Lists &amp; Settings'!$O$8)),'Lists &amp; Settings'!$O$10))))))</f>
        <v/>
      </c>
      <c r="T534" s="31"/>
      <c r="U534" s="31"/>
      <c r="V534" s="31"/>
    </row>
    <row r="535" ht="15.75" customHeight="1">
      <c r="B535" s="31"/>
      <c r="N535" s="127"/>
      <c r="S535" s="31" t="str">
        <f>IF($C535="","",IF(OR($M535="",$N535=""),'Lists &amp; Settings'!$O$10,IF($N535="Fail",'Lists &amp; Settings'!$O$9,IF($N535="Insufficient Evidence",'Lists &amp; Settings'!$O$10,IF($N535="Pass",IF($M535&gt;='Lists &amp; Settings'!$N$2,'Lists &amp; Settings'!$O$2,IF($M535&gt;='Lists &amp; Settings'!$N$3,'Lists &amp; Settings'!$O$3,'Lists &amp; Settings'!$O$4)),IF($N535="Partial",IF($M535&gt;='Lists &amp; Settings'!$N$6,'Lists &amp; Settings'!$O$6,IF($M535&gt;='Lists &amp; Settings'!$N$7,'Lists &amp; Settings'!$O$7,'Lists &amp; Settings'!$O$8)),'Lists &amp; Settings'!$O$10))))))</f>
        <v/>
      </c>
      <c r="T535" s="31"/>
      <c r="U535" s="31"/>
      <c r="V535" s="31"/>
    </row>
    <row r="536" ht="15.75" customHeight="1">
      <c r="B536" s="31"/>
      <c r="N536" s="127"/>
      <c r="S536" s="31" t="str">
        <f>IF($C536="","",IF(OR($M536="",$N536=""),'Lists &amp; Settings'!$O$10,IF($N536="Fail",'Lists &amp; Settings'!$O$9,IF($N536="Insufficient Evidence",'Lists &amp; Settings'!$O$10,IF($N536="Pass",IF($M536&gt;='Lists &amp; Settings'!$N$2,'Lists &amp; Settings'!$O$2,IF($M536&gt;='Lists &amp; Settings'!$N$3,'Lists &amp; Settings'!$O$3,'Lists &amp; Settings'!$O$4)),IF($N536="Partial",IF($M536&gt;='Lists &amp; Settings'!$N$6,'Lists &amp; Settings'!$O$6,IF($M536&gt;='Lists &amp; Settings'!$N$7,'Lists &amp; Settings'!$O$7,'Lists &amp; Settings'!$O$8)),'Lists &amp; Settings'!$O$10))))))</f>
        <v/>
      </c>
      <c r="T536" s="31"/>
      <c r="U536" s="31"/>
      <c r="V536" s="31"/>
    </row>
    <row r="537" ht="15.75" customHeight="1">
      <c r="B537" s="31"/>
      <c r="N537" s="127"/>
      <c r="S537" s="31" t="str">
        <f>IF($C537="","",IF(OR($M537="",$N537=""),'Lists &amp; Settings'!$O$10,IF($N537="Fail",'Lists &amp; Settings'!$O$9,IF($N537="Insufficient Evidence",'Lists &amp; Settings'!$O$10,IF($N537="Pass",IF($M537&gt;='Lists &amp; Settings'!$N$2,'Lists &amp; Settings'!$O$2,IF($M537&gt;='Lists &amp; Settings'!$N$3,'Lists &amp; Settings'!$O$3,'Lists &amp; Settings'!$O$4)),IF($N537="Partial",IF($M537&gt;='Lists &amp; Settings'!$N$6,'Lists &amp; Settings'!$O$6,IF($M537&gt;='Lists &amp; Settings'!$N$7,'Lists &amp; Settings'!$O$7,'Lists &amp; Settings'!$O$8)),'Lists &amp; Settings'!$O$10))))))</f>
        <v/>
      </c>
      <c r="T537" s="31"/>
      <c r="U537" s="31"/>
      <c r="V537" s="31"/>
    </row>
    <row r="538" ht="15.75" customHeight="1">
      <c r="B538" s="31"/>
      <c r="N538" s="127"/>
      <c r="S538" s="31" t="str">
        <f>IF($C538="","",IF(OR($M538="",$N538=""),'Lists &amp; Settings'!$O$10,IF($N538="Fail",'Lists &amp; Settings'!$O$9,IF($N538="Insufficient Evidence",'Lists &amp; Settings'!$O$10,IF($N538="Pass",IF($M538&gt;='Lists &amp; Settings'!$N$2,'Lists &amp; Settings'!$O$2,IF($M538&gt;='Lists &amp; Settings'!$N$3,'Lists &amp; Settings'!$O$3,'Lists &amp; Settings'!$O$4)),IF($N538="Partial",IF($M538&gt;='Lists &amp; Settings'!$N$6,'Lists &amp; Settings'!$O$6,IF($M538&gt;='Lists &amp; Settings'!$N$7,'Lists &amp; Settings'!$O$7,'Lists &amp; Settings'!$O$8)),'Lists &amp; Settings'!$O$10))))))</f>
        <v/>
      </c>
      <c r="T538" s="31"/>
      <c r="U538" s="31"/>
      <c r="V538" s="31"/>
    </row>
    <row r="539" ht="15.75" customHeight="1">
      <c r="B539" s="31"/>
      <c r="N539" s="127"/>
      <c r="S539" s="31" t="str">
        <f>IF($C539="","",IF(OR($M539="",$N539=""),'Lists &amp; Settings'!$O$10,IF($N539="Fail",'Lists &amp; Settings'!$O$9,IF($N539="Insufficient Evidence",'Lists &amp; Settings'!$O$10,IF($N539="Pass",IF($M539&gt;='Lists &amp; Settings'!$N$2,'Lists &amp; Settings'!$O$2,IF($M539&gt;='Lists &amp; Settings'!$N$3,'Lists &amp; Settings'!$O$3,'Lists &amp; Settings'!$O$4)),IF($N539="Partial",IF($M539&gt;='Lists &amp; Settings'!$N$6,'Lists &amp; Settings'!$O$6,IF($M539&gt;='Lists &amp; Settings'!$N$7,'Lists &amp; Settings'!$O$7,'Lists &amp; Settings'!$O$8)),'Lists &amp; Settings'!$O$10))))))</f>
        <v/>
      </c>
      <c r="T539" s="31"/>
      <c r="U539" s="31"/>
      <c r="V539" s="31"/>
    </row>
    <row r="540" ht="15.75" customHeight="1">
      <c r="B540" s="31"/>
      <c r="N540" s="127"/>
      <c r="S540" s="31" t="str">
        <f>IF($C540="","",IF(OR($M540="",$N540=""),'Lists &amp; Settings'!$O$10,IF($N540="Fail",'Lists &amp; Settings'!$O$9,IF($N540="Insufficient Evidence",'Lists &amp; Settings'!$O$10,IF($N540="Pass",IF($M540&gt;='Lists &amp; Settings'!$N$2,'Lists &amp; Settings'!$O$2,IF($M540&gt;='Lists &amp; Settings'!$N$3,'Lists &amp; Settings'!$O$3,'Lists &amp; Settings'!$O$4)),IF($N540="Partial",IF($M540&gt;='Lists &amp; Settings'!$N$6,'Lists &amp; Settings'!$O$6,IF($M540&gt;='Lists &amp; Settings'!$N$7,'Lists &amp; Settings'!$O$7,'Lists &amp; Settings'!$O$8)),'Lists &amp; Settings'!$O$10))))))</f>
        <v/>
      </c>
      <c r="T540" s="31"/>
      <c r="U540" s="31"/>
      <c r="V540" s="31"/>
    </row>
    <row r="541" ht="15.75" customHeight="1">
      <c r="B541" s="31"/>
      <c r="N541" s="127"/>
      <c r="S541" s="31" t="str">
        <f>IF($C541="","",IF(OR($M541="",$N541=""),'Lists &amp; Settings'!$O$10,IF($N541="Fail",'Lists &amp; Settings'!$O$9,IF($N541="Insufficient Evidence",'Lists &amp; Settings'!$O$10,IF($N541="Pass",IF($M541&gt;='Lists &amp; Settings'!$N$2,'Lists &amp; Settings'!$O$2,IF($M541&gt;='Lists &amp; Settings'!$N$3,'Lists &amp; Settings'!$O$3,'Lists &amp; Settings'!$O$4)),IF($N541="Partial",IF($M541&gt;='Lists &amp; Settings'!$N$6,'Lists &amp; Settings'!$O$6,IF($M541&gt;='Lists &amp; Settings'!$N$7,'Lists &amp; Settings'!$O$7,'Lists &amp; Settings'!$O$8)),'Lists &amp; Settings'!$O$10))))))</f>
        <v/>
      </c>
      <c r="T541" s="31"/>
      <c r="U541" s="31"/>
      <c r="V541" s="31"/>
    </row>
    <row r="542" ht="15.75" customHeight="1">
      <c r="B542" s="31"/>
      <c r="N542" s="127"/>
      <c r="S542" s="31" t="str">
        <f>IF($C542="","",IF(OR($M542="",$N542=""),'Lists &amp; Settings'!$O$10,IF($N542="Fail",'Lists &amp; Settings'!$O$9,IF($N542="Insufficient Evidence",'Lists &amp; Settings'!$O$10,IF($N542="Pass",IF($M542&gt;='Lists &amp; Settings'!$N$2,'Lists &amp; Settings'!$O$2,IF($M542&gt;='Lists &amp; Settings'!$N$3,'Lists &amp; Settings'!$O$3,'Lists &amp; Settings'!$O$4)),IF($N542="Partial",IF($M542&gt;='Lists &amp; Settings'!$N$6,'Lists &amp; Settings'!$O$6,IF($M542&gt;='Lists &amp; Settings'!$N$7,'Lists &amp; Settings'!$O$7,'Lists &amp; Settings'!$O$8)),'Lists &amp; Settings'!$O$10))))))</f>
        <v/>
      </c>
      <c r="T542" s="31"/>
      <c r="U542" s="31"/>
      <c r="V542" s="31"/>
    </row>
    <row r="543" ht="15.75" customHeight="1">
      <c r="B543" s="31"/>
      <c r="N543" s="127"/>
      <c r="S543" s="31" t="str">
        <f>IF($C543="","",IF(OR($M543="",$N543=""),'Lists &amp; Settings'!$O$10,IF($N543="Fail",'Lists &amp; Settings'!$O$9,IF($N543="Insufficient Evidence",'Lists &amp; Settings'!$O$10,IF($N543="Pass",IF($M543&gt;='Lists &amp; Settings'!$N$2,'Lists &amp; Settings'!$O$2,IF($M543&gt;='Lists &amp; Settings'!$N$3,'Lists &amp; Settings'!$O$3,'Lists &amp; Settings'!$O$4)),IF($N543="Partial",IF($M543&gt;='Lists &amp; Settings'!$N$6,'Lists &amp; Settings'!$O$6,IF($M543&gt;='Lists &amp; Settings'!$N$7,'Lists &amp; Settings'!$O$7,'Lists &amp; Settings'!$O$8)),'Lists &amp; Settings'!$O$10))))))</f>
        <v/>
      </c>
      <c r="T543" s="31"/>
      <c r="U543" s="31"/>
      <c r="V543" s="31"/>
    </row>
    <row r="544" ht="15.75" customHeight="1">
      <c r="B544" s="31"/>
      <c r="N544" s="127"/>
      <c r="S544" s="31" t="str">
        <f>IF($C544="","",IF(OR($M544="",$N544=""),'Lists &amp; Settings'!$O$10,IF($N544="Fail",'Lists &amp; Settings'!$O$9,IF($N544="Insufficient Evidence",'Lists &amp; Settings'!$O$10,IF($N544="Pass",IF($M544&gt;='Lists &amp; Settings'!$N$2,'Lists &amp; Settings'!$O$2,IF($M544&gt;='Lists &amp; Settings'!$N$3,'Lists &amp; Settings'!$O$3,'Lists &amp; Settings'!$O$4)),IF($N544="Partial",IF($M544&gt;='Lists &amp; Settings'!$N$6,'Lists &amp; Settings'!$O$6,IF($M544&gt;='Lists &amp; Settings'!$N$7,'Lists &amp; Settings'!$O$7,'Lists &amp; Settings'!$O$8)),'Lists &amp; Settings'!$O$10))))))</f>
        <v/>
      </c>
      <c r="T544" s="31"/>
      <c r="U544" s="31"/>
      <c r="V544" s="31"/>
    </row>
    <row r="545" ht="15.75" customHeight="1">
      <c r="B545" s="31"/>
      <c r="N545" s="127"/>
      <c r="S545" s="31" t="str">
        <f>IF($C545="","",IF(OR($M545="",$N545=""),'Lists &amp; Settings'!$O$10,IF($N545="Fail",'Lists &amp; Settings'!$O$9,IF($N545="Insufficient Evidence",'Lists &amp; Settings'!$O$10,IF($N545="Pass",IF($M545&gt;='Lists &amp; Settings'!$N$2,'Lists &amp; Settings'!$O$2,IF($M545&gt;='Lists &amp; Settings'!$N$3,'Lists &amp; Settings'!$O$3,'Lists &amp; Settings'!$O$4)),IF($N545="Partial",IF($M545&gt;='Lists &amp; Settings'!$N$6,'Lists &amp; Settings'!$O$6,IF($M545&gt;='Lists &amp; Settings'!$N$7,'Lists &amp; Settings'!$O$7,'Lists &amp; Settings'!$O$8)),'Lists &amp; Settings'!$O$10))))))</f>
        <v/>
      </c>
      <c r="T545" s="31"/>
      <c r="U545" s="31"/>
      <c r="V545" s="31"/>
    </row>
    <row r="546" ht="15.75" customHeight="1">
      <c r="B546" s="31"/>
      <c r="N546" s="127"/>
      <c r="S546" s="31" t="str">
        <f>IF($C546="","",IF(OR($M546="",$N546=""),'Lists &amp; Settings'!$O$10,IF($N546="Fail",'Lists &amp; Settings'!$O$9,IF($N546="Insufficient Evidence",'Lists &amp; Settings'!$O$10,IF($N546="Pass",IF($M546&gt;='Lists &amp; Settings'!$N$2,'Lists &amp; Settings'!$O$2,IF($M546&gt;='Lists &amp; Settings'!$N$3,'Lists &amp; Settings'!$O$3,'Lists &amp; Settings'!$O$4)),IF($N546="Partial",IF($M546&gt;='Lists &amp; Settings'!$N$6,'Lists &amp; Settings'!$O$6,IF($M546&gt;='Lists &amp; Settings'!$N$7,'Lists &amp; Settings'!$O$7,'Lists &amp; Settings'!$O$8)),'Lists &amp; Settings'!$O$10))))))</f>
        <v/>
      </c>
      <c r="T546" s="31"/>
      <c r="U546" s="31"/>
      <c r="V546" s="31"/>
    </row>
    <row r="547" ht="15.75" customHeight="1">
      <c r="B547" s="31"/>
      <c r="N547" s="127"/>
      <c r="S547" s="31" t="str">
        <f>IF($C547="","",IF(OR($M547="",$N547=""),'Lists &amp; Settings'!$O$10,IF($N547="Fail",'Lists &amp; Settings'!$O$9,IF($N547="Insufficient Evidence",'Lists &amp; Settings'!$O$10,IF($N547="Pass",IF($M547&gt;='Lists &amp; Settings'!$N$2,'Lists &amp; Settings'!$O$2,IF($M547&gt;='Lists &amp; Settings'!$N$3,'Lists &amp; Settings'!$O$3,'Lists &amp; Settings'!$O$4)),IF($N547="Partial",IF($M547&gt;='Lists &amp; Settings'!$N$6,'Lists &amp; Settings'!$O$6,IF($M547&gt;='Lists &amp; Settings'!$N$7,'Lists &amp; Settings'!$O$7,'Lists &amp; Settings'!$O$8)),'Lists &amp; Settings'!$O$10))))))</f>
        <v/>
      </c>
      <c r="T547" s="31"/>
      <c r="U547" s="31"/>
      <c r="V547" s="31"/>
    </row>
    <row r="548" ht="15.75" customHeight="1">
      <c r="B548" s="31"/>
      <c r="N548" s="127"/>
      <c r="S548" s="31" t="str">
        <f>IF($C548="","",IF(OR($M548="",$N548=""),'Lists &amp; Settings'!$O$10,IF($N548="Fail",'Lists &amp; Settings'!$O$9,IF($N548="Insufficient Evidence",'Lists &amp; Settings'!$O$10,IF($N548="Pass",IF($M548&gt;='Lists &amp; Settings'!$N$2,'Lists &amp; Settings'!$O$2,IF($M548&gt;='Lists &amp; Settings'!$N$3,'Lists &amp; Settings'!$O$3,'Lists &amp; Settings'!$O$4)),IF($N548="Partial",IF($M548&gt;='Lists &amp; Settings'!$N$6,'Lists &amp; Settings'!$O$6,IF($M548&gt;='Lists &amp; Settings'!$N$7,'Lists &amp; Settings'!$O$7,'Lists &amp; Settings'!$O$8)),'Lists &amp; Settings'!$O$10))))))</f>
        <v/>
      </c>
      <c r="T548" s="31"/>
      <c r="U548" s="31"/>
      <c r="V548" s="31"/>
    </row>
    <row r="549" ht="15.75" customHeight="1">
      <c r="B549" s="31"/>
      <c r="N549" s="127"/>
      <c r="S549" s="31" t="str">
        <f>IF($C549="","",IF(OR($M549="",$N549=""),'Lists &amp; Settings'!$O$10,IF($N549="Fail",'Lists &amp; Settings'!$O$9,IF($N549="Insufficient Evidence",'Lists &amp; Settings'!$O$10,IF($N549="Pass",IF($M549&gt;='Lists &amp; Settings'!$N$2,'Lists &amp; Settings'!$O$2,IF($M549&gt;='Lists &amp; Settings'!$N$3,'Lists &amp; Settings'!$O$3,'Lists &amp; Settings'!$O$4)),IF($N549="Partial",IF($M549&gt;='Lists &amp; Settings'!$N$6,'Lists &amp; Settings'!$O$6,IF($M549&gt;='Lists &amp; Settings'!$N$7,'Lists &amp; Settings'!$O$7,'Lists &amp; Settings'!$O$8)),'Lists &amp; Settings'!$O$10))))))</f>
        <v/>
      </c>
      <c r="T549" s="31"/>
      <c r="U549" s="31"/>
      <c r="V549" s="31"/>
    </row>
    <row r="550" ht="15.75" customHeight="1">
      <c r="B550" s="31"/>
      <c r="N550" s="127"/>
      <c r="S550" s="31" t="str">
        <f>IF($C550="","",IF(OR($M550="",$N550=""),'Lists &amp; Settings'!$O$10,IF($N550="Fail",'Lists &amp; Settings'!$O$9,IF($N550="Insufficient Evidence",'Lists &amp; Settings'!$O$10,IF($N550="Pass",IF($M550&gt;='Lists &amp; Settings'!$N$2,'Lists &amp; Settings'!$O$2,IF($M550&gt;='Lists &amp; Settings'!$N$3,'Lists &amp; Settings'!$O$3,'Lists &amp; Settings'!$O$4)),IF($N550="Partial",IF($M550&gt;='Lists &amp; Settings'!$N$6,'Lists &amp; Settings'!$O$6,IF($M550&gt;='Lists &amp; Settings'!$N$7,'Lists &amp; Settings'!$O$7,'Lists &amp; Settings'!$O$8)),'Lists &amp; Settings'!$O$10))))))</f>
        <v/>
      </c>
      <c r="T550" s="31"/>
      <c r="U550" s="31"/>
      <c r="V550" s="31"/>
    </row>
    <row r="551" ht="15.75" customHeight="1">
      <c r="B551" s="31"/>
      <c r="N551" s="127"/>
      <c r="S551" s="31" t="str">
        <f>IF($C551="","",IF(OR($M551="",$N551=""),'Lists &amp; Settings'!$O$10,IF($N551="Fail",'Lists &amp; Settings'!$O$9,IF($N551="Insufficient Evidence",'Lists &amp; Settings'!$O$10,IF($N551="Pass",IF($M551&gt;='Lists &amp; Settings'!$N$2,'Lists &amp; Settings'!$O$2,IF($M551&gt;='Lists &amp; Settings'!$N$3,'Lists &amp; Settings'!$O$3,'Lists &amp; Settings'!$O$4)),IF($N551="Partial",IF($M551&gt;='Lists &amp; Settings'!$N$6,'Lists &amp; Settings'!$O$6,IF($M551&gt;='Lists &amp; Settings'!$N$7,'Lists &amp; Settings'!$O$7,'Lists &amp; Settings'!$O$8)),'Lists &amp; Settings'!$O$10))))))</f>
        <v/>
      </c>
      <c r="T551" s="31"/>
      <c r="U551" s="31"/>
      <c r="V551" s="31"/>
    </row>
    <row r="552" ht="15.75" customHeight="1">
      <c r="B552" s="31"/>
      <c r="N552" s="127"/>
      <c r="S552" s="31" t="str">
        <f>IF($C552="","",IF(OR($M552="",$N552=""),'Lists &amp; Settings'!$O$10,IF($N552="Fail",'Lists &amp; Settings'!$O$9,IF($N552="Insufficient Evidence",'Lists &amp; Settings'!$O$10,IF($N552="Pass",IF($M552&gt;='Lists &amp; Settings'!$N$2,'Lists &amp; Settings'!$O$2,IF($M552&gt;='Lists &amp; Settings'!$N$3,'Lists &amp; Settings'!$O$3,'Lists &amp; Settings'!$O$4)),IF($N552="Partial",IF($M552&gt;='Lists &amp; Settings'!$N$6,'Lists &amp; Settings'!$O$6,IF($M552&gt;='Lists &amp; Settings'!$N$7,'Lists &amp; Settings'!$O$7,'Lists &amp; Settings'!$O$8)),'Lists &amp; Settings'!$O$10))))))</f>
        <v/>
      </c>
      <c r="T552" s="31"/>
      <c r="U552" s="31"/>
      <c r="V552" s="31"/>
    </row>
    <row r="553" ht="15.75" customHeight="1">
      <c r="B553" s="31"/>
      <c r="N553" s="127"/>
      <c r="S553" s="31" t="str">
        <f>IF($C553="","",IF(OR($M553="",$N553=""),'Lists &amp; Settings'!$O$10,IF($N553="Fail",'Lists &amp; Settings'!$O$9,IF($N553="Insufficient Evidence",'Lists &amp; Settings'!$O$10,IF($N553="Pass",IF($M553&gt;='Lists &amp; Settings'!$N$2,'Lists &amp; Settings'!$O$2,IF($M553&gt;='Lists &amp; Settings'!$N$3,'Lists &amp; Settings'!$O$3,'Lists &amp; Settings'!$O$4)),IF($N553="Partial",IF($M553&gt;='Lists &amp; Settings'!$N$6,'Lists &amp; Settings'!$O$6,IF($M553&gt;='Lists &amp; Settings'!$N$7,'Lists &amp; Settings'!$O$7,'Lists &amp; Settings'!$O$8)),'Lists &amp; Settings'!$O$10))))))</f>
        <v/>
      </c>
      <c r="T553" s="31"/>
      <c r="U553" s="31"/>
      <c r="V553" s="31"/>
    </row>
    <row r="554" ht="15.75" customHeight="1">
      <c r="B554" s="31"/>
      <c r="N554" s="127"/>
      <c r="S554" s="31" t="str">
        <f>IF($C554="","",IF(OR($M554="",$N554=""),'Lists &amp; Settings'!$O$10,IF($N554="Fail",'Lists &amp; Settings'!$O$9,IF($N554="Insufficient Evidence",'Lists &amp; Settings'!$O$10,IF($N554="Pass",IF($M554&gt;='Lists &amp; Settings'!$N$2,'Lists &amp; Settings'!$O$2,IF($M554&gt;='Lists &amp; Settings'!$N$3,'Lists &amp; Settings'!$O$3,'Lists &amp; Settings'!$O$4)),IF($N554="Partial",IF($M554&gt;='Lists &amp; Settings'!$N$6,'Lists &amp; Settings'!$O$6,IF($M554&gt;='Lists &amp; Settings'!$N$7,'Lists &amp; Settings'!$O$7,'Lists &amp; Settings'!$O$8)),'Lists &amp; Settings'!$O$10))))))</f>
        <v/>
      </c>
      <c r="T554" s="31"/>
      <c r="U554" s="31"/>
      <c r="V554" s="31"/>
    </row>
    <row r="555" ht="15.75" customHeight="1">
      <c r="B555" s="31"/>
      <c r="N555" s="127"/>
      <c r="S555" s="31" t="str">
        <f>IF($C555="","",IF(OR($M555="",$N555=""),'Lists &amp; Settings'!$O$10,IF($N555="Fail",'Lists &amp; Settings'!$O$9,IF($N555="Insufficient Evidence",'Lists &amp; Settings'!$O$10,IF($N555="Pass",IF($M555&gt;='Lists &amp; Settings'!$N$2,'Lists &amp; Settings'!$O$2,IF($M555&gt;='Lists &amp; Settings'!$N$3,'Lists &amp; Settings'!$O$3,'Lists &amp; Settings'!$O$4)),IF($N555="Partial",IF($M555&gt;='Lists &amp; Settings'!$N$6,'Lists &amp; Settings'!$O$6,IF($M555&gt;='Lists &amp; Settings'!$N$7,'Lists &amp; Settings'!$O$7,'Lists &amp; Settings'!$O$8)),'Lists &amp; Settings'!$O$10))))))</f>
        <v/>
      </c>
      <c r="T555" s="31"/>
      <c r="U555" s="31"/>
      <c r="V555" s="31"/>
    </row>
    <row r="556" ht="15.75" customHeight="1">
      <c r="B556" s="31"/>
      <c r="N556" s="127"/>
      <c r="S556" s="31" t="str">
        <f>IF($C556="","",IF(OR($M556="",$N556=""),'Lists &amp; Settings'!$O$10,IF($N556="Fail",'Lists &amp; Settings'!$O$9,IF($N556="Insufficient Evidence",'Lists &amp; Settings'!$O$10,IF($N556="Pass",IF($M556&gt;='Lists &amp; Settings'!$N$2,'Lists &amp; Settings'!$O$2,IF($M556&gt;='Lists &amp; Settings'!$N$3,'Lists &amp; Settings'!$O$3,'Lists &amp; Settings'!$O$4)),IF($N556="Partial",IF($M556&gt;='Lists &amp; Settings'!$N$6,'Lists &amp; Settings'!$O$6,IF($M556&gt;='Lists &amp; Settings'!$N$7,'Lists &amp; Settings'!$O$7,'Lists &amp; Settings'!$O$8)),'Lists &amp; Settings'!$O$10))))))</f>
        <v/>
      </c>
      <c r="T556" s="31"/>
      <c r="U556" s="31"/>
      <c r="V556" s="31"/>
    </row>
    <row r="557" ht="15.75" customHeight="1">
      <c r="B557" s="31"/>
      <c r="N557" s="127"/>
      <c r="S557" s="31" t="str">
        <f>IF($C557="","",IF(OR($M557="",$N557=""),'Lists &amp; Settings'!$O$10,IF($N557="Fail",'Lists &amp; Settings'!$O$9,IF($N557="Insufficient Evidence",'Lists &amp; Settings'!$O$10,IF($N557="Pass",IF($M557&gt;='Lists &amp; Settings'!$N$2,'Lists &amp; Settings'!$O$2,IF($M557&gt;='Lists &amp; Settings'!$N$3,'Lists &amp; Settings'!$O$3,'Lists &amp; Settings'!$O$4)),IF($N557="Partial",IF($M557&gt;='Lists &amp; Settings'!$N$6,'Lists &amp; Settings'!$O$6,IF($M557&gt;='Lists &amp; Settings'!$N$7,'Lists &amp; Settings'!$O$7,'Lists &amp; Settings'!$O$8)),'Lists &amp; Settings'!$O$10))))))</f>
        <v/>
      </c>
      <c r="T557" s="31"/>
      <c r="U557" s="31"/>
      <c r="V557" s="31"/>
    </row>
    <row r="558" ht="15.75" customHeight="1">
      <c r="B558" s="31"/>
      <c r="N558" s="127"/>
      <c r="S558" s="31" t="str">
        <f>IF($C558="","",IF(OR($M558="",$N558=""),'Lists &amp; Settings'!$O$10,IF($N558="Fail",'Lists &amp; Settings'!$O$9,IF($N558="Insufficient Evidence",'Lists &amp; Settings'!$O$10,IF($N558="Pass",IF($M558&gt;='Lists &amp; Settings'!$N$2,'Lists &amp; Settings'!$O$2,IF($M558&gt;='Lists &amp; Settings'!$N$3,'Lists &amp; Settings'!$O$3,'Lists &amp; Settings'!$O$4)),IF($N558="Partial",IF($M558&gt;='Lists &amp; Settings'!$N$6,'Lists &amp; Settings'!$O$6,IF($M558&gt;='Lists &amp; Settings'!$N$7,'Lists &amp; Settings'!$O$7,'Lists &amp; Settings'!$O$8)),'Lists &amp; Settings'!$O$10))))))</f>
        <v/>
      </c>
      <c r="T558" s="31"/>
      <c r="U558" s="31"/>
      <c r="V558" s="31"/>
    </row>
    <row r="559" ht="15.75" customHeight="1">
      <c r="B559" s="31"/>
      <c r="N559" s="127"/>
      <c r="S559" s="31" t="str">
        <f>IF($C559="","",IF(OR($M559="",$N559=""),'Lists &amp; Settings'!$O$10,IF($N559="Fail",'Lists &amp; Settings'!$O$9,IF($N559="Insufficient Evidence",'Lists &amp; Settings'!$O$10,IF($N559="Pass",IF($M559&gt;='Lists &amp; Settings'!$N$2,'Lists &amp; Settings'!$O$2,IF($M559&gt;='Lists &amp; Settings'!$N$3,'Lists &amp; Settings'!$O$3,'Lists &amp; Settings'!$O$4)),IF($N559="Partial",IF($M559&gt;='Lists &amp; Settings'!$N$6,'Lists &amp; Settings'!$O$6,IF($M559&gt;='Lists &amp; Settings'!$N$7,'Lists &amp; Settings'!$O$7,'Lists &amp; Settings'!$O$8)),'Lists &amp; Settings'!$O$10))))))</f>
        <v/>
      </c>
      <c r="T559" s="31"/>
      <c r="U559" s="31"/>
      <c r="V559" s="31"/>
    </row>
    <row r="560" ht="15.75" customHeight="1">
      <c r="B560" s="31"/>
      <c r="N560" s="127"/>
      <c r="S560" s="31" t="str">
        <f>IF($C560="","",IF(OR($M560="",$N560=""),'Lists &amp; Settings'!$O$10,IF($N560="Fail",'Lists &amp; Settings'!$O$9,IF($N560="Insufficient Evidence",'Lists &amp; Settings'!$O$10,IF($N560="Pass",IF($M560&gt;='Lists &amp; Settings'!$N$2,'Lists &amp; Settings'!$O$2,IF($M560&gt;='Lists &amp; Settings'!$N$3,'Lists &amp; Settings'!$O$3,'Lists &amp; Settings'!$O$4)),IF($N560="Partial",IF($M560&gt;='Lists &amp; Settings'!$N$6,'Lists &amp; Settings'!$O$6,IF($M560&gt;='Lists &amp; Settings'!$N$7,'Lists &amp; Settings'!$O$7,'Lists &amp; Settings'!$O$8)),'Lists &amp; Settings'!$O$10))))))</f>
        <v/>
      </c>
      <c r="T560" s="31"/>
      <c r="U560" s="31"/>
      <c r="V560" s="31"/>
    </row>
    <row r="561" ht="15.75" customHeight="1">
      <c r="B561" s="31"/>
      <c r="N561" s="127"/>
      <c r="S561" s="31" t="str">
        <f>IF($C561="","",IF(OR($M561="",$N561=""),'Lists &amp; Settings'!$O$10,IF($N561="Fail",'Lists &amp; Settings'!$O$9,IF($N561="Insufficient Evidence",'Lists &amp; Settings'!$O$10,IF($N561="Pass",IF($M561&gt;='Lists &amp; Settings'!$N$2,'Lists &amp; Settings'!$O$2,IF($M561&gt;='Lists &amp; Settings'!$N$3,'Lists &amp; Settings'!$O$3,'Lists &amp; Settings'!$O$4)),IF($N561="Partial",IF($M561&gt;='Lists &amp; Settings'!$N$6,'Lists &amp; Settings'!$O$6,IF($M561&gt;='Lists &amp; Settings'!$N$7,'Lists &amp; Settings'!$O$7,'Lists &amp; Settings'!$O$8)),'Lists &amp; Settings'!$O$10))))))</f>
        <v/>
      </c>
      <c r="T561" s="31"/>
      <c r="U561" s="31"/>
      <c r="V561" s="31"/>
    </row>
    <row r="562" ht="15.75" customHeight="1">
      <c r="B562" s="31"/>
      <c r="N562" s="127"/>
      <c r="S562" s="31" t="str">
        <f>IF($C562="","",IF(OR($M562="",$N562=""),'Lists &amp; Settings'!$O$10,IF($N562="Fail",'Lists &amp; Settings'!$O$9,IF($N562="Insufficient Evidence",'Lists &amp; Settings'!$O$10,IF($N562="Pass",IF($M562&gt;='Lists &amp; Settings'!$N$2,'Lists &amp; Settings'!$O$2,IF($M562&gt;='Lists &amp; Settings'!$N$3,'Lists &amp; Settings'!$O$3,'Lists &amp; Settings'!$O$4)),IF($N562="Partial",IF($M562&gt;='Lists &amp; Settings'!$N$6,'Lists &amp; Settings'!$O$6,IF($M562&gt;='Lists &amp; Settings'!$N$7,'Lists &amp; Settings'!$O$7,'Lists &amp; Settings'!$O$8)),'Lists &amp; Settings'!$O$10))))))</f>
        <v/>
      </c>
      <c r="T562" s="31"/>
      <c r="U562" s="31"/>
      <c r="V562" s="31"/>
    </row>
    <row r="563" ht="15.75" customHeight="1">
      <c r="B563" s="31"/>
      <c r="N563" s="127"/>
      <c r="S563" s="31" t="str">
        <f>IF($C563="","",IF(OR($M563="",$N563=""),'Lists &amp; Settings'!$O$10,IF($N563="Fail",'Lists &amp; Settings'!$O$9,IF($N563="Insufficient Evidence",'Lists &amp; Settings'!$O$10,IF($N563="Pass",IF($M563&gt;='Lists &amp; Settings'!$N$2,'Lists &amp; Settings'!$O$2,IF($M563&gt;='Lists &amp; Settings'!$N$3,'Lists &amp; Settings'!$O$3,'Lists &amp; Settings'!$O$4)),IF($N563="Partial",IF($M563&gt;='Lists &amp; Settings'!$N$6,'Lists &amp; Settings'!$O$6,IF($M563&gt;='Lists &amp; Settings'!$N$7,'Lists &amp; Settings'!$O$7,'Lists &amp; Settings'!$O$8)),'Lists &amp; Settings'!$O$10))))))</f>
        <v/>
      </c>
      <c r="T563" s="31"/>
      <c r="U563" s="31"/>
      <c r="V563" s="31"/>
    </row>
    <row r="564" ht="15.75" customHeight="1">
      <c r="B564" s="31"/>
      <c r="N564" s="127"/>
      <c r="S564" s="31" t="str">
        <f>IF($C564="","",IF(OR($M564="",$N564=""),'Lists &amp; Settings'!$O$10,IF($N564="Fail",'Lists &amp; Settings'!$O$9,IF($N564="Insufficient Evidence",'Lists &amp; Settings'!$O$10,IF($N564="Pass",IF($M564&gt;='Lists &amp; Settings'!$N$2,'Lists &amp; Settings'!$O$2,IF($M564&gt;='Lists &amp; Settings'!$N$3,'Lists &amp; Settings'!$O$3,'Lists &amp; Settings'!$O$4)),IF($N564="Partial",IF($M564&gt;='Lists &amp; Settings'!$N$6,'Lists &amp; Settings'!$O$6,IF($M564&gt;='Lists &amp; Settings'!$N$7,'Lists &amp; Settings'!$O$7,'Lists &amp; Settings'!$O$8)),'Lists &amp; Settings'!$O$10))))))</f>
        <v/>
      </c>
      <c r="T564" s="31"/>
      <c r="U564" s="31"/>
      <c r="V564" s="31"/>
    </row>
    <row r="565" ht="15.75" customHeight="1">
      <c r="B565" s="31"/>
      <c r="N565" s="127"/>
      <c r="S565" s="31" t="str">
        <f>IF($C565="","",IF(OR($M565="",$N565=""),'Lists &amp; Settings'!$O$10,IF($N565="Fail",'Lists &amp; Settings'!$O$9,IF($N565="Insufficient Evidence",'Lists &amp; Settings'!$O$10,IF($N565="Pass",IF($M565&gt;='Lists &amp; Settings'!$N$2,'Lists &amp; Settings'!$O$2,IF($M565&gt;='Lists &amp; Settings'!$N$3,'Lists &amp; Settings'!$O$3,'Lists &amp; Settings'!$O$4)),IF($N565="Partial",IF($M565&gt;='Lists &amp; Settings'!$N$6,'Lists &amp; Settings'!$O$6,IF($M565&gt;='Lists &amp; Settings'!$N$7,'Lists &amp; Settings'!$O$7,'Lists &amp; Settings'!$O$8)),'Lists &amp; Settings'!$O$10))))))</f>
        <v/>
      </c>
      <c r="T565" s="31"/>
      <c r="U565" s="31"/>
      <c r="V565" s="31"/>
    </row>
    <row r="566" ht="15.75" customHeight="1">
      <c r="B566" s="31"/>
      <c r="N566" s="127"/>
      <c r="S566" s="31" t="str">
        <f>IF($C566="","",IF(OR($M566="",$N566=""),'Lists &amp; Settings'!$O$10,IF($N566="Fail",'Lists &amp; Settings'!$O$9,IF($N566="Insufficient Evidence",'Lists &amp; Settings'!$O$10,IF($N566="Pass",IF($M566&gt;='Lists &amp; Settings'!$N$2,'Lists &amp; Settings'!$O$2,IF($M566&gt;='Lists &amp; Settings'!$N$3,'Lists &amp; Settings'!$O$3,'Lists &amp; Settings'!$O$4)),IF($N566="Partial",IF($M566&gt;='Lists &amp; Settings'!$N$6,'Lists &amp; Settings'!$O$6,IF($M566&gt;='Lists &amp; Settings'!$N$7,'Lists &amp; Settings'!$O$7,'Lists &amp; Settings'!$O$8)),'Lists &amp; Settings'!$O$10))))))</f>
        <v/>
      </c>
      <c r="T566" s="31"/>
      <c r="U566" s="31"/>
      <c r="V566" s="31"/>
    </row>
    <row r="567" ht="15.75" customHeight="1">
      <c r="B567" s="31"/>
      <c r="N567" s="127"/>
      <c r="S567" s="31" t="str">
        <f>IF($C567="","",IF(OR($M567="",$N567=""),'Lists &amp; Settings'!$O$10,IF($N567="Fail",'Lists &amp; Settings'!$O$9,IF($N567="Insufficient Evidence",'Lists &amp; Settings'!$O$10,IF($N567="Pass",IF($M567&gt;='Lists &amp; Settings'!$N$2,'Lists &amp; Settings'!$O$2,IF($M567&gt;='Lists &amp; Settings'!$N$3,'Lists &amp; Settings'!$O$3,'Lists &amp; Settings'!$O$4)),IF($N567="Partial",IF($M567&gt;='Lists &amp; Settings'!$N$6,'Lists &amp; Settings'!$O$6,IF($M567&gt;='Lists &amp; Settings'!$N$7,'Lists &amp; Settings'!$O$7,'Lists &amp; Settings'!$O$8)),'Lists &amp; Settings'!$O$10))))))</f>
        <v/>
      </c>
      <c r="T567" s="31"/>
      <c r="U567" s="31"/>
      <c r="V567" s="31"/>
    </row>
    <row r="568" ht="15.75" customHeight="1">
      <c r="B568" s="31"/>
      <c r="N568" s="127"/>
      <c r="S568" s="31" t="str">
        <f>IF($C568="","",IF(OR($M568="",$N568=""),'Lists &amp; Settings'!$O$10,IF($N568="Fail",'Lists &amp; Settings'!$O$9,IF($N568="Insufficient Evidence",'Lists &amp; Settings'!$O$10,IF($N568="Pass",IF($M568&gt;='Lists &amp; Settings'!$N$2,'Lists &amp; Settings'!$O$2,IF($M568&gt;='Lists &amp; Settings'!$N$3,'Lists &amp; Settings'!$O$3,'Lists &amp; Settings'!$O$4)),IF($N568="Partial",IF($M568&gt;='Lists &amp; Settings'!$N$6,'Lists &amp; Settings'!$O$6,IF($M568&gt;='Lists &amp; Settings'!$N$7,'Lists &amp; Settings'!$O$7,'Lists &amp; Settings'!$O$8)),'Lists &amp; Settings'!$O$10))))))</f>
        <v/>
      </c>
      <c r="T568" s="31"/>
      <c r="U568" s="31"/>
      <c r="V568" s="31"/>
    </row>
    <row r="569" ht="15.75" customHeight="1">
      <c r="B569" s="31"/>
      <c r="N569" s="127"/>
      <c r="S569" s="31" t="str">
        <f>IF($C569="","",IF(OR($M569="",$N569=""),'Lists &amp; Settings'!$O$10,IF($N569="Fail",'Lists &amp; Settings'!$O$9,IF($N569="Insufficient Evidence",'Lists &amp; Settings'!$O$10,IF($N569="Pass",IF($M569&gt;='Lists &amp; Settings'!$N$2,'Lists &amp; Settings'!$O$2,IF($M569&gt;='Lists &amp; Settings'!$N$3,'Lists &amp; Settings'!$O$3,'Lists &amp; Settings'!$O$4)),IF($N569="Partial",IF($M569&gt;='Lists &amp; Settings'!$N$6,'Lists &amp; Settings'!$O$6,IF($M569&gt;='Lists &amp; Settings'!$N$7,'Lists &amp; Settings'!$O$7,'Lists &amp; Settings'!$O$8)),'Lists &amp; Settings'!$O$10))))))</f>
        <v/>
      </c>
      <c r="T569" s="31"/>
      <c r="U569" s="31"/>
      <c r="V569" s="31"/>
    </row>
    <row r="570" ht="15.75" customHeight="1">
      <c r="B570" s="31"/>
      <c r="N570" s="127"/>
      <c r="S570" s="31" t="str">
        <f>IF($C570="","",IF(OR($M570="",$N570=""),'Lists &amp; Settings'!$O$10,IF($N570="Fail",'Lists &amp; Settings'!$O$9,IF($N570="Insufficient Evidence",'Lists &amp; Settings'!$O$10,IF($N570="Pass",IF($M570&gt;='Lists &amp; Settings'!$N$2,'Lists &amp; Settings'!$O$2,IF($M570&gt;='Lists &amp; Settings'!$N$3,'Lists &amp; Settings'!$O$3,'Lists &amp; Settings'!$O$4)),IF($N570="Partial",IF($M570&gt;='Lists &amp; Settings'!$N$6,'Lists &amp; Settings'!$O$6,IF($M570&gt;='Lists &amp; Settings'!$N$7,'Lists &amp; Settings'!$O$7,'Lists &amp; Settings'!$O$8)),'Lists &amp; Settings'!$O$10))))))</f>
        <v/>
      </c>
      <c r="T570" s="31"/>
      <c r="U570" s="31"/>
      <c r="V570" s="31"/>
    </row>
    <row r="571" ht="15.75" customHeight="1">
      <c r="B571" s="31"/>
      <c r="N571" s="127"/>
      <c r="S571" s="31" t="str">
        <f>IF($C571="","",IF(OR($M571="",$N571=""),'Lists &amp; Settings'!$O$10,IF($N571="Fail",'Lists &amp; Settings'!$O$9,IF($N571="Insufficient Evidence",'Lists &amp; Settings'!$O$10,IF($N571="Pass",IF($M571&gt;='Lists &amp; Settings'!$N$2,'Lists &amp; Settings'!$O$2,IF($M571&gt;='Lists &amp; Settings'!$N$3,'Lists &amp; Settings'!$O$3,'Lists &amp; Settings'!$O$4)),IF($N571="Partial",IF($M571&gt;='Lists &amp; Settings'!$N$6,'Lists &amp; Settings'!$O$6,IF($M571&gt;='Lists &amp; Settings'!$N$7,'Lists &amp; Settings'!$O$7,'Lists &amp; Settings'!$O$8)),'Lists &amp; Settings'!$O$10))))))</f>
        <v/>
      </c>
      <c r="T571" s="31"/>
      <c r="U571" s="31"/>
      <c r="V571" s="31"/>
    </row>
    <row r="572" ht="15.75" customHeight="1">
      <c r="B572" s="31"/>
      <c r="N572" s="127"/>
      <c r="S572" s="31" t="str">
        <f>IF($C572="","",IF(OR($M572="",$N572=""),'Lists &amp; Settings'!$O$10,IF($N572="Fail",'Lists &amp; Settings'!$O$9,IF($N572="Insufficient Evidence",'Lists &amp; Settings'!$O$10,IF($N572="Pass",IF($M572&gt;='Lists &amp; Settings'!$N$2,'Lists &amp; Settings'!$O$2,IF($M572&gt;='Lists &amp; Settings'!$N$3,'Lists &amp; Settings'!$O$3,'Lists &amp; Settings'!$O$4)),IF($N572="Partial",IF($M572&gt;='Lists &amp; Settings'!$N$6,'Lists &amp; Settings'!$O$6,IF($M572&gt;='Lists &amp; Settings'!$N$7,'Lists &amp; Settings'!$O$7,'Lists &amp; Settings'!$O$8)),'Lists &amp; Settings'!$O$10))))))</f>
        <v/>
      </c>
      <c r="T572" s="31"/>
      <c r="U572" s="31"/>
      <c r="V572" s="31"/>
    </row>
    <row r="573" ht="15.75" customHeight="1">
      <c r="B573" s="31"/>
      <c r="N573" s="127"/>
      <c r="S573" s="31" t="str">
        <f>IF($C573="","",IF(OR($M573="",$N573=""),'Lists &amp; Settings'!$O$10,IF($N573="Fail",'Lists &amp; Settings'!$O$9,IF($N573="Insufficient Evidence",'Lists &amp; Settings'!$O$10,IF($N573="Pass",IF($M573&gt;='Lists &amp; Settings'!$N$2,'Lists &amp; Settings'!$O$2,IF($M573&gt;='Lists &amp; Settings'!$N$3,'Lists &amp; Settings'!$O$3,'Lists &amp; Settings'!$O$4)),IF($N573="Partial",IF($M573&gt;='Lists &amp; Settings'!$N$6,'Lists &amp; Settings'!$O$6,IF($M573&gt;='Lists &amp; Settings'!$N$7,'Lists &amp; Settings'!$O$7,'Lists &amp; Settings'!$O$8)),'Lists &amp; Settings'!$O$10))))))</f>
        <v/>
      </c>
      <c r="T573" s="31"/>
      <c r="U573" s="31"/>
      <c r="V573" s="31"/>
    </row>
    <row r="574" ht="15.75" customHeight="1">
      <c r="B574" s="31"/>
      <c r="N574" s="127"/>
      <c r="S574" s="31" t="str">
        <f>IF($C574="","",IF(OR($M574="",$N574=""),'Lists &amp; Settings'!$O$10,IF($N574="Fail",'Lists &amp; Settings'!$O$9,IF($N574="Insufficient Evidence",'Lists &amp; Settings'!$O$10,IF($N574="Pass",IF($M574&gt;='Lists &amp; Settings'!$N$2,'Lists &amp; Settings'!$O$2,IF($M574&gt;='Lists &amp; Settings'!$N$3,'Lists &amp; Settings'!$O$3,'Lists &amp; Settings'!$O$4)),IF($N574="Partial",IF($M574&gt;='Lists &amp; Settings'!$N$6,'Lists &amp; Settings'!$O$6,IF($M574&gt;='Lists &amp; Settings'!$N$7,'Lists &amp; Settings'!$O$7,'Lists &amp; Settings'!$O$8)),'Lists &amp; Settings'!$O$10))))))</f>
        <v/>
      </c>
      <c r="T574" s="31"/>
      <c r="U574" s="31"/>
      <c r="V574" s="31"/>
    </row>
    <row r="575" ht="15.75" customHeight="1">
      <c r="B575" s="31"/>
      <c r="N575" s="127"/>
      <c r="S575" s="31" t="str">
        <f>IF($C575="","",IF(OR($M575="",$N575=""),'Lists &amp; Settings'!$O$10,IF($N575="Fail",'Lists &amp; Settings'!$O$9,IF($N575="Insufficient Evidence",'Lists &amp; Settings'!$O$10,IF($N575="Pass",IF($M575&gt;='Lists &amp; Settings'!$N$2,'Lists &amp; Settings'!$O$2,IF($M575&gt;='Lists &amp; Settings'!$N$3,'Lists &amp; Settings'!$O$3,'Lists &amp; Settings'!$O$4)),IF($N575="Partial",IF($M575&gt;='Lists &amp; Settings'!$N$6,'Lists &amp; Settings'!$O$6,IF($M575&gt;='Lists &amp; Settings'!$N$7,'Lists &amp; Settings'!$O$7,'Lists &amp; Settings'!$O$8)),'Lists &amp; Settings'!$O$10))))))</f>
        <v/>
      </c>
      <c r="T575" s="31"/>
      <c r="U575" s="31"/>
      <c r="V575" s="31"/>
    </row>
    <row r="576" ht="15.75" customHeight="1">
      <c r="B576" s="31"/>
      <c r="N576" s="127"/>
      <c r="S576" s="31" t="str">
        <f>IF($C576="","",IF(OR($M576="",$N576=""),'Lists &amp; Settings'!$O$10,IF($N576="Fail",'Lists &amp; Settings'!$O$9,IF($N576="Insufficient Evidence",'Lists &amp; Settings'!$O$10,IF($N576="Pass",IF($M576&gt;='Lists &amp; Settings'!$N$2,'Lists &amp; Settings'!$O$2,IF($M576&gt;='Lists &amp; Settings'!$N$3,'Lists &amp; Settings'!$O$3,'Lists &amp; Settings'!$O$4)),IF($N576="Partial",IF($M576&gt;='Lists &amp; Settings'!$N$6,'Lists &amp; Settings'!$O$6,IF($M576&gt;='Lists &amp; Settings'!$N$7,'Lists &amp; Settings'!$O$7,'Lists &amp; Settings'!$O$8)),'Lists &amp; Settings'!$O$10))))))</f>
        <v/>
      </c>
      <c r="T576" s="31"/>
      <c r="U576" s="31"/>
      <c r="V576" s="31"/>
    </row>
    <row r="577" ht="15.75" customHeight="1">
      <c r="B577" s="31"/>
      <c r="N577" s="127"/>
      <c r="S577" s="31" t="str">
        <f>IF($C577="","",IF(OR($M577="",$N577=""),'Lists &amp; Settings'!$O$10,IF($N577="Fail",'Lists &amp; Settings'!$O$9,IF($N577="Insufficient Evidence",'Lists &amp; Settings'!$O$10,IF($N577="Pass",IF($M577&gt;='Lists &amp; Settings'!$N$2,'Lists &amp; Settings'!$O$2,IF($M577&gt;='Lists &amp; Settings'!$N$3,'Lists &amp; Settings'!$O$3,'Lists &amp; Settings'!$O$4)),IF($N577="Partial",IF($M577&gt;='Lists &amp; Settings'!$N$6,'Lists &amp; Settings'!$O$6,IF($M577&gt;='Lists &amp; Settings'!$N$7,'Lists &amp; Settings'!$O$7,'Lists &amp; Settings'!$O$8)),'Lists &amp; Settings'!$O$10))))))</f>
        <v/>
      </c>
      <c r="T577" s="31"/>
      <c r="U577" s="31"/>
      <c r="V577" s="31"/>
    </row>
    <row r="578" ht="15.75" customHeight="1">
      <c r="B578" s="31"/>
      <c r="N578" s="127"/>
      <c r="S578" s="31" t="str">
        <f>IF($C578="","",IF(OR($M578="",$N578=""),'Lists &amp; Settings'!$O$10,IF($N578="Fail",'Lists &amp; Settings'!$O$9,IF($N578="Insufficient Evidence",'Lists &amp; Settings'!$O$10,IF($N578="Pass",IF($M578&gt;='Lists &amp; Settings'!$N$2,'Lists &amp; Settings'!$O$2,IF($M578&gt;='Lists &amp; Settings'!$N$3,'Lists &amp; Settings'!$O$3,'Lists &amp; Settings'!$O$4)),IF($N578="Partial",IF($M578&gt;='Lists &amp; Settings'!$N$6,'Lists &amp; Settings'!$O$6,IF($M578&gt;='Lists &amp; Settings'!$N$7,'Lists &amp; Settings'!$O$7,'Lists &amp; Settings'!$O$8)),'Lists &amp; Settings'!$O$10))))))</f>
        <v/>
      </c>
      <c r="T578" s="31"/>
      <c r="U578" s="31"/>
      <c r="V578" s="31"/>
    </row>
    <row r="579" ht="15.75" customHeight="1">
      <c r="B579" s="31"/>
      <c r="N579" s="127"/>
      <c r="S579" s="31" t="str">
        <f>IF($C579="","",IF(OR($M579="",$N579=""),'Lists &amp; Settings'!$O$10,IF($N579="Fail",'Lists &amp; Settings'!$O$9,IF($N579="Insufficient Evidence",'Lists &amp; Settings'!$O$10,IF($N579="Pass",IF($M579&gt;='Lists &amp; Settings'!$N$2,'Lists &amp; Settings'!$O$2,IF($M579&gt;='Lists &amp; Settings'!$N$3,'Lists &amp; Settings'!$O$3,'Lists &amp; Settings'!$O$4)),IF($N579="Partial",IF($M579&gt;='Lists &amp; Settings'!$N$6,'Lists &amp; Settings'!$O$6,IF($M579&gt;='Lists &amp; Settings'!$N$7,'Lists &amp; Settings'!$O$7,'Lists &amp; Settings'!$O$8)),'Lists &amp; Settings'!$O$10))))))</f>
        <v/>
      </c>
      <c r="T579" s="31"/>
      <c r="U579" s="31"/>
      <c r="V579" s="31"/>
    </row>
    <row r="580" ht="15.75" customHeight="1">
      <c r="B580" s="31"/>
      <c r="N580" s="127"/>
      <c r="S580" s="31" t="str">
        <f>IF($C580="","",IF(OR($M580="",$N580=""),'Lists &amp; Settings'!$O$10,IF($N580="Fail",'Lists &amp; Settings'!$O$9,IF($N580="Insufficient Evidence",'Lists &amp; Settings'!$O$10,IF($N580="Pass",IF($M580&gt;='Lists &amp; Settings'!$N$2,'Lists &amp; Settings'!$O$2,IF($M580&gt;='Lists &amp; Settings'!$N$3,'Lists &amp; Settings'!$O$3,'Lists &amp; Settings'!$O$4)),IF($N580="Partial",IF($M580&gt;='Lists &amp; Settings'!$N$6,'Lists &amp; Settings'!$O$6,IF($M580&gt;='Lists &amp; Settings'!$N$7,'Lists &amp; Settings'!$O$7,'Lists &amp; Settings'!$O$8)),'Lists &amp; Settings'!$O$10))))))</f>
        <v/>
      </c>
      <c r="T580" s="31"/>
      <c r="U580" s="31"/>
      <c r="V580" s="31"/>
    </row>
    <row r="581" ht="15.75" customHeight="1">
      <c r="B581" s="31"/>
      <c r="N581" s="127"/>
      <c r="S581" s="31" t="str">
        <f>IF($C581="","",IF(OR($M581="",$N581=""),'Lists &amp; Settings'!$O$10,IF($N581="Fail",'Lists &amp; Settings'!$O$9,IF($N581="Insufficient Evidence",'Lists &amp; Settings'!$O$10,IF($N581="Pass",IF($M581&gt;='Lists &amp; Settings'!$N$2,'Lists &amp; Settings'!$O$2,IF($M581&gt;='Lists &amp; Settings'!$N$3,'Lists &amp; Settings'!$O$3,'Lists &amp; Settings'!$O$4)),IF($N581="Partial",IF($M581&gt;='Lists &amp; Settings'!$N$6,'Lists &amp; Settings'!$O$6,IF($M581&gt;='Lists &amp; Settings'!$N$7,'Lists &amp; Settings'!$O$7,'Lists &amp; Settings'!$O$8)),'Lists &amp; Settings'!$O$10))))))</f>
        <v/>
      </c>
      <c r="T581" s="31"/>
      <c r="U581" s="31"/>
      <c r="V581" s="31"/>
    </row>
    <row r="582" ht="15.75" customHeight="1">
      <c r="B582" s="31"/>
      <c r="N582" s="127"/>
      <c r="S582" s="31" t="str">
        <f>IF($C582="","",IF(OR($M582="",$N582=""),'Lists &amp; Settings'!$O$10,IF($N582="Fail",'Lists &amp; Settings'!$O$9,IF($N582="Insufficient Evidence",'Lists &amp; Settings'!$O$10,IF($N582="Pass",IF($M582&gt;='Lists &amp; Settings'!$N$2,'Lists &amp; Settings'!$O$2,IF($M582&gt;='Lists &amp; Settings'!$N$3,'Lists &amp; Settings'!$O$3,'Lists &amp; Settings'!$O$4)),IF($N582="Partial",IF($M582&gt;='Lists &amp; Settings'!$N$6,'Lists &amp; Settings'!$O$6,IF($M582&gt;='Lists &amp; Settings'!$N$7,'Lists &amp; Settings'!$O$7,'Lists &amp; Settings'!$O$8)),'Lists &amp; Settings'!$O$10))))))</f>
        <v/>
      </c>
      <c r="T582" s="31"/>
      <c r="U582" s="31"/>
      <c r="V582" s="31"/>
    </row>
    <row r="583" ht="15.75" customHeight="1">
      <c r="B583" s="31"/>
      <c r="N583" s="127"/>
      <c r="S583" s="31" t="str">
        <f>IF($C583="","",IF(OR($M583="",$N583=""),'Lists &amp; Settings'!$O$10,IF($N583="Fail",'Lists &amp; Settings'!$O$9,IF($N583="Insufficient Evidence",'Lists &amp; Settings'!$O$10,IF($N583="Pass",IF($M583&gt;='Lists &amp; Settings'!$N$2,'Lists &amp; Settings'!$O$2,IF($M583&gt;='Lists &amp; Settings'!$N$3,'Lists &amp; Settings'!$O$3,'Lists &amp; Settings'!$O$4)),IF($N583="Partial",IF($M583&gt;='Lists &amp; Settings'!$N$6,'Lists &amp; Settings'!$O$6,IF($M583&gt;='Lists &amp; Settings'!$N$7,'Lists &amp; Settings'!$O$7,'Lists &amp; Settings'!$O$8)),'Lists &amp; Settings'!$O$10))))))</f>
        <v/>
      </c>
      <c r="T583" s="31"/>
      <c r="U583" s="31"/>
      <c r="V583" s="31"/>
    </row>
    <row r="584" ht="15.75" customHeight="1">
      <c r="B584" s="31"/>
      <c r="N584" s="127"/>
      <c r="S584" s="31" t="str">
        <f>IF($C584="","",IF(OR($M584="",$N584=""),'Lists &amp; Settings'!$O$10,IF($N584="Fail",'Lists &amp; Settings'!$O$9,IF($N584="Insufficient Evidence",'Lists &amp; Settings'!$O$10,IF($N584="Pass",IF($M584&gt;='Lists &amp; Settings'!$N$2,'Lists &amp; Settings'!$O$2,IF($M584&gt;='Lists &amp; Settings'!$N$3,'Lists &amp; Settings'!$O$3,'Lists &amp; Settings'!$O$4)),IF($N584="Partial",IF($M584&gt;='Lists &amp; Settings'!$N$6,'Lists &amp; Settings'!$O$6,IF($M584&gt;='Lists &amp; Settings'!$N$7,'Lists &amp; Settings'!$O$7,'Lists &amp; Settings'!$O$8)),'Lists &amp; Settings'!$O$10))))))</f>
        <v/>
      </c>
      <c r="T584" s="31"/>
      <c r="U584" s="31"/>
      <c r="V584" s="31"/>
    </row>
    <row r="585" ht="15.75" customHeight="1">
      <c r="B585" s="31"/>
      <c r="N585" s="127"/>
      <c r="S585" s="31" t="str">
        <f>IF($C585="","",IF(OR($M585="",$N585=""),'Lists &amp; Settings'!$O$10,IF($N585="Fail",'Lists &amp; Settings'!$O$9,IF($N585="Insufficient Evidence",'Lists &amp; Settings'!$O$10,IF($N585="Pass",IF($M585&gt;='Lists &amp; Settings'!$N$2,'Lists &amp; Settings'!$O$2,IF($M585&gt;='Lists &amp; Settings'!$N$3,'Lists &amp; Settings'!$O$3,'Lists &amp; Settings'!$O$4)),IF($N585="Partial",IF($M585&gt;='Lists &amp; Settings'!$N$6,'Lists &amp; Settings'!$O$6,IF($M585&gt;='Lists &amp; Settings'!$N$7,'Lists &amp; Settings'!$O$7,'Lists &amp; Settings'!$O$8)),'Lists &amp; Settings'!$O$10))))))</f>
        <v/>
      </c>
      <c r="T585" s="31"/>
      <c r="U585" s="31"/>
      <c r="V585" s="31"/>
    </row>
    <row r="586" ht="15.75" customHeight="1">
      <c r="B586" s="31"/>
      <c r="N586" s="127"/>
      <c r="S586" s="31" t="str">
        <f>IF($C586="","",IF(OR($M586="",$N586=""),'Lists &amp; Settings'!$O$10,IF($N586="Fail",'Lists &amp; Settings'!$O$9,IF($N586="Insufficient Evidence",'Lists &amp; Settings'!$O$10,IF($N586="Pass",IF($M586&gt;='Lists &amp; Settings'!$N$2,'Lists &amp; Settings'!$O$2,IF($M586&gt;='Lists &amp; Settings'!$N$3,'Lists &amp; Settings'!$O$3,'Lists &amp; Settings'!$O$4)),IF($N586="Partial",IF($M586&gt;='Lists &amp; Settings'!$N$6,'Lists &amp; Settings'!$O$6,IF($M586&gt;='Lists &amp; Settings'!$N$7,'Lists &amp; Settings'!$O$7,'Lists &amp; Settings'!$O$8)),'Lists &amp; Settings'!$O$10))))))</f>
        <v/>
      </c>
      <c r="T586" s="31"/>
      <c r="U586" s="31"/>
      <c r="V586" s="31"/>
    </row>
    <row r="587" ht="15.75" customHeight="1">
      <c r="B587" s="31"/>
      <c r="N587" s="127"/>
      <c r="S587" s="31" t="str">
        <f>IF($C587="","",IF(OR($M587="",$N587=""),'Lists &amp; Settings'!$O$10,IF($N587="Fail",'Lists &amp; Settings'!$O$9,IF($N587="Insufficient Evidence",'Lists &amp; Settings'!$O$10,IF($N587="Pass",IF($M587&gt;='Lists &amp; Settings'!$N$2,'Lists &amp; Settings'!$O$2,IF($M587&gt;='Lists &amp; Settings'!$N$3,'Lists &amp; Settings'!$O$3,'Lists &amp; Settings'!$O$4)),IF($N587="Partial",IF($M587&gt;='Lists &amp; Settings'!$N$6,'Lists &amp; Settings'!$O$6,IF($M587&gt;='Lists &amp; Settings'!$N$7,'Lists &amp; Settings'!$O$7,'Lists &amp; Settings'!$O$8)),'Lists &amp; Settings'!$O$10))))))</f>
        <v/>
      </c>
      <c r="T587" s="31"/>
      <c r="U587" s="31"/>
      <c r="V587" s="31"/>
    </row>
    <row r="588" ht="15.75" customHeight="1">
      <c r="B588" s="31"/>
      <c r="N588" s="127"/>
      <c r="S588" s="31" t="str">
        <f>IF($C588="","",IF(OR($M588="",$N588=""),'Lists &amp; Settings'!$O$10,IF($N588="Fail",'Lists &amp; Settings'!$O$9,IF($N588="Insufficient Evidence",'Lists &amp; Settings'!$O$10,IF($N588="Pass",IF($M588&gt;='Lists &amp; Settings'!$N$2,'Lists &amp; Settings'!$O$2,IF($M588&gt;='Lists &amp; Settings'!$N$3,'Lists &amp; Settings'!$O$3,'Lists &amp; Settings'!$O$4)),IF($N588="Partial",IF($M588&gt;='Lists &amp; Settings'!$N$6,'Lists &amp; Settings'!$O$6,IF($M588&gt;='Lists &amp; Settings'!$N$7,'Lists &amp; Settings'!$O$7,'Lists &amp; Settings'!$O$8)),'Lists &amp; Settings'!$O$10))))))</f>
        <v/>
      </c>
      <c r="T588" s="31"/>
      <c r="U588" s="31"/>
      <c r="V588" s="31"/>
    </row>
    <row r="589" ht="15.75" customHeight="1">
      <c r="B589" s="31"/>
      <c r="N589" s="127"/>
      <c r="S589" s="31" t="str">
        <f>IF($C589="","",IF(OR($M589="",$N589=""),'Lists &amp; Settings'!$O$10,IF($N589="Fail",'Lists &amp; Settings'!$O$9,IF($N589="Insufficient Evidence",'Lists &amp; Settings'!$O$10,IF($N589="Pass",IF($M589&gt;='Lists &amp; Settings'!$N$2,'Lists &amp; Settings'!$O$2,IF($M589&gt;='Lists &amp; Settings'!$N$3,'Lists &amp; Settings'!$O$3,'Lists &amp; Settings'!$O$4)),IF($N589="Partial",IF($M589&gt;='Lists &amp; Settings'!$N$6,'Lists &amp; Settings'!$O$6,IF($M589&gt;='Lists &amp; Settings'!$N$7,'Lists &amp; Settings'!$O$7,'Lists &amp; Settings'!$O$8)),'Lists &amp; Settings'!$O$10))))))</f>
        <v/>
      </c>
      <c r="T589" s="31"/>
      <c r="U589" s="31"/>
      <c r="V589" s="31"/>
    </row>
    <row r="590" ht="15.75" customHeight="1">
      <c r="B590" s="31"/>
      <c r="N590" s="127"/>
      <c r="S590" s="31" t="str">
        <f>IF($C590="","",IF(OR($M590="",$N590=""),'Lists &amp; Settings'!$O$10,IF($N590="Fail",'Lists &amp; Settings'!$O$9,IF($N590="Insufficient Evidence",'Lists &amp; Settings'!$O$10,IF($N590="Pass",IF($M590&gt;='Lists &amp; Settings'!$N$2,'Lists &amp; Settings'!$O$2,IF($M590&gt;='Lists &amp; Settings'!$N$3,'Lists &amp; Settings'!$O$3,'Lists &amp; Settings'!$O$4)),IF($N590="Partial",IF($M590&gt;='Lists &amp; Settings'!$N$6,'Lists &amp; Settings'!$O$6,IF($M590&gt;='Lists &amp; Settings'!$N$7,'Lists &amp; Settings'!$O$7,'Lists &amp; Settings'!$O$8)),'Lists &amp; Settings'!$O$10))))))</f>
        <v/>
      </c>
      <c r="T590" s="31"/>
      <c r="U590" s="31"/>
      <c r="V590" s="31"/>
    </row>
    <row r="591" ht="15.75" customHeight="1">
      <c r="B591" s="31"/>
      <c r="N591" s="127"/>
      <c r="S591" s="31" t="str">
        <f>IF($C591="","",IF(OR($M591="",$N591=""),'Lists &amp; Settings'!$O$10,IF($N591="Fail",'Lists &amp; Settings'!$O$9,IF($N591="Insufficient Evidence",'Lists &amp; Settings'!$O$10,IF($N591="Pass",IF($M591&gt;='Lists &amp; Settings'!$N$2,'Lists &amp; Settings'!$O$2,IF($M591&gt;='Lists &amp; Settings'!$N$3,'Lists &amp; Settings'!$O$3,'Lists &amp; Settings'!$O$4)),IF($N591="Partial",IF($M591&gt;='Lists &amp; Settings'!$N$6,'Lists &amp; Settings'!$O$6,IF($M591&gt;='Lists &amp; Settings'!$N$7,'Lists &amp; Settings'!$O$7,'Lists &amp; Settings'!$O$8)),'Lists &amp; Settings'!$O$10))))))</f>
        <v/>
      </c>
      <c r="T591" s="31"/>
      <c r="U591" s="31"/>
      <c r="V591" s="31"/>
    </row>
    <row r="592" ht="15.75" customHeight="1">
      <c r="B592" s="31"/>
      <c r="N592" s="127"/>
      <c r="S592" s="31" t="str">
        <f>IF($C592="","",IF(OR($M592="",$N592=""),'Lists &amp; Settings'!$O$10,IF($N592="Fail",'Lists &amp; Settings'!$O$9,IF($N592="Insufficient Evidence",'Lists &amp; Settings'!$O$10,IF($N592="Pass",IF($M592&gt;='Lists &amp; Settings'!$N$2,'Lists &amp; Settings'!$O$2,IF($M592&gt;='Lists &amp; Settings'!$N$3,'Lists &amp; Settings'!$O$3,'Lists &amp; Settings'!$O$4)),IF($N592="Partial",IF($M592&gt;='Lists &amp; Settings'!$N$6,'Lists &amp; Settings'!$O$6,IF($M592&gt;='Lists &amp; Settings'!$N$7,'Lists &amp; Settings'!$O$7,'Lists &amp; Settings'!$O$8)),'Lists &amp; Settings'!$O$10))))))</f>
        <v/>
      </c>
      <c r="T592" s="31"/>
      <c r="U592" s="31"/>
      <c r="V592" s="31"/>
    </row>
    <row r="593" ht="15.75" customHeight="1">
      <c r="B593" s="31"/>
      <c r="N593" s="127"/>
      <c r="S593" s="31" t="str">
        <f>IF($C593="","",IF(OR($M593="",$N593=""),'Lists &amp; Settings'!$O$10,IF($N593="Fail",'Lists &amp; Settings'!$O$9,IF($N593="Insufficient Evidence",'Lists &amp; Settings'!$O$10,IF($N593="Pass",IF($M593&gt;='Lists &amp; Settings'!$N$2,'Lists &amp; Settings'!$O$2,IF($M593&gt;='Lists &amp; Settings'!$N$3,'Lists &amp; Settings'!$O$3,'Lists &amp; Settings'!$O$4)),IF($N593="Partial",IF($M593&gt;='Lists &amp; Settings'!$N$6,'Lists &amp; Settings'!$O$6,IF($M593&gt;='Lists &amp; Settings'!$N$7,'Lists &amp; Settings'!$O$7,'Lists &amp; Settings'!$O$8)),'Lists &amp; Settings'!$O$10))))))</f>
        <v/>
      </c>
      <c r="T593" s="31"/>
      <c r="U593" s="31"/>
      <c r="V593" s="31"/>
    </row>
    <row r="594" ht="15.75" customHeight="1">
      <c r="B594" s="31"/>
      <c r="N594" s="127"/>
      <c r="S594" s="31" t="str">
        <f>IF($C594="","",IF(OR($M594="",$N594=""),'Lists &amp; Settings'!$O$10,IF($N594="Fail",'Lists &amp; Settings'!$O$9,IF($N594="Insufficient Evidence",'Lists &amp; Settings'!$O$10,IF($N594="Pass",IF($M594&gt;='Lists &amp; Settings'!$N$2,'Lists &amp; Settings'!$O$2,IF($M594&gt;='Lists &amp; Settings'!$N$3,'Lists &amp; Settings'!$O$3,'Lists &amp; Settings'!$O$4)),IF($N594="Partial",IF($M594&gt;='Lists &amp; Settings'!$N$6,'Lists &amp; Settings'!$O$6,IF($M594&gt;='Lists &amp; Settings'!$N$7,'Lists &amp; Settings'!$O$7,'Lists &amp; Settings'!$O$8)),'Lists &amp; Settings'!$O$10))))))</f>
        <v/>
      </c>
      <c r="T594" s="31"/>
      <c r="U594" s="31"/>
      <c r="V594" s="31"/>
    </row>
    <row r="595" ht="15.75" customHeight="1">
      <c r="B595" s="31"/>
      <c r="N595" s="127"/>
      <c r="S595" s="31" t="str">
        <f>IF($C595="","",IF(OR($M595="",$N595=""),'Lists &amp; Settings'!$O$10,IF($N595="Fail",'Lists &amp; Settings'!$O$9,IF($N595="Insufficient Evidence",'Lists &amp; Settings'!$O$10,IF($N595="Pass",IF($M595&gt;='Lists &amp; Settings'!$N$2,'Lists &amp; Settings'!$O$2,IF($M595&gt;='Lists &amp; Settings'!$N$3,'Lists &amp; Settings'!$O$3,'Lists &amp; Settings'!$O$4)),IF($N595="Partial",IF($M595&gt;='Lists &amp; Settings'!$N$6,'Lists &amp; Settings'!$O$6,IF($M595&gt;='Lists &amp; Settings'!$N$7,'Lists &amp; Settings'!$O$7,'Lists &amp; Settings'!$O$8)),'Lists &amp; Settings'!$O$10))))))</f>
        <v/>
      </c>
      <c r="T595" s="31"/>
      <c r="U595" s="31"/>
      <c r="V595" s="31"/>
    </row>
    <row r="596" ht="15.75" customHeight="1">
      <c r="B596" s="31"/>
      <c r="N596" s="127"/>
      <c r="S596" s="31" t="str">
        <f>IF($C596="","",IF(OR($M596="",$N596=""),'Lists &amp; Settings'!$O$10,IF($N596="Fail",'Lists &amp; Settings'!$O$9,IF($N596="Insufficient Evidence",'Lists &amp; Settings'!$O$10,IF($N596="Pass",IF($M596&gt;='Lists &amp; Settings'!$N$2,'Lists &amp; Settings'!$O$2,IF($M596&gt;='Lists &amp; Settings'!$N$3,'Lists &amp; Settings'!$O$3,'Lists &amp; Settings'!$O$4)),IF($N596="Partial",IF($M596&gt;='Lists &amp; Settings'!$N$6,'Lists &amp; Settings'!$O$6,IF($M596&gt;='Lists &amp; Settings'!$N$7,'Lists &amp; Settings'!$O$7,'Lists &amp; Settings'!$O$8)),'Lists &amp; Settings'!$O$10))))))</f>
        <v/>
      </c>
      <c r="T596" s="31"/>
      <c r="U596" s="31"/>
      <c r="V596" s="31"/>
    </row>
    <row r="597" ht="15.75" customHeight="1">
      <c r="B597" s="31"/>
      <c r="N597" s="127"/>
      <c r="S597" s="31" t="str">
        <f>IF($C597="","",IF(OR($M597="",$N597=""),'Lists &amp; Settings'!$O$10,IF($N597="Fail",'Lists &amp; Settings'!$O$9,IF($N597="Insufficient Evidence",'Lists &amp; Settings'!$O$10,IF($N597="Pass",IF($M597&gt;='Lists &amp; Settings'!$N$2,'Lists &amp; Settings'!$O$2,IF($M597&gt;='Lists &amp; Settings'!$N$3,'Lists &amp; Settings'!$O$3,'Lists &amp; Settings'!$O$4)),IF($N597="Partial",IF($M597&gt;='Lists &amp; Settings'!$N$6,'Lists &amp; Settings'!$O$6,IF($M597&gt;='Lists &amp; Settings'!$N$7,'Lists &amp; Settings'!$O$7,'Lists &amp; Settings'!$O$8)),'Lists &amp; Settings'!$O$10))))))</f>
        <v/>
      </c>
      <c r="T597" s="31"/>
      <c r="U597" s="31"/>
      <c r="V597" s="31"/>
    </row>
    <row r="598" ht="15.75" customHeight="1">
      <c r="B598" s="31"/>
      <c r="N598" s="127"/>
      <c r="S598" s="31" t="str">
        <f>IF($C598="","",IF(OR($M598="",$N598=""),'Lists &amp; Settings'!$O$10,IF($N598="Fail",'Lists &amp; Settings'!$O$9,IF($N598="Insufficient Evidence",'Lists &amp; Settings'!$O$10,IF($N598="Pass",IF($M598&gt;='Lists &amp; Settings'!$N$2,'Lists &amp; Settings'!$O$2,IF($M598&gt;='Lists &amp; Settings'!$N$3,'Lists &amp; Settings'!$O$3,'Lists &amp; Settings'!$O$4)),IF($N598="Partial",IF($M598&gt;='Lists &amp; Settings'!$N$6,'Lists &amp; Settings'!$O$6,IF($M598&gt;='Lists &amp; Settings'!$N$7,'Lists &amp; Settings'!$O$7,'Lists &amp; Settings'!$O$8)),'Lists &amp; Settings'!$O$10))))))</f>
        <v/>
      </c>
      <c r="T598" s="31"/>
      <c r="U598" s="31"/>
      <c r="V598" s="31"/>
    </row>
    <row r="599" ht="15.75" customHeight="1">
      <c r="B599" s="31"/>
      <c r="N599" s="127"/>
      <c r="S599" s="31" t="str">
        <f>IF($C599="","",IF(OR($M599="",$N599=""),'Lists &amp; Settings'!$O$10,IF($N599="Fail",'Lists &amp; Settings'!$O$9,IF($N599="Insufficient Evidence",'Lists &amp; Settings'!$O$10,IF($N599="Pass",IF($M599&gt;='Lists &amp; Settings'!$N$2,'Lists &amp; Settings'!$O$2,IF($M599&gt;='Lists &amp; Settings'!$N$3,'Lists &amp; Settings'!$O$3,'Lists &amp; Settings'!$O$4)),IF($N599="Partial",IF($M599&gt;='Lists &amp; Settings'!$N$6,'Lists &amp; Settings'!$O$6,IF($M599&gt;='Lists &amp; Settings'!$N$7,'Lists &amp; Settings'!$O$7,'Lists &amp; Settings'!$O$8)),'Lists &amp; Settings'!$O$10))))))</f>
        <v/>
      </c>
      <c r="T599" s="31"/>
      <c r="U599" s="31"/>
      <c r="V599" s="31"/>
    </row>
    <row r="600" ht="15.75" customHeight="1">
      <c r="B600" s="31"/>
      <c r="N600" s="127"/>
      <c r="S600" s="31" t="str">
        <f>IF($C600="","",IF(OR($M600="",$N600=""),'Lists &amp; Settings'!$O$10,IF($N600="Fail",'Lists &amp; Settings'!$O$9,IF($N600="Insufficient Evidence",'Lists &amp; Settings'!$O$10,IF($N600="Pass",IF($M600&gt;='Lists &amp; Settings'!$N$2,'Lists &amp; Settings'!$O$2,IF($M600&gt;='Lists &amp; Settings'!$N$3,'Lists &amp; Settings'!$O$3,'Lists &amp; Settings'!$O$4)),IF($N600="Partial",IF($M600&gt;='Lists &amp; Settings'!$N$6,'Lists &amp; Settings'!$O$6,IF($M600&gt;='Lists &amp; Settings'!$N$7,'Lists &amp; Settings'!$O$7,'Lists &amp; Settings'!$O$8)),'Lists &amp; Settings'!$O$10))))))</f>
        <v/>
      </c>
      <c r="T600" s="31"/>
      <c r="U600" s="31"/>
      <c r="V600" s="31"/>
    </row>
    <row r="601" ht="15.75" customHeight="1">
      <c r="B601" s="31"/>
      <c r="N601" s="127"/>
      <c r="S601" s="31" t="str">
        <f>IF($C601="","",IF(OR($M601="",$N601=""),'Lists &amp; Settings'!$O$10,IF($N601="Fail",'Lists &amp; Settings'!$O$9,IF($N601="Insufficient Evidence",'Lists &amp; Settings'!$O$10,IF($N601="Pass",IF($M601&gt;='Lists &amp; Settings'!$N$2,'Lists &amp; Settings'!$O$2,IF($M601&gt;='Lists &amp; Settings'!$N$3,'Lists &amp; Settings'!$O$3,'Lists &amp; Settings'!$O$4)),IF($N601="Partial",IF($M601&gt;='Lists &amp; Settings'!$N$6,'Lists &amp; Settings'!$O$6,IF($M601&gt;='Lists &amp; Settings'!$N$7,'Lists &amp; Settings'!$O$7,'Lists &amp; Settings'!$O$8)),'Lists &amp; Settings'!$O$10))))))</f>
        <v/>
      </c>
      <c r="T601" s="31"/>
      <c r="U601" s="31"/>
      <c r="V601" s="31"/>
    </row>
    <row r="602" ht="15.75" customHeight="1">
      <c r="B602" s="31"/>
      <c r="N602" s="127"/>
      <c r="S602" s="31" t="str">
        <f>IF($C602="","",IF(OR($M602="",$N602=""),'Lists &amp; Settings'!$O$10,IF($N602="Fail",'Lists &amp; Settings'!$O$9,IF($N602="Insufficient Evidence",'Lists &amp; Settings'!$O$10,IF($N602="Pass",IF($M602&gt;='Lists &amp; Settings'!$N$2,'Lists &amp; Settings'!$O$2,IF($M602&gt;='Lists &amp; Settings'!$N$3,'Lists &amp; Settings'!$O$3,'Lists &amp; Settings'!$O$4)),IF($N602="Partial",IF($M602&gt;='Lists &amp; Settings'!$N$6,'Lists &amp; Settings'!$O$6,IF($M602&gt;='Lists &amp; Settings'!$N$7,'Lists &amp; Settings'!$O$7,'Lists &amp; Settings'!$O$8)),'Lists &amp; Settings'!$O$10))))))</f>
        <v/>
      </c>
      <c r="T602" s="31"/>
      <c r="U602" s="31"/>
      <c r="V602" s="31"/>
    </row>
    <row r="603" ht="15.75" customHeight="1">
      <c r="B603" s="31"/>
      <c r="N603" s="127"/>
      <c r="S603" s="31" t="str">
        <f>IF($C603="","",IF(OR($M603="",$N603=""),'Lists &amp; Settings'!$O$10,IF($N603="Fail",'Lists &amp; Settings'!$O$9,IF($N603="Insufficient Evidence",'Lists &amp; Settings'!$O$10,IF($N603="Pass",IF($M603&gt;='Lists &amp; Settings'!$N$2,'Lists &amp; Settings'!$O$2,IF($M603&gt;='Lists &amp; Settings'!$N$3,'Lists &amp; Settings'!$O$3,'Lists &amp; Settings'!$O$4)),IF($N603="Partial",IF($M603&gt;='Lists &amp; Settings'!$N$6,'Lists &amp; Settings'!$O$6,IF($M603&gt;='Lists &amp; Settings'!$N$7,'Lists &amp; Settings'!$O$7,'Lists &amp; Settings'!$O$8)),'Lists &amp; Settings'!$O$10))))))</f>
        <v/>
      </c>
      <c r="T603" s="31"/>
      <c r="U603" s="31"/>
      <c r="V603" s="31"/>
    </row>
    <row r="604" ht="15.75" customHeight="1">
      <c r="B604" s="31"/>
      <c r="N604" s="127"/>
      <c r="S604" s="31" t="str">
        <f>IF($C604="","",IF(OR($M604="",$N604=""),'Lists &amp; Settings'!$O$10,IF($N604="Fail",'Lists &amp; Settings'!$O$9,IF($N604="Insufficient Evidence",'Lists &amp; Settings'!$O$10,IF($N604="Pass",IF($M604&gt;='Lists &amp; Settings'!$N$2,'Lists &amp; Settings'!$O$2,IF($M604&gt;='Lists &amp; Settings'!$N$3,'Lists &amp; Settings'!$O$3,'Lists &amp; Settings'!$O$4)),IF($N604="Partial",IF($M604&gt;='Lists &amp; Settings'!$N$6,'Lists &amp; Settings'!$O$6,IF($M604&gt;='Lists &amp; Settings'!$N$7,'Lists &amp; Settings'!$O$7,'Lists &amp; Settings'!$O$8)),'Lists &amp; Settings'!$O$10))))))</f>
        <v/>
      </c>
      <c r="T604" s="31"/>
      <c r="U604" s="31"/>
      <c r="V604" s="31"/>
    </row>
    <row r="605" ht="15.75" customHeight="1">
      <c r="B605" s="31"/>
      <c r="N605" s="127"/>
      <c r="S605" s="31" t="str">
        <f>IF($C605="","",IF(OR($M605="",$N605=""),'Lists &amp; Settings'!$O$10,IF($N605="Fail",'Lists &amp; Settings'!$O$9,IF($N605="Insufficient Evidence",'Lists &amp; Settings'!$O$10,IF($N605="Pass",IF($M605&gt;='Lists &amp; Settings'!$N$2,'Lists &amp; Settings'!$O$2,IF($M605&gt;='Lists &amp; Settings'!$N$3,'Lists &amp; Settings'!$O$3,'Lists &amp; Settings'!$O$4)),IF($N605="Partial",IF($M605&gt;='Lists &amp; Settings'!$N$6,'Lists &amp; Settings'!$O$6,IF($M605&gt;='Lists &amp; Settings'!$N$7,'Lists &amp; Settings'!$O$7,'Lists &amp; Settings'!$O$8)),'Lists &amp; Settings'!$O$10))))))</f>
        <v/>
      </c>
      <c r="T605" s="31"/>
      <c r="U605" s="31"/>
      <c r="V605" s="31"/>
    </row>
    <row r="606" ht="15.75" customHeight="1">
      <c r="B606" s="31"/>
      <c r="N606" s="127"/>
      <c r="S606" s="31" t="str">
        <f>IF($C606="","",IF(OR($M606="",$N606=""),'Lists &amp; Settings'!$O$10,IF($N606="Fail",'Lists &amp; Settings'!$O$9,IF($N606="Insufficient Evidence",'Lists &amp; Settings'!$O$10,IF($N606="Pass",IF($M606&gt;='Lists &amp; Settings'!$N$2,'Lists &amp; Settings'!$O$2,IF($M606&gt;='Lists &amp; Settings'!$N$3,'Lists &amp; Settings'!$O$3,'Lists &amp; Settings'!$O$4)),IF($N606="Partial",IF($M606&gt;='Lists &amp; Settings'!$N$6,'Lists &amp; Settings'!$O$6,IF($M606&gt;='Lists &amp; Settings'!$N$7,'Lists &amp; Settings'!$O$7,'Lists &amp; Settings'!$O$8)),'Lists &amp; Settings'!$O$10))))))</f>
        <v/>
      </c>
      <c r="T606" s="31"/>
      <c r="U606" s="31"/>
      <c r="V606" s="31"/>
    </row>
    <row r="607" ht="15.75" customHeight="1">
      <c r="B607" s="31"/>
      <c r="N607" s="127"/>
      <c r="S607" s="31" t="str">
        <f>IF($C607="","",IF(OR($M607="",$N607=""),'Lists &amp; Settings'!$O$10,IF($N607="Fail",'Lists &amp; Settings'!$O$9,IF($N607="Insufficient Evidence",'Lists &amp; Settings'!$O$10,IF($N607="Pass",IF($M607&gt;='Lists &amp; Settings'!$N$2,'Lists &amp; Settings'!$O$2,IF($M607&gt;='Lists &amp; Settings'!$N$3,'Lists &amp; Settings'!$O$3,'Lists &amp; Settings'!$O$4)),IF($N607="Partial",IF($M607&gt;='Lists &amp; Settings'!$N$6,'Lists &amp; Settings'!$O$6,IF($M607&gt;='Lists &amp; Settings'!$N$7,'Lists &amp; Settings'!$O$7,'Lists &amp; Settings'!$O$8)),'Lists &amp; Settings'!$O$10))))))</f>
        <v/>
      </c>
      <c r="T607" s="31"/>
      <c r="U607" s="31"/>
      <c r="V607" s="31"/>
    </row>
    <row r="608" ht="15.75" customHeight="1">
      <c r="B608" s="31"/>
      <c r="N608" s="127"/>
      <c r="S608" s="31" t="str">
        <f>IF($C608="","",IF(OR($M608="",$N608=""),'Lists &amp; Settings'!$O$10,IF($N608="Fail",'Lists &amp; Settings'!$O$9,IF($N608="Insufficient Evidence",'Lists &amp; Settings'!$O$10,IF($N608="Pass",IF($M608&gt;='Lists &amp; Settings'!$N$2,'Lists &amp; Settings'!$O$2,IF($M608&gt;='Lists &amp; Settings'!$N$3,'Lists &amp; Settings'!$O$3,'Lists &amp; Settings'!$O$4)),IF($N608="Partial",IF($M608&gt;='Lists &amp; Settings'!$N$6,'Lists &amp; Settings'!$O$6,IF($M608&gt;='Lists &amp; Settings'!$N$7,'Lists &amp; Settings'!$O$7,'Lists &amp; Settings'!$O$8)),'Lists &amp; Settings'!$O$10))))))</f>
        <v/>
      </c>
      <c r="T608" s="31"/>
      <c r="U608" s="31"/>
      <c r="V608" s="31"/>
    </row>
    <row r="609" ht="15.75" customHeight="1">
      <c r="B609" s="31"/>
      <c r="N609" s="127"/>
      <c r="S609" s="31" t="str">
        <f>IF($C609="","",IF(OR($M609="",$N609=""),'Lists &amp; Settings'!$O$10,IF($N609="Fail",'Lists &amp; Settings'!$O$9,IF($N609="Insufficient Evidence",'Lists &amp; Settings'!$O$10,IF($N609="Pass",IF($M609&gt;='Lists &amp; Settings'!$N$2,'Lists &amp; Settings'!$O$2,IF($M609&gt;='Lists &amp; Settings'!$N$3,'Lists &amp; Settings'!$O$3,'Lists &amp; Settings'!$O$4)),IF($N609="Partial",IF($M609&gt;='Lists &amp; Settings'!$N$6,'Lists &amp; Settings'!$O$6,IF($M609&gt;='Lists &amp; Settings'!$N$7,'Lists &amp; Settings'!$O$7,'Lists &amp; Settings'!$O$8)),'Lists &amp; Settings'!$O$10))))))</f>
        <v/>
      </c>
      <c r="T609" s="31"/>
      <c r="U609" s="31"/>
      <c r="V609" s="31"/>
    </row>
    <row r="610" ht="15.75" customHeight="1">
      <c r="B610" s="31"/>
      <c r="N610" s="127"/>
      <c r="S610" s="31" t="str">
        <f>IF($C610="","",IF(OR($M610="",$N610=""),'Lists &amp; Settings'!$O$10,IF($N610="Fail",'Lists &amp; Settings'!$O$9,IF($N610="Insufficient Evidence",'Lists &amp; Settings'!$O$10,IF($N610="Pass",IF($M610&gt;='Lists &amp; Settings'!$N$2,'Lists &amp; Settings'!$O$2,IF($M610&gt;='Lists &amp; Settings'!$N$3,'Lists &amp; Settings'!$O$3,'Lists &amp; Settings'!$O$4)),IF($N610="Partial",IF($M610&gt;='Lists &amp; Settings'!$N$6,'Lists &amp; Settings'!$O$6,IF($M610&gt;='Lists &amp; Settings'!$N$7,'Lists &amp; Settings'!$O$7,'Lists &amp; Settings'!$O$8)),'Lists &amp; Settings'!$O$10))))))</f>
        <v/>
      </c>
      <c r="T610" s="31"/>
      <c r="U610" s="31"/>
      <c r="V610" s="31"/>
    </row>
    <row r="611" ht="15.75" customHeight="1">
      <c r="B611" s="31"/>
      <c r="N611" s="127"/>
      <c r="S611" s="31" t="str">
        <f>IF($C611="","",IF(OR($M611="",$N611=""),'Lists &amp; Settings'!$O$10,IF($N611="Fail",'Lists &amp; Settings'!$O$9,IF($N611="Insufficient Evidence",'Lists &amp; Settings'!$O$10,IF($N611="Pass",IF($M611&gt;='Lists &amp; Settings'!$N$2,'Lists &amp; Settings'!$O$2,IF($M611&gt;='Lists &amp; Settings'!$N$3,'Lists &amp; Settings'!$O$3,'Lists &amp; Settings'!$O$4)),IF($N611="Partial",IF($M611&gt;='Lists &amp; Settings'!$N$6,'Lists &amp; Settings'!$O$6,IF($M611&gt;='Lists &amp; Settings'!$N$7,'Lists &amp; Settings'!$O$7,'Lists &amp; Settings'!$O$8)),'Lists &amp; Settings'!$O$10))))))</f>
        <v/>
      </c>
      <c r="T611" s="31"/>
      <c r="U611" s="31"/>
      <c r="V611" s="31"/>
    </row>
    <row r="612" ht="15.75" customHeight="1">
      <c r="B612" s="31"/>
      <c r="N612" s="127"/>
      <c r="S612" s="31" t="str">
        <f>IF($C612="","",IF(OR($M612="",$N612=""),'Lists &amp; Settings'!$O$10,IF($N612="Fail",'Lists &amp; Settings'!$O$9,IF($N612="Insufficient Evidence",'Lists &amp; Settings'!$O$10,IF($N612="Pass",IF($M612&gt;='Lists &amp; Settings'!$N$2,'Lists &amp; Settings'!$O$2,IF($M612&gt;='Lists &amp; Settings'!$N$3,'Lists &amp; Settings'!$O$3,'Lists &amp; Settings'!$O$4)),IF($N612="Partial",IF($M612&gt;='Lists &amp; Settings'!$N$6,'Lists &amp; Settings'!$O$6,IF($M612&gt;='Lists &amp; Settings'!$N$7,'Lists &amp; Settings'!$O$7,'Lists &amp; Settings'!$O$8)),'Lists &amp; Settings'!$O$10))))))</f>
        <v/>
      </c>
      <c r="T612" s="31"/>
      <c r="U612" s="31"/>
      <c r="V612" s="31"/>
    </row>
    <row r="613" ht="15.75" customHeight="1">
      <c r="B613" s="31"/>
      <c r="N613" s="127"/>
      <c r="S613" s="31" t="str">
        <f>IF($C613="","",IF(OR($M613="",$N613=""),'Lists &amp; Settings'!$O$10,IF($N613="Fail",'Lists &amp; Settings'!$O$9,IF($N613="Insufficient Evidence",'Lists &amp; Settings'!$O$10,IF($N613="Pass",IF($M613&gt;='Lists &amp; Settings'!$N$2,'Lists &amp; Settings'!$O$2,IF($M613&gt;='Lists &amp; Settings'!$N$3,'Lists &amp; Settings'!$O$3,'Lists &amp; Settings'!$O$4)),IF($N613="Partial",IF($M613&gt;='Lists &amp; Settings'!$N$6,'Lists &amp; Settings'!$O$6,IF($M613&gt;='Lists &amp; Settings'!$N$7,'Lists &amp; Settings'!$O$7,'Lists &amp; Settings'!$O$8)),'Lists &amp; Settings'!$O$10))))))</f>
        <v/>
      </c>
      <c r="T613" s="31"/>
      <c r="U613" s="31"/>
      <c r="V613" s="31"/>
    </row>
    <row r="614" ht="15.75" customHeight="1">
      <c r="B614" s="31"/>
      <c r="N614" s="127"/>
      <c r="S614" s="31" t="str">
        <f>IF($C614="","",IF(OR($M614="",$N614=""),'Lists &amp; Settings'!$O$10,IF($N614="Fail",'Lists &amp; Settings'!$O$9,IF($N614="Insufficient Evidence",'Lists &amp; Settings'!$O$10,IF($N614="Pass",IF($M614&gt;='Lists &amp; Settings'!$N$2,'Lists &amp; Settings'!$O$2,IF($M614&gt;='Lists &amp; Settings'!$N$3,'Lists &amp; Settings'!$O$3,'Lists &amp; Settings'!$O$4)),IF($N614="Partial",IF($M614&gt;='Lists &amp; Settings'!$N$6,'Lists &amp; Settings'!$O$6,IF($M614&gt;='Lists &amp; Settings'!$N$7,'Lists &amp; Settings'!$O$7,'Lists &amp; Settings'!$O$8)),'Lists &amp; Settings'!$O$10))))))</f>
        <v/>
      </c>
      <c r="T614" s="31"/>
      <c r="U614" s="31"/>
      <c r="V614" s="31"/>
    </row>
    <row r="615" ht="15.75" customHeight="1">
      <c r="B615" s="31"/>
      <c r="N615" s="127"/>
      <c r="S615" s="31" t="str">
        <f>IF($C615="","",IF(OR($M615="",$N615=""),'Lists &amp; Settings'!$O$10,IF($N615="Fail",'Lists &amp; Settings'!$O$9,IF($N615="Insufficient Evidence",'Lists &amp; Settings'!$O$10,IF($N615="Pass",IF($M615&gt;='Lists &amp; Settings'!$N$2,'Lists &amp; Settings'!$O$2,IF($M615&gt;='Lists &amp; Settings'!$N$3,'Lists &amp; Settings'!$O$3,'Lists &amp; Settings'!$O$4)),IF($N615="Partial",IF($M615&gt;='Lists &amp; Settings'!$N$6,'Lists &amp; Settings'!$O$6,IF($M615&gt;='Lists &amp; Settings'!$N$7,'Lists &amp; Settings'!$O$7,'Lists &amp; Settings'!$O$8)),'Lists &amp; Settings'!$O$10))))))</f>
        <v/>
      </c>
      <c r="T615" s="31"/>
      <c r="U615" s="31"/>
      <c r="V615" s="31"/>
    </row>
    <row r="616" ht="15.75" customHeight="1">
      <c r="B616" s="31"/>
      <c r="N616" s="127"/>
      <c r="S616" s="31" t="str">
        <f>IF($C616="","",IF(OR($M616="",$N616=""),'Lists &amp; Settings'!$O$10,IF($N616="Fail",'Lists &amp; Settings'!$O$9,IF($N616="Insufficient Evidence",'Lists &amp; Settings'!$O$10,IF($N616="Pass",IF($M616&gt;='Lists &amp; Settings'!$N$2,'Lists &amp; Settings'!$O$2,IF($M616&gt;='Lists &amp; Settings'!$N$3,'Lists &amp; Settings'!$O$3,'Lists &amp; Settings'!$O$4)),IF($N616="Partial",IF($M616&gt;='Lists &amp; Settings'!$N$6,'Lists &amp; Settings'!$O$6,IF($M616&gt;='Lists &amp; Settings'!$N$7,'Lists &amp; Settings'!$O$7,'Lists &amp; Settings'!$O$8)),'Lists &amp; Settings'!$O$10))))))</f>
        <v/>
      </c>
      <c r="T616" s="31"/>
      <c r="U616" s="31"/>
      <c r="V616" s="31"/>
    </row>
    <row r="617" ht="15.75" customHeight="1">
      <c r="B617" s="31"/>
      <c r="N617" s="127"/>
      <c r="S617" s="31" t="str">
        <f>IF($C617="","",IF(OR($M617="",$N617=""),'Lists &amp; Settings'!$O$10,IF($N617="Fail",'Lists &amp; Settings'!$O$9,IF($N617="Insufficient Evidence",'Lists &amp; Settings'!$O$10,IF($N617="Pass",IF($M617&gt;='Lists &amp; Settings'!$N$2,'Lists &amp; Settings'!$O$2,IF($M617&gt;='Lists &amp; Settings'!$N$3,'Lists &amp; Settings'!$O$3,'Lists &amp; Settings'!$O$4)),IF($N617="Partial",IF($M617&gt;='Lists &amp; Settings'!$N$6,'Lists &amp; Settings'!$O$6,IF($M617&gt;='Lists &amp; Settings'!$N$7,'Lists &amp; Settings'!$O$7,'Lists &amp; Settings'!$O$8)),'Lists &amp; Settings'!$O$10))))))</f>
        <v/>
      </c>
      <c r="T617" s="31"/>
      <c r="U617" s="31"/>
      <c r="V617" s="31"/>
    </row>
    <row r="618" ht="15.75" customHeight="1">
      <c r="B618" s="31"/>
      <c r="N618" s="127"/>
      <c r="S618" s="31" t="str">
        <f>IF($C618="","",IF(OR($M618="",$N618=""),'Lists &amp; Settings'!$O$10,IF($N618="Fail",'Lists &amp; Settings'!$O$9,IF($N618="Insufficient Evidence",'Lists &amp; Settings'!$O$10,IF($N618="Pass",IF($M618&gt;='Lists &amp; Settings'!$N$2,'Lists &amp; Settings'!$O$2,IF($M618&gt;='Lists &amp; Settings'!$N$3,'Lists &amp; Settings'!$O$3,'Lists &amp; Settings'!$O$4)),IF($N618="Partial",IF($M618&gt;='Lists &amp; Settings'!$N$6,'Lists &amp; Settings'!$O$6,IF($M618&gt;='Lists &amp; Settings'!$N$7,'Lists &amp; Settings'!$O$7,'Lists &amp; Settings'!$O$8)),'Lists &amp; Settings'!$O$10))))))</f>
        <v/>
      </c>
      <c r="T618" s="31"/>
      <c r="U618" s="31"/>
      <c r="V618" s="31"/>
    </row>
    <row r="619" ht="15.75" customHeight="1">
      <c r="B619" s="31"/>
      <c r="N619" s="127"/>
      <c r="S619" s="31" t="str">
        <f>IF($C619="","",IF(OR($M619="",$N619=""),'Lists &amp; Settings'!$O$10,IF($N619="Fail",'Lists &amp; Settings'!$O$9,IF($N619="Insufficient Evidence",'Lists &amp; Settings'!$O$10,IF($N619="Pass",IF($M619&gt;='Lists &amp; Settings'!$N$2,'Lists &amp; Settings'!$O$2,IF($M619&gt;='Lists &amp; Settings'!$N$3,'Lists &amp; Settings'!$O$3,'Lists &amp; Settings'!$O$4)),IF($N619="Partial",IF($M619&gt;='Lists &amp; Settings'!$N$6,'Lists &amp; Settings'!$O$6,IF($M619&gt;='Lists &amp; Settings'!$N$7,'Lists &amp; Settings'!$O$7,'Lists &amp; Settings'!$O$8)),'Lists &amp; Settings'!$O$10))))))</f>
        <v/>
      </c>
      <c r="T619" s="31"/>
      <c r="U619" s="31"/>
      <c r="V619" s="31"/>
    </row>
    <row r="620" ht="15.75" customHeight="1">
      <c r="B620" s="31"/>
      <c r="N620" s="127"/>
      <c r="S620" s="31" t="str">
        <f>IF($C620="","",IF(OR($M620="",$N620=""),'Lists &amp; Settings'!$O$10,IF($N620="Fail",'Lists &amp; Settings'!$O$9,IF($N620="Insufficient Evidence",'Lists &amp; Settings'!$O$10,IF($N620="Pass",IF($M620&gt;='Lists &amp; Settings'!$N$2,'Lists &amp; Settings'!$O$2,IF($M620&gt;='Lists &amp; Settings'!$N$3,'Lists &amp; Settings'!$O$3,'Lists &amp; Settings'!$O$4)),IF($N620="Partial",IF($M620&gt;='Lists &amp; Settings'!$N$6,'Lists &amp; Settings'!$O$6,IF($M620&gt;='Lists &amp; Settings'!$N$7,'Lists &amp; Settings'!$O$7,'Lists &amp; Settings'!$O$8)),'Lists &amp; Settings'!$O$10))))))</f>
        <v/>
      </c>
      <c r="T620" s="31"/>
      <c r="U620" s="31"/>
      <c r="V620" s="31"/>
    </row>
    <row r="621" ht="15.75" customHeight="1">
      <c r="B621" s="31"/>
      <c r="N621" s="127"/>
      <c r="S621" s="31" t="str">
        <f>IF($C621="","",IF(OR($M621="",$N621=""),'Lists &amp; Settings'!$O$10,IF($N621="Fail",'Lists &amp; Settings'!$O$9,IF($N621="Insufficient Evidence",'Lists &amp; Settings'!$O$10,IF($N621="Pass",IF($M621&gt;='Lists &amp; Settings'!$N$2,'Lists &amp; Settings'!$O$2,IF($M621&gt;='Lists &amp; Settings'!$N$3,'Lists &amp; Settings'!$O$3,'Lists &amp; Settings'!$O$4)),IF($N621="Partial",IF($M621&gt;='Lists &amp; Settings'!$N$6,'Lists &amp; Settings'!$O$6,IF($M621&gt;='Lists &amp; Settings'!$N$7,'Lists &amp; Settings'!$O$7,'Lists &amp; Settings'!$O$8)),'Lists &amp; Settings'!$O$10))))))</f>
        <v/>
      </c>
      <c r="T621" s="31"/>
      <c r="U621" s="31"/>
      <c r="V621" s="31"/>
    </row>
    <row r="622" ht="15.75" customHeight="1">
      <c r="B622" s="31"/>
      <c r="N622" s="127"/>
      <c r="S622" s="31" t="str">
        <f>IF($C622="","",IF(OR($M622="",$N622=""),'Lists &amp; Settings'!$O$10,IF($N622="Fail",'Lists &amp; Settings'!$O$9,IF($N622="Insufficient Evidence",'Lists &amp; Settings'!$O$10,IF($N622="Pass",IF($M622&gt;='Lists &amp; Settings'!$N$2,'Lists &amp; Settings'!$O$2,IF($M622&gt;='Lists &amp; Settings'!$N$3,'Lists &amp; Settings'!$O$3,'Lists &amp; Settings'!$O$4)),IF($N622="Partial",IF($M622&gt;='Lists &amp; Settings'!$N$6,'Lists &amp; Settings'!$O$6,IF($M622&gt;='Lists &amp; Settings'!$N$7,'Lists &amp; Settings'!$O$7,'Lists &amp; Settings'!$O$8)),'Lists &amp; Settings'!$O$10))))))</f>
        <v/>
      </c>
      <c r="T622" s="31"/>
      <c r="U622" s="31"/>
      <c r="V622" s="31"/>
    </row>
    <row r="623" ht="15.75" customHeight="1">
      <c r="B623" s="31"/>
      <c r="N623" s="127"/>
      <c r="S623" s="31" t="str">
        <f>IF($C623="","",IF(OR($M623="",$N623=""),'Lists &amp; Settings'!$O$10,IF($N623="Fail",'Lists &amp; Settings'!$O$9,IF($N623="Insufficient Evidence",'Lists &amp; Settings'!$O$10,IF($N623="Pass",IF($M623&gt;='Lists &amp; Settings'!$N$2,'Lists &amp; Settings'!$O$2,IF($M623&gt;='Lists &amp; Settings'!$N$3,'Lists &amp; Settings'!$O$3,'Lists &amp; Settings'!$O$4)),IF($N623="Partial",IF($M623&gt;='Lists &amp; Settings'!$N$6,'Lists &amp; Settings'!$O$6,IF($M623&gt;='Lists &amp; Settings'!$N$7,'Lists &amp; Settings'!$O$7,'Lists &amp; Settings'!$O$8)),'Lists &amp; Settings'!$O$10))))))</f>
        <v/>
      </c>
      <c r="T623" s="31"/>
      <c r="U623" s="31"/>
      <c r="V623" s="31"/>
    </row>
    <row r="624" ht="15.75" customHeight="1">
      <c r="B624" s="31"/>
      <c r="N624" s="127"/>
      <c r="S624" s="31" t="str">
        <f>IF($C624="","",IF(OR($M624="",$N624=""),'Lists &amp; Settings'!$O$10,IF($N624="Fail",'Lists &amp; Settings'!$O$9,IF($N624="Insufficient Evidence",'Lists &amp; Settings'!$O$10,IF($N624="Pass",IF($M624&gt;='Lists &amp; Settings'!$N$2,'Lists &amp; Settings'!$O$2,IF($M624&gt;='Lists &amp; Settings'!$N$3,'Lists &amp; Settings'!$O$3,'Lists &amp; Settings'!$O$4)),IF($N624="Partial",IF($M624&gt;='Lists &amp; Settings'!$N$6,'Lists &amp; Settings'!$O$6,IF($M624&gt;='Lists &amp; Settings'!$N$7,'Lists &amp; Settings'!$O$7,'Lists &amp; Settings'!$O$8)),'Lists &amp; Settings'!$O$10))))))</f>
        <v/>
      </c>
      <c r="T624" s="31"/>
      <c r="U624" s="31"/>
      <c r="V624" s="31"/>
    </row>
    <row r="625" ht="15.75" customHeight="1">
      <c r="B625" s="31"/>
      <c r="N625" s="127"/>
      <c r="S625" s="31" t="str">
        <f>IF($C625="","",IF(OR($M625="",$N625=""),'Lists &amp; Settings'!$O$10,IF($N625="Fail",'Lists &amp; Settings'!$O$9,IF($N625="Insufficient Evidence",'Lists &amp; Settings'!$O$10,IF($N625="Pass",IF($M625&gt;='Lists &amp; Settings'!$N$2,'Lists &amp; Settings'!$O$2,IF($M625&gt;='Lists &amp; Settings'!$N$3,'Lists &amp; Settings'!$O$3,'Lists &amp; Settings'!$O$4)),IF($N625="Partial",IF($M625&gt;='Lists &amp; Settings'!$N$6,'Lists &amp; Settings'!$O$6,IF($M625&gt;='Lists &amp; Settings'!$N$7,'Lists &amp; Settings'!$O$7,'Lists &amp; Settings'!$O$8)),'Lists &amp; Settings'!$O$10))))))</f>
        <v/>
      </c>
      <c r="T625" s="31"/>
      <c r="U625" s="31"/>
      <c r="V625" s="31"/>
    </row>
    <row r="626" ht="15.75" customHeight="1">
      <c r="B626" s="31"/>
      <c r="N626" s="127"/>
      <c r="S626" s="31" t="str">
        <f>IF($C626="","",IF(OR($M626="",$N626=""),'Lists &amp; Settings'!$O$10,IF($N626="Fail",'Lists &amp; Settings'!$O$9,IF($N626="Insufficient Evidence",'Lists &amp; Settings'!$O$10,IF($N626="Pass",IF($M626&gt;='Lists &amp; Settings'!$N$2,'Lists &amp; Settings'!$O$2,IF($M626&gt;='Lists &amp; Settings'!$N$3,'Lists &amp; Settings'!$O$3,'Lists &amp; Settings'!$O$4)),IF($N626="Partial",IF($M626&gt;='Lists &amp; Settings'!$N$6,'Lists &amp; Settings'!$O$6,IF($M626&gt;='Lists &amp; Settings'!$N$7,'Lists &amp; Settings'!$O$7,'Lists &amp; Settings'!$O$8)),'Lists &amp; Settings'!$O$10))))))</f>
        <v/>
      </c>
      <c r="T626" s="31"/>
      <c r="U626" s="31"/>
      <c r="V626" s="31"/>
    </row>
    <row r="627" ht="15.75" customHeight="1">
      <c r="B627" s="31"/>
      <c r="N627" s="127"/>
      <c r="S627" s="31" t="str">
        <f>IF($C627="","",IF(OR($M627="",$N627=""),'Lists &amp; Settings'!$O$10,IF($N627="Fail",'Lists &amp; Settings'!$O$9,IF($N627="Insufficient Evidence",'Lists &amp; Settings'!$O$10,IF($N627="Pass",IF($M627&gt;='Lists &amp; Settings'!$N$2,'Lists &amp; Settings'!$O$2,IF($M627&gt;='Lists &amp; Settings'!$N$3,'Lists &amp; Settings'!$O$3,'Lists &amp; Settings'!$O$4)),IF($N627="Partial",IF($M627&gt;='Lists &amp; Settings'!$N$6,'Lists &amp; Settings'!$O$6,IF($M627&gt;='Lists &amp; Settings'!$N$7,'Lists &amp; Settings'!$O$7,'Lists &amp; Settings'!$O$8)),'Lists &amp; Settings'!$O$10))))))</f>
        <v/>
      </c>
      <c r="T627" s="31"/>
      <c r="U627" s="31"/>
      <c r="V627" s="31"/>
    </row>
    <row r="628" ht="15.75" customHeight="1">
      <c r="B628" s="31"/>
      <c r="N628" s="127"/>
      <c r="S628" s="31" t="str">
        <f>IF($C628="","",IF(OR($M628="",$N628=""),'Lists &amp; Settings'!$O$10,IF($N628="Fail",'Lists &amp; Settings'!$O$9,IF($N628="Insufficient Evidence",'Lists &amp; Settings'!$O$10,IF($N628="Pass",IF($M628&gt;='Lists &amp; Settings'!$N$2,'Lists &amp; Settings'!$O$2,IF($M628&gt;='Lists &amp; Settings'!$N$3,'Lists &amp; Settings'!$O$3,'Lists &amp; Settings'!$O$4)),IF($N628="Partial",IF($M628&gt;='Lists &amp; Settings'!$N$6,'Lists &amp; Settings'!$O$6,IF($M628&gt;='Lists &amp; Settings'!$N$7,'Lists &amp; Settings'!$O$7,'Lists &amp; Settings'!$O$8)),'Lists &amp; Settings'!$O$10))))))</f>
        <v/>
      </c>
      <c r="T628" s="31"/>
      <c r="U628" s="31"/>
      <c r="V628" s="31"/>
    </row>
    <row r="629" ht="15.75" customHeight="1">
      <c r="B629" s="31"/>
      <c r="N629" s="127"/>
      <c r="S629" s="31" t="str">
        <f>IF($C629="","",IF(OR($M629="",$N629=""),'Lists &amp; Settings'!$O$10,IF($N629="Fail",'Lists &amp; Settings'!$O$9,IF($N629="Insufficient Evidence",'Lists &amp; Settings'!$O$10,IF($N629="Pass",IF($M629&gt;='Lists &amp; Settings'!$N$2,'Lists &amp; Settings'!$O$2,IF($M629&gt;='Lists &amp; Settings'!$N$3,'Lists &amp; Settings'!$O$3,'Lists &amp; Settings'!$O$4)),IF($N629="Partial",IF($M629&gt;='Lists &amp; Settings'!$N$6,'Lists &amp; Settings'!$O$6,IF($M629&gt;='Lists &amp; Settings'!$N$7,'Lists &amp; Settings'!$O$7,'Lists &amp; Settings'!$O$8)),'Lists &amp; Settings'!$O$10))))))</f>
        <v/>
      </c>
      <c r="T629" s="31"/>
      <c r="U629" s="31"/>
      <c r="V629" s="31"/>
    </row>
    <row r="630" ht="15.75" customHeight="1">
      <c r="B630" s="31"/>
      <c r="N630" s="127"/>
      <c r="S630" s="31" t="str">
        <f>IF($C630="","",IF(OR($M630="",$N630=""),'Lists &amp; Settings'!$O$10,IF($N630="Fail",'Lists &amp; Settings'!$O$9,IF($N630="Insufficient Evidence",'Lists &amp; Settings'!$O$10,IF($N630="Pass",IF($M630&gt;='Lists &amp; Settings'!$N$2,'Lists &amp; Settings'!$O$2,IF($M630&gt;='Lists &amp; Settings'!$N$3,'Lists &amp; Settings'!$O$3,'Lists &amp; Settings'!$O$4)),IF($N630="Partial",IF($M630&gt;='Lists &amp; Settings'!$N$6,'Lists &amp; Settings'!$O$6,IF($M630&gt;='Lists &amp; Settings'!$N$7,'Lists &amp; Settings'!$O$7,'Lists &amp; Settings'!$O$8)),'Lists &amp; Settings'!$O$10))))))</f>
        <v/>
      </c>
      <c r="T630" s="31"/>
      <c r="U630" s="31"/>
      <c r="V630" s="31"/>
    </row>
    <row r="631" ht="15.75" customHeight="1">
      <c r="B631" s="31"/>
      <c r="N631" s="127"/>
      <c r="S631" s="31" t="str">
        <f>IF($C631="","",IF(OR($M631="",$N631=""),'Lists &amp; Settings'!$O$10,IF($N631="Fail",'Lists &amp; Settings'!$O$9,IF($N631="Insufficient Evidence",'Lists &amp; Settings'!$O$10,IF($N631="Pass",IF($M631&gt;='Lists &amp; Settings'!$N$2,'Lists &amp; Settings'!$O$2,IF($M631&gt;='Lists &amp; Settings'!$N$3,'Lists &amp; Settings'!$O$3,'Lists &amp; Settings'!$O$4)),IF($N631="Partial",IF($M631&gt;='Lists &amp; Settings'!$N$6,'Lists &amp; Settings'!$O$6,IF($M631&gt;='Lists &amp; Settings'!$N$7,'Lists &amp; Settings'!$O$7,'Lists &amp; Settings'!$O$8)),'Lists &amp; Settings'!$O$10))))))</f>
        <v/>
      </c>
      <c r="T631" s="31"/>
      <c r="U631" s="31"/>
      <c r="V631" s="31"/>
    </row>
    <row r="632" ht="15.75" customHeight="1">
      <c r="B632" s="31"/>
      <c r="N632" s="127"/>
      <c r="S632" s="31" t="str">
        <f>IF($C632="","",IF(OR($M632="",$N632=""),'Lists &amp; Settings'!$O$10,IF($N632="Fail",'Lists &amp; Settings'!$O$9,IF($N632="Insufficient Evidence",'Lists &amp; Settings'!$O$10,IF($N632="Pass",IF($M632&gt;='Lists &amp; Settings'!$N$2,'Lists &amp; Settings'!$O$2,IF($M632&gt;='Lists &amp; Settings'!$N$3,'Lists &amp; Settings'!$O$3,'Lists &amp; Settings'!$O$4)),IF($N632="Partial",IF($M632&gt;='Lists &amp; Settings'!$N$6,'Lists &amp; Settings'!$O$6,IF($M632&gt;='Lists &amp; Settings'!$N$7,'Lists &amp; Settings'!$O$7,'Lists &amp; Settings'!$O$8)),'Lists &amp; Settings'!$O$10))))))</f>
        <v/>
      </c>
      <c r="T632" s="31"/>
      <c r="U632" s="31"/>
      <c r="V632" s="31"/>
    </row>
    <row r="633" ht="15.75" customHeight="1">
      <c r="B633" s="31"/>
      <c r="N633" s="127"/>
      <c r="S633" s="31" t="str">
        <f>IF($C633="","",IF(OR($M633="",$N633=""),'Lists &amp; Settings'!$O$10,IF($N633="Fail",'Lists &amp; Settings'!$O$9,IF($N633="Insufficient Evidence",'Lists &amp; Settings'!$O$10,IF($N633="Pass",IF($M633&gt;='Lists &amp; Settings'!$N$2,'Lists &amp; Settings'!$O$2,IF($M633&gt;='Lists &amp; Settings'!$N$3,'Lists &amp; Settings'!$O$3,'Lists &amp; Settings'!$O$4)),IF($N633="Partial",IF($M633&gt;='Lists &amp; Settings'!$N$6,'Lists &amp; Settings'!$O$6,IF($M633&gt;='Lists &amp; Settings'!$N$7,'Lists &amp; Settings'!$O$7,'Lists &amp; Settings'!$O$8)),'Lists &amp; Settings'!$O$10))))))</f>
        <v/>
      </c>
      <c r="T633" s="31"/>
      <c r="U633" s="31"/>
      <c r="V633" s="31"/>
    </row>
    <row r="634" ht="15.75" customHeight="1">
      <c r="B634" s="31"/>
      <c r="N634" s="127"/>
      <c r="S634" s="31" t="str">
        <f>IF($C634="","",IF(OR($M634="",$N634=""),'Lists &amp; Settings'!$O$10,IF($N634="Fail",'Lists &amp; Settings'!$O$9,IF($N634="Insufficient Evidence",'Lists &amp; Settings'!$O$10,IF($N634="Pass",IF($M634&gt;='Lists &amp; Settings'!$N$2,'Lists &amp; Settings'!$O$2,IF($M634&gt;='Lists &amp; Settings'!$N$3,'Lists &amp; Settings'!$O$3,'Lists &amp; Settings'!$O$4)),IF($N634="Partial",IF($M634&gt;='Lists &amp; Settings'!$N$6,'Lists &amp; Settings'!$O$6,IF($M634&gt;='Lists &amp; Settings'!$N$7,'Lists &amp; Settings'!$O$7,'Lists &amp; Settings'!$O$8)),'Lists &amp; Settings'!$O$10))))))</f>
        <v/>
      </c>
      <c r="T634" s="31"/>
      <c r="U634" s="31"/>
      <c r="V634" s="31"/>
    </row>
    <row r="635" ht="15.75" customHeight="1">
      <c r="B635" s="31"/>
      <c r="N635" s="127"/>
      <c r="S635" s="31" t="str">
        <f>IF($C635="","",IF(OR($M635="",$N635=""),'Lists &amp; Settings'!$O$10,IF($N635="Fail",'Lists &amp; Settings'!$O$9,IF($N635="Insufficient Evidence",'Lists &amp; Settings'!$O$10,IF($N635="Pass",IF($M635&gt;='Lists &amp; Settings'!$N$2,'Lists &amp; Settings'!$O$2,IF($M635&gt;='Lists &amp; Settings'!$N$3,'Lists &amp; Settings'!$O$3,'Lists &amp; Settings'!$O$4)),IF($N635="Partial",IF($M635&gt;='Lists &amp; Settings'!$N$6,'Lists &amp; Settings'!$O$6,IF($M635&gt;='Lists &amp; Settings'!$N$7,'Lists &amp; Settings'!$O$7,'Lists &amp; Settings'!$O$8)),'Lists &amp; Settings'!$O$10))))))</f>
        <v/>
      </c>
      <c r="T635" s="31"/>
      <c r="U635" s="31"/>
      <c r="V635" s="31"/>
    </row>
    <row r="636" ht="15.75" customHeight="1">
      <c r="B636" s="31"/>
      <c r="N636" s="127"/>
      <c r="S636" s="31" t="str">
        <f>IF($C636="","",IF(OR($M636="",$N636=""),'Lists &amp; Settings'!$O$10,IF($N636="Fail",'Lists &amp; Settings'!$O$9,IF($N636="Insufficient Evidence",'Lists &amp; Settings'!$O$10,IF($N636="Pass",IF($M636&gt;='Lists &amp; Settings'!$N$2,'Lists &amp; Settings'!$O$2,IF($M636&gt;='Lists &amp; Settings'!$N$3,'Lists &amp; Settings'!$O$3,'Lists &amp; Settings'!$O$4)),IF($N636="Partial",IF($M636&gt;='Lists &amp; Settings'!$N$6,'Lists &amp; Settings'!$O$6,IF($M636&gt;='Lists &amp; Settings'!$N$7,'Lists &amp; Settings'!$O$7,'Lists &amp; Settings'!$O$8)),'Lists &amp; Settings'!$O$10))))))</f>
        <v/>
      </c>
      <c r="T636" s="31"/>
      <c r="U636" s="31"/>
      <c r="V636" s="31"/>
    </row>
    <row r="637" ht="15.75" customHeight="1">
      <c r="B637" s="31"/>
      <c r="N637" s="127"/>
      <c r="S637" s="31" t="str">
        <f>IF($C637="","",IF(OR($M637="",$N637=""),'Lists &amp; Settings'!$O$10,IF($N637="Fail",'Lists &amp; Settings'!$O$9,IF($N637="Insufficient Evidence",'Lists &amp; Settings'!$O$10,IF($N637="Pass",IF($M637&gt;='Lists &amp; Settings'!$N$2,'Lists &amp; Settings'!$O$2,IF($M637&gt;='Lists &amp; Settings'!$N$3,'Lists &amp; Settings'!$O$3,'Lists &amp; Settings'!$O$4)),IF($N637="Partial",IF($M637&gt;='Lists &amp; Settings'!$N$6,'Lists &amp; Settings'!$O$6,IF($M637&gt;='Lists &amp; Settings'!$N$7,'Lists &amp; Settings'!$O$7,'Lists &amp; Settings'!$O$8)),'Lists &amp; Settings'!$O$10))))))</f>
        <v/>
      </c>
      <c r="T637" s="31"/>
      <c r="U637" s="31"/>
      <c r="V637" s="31"/>
    </row>
    <row r="638" ht="15.75" customHeight="1">
      <c r="B638" s="31"/>
      <c r="N638" s="127"/>
      <c r="S638" s="31" t="str">
        <f>IF($C638="","",IF(OR($M638="",$N638=""),'Lists &amp; Settings'!$O$10,IF($N638="Fail",'Lists &amp; Settings'!$O$9,IF($N638="Insufficient Evidence",'Lists &amp; Settings'!$O$10,IF($N638="Pass",IF($M638&gt;='Lists &amp; Settings'!$N$2,'Lists &amp; Settings'!$O$2,IF($M638&gt;='Lists &amp; Settings'!$N$3,'Lists &amp; Settings'!$O$3,'Lists &amp; Settings'!$O$4)),IF($N638="Partial",IF($M638&gt;='Lists &amp; Settings'!$N$6,'Lists &amp; Settings'!$O$6,IF($M638&gt;='Lists &amp; Settings'!$N$7,'Lists &amp; Settings'!$O$7,'Lists &amp; Settings'!$O$8)),'Lists &amp; Settings'!$O$10))))))</f>
        <v/>
      </c>
      <c r="T638" s="31"/>
      <c r="U638" s="31"/>
      <c r="V638" s="31"/>
    </row>
    <row r="639" ht="15.75" customHeight="1">
      <c r="B639" s="31"/>
      <c r="N639" s="127"/>
      <c r="S639" s="31" t="str">
        <f>IF($C639="","",IF(OR($M639="",$N639=""),'Lists &amp; Settings'!$O$10,IF($N639="Fail",'Lists &amp; Settings'!$O$9,IF($N639="Insufficient Evidence",'Lists &amp; Settings'!$O$10,IF($N639="Pass",IF($M639&gt;='Lists &amp; Settings'!$N$2,'Lists &amp; Settings'!$O$2,IF($M639&gt;='Lists &amp; Settings'!$N$3,'Lists &amp; Settings'!$O$3,'Lists &amp; Settings'!$O$4)),IF($N639="Partial",IF($M639&gt;='Lists &amp; Settings'!$N$6,'Lists &amp; Settings'!$O$6,IF($M639&gt;='Lists &amp; Settings'!$N$7,'Lists &amp; Settings'!$O$7,'Lists &amp; Settings'!$O$8)),'Lists &amp; Settings'!$O$10))))))</f>
        <v/>
      </c>
      <c r="T639" s="31"/>
      <c r="U639" s="31"/>
      <c r="V639" s="31"/>
    </row>
    <row r="640" ht="15.75" customHeight="1">
      <c r="B640" s="31"/>
      <c r="N640" s="127"/>
      <c r="S640" s="31" t="str">
        <f>IF($C640="","",IF(OR($M640="",$N640=""),'Lists &amp; Settings'!$O$10,IF($N640="Fail",'Lists &amp; Settings'!$O$9,IF($N640="Insufficient Evidence",'Lists &amp; Settings'!$O$10,IF($N640="Pass",IF($M640&gt;='Lists &amp; Settings'!$N$2,'Lists &amp; Settings'!$O$2,IF($M640&gt;='Lists &amp; Settings'!$N$3,'Lists &amp; Settings'!$O$3,'Lists &amp; Settings'!$O$4)),IF($N640="Partial",IF($M640&gt;='Lists &amp; Settings'!$N$6,'Lists &amp; Settings'!$O$6,IF($M640&gt;='Lists &amp; Settings'!$N$7,'Lists &amp; Settings'!$O$7,'Lists &amp; Settings'!$O$8)),'Lists &amp; Settings'!$O$10))))))</f>
        <v/>
      </c>
      <c r="T640" s="31"/>
      <c r="U640" s="31"/>
      <c r="V640" s="31"/>
    </row>
    <row r="641" ht="15.75" customHeight="1">
      <c r="B641" s="31"/>
      <c r="N641" s="127"/>
      <c r="S641" s="31" t="str">
        <f>IF($C641="","",IF(OR($M641="",$N641=""),'Lists &amp; Settings'!$O$10,IF($N641="Fail",'Lists &amp; Settings'!$O$9,IF($N641="Insufficient Evidence",'Lists &amp; Settings'!$O$10,IF($N641="Pass",IF($M641&gt;='Lists &amp; Settings'!$N$2,'Lists &amp; Settings'!$O$2,IF($M641&gt;='Lists &amp; Settings'!$N$3,'Lists &amp; Settings'!$O$3,'Lists &amp; Settings'!$O$4)),IF($N641="Partial",IF($M641&gt;='Lists &amp; Settings'!$N$6,'Lists &amp; Settings'!$O$6,IF($M641&gt;='Lists &amp; Settings'!$N$7,'Lists &amp; Settings'!$O$7,'Lists &amp; Settings'!$O$8)),'Lists &amp; Settings'!$O$10))))))</f>
        <v/>
      </c>
      <c r="T641" s="31"/>
      <c r="U641" s="31"/>
      <c r="V641" s="31"/>
    </row>
    <row r="642" ht="15.75" customHeight="1">
      <c r="B642" s="31"/>
      <c r="N642" s="127"/>
      <c r="S642" s="31" t="str">
        <f>IF($C642="","",IF(OR($M642="",$N642=""),'Lists &amp; Settings'!$O$10,IF($N642="Fail",'Lists &amp; Settings'!$O$9,IF($N642="Insufficient Evidence",'Lists &amp; Settings'!$O$10,IF($N642="Pass",IF($M642&gt;='Lists &amp; Settings'!$N$2,'Lists &amp; Settings'!$O$2,IF($M642&gt;='Lists &amp; Settings'!$N$3,'Lists &amp; Settings'!$O$3,'Lists &amp; Settings'!$O$4)),IF($N642="Partial",IF($M642&gt;='Lists &amp; Settings'!$N$6,'Lists &amp; Settings'!$O$6,IF($M642&gt;='Lists &amp; Settings'!$N$7,'Lists &amp; Settings'!$O$7,'Lists &amp; Settings'!$O$8)),'Lists &amp; Settings'!$O$10))))))</f>
        <v/>
      </c>
      <c r="T642" s="31"/>
      <c r="U642" s="31"/>
      <c r="V642" s="31"/>
    </row>
    <row r="643" ht="15.75" customHeight="1">
      <c r="B643" s="31"/>
      <c r="N643" s="127"/>
      <c r="S643" s="31" t="str">
        <f>IF($C643="","",IF(OR($M643="",$N643=""),'Lists &amp; Settings'!$O$10,IF($N643="Fail",'Lists &amp; Settings'!$O$9,IF($N643="Insufficient Evidence",'Lists &amp; Settings'!$O$10,IF($N643="Pass",IF($M643&gt;='Lists &amp; Settings'!$N$2,'Lists &amp; Settings'!$O$2,IF($M643&gt;='Lists &amp; Settings'!$N$3,'Lists &amp; Settings'!$O$3,'Lists &amp; Settings'!$O$4)),IF($N643="Partial",IF($M643&gt;='Lists &amp; Settings'!$N$6,'Lists &amp; Settings'!$O$6,IF($M643&gt;='Lists &amp; Settings'!$N$7,'Lists &amp; Settings'!$O$7,'Lists &amp; Settings'!$O$8)),'Lists &amp; Settings'!$O$10))))))</f>
        <v/>
      </c>
      <c r="T643" s="31"/>
      <c r="U643" s="31"/>
      <c r="V643" s="31"/>
    </row>
    <row r="644" ht="15.75" customHeight="1">
      <c r="B644" s="31"/>
      <c r="N644" s="127"/>
      <c r="S644" s="31" t="str">
        <f>IF($C644="","",IF(OR($M644="",$N644=""),'Lists &amp; Settings'!$O$10,IF($N644="Fail",'Lists &amp; Settings'!$O$9,IF($N644="Insufficient Evidence",'Lists &amp; Settings'!$O$10,IF($N644="Pass",IF($M644&gt;='Lists &amp; Settings'!$N$2,'Lists &amp; Settings'!$O$2,IF($M644&gt;='Lists &amp; Settings'!$N$3,'Lists &amp; Settings'!$O$3,'Lists &amp; Settings'!$O$4)),IF($N644="Partial",IF($M644&gt;='Lists &amp; Settings'!$N$6,'Lists &amp; Settings'!$O$6,IF($M644&gt;='Lists &amp; Settings'!$N$7,'Lists &amp; Settings'!$O$7,'Lists &amp; Settings'!$O$8)),'Lists &amp; Settings'!$O$10))))))</f>
        <v/>
      </c>
      <c r="T644" s="31"/>
      <c r="U644" s="31"/>
      <c r="V644" s="31"/>
    </row>
    <row r="645" ht="15.75" customHeight="1">
      <c r="B645" s="31"/>
      <c r="N645" s="127"/>
      <c r="S645" s="31" t="str">
        <f>IF($C645="","",IF(OR($M645="",$N645=""),'Lists &amp; Settings'!$O$10,IF($N645="Fail",'Lists &amp; Settings'!$O$9,IF($N645="Insufficient Evidence",'Lists &amp; Settings'!$O$10,IF($N645="Pass",IF($M645&gt;='Lists &amp; Settings'!$N$2,'Lists &amp; Settings'!$O$2,IF($M645&gt;='Lists &amp; Settings'!$N$3,'Lists &amp; Settings'!$O$3,'Lists &amp; Settings'!$O$4)),IF($N645="Partial",IF($M645&gt;='Lists &amp; Settings'!$N$6,'Lists &amp; Settings'!$O$6,IF($M645&gt;='Lists &amp; Settings'!$N$7,'Lists &amp; Settings'!$O$7,'Lists &amp; Settings'!$O$8)),'Lists &amp; Settings'!$O$10))))))</f>
        <v/>
      </c>
      <c r="T645" s="31"/>
      <c r="U645" s="31"/>
      <c r="V645" s="31"/>
    </row>
    <row r="646" ht="15.75" customHeight="1">
      <c r="B646" s="31"/>
      <c r="N646" s="127"/>
      <c r="S646" s="31" t="str">
        <f>IF($C646="","",IF(OR($M646="",$N646=""),'Lists &amp; Settings'!$O$10,IF($N646="Fail",'Lists &amp; Settings'!$O$9,IF($N646="Insufficient Evidence",'Lists &amp; Settings'!$O$10,IF($N646="Pass",IF($M646&gt;='Lists &amp; Settings'!$N$2,'Lists &amp; Settings'!$O$2,IF($M646&gt;='Lists &amp; Settings'!$N$3,'Lists &amp; Settings'!$O$3,'Lists &amp; Settings'!$O$4)),IF($N646="Partial",IF($M646&gt;='Lists &amp; Settings'!$N$6,'Lists &amp; Settings'!$O$6,IF($M646&gt;='Lists &amp; Settings'!$N$7,'Lists &amp; Settings'!$O$7,'Lists &amp; Settings'!$O$8)),'Lists &amp; Settings'!$O$10))))))</f>
        <v/>
      </c>
      <c r="T646" s="31"/>
      <c r="U646" s="31"/>
      <c r="V646" s="31"/>
    </row>
    <row r="647" ht="15.75" customHeight="1">
      <c r="B647" s="31"/>
      <c r="N647" s="127"/>
      <c r="S647" s="31" t="str">
        <f>IF($C647="","",IF(OR($M647="",$N647=""),'Lists &amp; Settings'!$O$10,IF($N647="Fail",'Lists &amp; Settings'!$O$9,IF($N647="Insufficient Evidence",'Lists &amp; Settings'!$O$10,IF($N647="Pass",IF($M647&gt;='Lists &amp; Settings'!$N$2,'Lists &amp; Settings'!$O$2,IF($M647&gt;='Lists &amp; Settings'!$N$3,'Lists &amp; Settings'!$O$3,'Lists &amp; Settings'!$O$4)),IF($N647="Partial",IF($M647&gt;='Lists &amp; Settings'!$N$6,'Lists &amp; Settings'!$O$6,IF($M647&gt;='Lists &amp; Settings'!$N$7,'Lists &amp; Settings'!$O$7,'Lists &amp; Settings'!$O$8)),'Lists &amp; Settings'!$O$10))))))</f>
        <v/>
      </c>
      <c r="T647" s="31"/>
      <c r="U647" s="31"/>
      <c r="V647" s="31"/>
    </row>
    <row r="648" ht="15.75" customHeight="1">
      <c r="B648" s="31"/>
      <c r="N648" s="127"/>
      <c r="S648" s="31" t="str">
        <f>IF($C648="","",IF(OR($M648="",$N648=""),'Lists &amp; Settings'!$O$10,IF($N648="Fail",'Lists &amp; Settings'!$O$9,IF($N648="Insufficient Evidence",'Lists &amp; Settings'!$O$10,IF($N648="Pass",IF($M648&gt;='Lists &amp; Settings'!$N$2,'Lists &amp; Settings'!$O$2,IF($M648&gt;='Lists &amp; Settings'!$N$3,'Lists &amp; Settings'!$O$3,'Lists &amp; Settings'!$O$4)),IF($N648="Partial",IF($M648&gt;='Lists &amp; Settings'!$N$6,'Lists &amp; Settings'!$O$6,IF($M648&gt;='Lists &amp; Settings'!$N$7,'Lists &amp; Settings'!$O$7,'Lists &amp; Settings'!$O$8)),'Lists &amp; Settings'!$O$10))))))</f>
        <v/>
      </c>
      <c r="T648" s="31"/>
      <c r="U648" s="31"/>
      <c r="V648" s="31"/>
    </row>
    <row r="649" ht="15.75" customHeight="1">
      <c r="B649" s="31"/>
      <c r="N649" s="127"/>
      <c r="S649" s="31" t="str">
        <f>IF($C649="","",IF(OR($M649="",$N649=""),'Lists &amp; Settings'!$O$10,IF($N649="Fail",'Lists &amp; Settings'!$O$9,IF($N649="Insufficient Evidence",'Lists &amp; Settings'!$O$10,IF($N649="Pass",IF($M649&gt;='Lists &amp; Settings'!$N$2,'Lists &amp; Settings'!$O$2,IF($M649&gt;='Lists &amp; Settings'!$N$3,'Lists &amp; Settings'!$O$3,'Lists &amp; Settings'!$O$4)),IF($N649="Partial",IF($M649&gt;='Lists &amp; Settings'!$N$6,'Lists &amp; Settings'!$O$6,IF($M649&gt;='Lists &amp; Settings'!$N$7,'Lists &amp; Settings'!$O$7,'Lists &amp; Settings'!$O$8)),'Lists &amp; Settings'!$O$10))))))</f>
        <v/>
      </c>
      <c r="T649" s="31"/>
      <c r="U649" s="31"/>
      <c r="V649" s="31"/>
    </row>
    <row r="650" ht="15.75" customHeight="1">
      <c r="B650" s="31"/>
      <c r="N650" s="127"/>
      <c r="S650" s="31" t="str">
        <f>IF($C650="","",IF(OR($M650="",$N650=""),'Lists &amp; Settings'!$O$10,IF($N650="Fail",'Lists &amp; Settings'!$O$9,IF($N650="Insufficient Evidence",'Lists &amp; Settings'!$O$10,IF($N650="Pass",IF($M650&gt;='Lists &amp; Settings'!$N$2,'Lists &amp; Settings'!$O$2,IF($M650&gt;='Lists &amp; Settings'!$N$3,'Lists &amp; Settings'!$O$3,'Lists &amp; Settings'!$O$4)),IF($N650="Partial",IF($M650&gt;='Lists &amp; Settings'!$N$6,'Lists &amp; Settings'!$O$6,IF($M650&gt;='Lists &amp; Settings'!$N$7,'Lists &amp; Settings'!$O$7,'Lists &amp; Settings'!$O$8)),'Lists &amp; Settings'!$O$10))))))</f>
        <v/>
      </c>
      <c r="T650" s="31"/>
      <c r="U650" s="31"/>
      <c r="V650" s="31"/>
    </row>
    <row r="651" ht="15.75" customHeight="1">
      <c r="B651" s="31"/>
      <c r="N651" s="127"/>
      <c r="S651" s="31" t="str">
        <f>IF($C651="","",IF(OR($M651="",$N651=""),'Lists &amp; Settings'!$O$10,IF($N651="Fail",'Lists &amp; Settings'!$O$9,IF($N651="Insufficient Evidence",'Lists &amp; Settings'!$O$10,IF($N651="Pass",IF($M651&gt;='Lists &amp; Settings'!$N$2,'Lists &amp; Settings'!$O$2,IF($M651&gt;='Lists &amp; Settings'!$N$3,'Lists &amp; Settings'!$O$3,'Lists &amp; Settings'!$O$4)),IF($N651="Partial",IF($M651&gt;='Lists &amp; Settings'!$N$6,'Lists &amp; Settings'!$O$6,IF($M651&gt;='Lists &amp; Settings'!$N$7,'Lists &amp; Settings'!$O$7,'Lists &amp; Settings'!$O$8)),'Lists &amp; Settings'!$O$10))))))</f>
        <v/>
      </c>
      <c r="T651" s="31"/>
      <c r="U651" s="31"/>
      <c r="V651" s="31"/>
    </row>
    <row r="652" ht="15.75" customHeight="1">
      <c r="B652" s="31"/>
      <c r="N652" s="127"/>
      <c r="S652" s="31" t="str">
        <f>IF($C652="","",IF(OR($M652="",$N652=""),'Lists &amp; Settings'!$O$10,IF($N652="Fail",'Lists &amp; Settings'!$O$9,IF($N652="Insufficient Evidence",'Lists &amp; Settings'!$O$10,IF($N652="Pass",IF($M652&gt;='Lists &amp; Settings'!$N$2,'Lists &amp; Settings'!$O$2,IF($M652&gt;='Lists &amp; Settings'!$N$3,'Lists &amp; Settings'!$O$3,'Lists &amp; Settings'!$O$4)),IF($N652="Partial",IF($M652&gt;='Lists &amp; Settings'!$N$6,'Lists &amp; Settings'!$O$6,IF($M652&gt;='Lists &amp; Settings'!$N$7,'Lists &amp; Settings'!$O$7,'Lists &amp; Settings'!$O$8)),'Lists &amp; Settings'!$O$10))))))</f>
        <v/>
      </c>
      <c r="T652" s="31"/>
      <c r="U652" s="31"/>
      <c r="V652" s="31"/>
    </row>
    <row r="653" ht="15.75" customHeight="1">
      <c r="B653" s="31"/>
      <c r="N653" s="127"/>
      <c r="S653" s="31" t="str">
        <f>IF($C653="","",IF(OR($M653="",$N653=""),'Lists &amp; Settings'!$O$10,IF($N653="Fail",'Lists &amp; Settings'!$O$9,IF($N653="Insufficient Evidence",'Lists &amp; Settings'!$O$10,IF($N653="Pass",IF($M653&gt;='Lists &amp; Settings'!$N$2,'Lists &amp; Settings'!$O$2,IF($M653&gt;='Lists &amp; Settings'!$N$3,'Lists &amp; Settings'!$O$3,'Lists &amp; Settings'!$O$4)),IF($N653="Partial",IF($M653&gt;='Lists &amp; Settings'!$N$6,'Lists &amp; Settings'!$O$6,IF($M653&gt;='Lists &amp; Settings'!$N$7,'Lists &amp; Settings'!$O$7,'Lists &amp; Settings'!$O$8)),'Lists &amp; Settings'!$O$10))))))</f>
        <v/>
      </c>
      <c r="T653" s="31"/>
      <c r="U653" s="31"/>
      <c r="V653" s="31"/>
    </row>
    <row r="654" ht="15.75" customHeight="1">
      <c r="B654" s="31"/>
      <c r="N654" s="127"/>
      <c r="S654" s="31" t="str">
        <f>IF($C654="","",IF(OR($M654="",$N654=""),'Lists &amp; Settings'!$O$10,IF($N654="Fail",'Lists &amp; Settings'!$O$9,IF($N654="Insufficient Evidence",'Lists &amp; Settings'!$O$10,IF($N654="Pass",IF($M654&gt;='Lists &amp; Settings'!$N$2,'Lists &amp; Settings'!$O$2,IF($M654&gt;='Lists &amp; Settings'!$N$3,'Lists &amp; Settings'!$O$3,'Lists &amp; Settings'!$O$4)),IF($N654="Partial",IF($M654&gt;='Lists &amp; Settings'!$N$6,'Lists &amp; Settings'!$O$6,IF($M654&gt;='Lists &amp; Settings'!$N$7,'Lists &amp; Settings'!$O$7,'Lists &amp; Settings'!$O$8)),'Lists &amp; Settings'!$O$10))))))</f>
        <v/>
      </c>
      <c r="T654" s="31"/>
      <c r="U654" s="31"/>
      <c r="V654" s="31"/>
    </row>
    <row r="655" ht="15.75" customHeight="1">
      <c r="B655" s="31"/>
      <c r="N655" s="127"/>
      <c r="S655" s="31" t="str">
        <f>IF($C655="","",IF(OR($M655="",$N655=""),'Lists &amp; Settings'!$O$10,IF($N655="Fail",'Lists &amp; Settings'!$O$9,IF($N655="Insufficient Evidence",'Lists &amp; Settings'!$O$10,IF($N655="Pass",IF($M655&gt;='Lists &amp; Settings'!$N$2,'Lists &amp; Settings'!$O$2,IF($M655&gt;='Lists &amp; Settings'!$N$3,'Lists &amp; Settings'!$O$3,'Lists &amp; Settings'!$O$4)),IF($N655="Partial",IF($M655&gt;='Lists &amp; Settings'!$N$6,'Lists &amp; Settings'!$O$6,IF($M655&gt;='Lists &amp; Settings'!$N$7,'Lists &amp; Settings'!$O$7,'Lists &amp; Settings'!$O$8)),'Lists &amp; Settings'!$O$10))))))</f>
        <v/>
      </c>
      <c r="T655" s="31"/>
      <c r="U655" s="31"/>
      <c r="V655" s="31"/>
    </row>
    <row r="656" ht="15.75" customHeight="1">
      <c r="B656" s="31"/>
      <c r="N656" s="127"/>
      <c r="S656" s="31" t="str">
        <f>IF($C656="","",IF(OR($M656="",$N656=""),'Lists &amp; Settings'!$O$10,IF($N656="Fail",'Lists &amp; Settings'!$O$9,IF($N656="Insufficient Evidence",'Lists &amp; Settings'!$O$10,IF($N656="Pass",IF($M656&gt;='Lists &amp; Settings'!$N$2,'Lists &amp; Settings'!$O$2,IF($M656&gt;='Lists &amp; Settings'!$N$3,'Lists &amp; Settings'!$O$3,'Lists &amp; Settings'!$O$4)),IF($N656="Partial",IF($M656&gt;='Lists &amp; Settings'!$N$6,'Lists &amp; Settings'!$O$6,IF($M656&gt;='Lists &amp; Settings'!$N$7,'Lists &amp; Settings'!$O$7,'Lists &amp; Settings'!$O$8)),'Lists &amp; Settings'!$O$10))))))</f>
        <v/>
      </c>
      <c r="T656" s="31"/>
      <c r="U656" s="31"/>
      <c r="V656" s="31"/>
    </row>
    <row r="657" ht="15.75" customHeight="1">
      <c r="B657" s="31"/>
      <c r="N657" s="127"/>
      <c r="S657" s="31" t="str">
        <f>IF($C657="","",IF(OR($M657="",$N657=""),'Lists &amp; Settings'!$O$10,IF($N657="Fail",'Lists &amp; Settings'!$O$9,IF($N657="Insufficient Evidence",'Lists &amp; Settings'!$O$10,IF($N657="Pass",IF($M657&gt;='Lists &amp; Settings'!$N$2,'Lists &amp; Settings'!$O$2,IF($M657&gt;='Lists &amp; Settings'!$N$3,'Lists &amp; Settings'!$O$3,'Lists &amp; Settings'!$O$4)),IF($N657="Partial",IF($M657&gt;='Lists &amp; Settings'!$N$6,'Lists &amp; Settings'!$O$6,IF($M657&gt;='Lists &amp; Settings'!$N$7,'Lists &amp; Settings'!$O$7,'Lists &amp; Settings'!$O$8)),'Lists &amp; Settings'!$O$10))))))</f>
        <v/>
      </c>
      <c r="T657" s="31"/>
      <c r="U657" s="31"/>
      <c r="V657" s="31"/>
    </row>
    <row r="658" ht="15.75" customHeight="1">
      <c r="B658" s="31"/>
      <c r="N658" s="127"/>
      <c r="S658" s="31" t="str">
        <f>IF($C658="","",IF(OR($M658="",$N658=""),'Lists &amp; Settings'!$O$10,IF($N658="Fail",'Lists &amp; Settings'!$O$9,IF($N658="Insufficient Evidence",'Lists &amp; Settings'!$O$10,IF($N658="Pass",IF($M658&gt;='Lists &amp; Settings'!$N$2,'Lists &amp; Settings'!$O$2,IF($M658&gt;='Lists &amp; Settings'!$N$3,'Lists &amp; Settings'!$O$3,'Lists &amp; Settings'!$O$4)),IF($N658="Partial",IF($M658&gt;='Lists &amp; Settings'!$N$6,'Lists &amp; Settings'!$O$6,IF($M658&gt;='Lists &amp; Settings'!$N$7,'Lists &amp; Settings'!$O$7,'Lists &amp; Settings'!$O$8)),'Lists &amp; Settings'!$O$10))))))</f>
        <v/>
      </c>
      <c r="T658" s="31"/>
      <c r="U658" s="31"/>
      <c r="V658" s="31"/>
    </row>
    <row r="659" ht="15.75" customHeight="1">
      <c r="B659" s="31"/>
      <c r="N659" s="127"/>
      <c r="S659" s="31" t="str">
        <f>IF($C659="","",IF(OR($M659="",$N659=""),'Lists &amp; Settings'!$O$10,IF($N659="Fail",'Lists &amp; Settings'!$O$9,IF($N659="Insufficient Evidence",'Lists &amp; Settings'!$O$10,IF($N659="Pass",IF($M659&gt;='Lists &amp; Settings'!$N$2,'Lists &amp; Settings'!$O$2,IF($M659&gt;='Lists &amp; Settings'!$N$3,'Lists &amp; Settings'!$O$3,'Lists &amp; Settings'!$O$4)),IF($N659="Partial",IF($M659&gt;='Lists &amp; Settings'!$N$6,'Lists &amp; Settings'!$O$6,IF($M659&gt;='Lists &amp; Settings'!$N$7,'Lists &amp; Settings'!$O$7,'Lists &amp; Settings'!$O$8)),'Lists &amp; Settings'!$O$10))))))</f>
        <v/>
      </c>
      <c r="T659" s="31"/>
      <c r="U659" s="31"/>
      <c r="V659" s="31"/>
    </row>
    <row r="660" ht="15.75" customHeight="1">
      <c r="B660" s="31"/>
      <c r="N660" s="127"/>
      <c r="S660" s="31" t="str">
        <f>IF($C660="","",IF(OR($M660="",$N660=""),'Lists &amp; Settings'!$O$10,IF($N660="Fail",'Lists &amp; Settings'!$O$9,IF($N660="Insufficient Evidence",'Lists &amp; Settings'!$O$10,IF($N660="Pass",IF($M660&gt;='Lists &amp; Settings'!$N$2,'Lists &amp; Settings'!$O$2,IF($M660&gt;='Lists &amp; Settings'!$N$3,'Lists &amp; Settings'!$O$3,'Lists &amp; Settings'!$O$4)),IF($N660="Partial",IF($M660&gt;='Lists &amp; Settings'!$N$6,'Lists &amp; Settings'!$O$6,IF($M660&gt;='Lists &amp; Settings'!$N$7,'Lists &amp; Settings'!$O$7,'Lists &amp; Settings'!$O$8)),'Lists &amp; Settings'!$O$10))))))</f>
        <v/>
      </c>
      <c r="T660" s="31"/>
      <c r="U660" s="31"/>
      <c r="V660" s="31"/>
    </row>
    <row r="661" ht="15.75" customHeight="1">
      <c r="B661" s="31"/>
      <c r="N661" s="127"/>
      <c r="S661" s="31" t="str">
        <f>IF($C661="","",IF(OR($M661="",$N661=""),'Lists &amp; Settings'!$O$10,IF($N661="Fail",'Lists &amp; Settings'!$O$9,IF($N661="Insufficient Evidence",'Lists &amp; Settings'!$O$10,IF($N661="Pass",IF($M661&gt;='Lists &amp; Settings'!$N$2,'Lists &amp; Settings'!$O$2,IF($M661&gt;='Lists &amp; Settings'!$N$3,'Lists &amp; Settings'!$O$3,'Lists &amp; Settings'!$O$4)),IF($N661="Partial",IF($M661&gt;='Lists &amp; Settings'!$N$6,'Lists &amp; Settings'!$O$6,IF($M661&gt;='Lists &amp; Settings'!$N$7,'Lists &amp; Settings'!$O$7,'Lists &amp; Settings'!$O$8)),'Lists &amp; Settings'!$O$10))))))</f>
        <v/>
      </c>
      <c r="T661" s="31"/>
      <c r="U661" s="31"/>
      <c r="V661" s="31"/>
    </row>
    <row r="662" ht="15.75" customHeight="1">
      <c r="B662" s="31"/>
      <c r="N662" s="127"/>
      <c r="S662" s="31" t="str">
        <f>IF($C662="","",IF(OR($M662="",$N662=""),'Lists &amp; Settings'!$O$10,IF($N662="Fail",'Lists &amp; Settings'!$O$9,IF($N662="Insufficient Evidence",'Lists &amp; Settings'!$O$10,IF($N662="Pass",IF($M662&gt;='Lists &amp; Settings'!$N$2,'Lists &amp; Settings'!$O$2,IF($M662&gt;='Lists &amp; Settings'!$N$3,'Lists &amp; Settings'!$O$3,'Lists &amp; Settings'!$O$4)),IF($N662="Partial",IF($M662&gt;='Lists &amp; Settings'!$N$6,'Lists &amp; Settings'!$O$6,IF($M662&gt;='Lists &amp; Settings'!$N$7,'Lists &amp; Settings'!$O$7,'Lists &amp; Settings'!$O$8)),'Lists &amp; Settings'!$O$10))))))</f>
        <v/>
      </c>
      <c r="T662" s="31"/>
      <c r="U662" s="31"/>
      <c r="V662" s="31"/>
    </row>
    <row r="663" ht="15.75" customHeight="1">
      <c r="B663" s="31"/>
      <c r="N663" s="127"/>
      <c r="S663" s="31" t="str">
        <f>IF($C663="","",IF(OR($M663="",$N663=""),'Lists &amp; Settings'!$O$10,IF($N663="Fail",'Lists &amp; Settings'!$O$9,IF($N663="Insufficient Evidence",'Lists &amp; Settings'!$O$10,IF($N663="Pass",IF($M663&gt;='Lists &amp; Settings'!$N$2,'Lists &amp; Settings'!$O$2,IF($M663&gt;='Lists &amp; Settings'!$N$3,'Lists &amp; Settings'!$O$3,'Lists &amp; Settings'!$O$4)),IF($N663="Partial",IF($M663&gt;='Lists &amp; Settings'!$N$6,'Lists &amp; Settings'!$O$6,IF($M663&gt;='Lists &amp; Settings'!$N$7,'Lists &amp; Settings'!$O$7,'Lists &amp; Settings'!$O$8)),'Lists &amp; Settings'!$O$10))))))</f>
        <v/>
      </c>
      <c r="T663" s="31"/>
      <c r="U663" s="31"/>
      <c r="V663" s="31"/>
    </row>
    <row r="664" ht="15.75" customHeight="1">
      <c r="B664" s="31"/>
      <c r="N664" s="127"/>
      <c r="S664" s="31" t="str">
        <f>IF($C664="","",IF(OR($M664="",$N664=""),'Lists &amp; Settings'!$O$10,IF($N664="Fail",'Lists &amp; Settings'!$O$9,IF($N664="Insufficient Evidence",'Lists &amp; Settings'!$O$10,IF($N664="Pass",IF($M664&gt;='Lists &amp; Settings'!$N$2,'Lists &amp; Settings'!$O$2,IF($M664&gt;='Lists &amp; Settings'!$N$3,'Lists &amp; Settings'!$O$3,'Lists &amp; Settings'!$O$4)),IF($N664="Partial",IF($M664&gt;='Lists &amp; Settings'!$N$6,'Lists &amp; Settings'!$O$6,IF($M664&gt;='Lists &amp; Settings'!$N$7,'Lists &amp; Settings'!$O$7,'Lists &amp; Settings'!$O$8)),'Lists &amp; Settings'!$O$10))))))</f>
        <v/>
      </c>
      <c r="T664" s="31"/>
      <c r="U664" s="31"/>
      <c r="V664" s="31"/>
    </row>
    <row r="665" ht="15.75" customHeight="1">
      <c r="B665" s="31"/>
      <c r="N665" s="127"/>
      <c r="S665" s="31" t="str">
        <f>IF($C665="","",IF(OR($M665="",$N665=""),'Lists &amp; Settings'!$O$10,IF($N665="Fail",'Lists &amp; Settings'!$O$9,IF($N665="Insufficient Evidence",'Lists &amp; Settings'!$O$10,IF($N665="Pass",IF($M665&gt;='Lists &amp; Settings'!$N$2,'Lists &amp; Settings'!$O$2,IF($M665&gt;='Lists &amp; Settings'!$N$3,'Lists &amp; Settings'!$O$3,'Lists &amp; Settings'!$O$4)),IF($N665="Partial",IF($M665&gt;='Lists &amp; Settings'!$N$6,'Lists &amp; Settings'!$O$6,IF($M665&gt;='Lists &amp; Settings'!$N$7,'Lists &amp; Settings'!$O$7,'Lists &amp; Settings'!$O$8)),'Lists &amp; Settings'!$O$10))))))</f>
        <v/>
      </c>
      <c r="T665" s="31"/>
      <c r="U665" s="31"/>
      <c r="V665" s="31"/>
    </row>
    <row r="666" ht="15.75" customHeight="1">
      <c r="B666" s="31"/>
      <c r="N666" s="127"/>
      <c r="S666" s="31" t="str">
        <f>IF($C666="","",IF(OR($M666="",$N666=""),'Lists &amp; Settings'!$O$10,IF($N666="Fail",'Lists &amp; Settings'!$O$9,IF($N666="Insufficient Evidence",'Lists &amp; Settings'!$O$10,IF($N666="Pass",IF($M666&gt;='Lists &amp; Settings'!$N$2,'Lists &amp; Settings'!$O$2,IF($M666&gt;='Lists &amp; Settings'!$N$3,'Lists &amp; Settings'!$O$3,'Lists &amp; Settings'!$O$4)),IF($N666="Partial",IF($M666&gt;='Lists &amp; Settings'!$N$6,'Lists &amp; Settings'!$O$6,IF($M666&gt;='Lists &amp; Settings'!$N$7,'Lists &amp; Settings'!$O$7,'Lists &amp; Settings'!$O$8)),'Lists &amp; Settings'!$O$10))))))</f>
        <v/>
      </c>
      <c r="T666" s="31"/>
      <c r="U666" s="31"/>
      <c r="V666" s="31"/>
    </row>
    <row r="667" ht="15.75" customHeight="1">
      <c r="B667" s="31"/>
      <c r="N667" s="127"/>
      <c r="S667" s="31" t="str">
        <f>IF($C667="","",IF(OR($M667="",$N667=""),'Lists &amp; Settings'!$O$10,IF($N667="Fail",'Lists &amp; Settings'!$O$9,IF($N667="Insufficient Evidence",'Lists &amp; Settings'!$O$10,IF($N667="Pass",IF($M667&gt;='Lists &amp; Settings'!$N$2,'Lists &amp; Settings'!$O$2,IF($M667&gt;='Lists &amp; Settings'!$N$3,'Lists &amp; Settings'!$O$3,'Lists &amp; Settings'!$O$4)),IF($N667="Partial",IF($M667&gt;='Lists &amp; Settings'!$N$6,'Lists &amp; Settings'!$O$6,IF($M667&gt;='Lists &amp; Settings'!$N$7,'Lists &amp; Settings'!$O$7,'Lists &amp; Settings'!$O$8)),'Lists &amp; Settings'!$O$10))))))</f>
        <v/>
      </c>
      <c r="T667" s="31"/>
      <c r="U667" s="31"/>
      <c r="V667" s="31"/>
    </row>
    <row r="668" ht="15.75" customHeight="1">
      <c r="B668" s="31"/>
      <c r="N668" s="127"/>
      <c r="S668" s="31" t="str">
        <f>IF($C668="","",IF(OR($M668="",$N668=""),'Lists &amp; Settings'!$O$10,IF($N668="Fail",'Lists &amp; Settings'!$O$9,IF($N668="Insufficient Evidence",'Lists &amp; Settings'!$O$10,IF($N668="Pass",IF($M668&gt;='Lists &amp; Settings'!$N$2,'Lists &amp; Settings'!$O$2,IF($M668&gt;='Lists &amp; Settings'!$N$3,'Lists &amp; Settings'!$O$3,'Lists &amp; Settings'!$O$4)),IF($N668="Partial",IF($M668&gt;='Lists &amp; Settings'!$N$6,'Lists &amp; Settings'!$O$6,IF($M668&gt;='Lists &amp; Settings'!$N$7,'Lists &amp; Settings'!$O$7,'Lists &amp; Settings'!$O$8)),'Lists &amp; Settings'!$O$10))))))</f>
        <v/>
      </c>
      <c r="T668" s="31"/>
      <c r="U668" s="31"/>
      <c r="V668" s="31"/>
    </row>
    <row r="669" ht="15.75" customHeight="1">
      <c r="B669" s="31"/>
      <c r="N669" s="127"/>
      <c r="S669" s="31" t="str">
        <f>IF($C669="","",IF(OR($M669="",$N669=""),'Lists &amp; Settings'!$O$10,IF($N669="Fail",'Lists &amp; Settings'!$O$9,IF($N669="Insufficient Evidence",'Lists &amp; Settings'!$O$10,IF($N669="Pass",IF($M669&gt;='Lists &amp; Settings'!$N$2,'Lists &amp; Settings'!$O$2,IF($M669&gt;='Lists &amp; Settings'!$N$3,'Lists &amp; Settings'!$O$3,'Lists &amp; Settings'!$O$4)),IF($N669="Partial",IF($M669&gt;='Lists &amp; Settings'!$N$6,'Lists &amp; Settings'!$O$6,IF($M669&gt;='Lists &amp; Settings'!$N$7,'Lists &amp; Settings'!$O$7,'Lists &amp; Settings'!$O$8)),'Lists &amp; Settings'!$O$10))))))</f>
        <v/>
      </c>
      <c r="T669" s="31"/>
      <c r="U669" s="31"/>
      <c r="V669" s="31"/>
    </row>
    <row r="670" ht="15.75" customHeight="1">
      <c r="B670" s="31"/>
      <c r="N670" s="127"/>
      <c r="S670" s="31" t="str">
        <f>IF($C670="","",IF(OR($M670="",$N670=""),'Lists &amp; Settings'!$O$10,IF($N670="Fail",'Lists &amp; Settings'!$O$9,IF($N670="Insufficient Evidence",'Lists &amp; Settings'!$O$10,IF($N670="Pass",IF($M670&gt;='Lists &amp; Settings'!$N$2,'Lists &amp; Settings'!$O$2,IF($M670&gt;='Lists &amp; Settings'!$N$3,'Lists &amp; Settings'!$O$3,'Lists &amp; Settings'!$O$4)),IF($N670="Partial",IF($M670&gt;='Lists &amp; Settings'!$N$6,'Lists &amp; Settings'!$O$6,IF($M670&gt;='Lists &amp; Settings'!$N$7,'Lists &amp; Settings'!$O$7,'Lists &amp; Settings'!$O$8)),'Lists &amp; Settings'!$O$10))))))</f>
        <v/>
      </c>
      <c r="T670" s="31"/>
      <c r="U670" s="31"/>
      <c r="V670" s="31"/>
    </row>
    <row r="671" ht="15.75" customHeight="1">
      <c r="B671" s="31"/>
      <c r="N671" s="127"/>
      <c r="S671" s="31" t="str">
        <f>IF($C671="","",IF(OR($M671="",$N671=""),'Lists &amp; Settings'!$O$10,IF($N671="Fail",'Lists &amp; Settings'!$O$9,IF($N671="Insufficient Evidence",'Lists &amp; Settings'!$O$10,IF($N671="Pass",IF($M671&gt;='Lists &amp; Settings'!$N$2,'Lists &amp; Settings'!$O$2,IF($M671&gt;='Lists &amp; Settings'!$N$3,'Lists &amp; Settings'!$O$3,'Lists &amp; Settings'!$O$4)),IF($N671="Partial",IF($M671&gt;='Lists &amp; Settings'!$N$6,'Lists &amp; Settings'!$O$6,IF($M671&gt;='Lists &amp; Settings'!$N$7,'Lists &amp; Settings'!$O$7,'Lists &amp; Settings'!$O$8)),'Lists &amp; Settings'!$O$10))))))</f>
        <v/>
      </c>
      <c r="T671" s="31"/>
      <c r="U671" s="31"/>
      <c r="V671" s="31"/>
    </row>
    <row r="672" ht="15.75" customHeight="1">
      <c r="B672" s="31"/>
      <c r="N672" s="127"/>
      <c r="S672" s="31" t="str">
        <f>IF($C672="","",IF(OR($M672="",$N672=""),'Lists &amp; Settings'!$O$10,IF($N672="Fail",'Lists &amp; Settings'!$O$9,IF($N672="Insufficient Evidence",'Lists &amp; Settings'!$O$10,IF($N672="Pass",IF($M672&gt;='Lists &amp; Settings'!$N$2,'Lists &amp; Settings'!$O$2,IF($M672&gt;='Lists &amp; Settings'!$N$3,'Lists &amp; Settings'!$O$3,'Lists &amp; Settings'!$O$4)),IF($N672="Partial",IF($M672&gt;='Lists &amp; Settings'!$N$6,'Lists &amp; Settings'!$O$6,IF($M672&gt;='Lists &amp; Settings'!$N$7,'Lists &amp; Settings'!$O$7,'Lists &amp; Settings'!$O$8)),'Lists &amp; Settings'!$O$10))))))</f>
        <v/>
      </c>
      <c r="T672" s="31"/>
      <c r="U672" s="31"/>
      <c r="V672" s="31"/>
    </row>
    <row r="673" ht="15.75" customHeight="1">
      <c r="B673" s="31"/>
      <c r="N673" s="127"/>
      <c r="S673" s="31" t="str">
        <f>IF($C673="","",IF(OR($M673="",$N673=""),'Lists &amp; Settings'!$O$10,IF($N673="Fail",'Lists &amp; Settings'!$O$9,IF($N673="Insufficient Evidence",'Lists &amp; Settings'!$O$10,IF($N673="Pass",IF($M673&gt;='Lists &amp; Settings'!$N$2,'Lists &amp; Settings'!$O$2,IF($M673&gt;='Lists &amp; Settings'!$N$3,'Lists &amp; Settings'!$O$3,'Lists &amp; Settings'!$O$4)),IF($N673="Partial",IF($M673&gt;='Lists &amp; Settings'!$N$6,'Lists &amp; Settings'!$O$6,IF($M673&gt;='Lists &amp; Settings'!$N$7,'Lists &amp; Settings'!$O$7,'Lists &amp; Settings'!$O$8)),'Lists &amp; Settings'!$O$10))))))</f>
        <v/>
      </c>
      <c r="T673" s="31"/>
      <c r="U673" s="31"/>
      <c r="V673" s="31"/>
    </row>
    <row r="674" ht="15.75" customHeight="1">
      <c r="B674" s="31"/>
      <c r="N674" s="127"/>
      <c r="S674" s="31" t="str">
        <f>IF($C674="","",IF(OR($M674="",$N674=""),'Lists &amp; Settings'!$O$10,IF($N674="Fail",'Lists &amp; Settings'!$O$9,IF($N674="Insufficient Evidence",'Lists &amp; Settings'!$O$10,IF($N674="Pass",IF($M674&gt;='Lists &amp; Settings'!$N$2,'Lists &amp; Settings'!$O$2,IF($M674&gt;='Lists &amp; Settings'!$N$3,'Lists &amp; Settings'!$O$3,'Lists &amp; Settings'!$O$4)),IF($N674="Partial",IF($M674&gt;='Lists &amp; Settings'!$N$6,'Lists &amp; Settings'!$O$6,IF($M674&gt;='Lists &amp; Settings'!$N$7,'Lists &amp; Settings'!$O$7,'Lists &amp; Settings'!$O$8)),'Lists &amp; Settings'!$O$10))))))</f>
        <v/>
      </c>
      <c r="T674" s="31"/>
      <c r="U674" s="31"/>
      <c r="V674" s="31"/>
    </row>
    <row r="675" ht="15.75" customHeight="1">
      <c r="B675" s="31"/>
      <c r="N675" s="127"/>
      <c r="S675" s="31" t="str">
        <f>IF($C675="","",IF(OR($M675="",$N675=""),'Lists &amp; Settings'!$O$10,IF($N675="Fail",'Lists &amp; Settings'!$O$9,IF($N675="Insufficient Evidence",'Lists &amp; Settings'!$O$10,IF($N675="Pass",IF($M675&gt;='Lists &amp; Settings'!$N$2,'Lists &amp; Settings'!$O$2,IF($M675&gt;='Lists &amp; Settings'!$N$3,'Lists &amp; Settings'!$O$3,'Lists &amp; Settings'!$O$4)),IF($N675="Partial",IF($M675&gt;='Lists &amp; Settings'!$N$6,'Lists &amp; Settings'!$O$6,IF($M675&gt;='Lists &amp; Settings'!$N$7,'Lists &amp; Settings'!$O$7,'Lists &amp; Settings'!$O$8)),'Lists &amp; Settings'!$O$10))))))</f>
        <v/>
      </c>
      <c r="T675" s="31"/>
      <c r="U675" s="31"/>
      <c r="V675" s="31"/>
    </row>
    <row r="676" ht="15.75" customHeight="1">
      <c r="B676" s="31"/>
      <c r="N676" s="127"/>
      <c r="S676" s="31" t="str">
        <f>IF($C676="","",IF(OR($M676="",$N676=""),'Lists &amp; Settings'!$O$10,IF($N676="Fail",'Lists &amp; Settings'!$O$9,IF($N676="Insufficient Evidence",'Lists &amp; Settings'!$O$10,IF($N676="Pass",IF($M676&gt;='Lists &amp; Settings'!$N$2,'Lists &amp; Settings'!$O$2,IF($M676&gt;='Lists &amp; Settings'!$N$3,'Lists &amp; Settings'!$O$3,'Lists &amp; Settings'!$O$4)),IF($N676="Partial",IF($M676&gt;='Lists &amp; Settings'!$N$6,'Lists &amp; Settings'!$O$6,IF($M676&gt;='Lists &amp; Settings'!$N$7,'Lists &amp; Settings'!$O$7,'Lists &amp; Settings'!$O$8)),'Lists &amp; Settings'!$O$10))))))</f>
        <v/>
      </c>
      <c r="T676" s="31"/>
      <c r="U676" s="31"/>
      <c r="V676" s="31"/>
    </row>
    <row r="677" ht="15.75" customHeight="1">
      <c r="B677" s="31"/>
      <c r="N677" s="127"/>
      <c r="S677" s="31" t="str">
        <f>IF($C677="","",IF(OR($M677="",$N677=""),'Lists &amp; Settings'!$O$10,IF($N677="Fail",'Lists &amp; Settings'!$O$9,IF($N677="Insufficient Evidence",'Lists &amp; Settings'!$O$10,IF($N677="Pass",IF($M677&gt;='Lists &amp; Settings'!$N$2,'Lists &amp; Settings'!$O$2,IF($M677&gt;='Lists &amp; Settings'!$N$3,'Lists &amp; Settings'!$O$3,'Lists &amp; Settings'!$O$4)),IF($N677="Partial",IF($M677&gt;='Lists &amp; Settings'!$N$6,'Lists &amp; Settings'!$O$6,IF($M677&gt;='Lists &amp; Settings'!$N$7,'Lists &amp; Settings'!$O$7,'Lists &amp; Settings'!$O$8)),'Lists &amp; Settings'!$O$10))))))</f>
        <v/>
      </c>
      <c r="T677" s="31"/>
      <c r="U677" s="31"/>
      <c r="V677" s="31"/>
    </row>
    <row r="678" ht="15.75" customHeight="1">
      <c r="B678" s="31"/>
      <c r="N678" s="127"/>
      <c r="S678" s="31" t="str">
        <f>IF($C678="","",IF(OR($M678="",$N678=""),'Lists &amp; Settings'!$O$10,IF($N678="Fail",'Lists &amp; Settings'!$O$9,IF($N678="Insufficient Evidence",'Lists &amp; Settings'!$O$10,IF($N678="Pass",IF($M678&gt;='Lists &amp; Settings'!$N$2,'Lists &amp; Settings'!$O$2,IF($M678&gt;='Lists &amp; Settings'!$N$3,'Lists &amp; Settings'!$O$3,'Lists &amp; Settings'!$O$4)),IF($N678="Partial",IF($M678&gt;='Lists &amp; Settings'!$N$6,'Lists &amp; Settings'!$O$6,IF($M678&gt;='Lists &amp; Settings'!$N$7,'Lists &amp; Settings'!$O$7,'Lists &amp; Settings'!$O$8)),'Lists &amp; Settings'!$O$10))))))</f>
        <v/>
      </c>
      <c r="T678" s="31"/>
      <c r="U678" s="31"/>
      <c r="V678" s="31"/>
    </row>
    <row r="679" ht="15.75" customHeight="1">
      <c r="B679" s="31"/>
      <c r="N679" s="127"/>
      <c r="S679" s="31" t="str">
        <f>IF($C679="","",IF(OR($M679="",$N679=""),'Lists &amp; Settings'!$O$10,IF($N679="Fail",'Lists &amp; Settings'!$O$9,IF($N679="Insufficient Evidence",'Lists &amp; Settings'!$O$10,IF($N679="Pass",IF($M679&gt;='Lists &amp; Settings'!$N$2,'Lists &amp; Settings'!$O$2,IF($M679&gt;='Lists &amp; Settings'!$N$3,'Lists &amp; Settings'!$O$3,'Lists &amp; Settings'!$O$4)),IF($N679="Partial",IF($M679&gt;='Lists &amp; Settings'!$N$6,'Lists &amp; Settings'!$O$6,IF($M679&gt;='Lists &amp; Settings'!$N$7,'Lists &amp; Settings'!$O$7,'Lists &amp; Settings'!$O$8)),'Lists &amp; Settings'!$O$10))))))</f>
        <v/>
      </c>
      <c r="T679" s="31"/>
      <c r="U679" s="31"/>
      <c r="V679" s="31"/>
    </row>
    <row r="680" ht="15.75" customHeight="1">
      <c r="B680" s="31"/>
      <c r="N680" s="127"/>
      <c r="S680" s="31" t="str">
        <f>IF($C680="","",IF(OR($M680="",$N680=""),'Lists &amp; Settings'!$O$10,IF($N680="Fail",'Lists &amp; Settings'!$O$9,IF($N680="Insufficient Evidence",'Lists &amp; Settings'!$O$10,IF($N680="Pass",IF($M680&gt;='Lists &amp; Settings'!$N$2,'Lists &amp; Settings'!$O$2,IF($M680&gt;='Lists &amp; Settings'!$N$3,'Lists &amp; Settings'!$O$3,'Lists &amp; Settings'!$O$4)),IF($N680="Partial",IF($M680&gt;='Lists &amp; Settings'!$N$6,'Lists &amp; Settings'!$O$6,IF($M680&gt;='Lists &amp; Settings'!$N$7,'Lists &amp; Settings'!$O$7,'Lists &amp; Settings'!$O$8)),'Lists &amp; Settings'!$O$10))))))</f>
        <v/>
      </c>
      <c r="T680" s="31"/>
      <c r="U680" s="31"/>
      <c r="V680" s="31"/>
    </row>
    <row r="681" ht="15.75" customHeight="1">
      <c r="B681" s="31"/>
      <c r="N681" s="127"/>
      <c r="S681" s="31" t="str">
        <f>IF($C681="","",IF(OR($M681="",$N681=""),'Lists &amp; Settings'!$O$10,IF($N681="Fail",'Lists &amp; Settings'!$O$9,IF($N681="Insufficient Evidence",'Lists &amp; Settings'!$O$10,IF($N681="Pass",IF($M681&gt;='Lists &amp; Settings'!$N$2,'Lists &amp; Settings'!$O$2,IF($M681&gt;='Lists &amp; Settings'!$N$3,'Lists &amp; Settings'!$O$3,'Lists &amp; Settings'!$O$4)),IF($N681="Partial",IF($M681&gt;='Lists &amp; Settings'!$N$6,'Lists &amp; Settings'!$O$6,IF($M681&gt;='Lists &amp; Settings'!$N$7,'Lists &amp; Settings'!$O$7,'Lists &amp; Settings'!$O$8)),'Lists &amp; Settings'!$O$10))))))</f>
        <v/>
      </c>
      <c r="T681" s="31"/>
      <c r="U681" s="31"/>
      <c r="V681" s="31"/>
    </row>
    <row r="682" ht="15.75" customHeight="1">
      <c r="B682" s="31"/>
      <c r="N682" s="127"/>
      <c r="S682" s="31" t="str">
        <f>IF($C682="","",IF(OR($M682="",$N682=""),'Lists &amp; Settings'!$O$10,IF($N682="Fail",'Lists &amp; Settings'!$O$9,IF($N682="Insufficient Evidence",'Lists &amp; Settings'!$O$10,IF($N682="Pass",IF($M682&gt;='Lists &amp; Settings'!$N$2,'Lists &amp; Settings'!$O$2,IF($M682&gt;='Lists &amp; Settings'!$N$3,'Lists &amp; Settings'!$O$3,'Lists &amp; Settings'!$O$4)),IF($N682="Partial",IF($M682&gt;='Lists &amp; Settings'!$N$6,'Lists &amp; Settings'!$O$6,IF($M682&gt;='Lists &amp; Settings'!$N$7,'Lists &amp; Settings'!$O$7,'Lists &amp; Settings'!$O$8)),'Lists &amp; Settings'!$O$10))))))</f>
        <v/>
      </c>
      <c r="T682" s="31"/>
      <c r="U682" s="31"/>
      <c r="V682" s="31"/>
    </row>
    <row r="683" ht="15.75" customHeight="1">
      <c r="B683" s="31"/>
      <c r="N683" s="127"/>
      <c r="S683" s="31" t="str">
        <f>IF($C683="","",IF(OR($M683="",$N683=""),'Lists &amp; Settings'!$O$10,IF($N683="Fail",'Lists &amp; Settings'!$O$9,IF($N683="Insufficient Evidence",'Lists &amp; Settings'!$O$10,IF($N683="Pass",IF($M683&gt;='Lists &amp; Settings'!$N$2,'Lists &amp; Settings'!$O$2,IF($M683&gt;='Lists &amp; Settings'!$N$3,'Lists &amp; Settings'!$O$3,'Lists &amp; Settings'!$O$4)),IF($N683="Partial",IF($M683&gt;='Lists &amp; Settings'!$N$6,'Lists &amp; Settings'!$O$6,IF($M683&gt;='Lists &amp; Settings'!$N$7,'Lists &amp; Settings'!$O$7,'Lists &amp; Settings'!$O$8)),'Lists &amp; Settings'!$O$10))))))</f>
        <v/>
      </c>
      <c r="T683" s="31"/>
      <c r="U683" s="31"/>
      <c r="V683" s="31"/>
    </row>
    <row r="684" ht="15.75" customHeight="1">
      <c r="B684" s="31"/>
      <c r="N684" s="127"/>
      <c r="S684" s="31" t="str">
        <f>IF($C684="","",IF(OR($M684="",$N684=""),'Lists &amp; Settings'!$O$10,IF($N684="Fail",'Lists &amp; Settings'!$O$9,IF($N684="Insufficient Evidence",'Lists &amp; Settings'!$O$10,IF($N684="Pass",IF($M684&gt;='Lists &amp; Settings'!$N$2,'Lists &amp; Settings'!$O$2,IF($M684&gt;='Lists &amp; Settings'!$N$3,'Lists &amp; Settings'!$O$3,'Lists &amp; Settings'!$O$4)),IF($N684="Partial",IF($M684&gt;='Lists &amp; Settings'!$N$6,'Lists &amp; Settings'!$O$6,IF($M684&gt;='Lists &amp; Settings'!$N$7,'Lists &amp; Settings'!$O$7,'Lists &amp; Settings'!$O$8)),'Lists &amp; Settings'!$O$10))))))</f>
        <v/>
      </c>
      <c r="T684" s="31"/>
      <c r="U684" s="31"/>
      <c r="V684" s="31"/>
    </row>
    <row r="685" ht="15.75" customHeight="1">
      <c r="B685" s="31"/>
      <c r="N685" s="127"/>
      <c r="S685" s="31" t="str">
        <f>IF($C685="","",IF(OR($M685="",$N685=""),'Lists &amp; Settings'!$O$10,IF($N685="Fail",'Lists &amp; Settings'!$O$9,IF($N685="Insufficient Evidence",'Lists &amp; Settings'!$O$10,IF($N685="Pass",IF($M685&gt;='Lists &amp; Settings'!$N$2,'Lists &amp; Settings'!$O$2,IF($M685&gt;='Lists &amp; Settings'!$N$3,'Lists &amp; Settings'!$O$3,'Lists &amp; Settings'!$O$4)),IF($N685="Partial",IF($M685&gt;='Lists &amp; Settings'!$N$6,'Lists &amp; Settings'!$O$6,IF($M685&gt;='Lists &amp; Settings'!$N$7,'Lists &amp; Settings'!$O$7,'Lists &amp; Settings'!$O$8)),'Lists &amp; Settings'!$O$10))))))</f>
        <v/>
      </c>
      <c r="T685" s="31"/>
      <c r="U685" s="31"/>
      <c r="V685" s="31"/>
    </row>
    <row r="686" ht="15.75" customHeight="1">
      <c r="B686" s="31"/>
      <c r="N686" s="127"/>
      <c r="S686" s="31" t="str">
        <f>IF($C686="","",IF(OR($M686="",$N686=""),'Lists &amp; Settings'!$O$10,IF($N686="Fail",'Lists &amp; Settings'!$O$9,IF($N686="Insufficient Evidence",'Lists &amp; Settings'!$O$10,IF($N686="Pass",IF($M686&gt;='Lists &amp; Settings'!$N$2,'Lists &amp; Settings'!$O$2,IF($M686&gt;='Lists &amp; Settings'!$N$3,'Lists &amp; Settings'!$O$3,'Lists &amp; Settings'!$O$4)),IF($N686="Partial",IF($M686&gt;='Lists &amp; Settings'!$N$6,'Lists &amp; Settings'!$O$6,IF($M686&gt;='Lists &amp; Settings'!$N$7,'Lists &amp; Settings'!$O$7,'Lists &amp; Settings'!$O$8)),'Lists &amp; Settings'!$O$10))))))</f>
        <v/>
      </c>
      <c r="T686" s="31"/>
      <c r="U686" s="31"/>
      <c r="V686" s="31"/>
    </row>
    <row r="687" ht="15.75" customHeight="1">
      <c r="B687" s="31"/>
      <c r="N687" s="127"/>
      <c r="S687" s="31" t="str">
        <f>IF($C687="","",IF(OR($M687="",$N687=""),'Lists &amp; Settings'!$O$10,IF($N687="Fail",'Lists &amp; Settings'!$O$9,IF($N687="Insufficient Evidence",'Lists &amp; Settings'!$O$10,IF($N687="Pass",IF($M687&gt;='Lists &amp; Settings'!$N$2,'Lists &amp; Settings'!$O$2,IF($M687&gt;='Lists &amp; Settings'!$N$3,'Lists &amp; Settings'!$O$3,'Lists &amp; Settings'!$O$4)),IF($N687="Partial",IF($M687&gt;='Lists &amp; Settings'!$N$6,'Lists &amp; Settings'!$O$6,IF($M687&gt;='Lists &amp; Settings'!$N$7,'Lists &amp; Settings'!$O$7,'Lists &amp; Settings'!$O$8)),'Lists &amp; Settings'!$O$10))))))</f>
        <v/>
      </c>
      <c r="T687" s="31"/>
      <c r="U687" s="31"/>
      <c r="V687" s="31"/>
    </row>
    <row r="688" ht="15.75" customHeight="1">
      <c r="B688" s="31"/>
      <c r="N688" s="127"/>
      <c r="S688" s="31" t="str">
        <f>IF($C688="","",IF(OR($M688="",$N688=""),'Lists &amp; Settings'!$O$10,IF($N688="Fail",'Lists &amp; Settings'!$O$9,IF($N688="Insufficient Evidence",'Lists &amp; Settings'!$O$10,IF($N688="Pass",IF($M688&gt;='Lists &amp; Settings'!$N$2,'Lists &amp; Settings'!$O$2,IF($M688&gt;='Lists &amp; Settings'!$N$3,'Lists &amp; Settings'!$O$3,'Lists &amp; Settings'!$O$4)),IF($N688="Partial",IF($M688&gt;='Lists &amp; Settings'!$N$6,'Lists &amp; Settings'!$O$6,IF($M688&gt;='Lists &amp; Settings'!$N$7,'Lists &amp; Settings'!$O$7,'Lists &amp; Settings'!$O$8)),'Lists &amp; Settings'!$O$10))))))</f>
        <v/>
      </c>
      <c r="T688" s="31"/>
      <c r="U688" s="31"/>
      <c r="V688" s="31"/>
    </row>
    <row r="689" ht="15.75" customHeight="1">
      <c r="B689" s="31"/>
      <c r="N689" s="127"/>
      <c r="S689" s="31" t="str">
        <f>IF($C689="","",IF(OR($M689="",$N689=""),'Lists &amp; Settings'!$O$10,IF($N689="Fail",'Lists &amp; Settings'!$O$9,IF($N689="Insufficient Evidence",'Lists &amp; Settings'!$O$10,IF($N689="Pass",IF($M689&gt;='Lists &amp; Settings'!$N$2,'Lists &amp; Settings'!$O$2,IF($M689&gt;='Lists &amp; Settings'!$N$3,'Lists &amp; Settings'!$O$3,'Lists &amp; Settings'!$O$4)),IF($N689="Partial",IF($M689&gt;='Lists &amp; Settings'!$N$6,'Lists &amp; Settings'!$O$6,IF($M689&gt;='Lists &amp; Settings'!$N$7,'Lists &amp; Settings'!$O$7,'Lists &amp; Settings'!$O$8)),'Lists &amp; Settings'!$O$10))))))</f>
        <v/>
      </c>
      <c r="T689" s="31"/>
      <c r="U689" s="31"/>
      <c r="V689" s="31"/>
    </row>
    <row r="690" ht="15.75" customHeight="1">
      <c r="B690" s="31"/>
      <c r="N690" s="127"/>
      <c r="S690" s="31" t="str">
        <f>IF($C690="","",IF(OR($M690="",$N690=""),'Lists &amp; Settings'!$O$10,IF($N690="Fail",'Lists &amp; Settings'!$O$9,IF($N690="Insufficient Evidence",'Lists &amp; Settings'!$O$10,IF($N690="Pass",IF($M690&gt;='Lists &amp; Settings'!$N$2,'Lists &amp; Settings'!$O$2,IF($M690&gt;='Lists &amp; Settings'!$N$3,'Lists &amp; Settings'!$O$3,'Lists &amp; Settings'!$O$4)),IF($N690="Partial",IF($M690&gt;='Lists &amp; Settings'!$N$6,'Lists &amp; Settings'!$O$6,IF($M690&gt;='Lists &amp; Settings'!$N$7,'Lists &amp; Settings'!$O$7,'Lists &amp; Settings'!$O$8)),'Lists &amp; Settings'!$O$10))))))</f>
        <v/>
      </c>
      <c r="T690" s="31"/>
      <c r="U690" s="31"/>
      <c r="V690" s="31"/>
    </row>
    <row r="691" ht="15.75" customHeight="1">
      <c r="B691" s="31"/>
      <c r="N691" s="127"/>
      <c r="S691" s="31" t="str">
        <f>IF($C691="","",IF(OR($M691="",$N691=""),'Lists &amp; Settings'!$O$10,IF($N691="Fail",'Lists &amp; Settings'!$O$9,IF($N691="Insufficient Evidence",'Lists &amp; Settings'!$O$10,IF($N691="Pass",IF($M691&gt;='Lists &amp; Settings'!$N$2,'Lists &amp; Settings'!$O$2,IF($M691&gt;='Lists &amp; Settings'!$N$3,'Lists &amp; Settings'!$O$3,'Lists &amp; Settings'!$O$4)),IF($N691="Partial",IF($M691&gt;='Lists &amp; Settings'!$N$6,'Lists &amp; Settings'!$O$6,IF($M691&gt;='Lists &amp; Settings'!$N$7,'Lists &amp; Settings'!$O$7,'Lists &amp; Settings'!$O$8)),'Lists &amp; Settings'!$O$10))))))</f>
        <v/>
      </c>
      <c r="T691" s="31"/>
      <c r="U691" s="31"/>
      <c r="V691" s="31"/>
    </row>
    <row r="692" ht="15.75" customHeight="1">
      <c r="B692" s="31"/>
      <c r="N692" s="127"/>
      <c r="S692" s="31" t="str">
        <f>IF($C692="","",IF(OR($M692="",$N692=""),'Lists &amp; Settings'!$O$10,IF($N692="Fail",'Lists &amp; Settings'!$O$9,IF($N692="Insufficient Evidence",'Lists &amp; Settings'!$O$10,IF($N692="Pass",IF($M692&gt;='Lists &amp; Settings'!$N$2,'Lists &amp; Settings'!$O$2,IF($M692&gt;='Lists &amp; Settings'!$N$3,'Lists &amp; Settings'!$O$3,'Lists &amp; Settings'!$O$4)),IF($N692="Partial",IF($M692&gt;='Lists &amp; Settings'!$N$6,'Lists &amp; Settings'!$O$6,IF($M692&gt;='Lists &amp; Settings'!$N$7,'Lists &amp; Settings'!$O$7,'Lists &amp; Settings'!$O$8)),'Lists &amp; Settings'!$O$10))))))</f>
        <v/>
      </c>
      <c r="T692" s="31"/>
      <c r="U692" s="31"/>
      <c r="V692" s="31"/>
    </row>
    <row r="693" ht="15.75" customHeight="1">
      <c r="B693" s="31"/>
      <c r="N693" s="127"/>
      <c r="S693" s="31" t="str">
        <f>IF($C693="","",IF(OR($M693="",$N693=""),'Lists &amp; Settings'!$O$10,IF($N693="Fail",'Lists &amp; Settings'!$O$9,IF($N693="Insufficient Evidence",'Lists &amp; Settings'!$O$10,IF($N693="Pass",IF($M693&gt;='Lists &amp; Settings'!$N$2,'Lists &amp; Settings'!$O$2,IF($M693&gt;='Lists &amp; Settings'!$N$3,'Lists &amp; Settings'!$O$3,'Lists &amp; Settings'!$O$4)),IF($N693="Partial",IF($M693&gt;='Lists &amp; Settings'!$N$6,'Lists &amp; Settings'!$O$6,IF($M693&gt;='Lists &amp; Settings'!$N$7,'Lists &amp; Settings'!$O$7,'Lists &amp; Settings'!$O$8)),'Lists &amp; Settings'!$O$10))))))</f>
        <v/>
      </c>
      <c r="T693" s="31"/>
      <c r="U693" s="31"/>
      <c r="V693" s="31"/>
    </row>
    <row r="694" ht="15.75" customHeight="1">
      <c r="B694" s="31"/>
      <c r="N694" s="127"/>
      <c r="S694" s="31" t="str">
        <f>IF($C694="","",IF(OR($M694="",$N694=""),'Lists &amp; Settings'!$O$10,IF($N694="Fail",'Lists &amp; Settings'!$O$9,IF($N694="Insufficient Evidence",'Lists &amp; Settings'!$O$10,IF($N694="Pass",IF($M694&gt;='Lists &amp; Settings'!$N$2,'Lists &amp; Settings'!$O$2,IF($M694&gt;='Lists &amp; Settings'!$N$3,'Lists &amp; Settings'!$O$3,'Lists &amp; Settings'!$O$4)),IF($N694="Partial",IF($M694&gt;='Lists &amp; Settings'!$N$6,'Lists &amp; Settings'!$O$6,IF($M694&gt;='Lists &amp; Settings'!$N$7,'Lists &amp; Settings'!$O$7,'Lists &amp; Settings'!$O$8)),'Lists &amp; Settings'!$O$10))))))</f>
        <v/>
      </c>
      <c r="T694" s="31"/>
      <c r="U694" s="31"/>
      <c r="V694" s="31"/>
    </row>
    <row r="695" ht="15.75" customHeight="1">
      <c r="B695" s="31"/>
      <c r="N695" s="127"/>
      <c r="S695" s="31" t="str">
        <f>IF($C695="","",IF(OR($M695="",$N695=""),'Lists &amp; Settings'!$O$10,IF($N695="Fail",'Lists &amp; Settings'!$O$9,IF($N695="Insufficient Evidence",'Lists &amp; Settings'!$O$10,IF($N695="Pass",IF($M695&gt;='Lists &amp; Settings'!$N$2,'Lists &amp; Settings'!$O$2,IF($M695&gt;='Lists &amp; Settings'!$N$3,'Lists &amp; Settings'!$O$3,'Lists &amp; Settings'!$O$4)),IF($N695="Partial",IF($M695&gt;='Lists &amp; Settings'!$N$6,'Lists &amp; Settings'!$O$6,IF($M695&gt;='Lists &amp; Settings'!$N$7,'Lists &amp; Settings'!$O$7,'Lists &amp; Settings'!$O$8)),'Lists &amp; Settings'!$O$10))))))</f>
        <v/>
      </c>
      <c r="T695" s="31"/>
      <c r="U695" s="31"/>
      <c r="V695" s="31"/>
    </row>
    <row r="696" ht="15.75" customHeight="1">
      <c r="B696" s="31"/>
      <c r="N696" s="127"/>
      <c r="S696" s="31" t="str">
        <f>IF($C696="","",IF(OR($M696="",$N696=""),'Lists &amp; Settings'!$O$10,IF($N696="Fail",'Lists &amp; Settings'!$O$9,IF($N696="Insufficient Evidence",'Lists &amp; Settings'!$O$10,IF($N696="Pass",IF($M696&gt;='Lists &amp; Settings'!$N$2,'Lists &amp; Settings'!$O$2,IF($M696&gt;='Lists &amp; Settings'!$N$3,'Lists &amp; Settings'!$O$3,'Lists &amp; Settings'!$O$4)),IF($N696="Partial",IF($M696&gt;='Lists &amp; Settings'!$N$6,'Lists &amp; Settings'!$O$6,IF($M696&gt;='Lists &amp; Settings'!$N$7,'Lists &amp; Settings'!$O$7,'Lists &amp; Settings'!$O$8)),'Lists &amp; Settings'!$O$10))))))</f>
        <v/>
      </c>
      <c r="T696" s="31"/>
      <c r="U696" s="31"/>
      <c r="V696" s="31"/>
    </row>
    <row r="697" ht="15.75" customHeight="1">
      <c r="B697" s="31"/>
      <c r="N697" s="127"/>
      <c r="S697" s="31" t="str">
        <f>IF($C697="","",IF(OR($M697="",$N697=""),'Lists &amp; Settings'!$O$10,IF($N697="Fail",'Lists &amp; Settings'!$O$9,IF($N697="Insufficient Evidence",'Lists &amp; Settings'!$O$10,IF($N697="Pass",IF($M697&gt;='Lists &amp; Settings'!$N$2,'Lists &amp; Settings'!$O$2,IF($M697&gt;='Lists &amp; Settings'!$N$3,'Lists &amp; Settings'!$O$3,'Lists &amp; Settings'!$O$4)),IF($N697="Partial",IF($M697&gt;='Lists &amp; Settings'!$N$6,'Lists &amp; Settings'!$O$6,IF($M697&gt;='Lists &amp; Settings'!$N$7,'Lists &amp; Settings'!$O$7,'Lists &amp; Settings'!$O$8)),'Lists &amp; Settings'!$O$10))))))</f>
        <v/>
      </c>
      <c r="T697" s="31"/>
      <c r="U697" s="31"/>
      <c r="V697" s="31"/>
    </row>
    <row r="698" ht="15.75" customHeight="1">
      <c r="B698" s="31"/>
      <c r="N698" s="127"/>
      <c r="S698" s="31" t="str">
        <f>IF($C698="","",IF(OR($M698="",$N698=""),'Lists &amp; Settings'!$O$10,IF($N698="Fail",'Lists &amp; Settings'!$O$9,IF($N698="Insufficient Evidence",'Lists &amp; Settings'!$O$10,IF($N698="Pass",IF($M698&gt;='Lists &amp; Settings'!$N$2,'Lists &amp; Settings'!$O$2,IF($M698&gt;='Lists &amp; Settings'!$N$3,'Lists &amp; Settings'!$O$3,'Lists &amp; Settings'!$O$4)),IF($N698="Partial",IF($M698&gt;='Lists &amp; Settings'!$N$6,'Lists &amp; Settings'!$O$6,IF($M698&gt;='Lists &amp; Settings'!$N$7,'Lists &amp; Settings'!$O$7,'Lists &amp; Settings'!$O$8)),'Lists &amp; Settings'!$O$10))))))</f>
        <v/>
      </c>
      <c r="T698" s="31"/>
      <c r="U698" s="31"/>
      <c r="V698" s="31"/>
    </row>
    <row r="699" ht="15.75" customHeight="1">
      <c r="B699" s="31"/>
      <c r="N699" s="127"/>
      <c r="S699" s="31" t="str">
        <f>IF($C699="","",IF(OR($M699="",$N699=""),'Lists &amp; Settings'!$O$10,IF($N699="Fail",'Lists &amp; Settings'!$O$9,IF($N699="Insufficient Evidence",'Lists &amp; Settings'!$O$10,IF($N699="Pass",IF($M699&gt;='Lists &amp; Settings'!$N$2,'Lists &amp; Settings'!$O$2,IF($M699&gt;='Lists &amp; Settings'!$N$3,'Lists &amp; Settings'!$O$3,'Lists &amp; Settings'!$O$4)),IF($N699="Partial",IF($M699&gt;='Lists &amp; Settings'!$N$6,'Lists &amp; Settings'!$O$6,IF($M699&gt;='Lists &amp; Settings'!$N$7,'Lists &amp; Settings'!$O$7,'Lists &amp; Settings'!$O$8)),'Lists &amp; Settings'!$O$10))))))</f>
        <v/>
      </c>
      <c r="T699" s="31"/>
      <c r="U699" s="31"/>
      <c r="V699" s="31"/>
    </row>
    <row r="700" ht="15.75" customHeight="1">
      <c r="B700" s="31"/>
      <c r="N700" s="127"/>
      <c r="S700" s="31" t="str">
        <f>IF($C700="","",IF(OR($M700="",$N700=""),'Lists &amp; Settings'!$O$10,IF($N700="Fail",'Lists &amp; Settings'!$O$9,IF($N700="Insufficient Evidence",'Lists &amp; Settings'!$O$10,IF($N700="Pass",IF($M700&gt;='Lists &amp; Settings'!$N$2,'Lists &amp; Settings'!$O$2,IF($M700&gt;='Lists &amp; Settings'!$N$3,'Lists &amp; Settings'!$O$3,'Lists &amp; Settings'!$O$4)),IF($N700="Partial",IF($M700&gt;='Lists &amp; Settings'!$N$6,'Lists &amp; Settings'!$O$6,IF($M700&gt;='Lists &amp; Settings'!$N$7,'Lists &amp; Settings'!$O$7,'Lists &amp; Settings'!$O$8)),'Lists &amp; Settings'!$O$10))))))</f>
        <v/>
      </c>
      <c r="T700" s="31"/>
      <c r="U700" s="31"/>
      <c r="V700" s="31"/>
    </row>
    <row r="701" ht="15.75" customHeight="1">
      <c r="B701" s="31"/>
      <c r="N701" s="127"/>
      <c r="S701" s="31" t="str">
        <f>IF($C701="","",IF(OR($M701="",$N701=""),'Lists &amp; Settings'!$O$10,IF($N701="Fail",'Lists &amp; Settings'!$O$9,IF($N701="Insufficient Evidence",'Lists &amp; Settings'!$O$10,IF($N701="Pass",IF($M701&gt;='Lists &amp; Settings'!$N$2,'Lists &amp; Settings'!$O$2,IF($M701&gt;='Lists &amp; Settings'!$N$3,'Lists &amp; Settings'!$O$3,'Lists &amp; Settings'!$O$4)),IF($N701="Partial",IF($M701&gt;='Lists &amp; Settings'!$N$6,'Lists &amp; Settings'!$O$6,IF($M701&gt;='Lists &amp; Settings'!$N$7,'Lists &amp; Settings'!$O$7,'Lists &amp; Settings'!$O$8)),'Lists &amp; Settings'!$O$10))))))</f>
        <v/>
      </c>
      <c r="T701" s="31"/>
      <c r="U701" s="31"/>
      <c r="V701" s="31"/>
    </row>
    <row r="702" ht="15.75" customHeight="1">
      <c r="B702" s="31"/>
      <c r="N702" s="127"/>
      <c r="S702" s="31" t="str">
        <f>IF($C702="","",IF(OR($M702="",$N702=""),'Lists &amp; Settings'!$O$10,IF($N702="Fail",'Lists &amp; Settings'!$O$9,IF($N702="Insufficient Evidence",'Lists &amp; Settings'!$O$10,IF($N702="Pass",IF($M702&gt;='Lists &amp; Settings'!$N$2,'Lists &amp; Settings'!$O$2,IF($M702&gt;='Lists &amp; Settings'!$N$3,'Lists &amp; Settings'!$O$3,'Lists &amp; Settings'!$O$4)),IF($N702="Partial",IF($M702&gt;='Lists &amp; Settings'!$N$6,'Lists &amp; Settings'!$O$6,IF($M702&gt;='Lists &amp; Settings'!$N$7,'Lists &amp; Settings'!$O$7,'Lists &amp; Settings'!$O$8)),'Lists &amp; Settings'!$O$10))))))</f>
        <v/>
      </c>
      <c r="T702" s="31"/>
      <c r="U702" s="31"/>
      <c r="V702" s="31"/>
    </row>
    <row r="703" ht="15.75" customHeight="1">
      <c r="B703" s="31"/>
      <c r="N703" s="127"/>
      <c r="S703" s="31" t="str">
        <f>IF($C703="","",IF(OR($M703="",$N703=""),'Lists &amp; Settings'!$O$10,IF($N703="Fail",'Lists &amp; Settings'!$O$9,IF($N703="Insufficient Evidence",'Lists &amp; Settings'!$O$10,IF($N703="Pass",IF($M703&gt;='Lists &amp; Settings'!$N$2,'Lists &amp; Settings'!$O$2,IF($M703&gt;='Lists &amp; Settings'!$N$3,'Lists &amp; Settings'!$O$3,'Lists &amp; Settings'!$O$4)),IF($N703="Partial",IF($M703&gt;='Lists &amp; Settings'!$N$6,'Lists &amp; Settings'!$O$6,IF($M703&gt;='Lists &amp; Settings'!$N$7,'Lists &amp; Settings'!$O$7,'Lists &amp; Settings'!$O$8)),'Lists &amp; Settings'!$O$10))))))</f>
        <v/>
      </c>
      <c r="T703" s="31"/>
      <c r="U703" s="31"/>
      <c r="V703" s="31"/>
    </row>
    <row r="704" ht="15.75" customHeight="1">
      <c r="B704" s="31"/>
      <c r="N704" s="127"/>
      <c r="S704" s="31" t="str">
        <f>IF($C704="","",IF(OR($M704="",$N704=""),'Lists &amp; Settings'!$O$10,IF($N704="Fail",'Lists &amp; Settings'!$O$9,IF($N704="Insufficient Evidence",'Lists &amp; Settings'!$O$10,IF($N704="Pass",IF($M704&gt;='Lists &amp; Settings'!$N$2,'Lists &amp; Settings'!$O$2,IF($M704&gt;='Lists &amp; Settings'!$N$3,'Lists &amp; Settings'!$O$3,'Lists &amp; Settings'!$O$4)),IF($N704="Partial",IF($M704&gt;='Lists &amp; Settings'!$N$6,'Lists &amp; Settings'!$O$6,IF($M704&gt;='Lists &amp; Settings'!$N$7,'Lists &amp; Settings'!$O$7,'Lists &amp; Settings'!$O$8)),'Lists &amp; Settings'!$O$10))))))</f>
        <v/>
      </c>
      <c r="T704" s="31"/>
      <c r="U704" s="31"/>
      <c r="V704" s="31"/>
    </row>
    <row r="705" ht="15.75" customHeight="1">
      <c r="B705" s="31"/>
      <c r="N705" s="127"/>
      <c r="S705" s="31" t="str">
        <f>IF($C705="","",IF(OR($M705="",$N705=""),'Lists &amp; Settings'!$O$10,IF($N705="Fail",'Lists &amp; Settings'!$O$9,IF($N705="Insufficient Evidence",'Lists &amp; Settings'!$O$10,IF($N705="Pass",IF($M705&gt;='Lists &amp; Settings'!$N$2,'Lists &amp; Settings'!$O$2,IF($M705&gt;='Lists &amp; Settings'!$N$3,'Lists &amp; Settings'!$O$3,'Lists &amp; Settings'!$O$4)),IF($N705="Partial",IF($M705&gt;='Lists &amp; Settings'!$N$6,'Lists &amp; Settings'!$O$6,IF($M705&gt;='Lists &amp; Settings'!$N$7,'Lists &amp; Settings'!$O$7,'Lists &amp; Settings'!$O$8)),'Lists &amp; Settings'!$O$10))))))</f>
        <v/>
      </c>
      <c r="T705" s="31"/>
      <c r="U705" s="31"/>
      <c r="V705" s="31"/>
    </row>
    <row r="706" ht="15.75" customHeight="1">
      <c r="B706" s="31"/>
      <c r="N706" s="127"/>
      <c r="S706" s="31" t="str">
        <f>IF($C706="","",IF(OR($M706="",$N706=""),'Lists &amp; Settings'!$O$10,IF($N706="Fail",'Lists &amp; Settings'!$O$9,IF($N706="Insufficient Evidence",'Lists &amp; Settings'!$O$10,IF($N706="Pass",IF($M706&gt;='Lists &amp; Settings'!$N$2,'Lists &amp; Settings'!$O$2,IF($M706&gt;='Lists &amp; Settings'!$N$3,'Lists &amp; Settings'!$O$3,'Lists &amp; Settings'!$O$4)),IF($N706="Partial",IF($M706&gt;='Lists &amp; Settings'!$N$6,'Lists &amp; Settings'!$O$6,IF($M706&gt;='Lists &amp; Settings'!$N$7,'Lists &amp; Settings'!$O$7,'Lists &amp; Settings'!$O$8)),'Lists &amp; Settings'!$O$10))))))</f>
        <v/>
      </c>
      <c r="T706" s="31"/>
      <c r="U706" s="31"/>
      <c r="V706" s="31"/>
    </row>
    <row r="707" ht="15.75" customHeight="1">
      <c r="B707" s="31"/>
      <c r="N707" s="127"/>
      <c r="S707" s="31" t="str">
        <f>IF($C707="","",IF(OR($M707="",$N707=""),'Lists &amp; Settings'!$O$10,IF($N707="Fail",'Lists &amp; Settings'!$O$9,IF($N707="Insufficient Evidence",'Lists &amp; Settings'!$O$10,IF($N707="Pass",IF($M707&gt;='Lists &amp; Settings'!$N$2,'Lists &amp; Settings'!$O$2,IF($M707&gt;='Lists &amp; Settings'!$N$3,'Lists &amp; Settings'!$O$3,'Lists &amp; Settings'!$O$4)),IF($N707="Partial",IF($M707&gt;='Lists &amp; Settings'!$N$6,'Lists &amp; Settings'!$O$6,IF($M707&gt;='Lists &amp; Settings'!$N$7,'Lists &amp; Settings'!$O$7,'Lists &amp; Settings'!$O$8)),'Lists &amp; Settings'!$O$10))))))</f>
        <v/>
      </c>
      <c r="T707" s="31"/>
      <c r="U707" s="31"/>
      <c r="V707" s="31"/>
    </row>
    <row r="708" ht="15.75" customHeight="1">
      <c r="B708" s="31"/>
      <c r="N708" s="127"/>
      <c r="S708" s="31" t="str">
        <f>IF($C708="","",IF(OR($M708="",$N708=""),'Lists &amp; Settings'!$O$10,IF($N708="Fail",'Lists &amp; Settings'!$O$9,IF($N708="Insufficient Evidence",'Lists &amp; Settings'!$O$10,IF($N708="Pass",IF($M708&gt;='Lists &amp; Settings'!$N$2,'Lists &amp; Settings'!$O$2,IF($M708&gt;='Lists &amp; Settings'!$N$3,'Lists &amp; Settings'!$O$3,'Lists &amp; Settings'!$O$4)),IF($N708="Partial",IF($M708&gt;='Lists &amp; Settings'!$N$6,'Lists &amp; Settings'!$O$6,IF($M708&gt;='Lists &amp; Settings'!$N$7,'Lists &amp; Settings'!$O$7,'Lists &amp; Settings'!$O$8)),'Lists &amp; Settings'!$O$10))))))</f>
        <v/>
      </c>
      <c r="T708" s="31"/>
      <c r="U708" s="31"/>
      <c r="V708" s="31"/>
    </row>
    <row r="709" ht="15.75" customHeight="1">
      <c r="B709" s="31"/>
      <c r="N709" s="127"/>
      <c r="S709" s="31" t="str">
        <f>IF($C709="","",IF(OR($M709="",$N709=""),'Lists &amp; Settings'!$O$10,IF($N709="Fail",'Lists &amp; Settings'!$O$9,IF($N709="Insufficient Evidence",'Lists &amp; Settings'!$O$10,IF($N709="Pass",IF($M709&gt;='Lists &amp; Settings'!$N$2,'Lists &amp; Settings'!$O$2,IF($M709&gt;='Lists &amp; Settings'!$N$3,'Lists &amp; Settings'!$O$3,'Lists &amp; Settings'!$O$4)),IF($N709="Partial",IF($M709&gt;='Lists &amp; Settings'!$N$6,'Lists &amp; Settings'!$O$6,IF($M709&gt;='Lists &amp; Settings'!$N$7,'Lists &amp; Settings'!$O$7,'Lists &amp; Settings'!$O$8)),'Lists &amp; Settings'!$O$10))))))</f>
        <v/>
      </c>
      <c r="T709" s="31"/>
      <c r="U709" s="31"/>
      <c r="V709" s="31"/>
    </row>
    <row r="710" ht="15.75" customHeight="1">
      <c r="B710" s="31"/>
      <c r="N710" s="127"/>
      <c r="S710" s="31" t="str">
        <f>IF($C710="","",IF(OR($M710="",$N710=""),'Lists &amp; Settings'!$O$10,IF($N710="Fail",'Lists &amp; Settings'!$O$9,IF($N710="Insufficient Evidence",'Lists &amp; Settings'!$O$10,IF($N710="Pass",IF($M710&gt;='Lists &amp; Settings'!$N$2,'Lists &amp; Settings'!$O$2,IF($M710&gt;='Lists &amp; Settings'!$N$3,'Lists &amp; Settings'!$O$3,'Lists &amp; Settings'!$O$4)),IF($N710="Partial",IF($M710&gt;='Lists &amp; Settings'!$N$6,'Lists &amp; Settings'!$O$6,IF($M710&gt;='Lists &amp; Settings'!$N$7,'Lists &amp; Settings'!$O$7,'Lists &amp; Settings'!$O$8)),'Lists &amp; Settings'!$O$10))))))</f>
        <v/>
      </c>
      <c r="T710" s="31"/>
      <c r="U710" s="31"/>
      <c r="V710" s="31"/>
    </row>
    <row r="711" ht="15.75" customHeight="1">
      <c r="B711" s="31"/>
      <c r="N711" s="127"/>
      <c r="S711" s="31" t="str">
        <f>IF($C711="","",IF(OR($M711="",$N711=""),'Lists &amp; Settings'!$O$10,IF($N711="Fail",'Lists &amp; Settings'!$O$9,IF($N711="Insufficient Evidence",'Lists &amp; Settings'!$O$10,IF($N711="Pass",IF($M711&gt;='Lists &amp; Settings'!$N$2,'Lists &amp; Settings'!$O$2,IF($M711&gt;='Lists &amp; Settings'!$N$3,'Lists &amp; Settings'!$O$3,'Lists &amp; Settings'!$O$4)),IF($N711="Partial",IF($M711&gt;='Lists &amp; Settings'!$N$6,'Lists &amp; Settings'!$O$6,IF($M711&gt;='Lists &amp; Settings'!$N$7,'Lists &amp; Settings'!$O$7,'Lists &amp; Settings'!$O$8)),'Lists &amp; Settings'!$O$10))))))</f>
        <v/>
      </c>
      <c r="T711" s="31"/>
      <c r="U711" s="31"/>
      <c r="V711" s="31"/>
    </row>
    <row r="712" ht="15.75" customHeight="1">
      <c r="B712" s="31"/>
      <c r="N712" s="127"/>
      <c r="S712" s="31" t="str">
        <f>IF($C712="","",IF(OR($M712="",$N712=""),'Lists &amp; Settings'!$O$10,IF($N712="Fail",'Lists &amp; Settings'!$O$9,IF($N712="Insufficient Evidence",'Lists &amp; Settings'!$O$10,IF($N712="Pass",IF($M712&gt;='Lists &amp; Settings'!$N$2,'Lists &amp; Settings'!$O$2,IF($M712&gt;='Lists &amp; Settings'!$N$3,'Lists &amp; Settings'!$O$3,'Lists &amp; Settings'!$O$4)),IF($N712="Partial",IF($M712&gt;='Lists &amp; Settings'!$N$6,'Lists &amp; Settings'!$O$6,IF($M712&gt;='Lists &amp; Settings'!$N$7,'Lists &amp; Settings'!$O$7,'Lists &amp; Settings'!$O$8)),'Lists &amp; Settings'!$O$10))))))</f>
        <v/>
      </c>
      <c r="T712" s="31"/>
      <c r="U712" s="31"/>
      <c r="V712" s="31"/>
    </row>
    <row r="713" ht="15.75" customHeight="1">
      <c r="B713" s="31"/>
      <c r="N713" s="127"/>
      <c r="S713" s="31" t="str">
        <f>IF($C713="","",IF(OR($M713="",$N713=""),'Lists &amp; Settings'!$O$10,IF($N713="Fail",'Lists &amp; Settings'!$O$9,IF($N713="Insufficient Evidence",'Lists &amp; Settings'!$O$10,IF($N713="Pass",IF($M713&gt;='Lists &amp; Settings'!$N$2,'Lists &amp; Settings'!$O$2,IF($M713&gt;='Lists &amp; Settings'!$N$3,'Lists &amp; Settings'!$O$3,'Lists &amp; Settings'!$O$4)),IF($N713="Partial",IF($M713&gt;='Lists &amp; Settings'!$N$6,'Lists &amp; Settings'!$O$6,IF($M713&gt;='Lists &amp; Settings'!$N$7,'Lists &amp; Settings'!$O$7,'Lists &amp; Settings'!$O$8)),'Lists &amp; Settings'!$O$10))))))</f>
        <v/>
      </c>
      <c r="T713" s="31"/>
      <c r="U713" s="31"/>
      <c r="V713" s="31"/>
    </row>
    <row r="714" ht="15.75" customHeight="1">
      <c r="B714" s="31"/>
      <c r="N714" s="127"/>
      <c r="S714" s="31" t="str">
        <f>IF($C714="","",IF(OR($M714="",$N714=""),'Lists &amp; Settings'!$O$10,IF($N714="Fail",'Lists &amp; Settings'!$O$9,IF($N714="Insufficient Evidence",'Lists &amp; Settings'!$O$10,IF($N714="Pass",IF($M714&gt;='Lists &amp; Settings'!$N$2,'Lists &amp; Settings'!$O$2,IF($M714&gt;='Lists &amp; Settings'!$N$3,'Lists &amp; Settings'!$O$3,'Lists &amp; Settings'!$O$4)),IF($N714="Partial",IF($M714&gt;='Lists &amp; Settings'!$N$6,'Lists &amp; Settings'!$O$6,IF($M714&gt;='Lists &amp; Settings'!$N$7,'Lists &amp; Settings'!$O$7,'Lists &amp; Settings'!$O$8)),'Lists &amp; Settings'!$O$10))))))</f>
        <v/>
      </c>
      <c r="T714" s="31"/>
      <c r="U714" s="31"/>
      <c r="V714" s="31"/>
    </row>
    <row r="715" ht="15.75" customHeight="1">
      <c r="B715" s="31"/>
      <c r="N715" s="127"/>
      <c r="S715" s="31" t="str">
        <f>IF($C715="","",IF(OR($M715="",$N715=""),'Lists &amp; Settings'!$O$10,IF($N715="Fail",'Lists &amp; Settings'!$O$9,IF($N715="Insufficient Evidence",'Lists &amp; Settings'!$O$10,IF($N715="Pass",IF($M715&gt;='Lists &amp; Settings'!$N$2,'Lists &amp; Settings'!$O$2,IF($M715&gt;='Lists &amp; Settings'!$N$3,'Lists &amp; Settings'!$O$3,'Lists &amp; Settings'!$O$4)),IF($N715="Partial",IF($M715&gt;='Lists &amp; Settings'!$N$6,'Lists &amp; Settings'!$O$6,IF($M715&gt;='Lists &amp; Settings'!$N$7,'Lists &amp; Settings'!$O$7,'Lists &amp; Settings'!$O$8)),'Lists &amp; Settings'!$O$10))))))</f>
        <v/>
      </c>
      <c r="T715" s="31"/>
      <c r="U715" s="31"/>
      <c r="V715" s="31"/>
    </row>
    <row r="716" ht="15.75" customHeight="1">
      <c r="B716" s="31"/>
      <c r="N716" s="127"/>
      <c r="S716" s="31" t="str">
        <f>IF($C716="","",IF(OR($M716="",$N716=""),'Lists &amp; Settings'!$O$10,IF($N716="Fail",'Lists &amp; Settings'!$O$9,IF($N716="Insufficient Evidence",'Lists &amp; Settings'!$O$10,IF($N716="Pass",IF($M716&gt;='Lists &amp; Settings'!$N$2,'Lists &amp; Settings'!$O$2,IF($M716&gt;='Lists &amp; Settings'!$N$3,'Lists &amp; Settings'!$O$3,'Lists &amp; Settings'!$O$4)),IF($N716="Partial",IF($M716&gt;='Lists &amp; Settings'!$N$6,'Lists &amp; Settings'!$O$6,IF($M716&gt;='Lists &amp; Settings'!$N$7,'Lists &amp; Settings'!$O$7,'Lists &amp; Settings'!$O$8)),'Lists &amp; Settings'!$O$10))))))</f>
        <v/>
      </c>
      <c r="T716" s="31"/>
      <c r="U716" s="31"/>
      <c r="V716" s="31"/>
    </row>
    <row r="717" ht="15.75" customHeight="1">
      <c r="B717" s="31"/>
      <c r="N717" s="127"/>
      <c r="S717" s="31" t="str">
        <f>IF($C717="","",IF(OR($M717="",$N717=""),'Lists &amp; Settings'!$O$10,IF($N717="Fail",'Lists &amp; Settings'!$O$9,IF($N717="Insufficient Evidence",'Lists &amp; Settings'!$O$10,IF($N717="Pass",IF($M717&gt;='Lists &amp; Settings'!$N$2,'Lists &amp; Settings'!$O$2,IF($M717&gt;='Lists &amp; Settings'!$N$3,'Lists &amp; Settings'!$O$3,'Lists &amp; Settings'!$O$4)),IF($N717="Partial",IF($M717&gt;='Lists &amp; Settings'!$N$6,'Lists &amp; Settings'!$O$6,IF($M717&gt;='Lists &amp; Settings'!$N$7,'Lists &amp; Settings'!$O$7,'Lists &amp; Settings'!$O$8)),'Lists &amp; Settings'!$O$10))))))</f>
        <v/>
      </c>
      <c r="T717" s="31"/>
      <c r="U717" s="31"/>
      <c r="V717" s="31"/>
    </row>
    <row r="718" ht="15.75" customHeight="1">
      <c r="B718" s="31"/>
      <c r="N718" s="127"/>
      <c r="S718" s="31" t="str">
        <f>IF($C718="","",IF(OR($M718="",$N718=""),'Lists &amp; Settings'!$O$10,IF($N718="Fail",'Lists &amp; Settings'!$O$9,IF($N718="Insufficient Evidence",'Lists &amp; Settings'!$O$10,IF($N718="Pass",IF($M718&gt;='Lists &amp; Settings'!$N$2,'Lists &amp; Settings'!$O$2,IF($M718&gt;='Lists &amp; Settings'!$N$3,'Lists &amp; Settings'!$O$3,'Lists &amp; Settings'!$O$4)),IF($N718="Partial",IF($M718&gt;='Lists &amp; Settings'!$N$6,'Lists &amp; Settings'!$O$6,IF($M718&gt;='Lists &amp; Settings'!$N$7,'Lists &amp; Settings'!$O$7,'Lists &amp; Settings'!$O$8)),'Lists &amp; Settings'!$O$10))))))</f>
        <v/>
      </c>
      <c r="T718" s="31"/>
      <c r="U718" s="31"/>
      <c r="V718" s="31"/>
    </row>
    <row r="719" ht="15.75" customHeight="1">
      <c r="B719" s="31"/>
      <c r="N719" s="127"/>
      <c r="S719" s="31" t="str">
        <f>IF($C719="","",IF(OR($M719="",$N719=""),'Lists &amp; Settings'!$O$10,IF($N719="Fail",'Lists &amp; Settings'!$O$9,IF($N719="Insufficient Evidence",'Lists &amp; Settings'!$O$10,IF($N719="Pass",IF($M719&gt;='Lists &amp; Settings'!$N$2,'Lists &amp; Settings'!$O$2,IF($M719&gt;='Lists &amp; Settings'!$N$3,'Lists &amp; Settings'!$O$3,'Lists &amp; Settings'!$O$4)),IF($N719="Partial",IF($M719&gt;='Lists &amp; Settings'!$N$6,'Lists &amp; Settings'!$O$6,IF($M719&gt;='Lists &amp; Settings'!$N$7,'Lists &amp; Settings'!$O$7,'Lists &amp; Settings'!$O$8)),'Lists &amp; Settings'!$O$10))))))</f>
        <v/>
      </c>
      <c r="T719" s="31"/>
      <c r="U719" s="31"/>
      <c r="V719" s="31"/>
    </row>
    <row r="720" ht="15.75" customHeight="1">
      <c r="B720" s="31"/>
      <c r="N720" s="127"/>
      <c r="S720" s="31" t="str">
        <f>IF($C720="","",IF(OR($M720="",$N720=""),'Lists &amp; Settings'!$O$10,IF($N720="Fail",'Lists &amp; Settings'!$O$9,IF($N720="Insufficient Evidence",'Lists &amp; Settings'!$O$10,IF($N720="Pass",IF($M720&gt;='Lists &amp; Settings'!$N$2,'Lists &amp; Settings'!$O$2,IF($M720&gt;='Lists &amp; Settings'!$N$3,'Lists &amp; Settings'!$O$3,'Lists &amp; Settings'!$O$4)),IF($N720="Partial",IF($M720&gt;='Lists &amp; Settings'!$N$6,'Lists &amp; Settings'!$O$6,IF($M720&gt;='Lists &amp; Settings'!$N$7,'Lists &amp; Settings'!$O$7,'Lists &amp; Settings'!$O$8)),'Lists &amp; Settings'!$O$10))))))</f>
        <v/>
      </c>
      <c r="T720" s="31"/>
      <c r="U720" s="31"/>
      <c r="V720" s="31"/>
    </row>
    <row r="721" ht="15.75" customHeight="1">
      <c r="B721" s="31"/>
      <c r="N721" s="127"/>
      <c r="S721" s="31" t="str">
        <f>IF($C721="","",IF(OR($M721="",$N721=""),'Lists &amp; Settings'!$O$10,IF($N721="Fail",'Lists &amp; Settings'!$O$9,IF($N721="Insufficient Evidence",'Lists &amp; Settings'!$O$10,IF($N721="Pass",IF($M721&gt;='Lists &amp; Settings'!$N$2,'Lists &amp; Settings'!$O$2,IF($M721&gt;='Lists &amp; Settings'!$N$3,'Lists &amp; Settings'!$O$3,'Lists &amp; Settings'!$O$4)),IF($N721="Partial",IF($M721&gt;='Lists &amp; Settings'!$N$6,'Lists &amp; Settings'!$O$6,IF($M721&gt;='Lists &amp; Settings'!$N$7,'Lists &amp; Settings'!$O$7,'Lists &amp; Settings'!$O$8)),'Lists &amp; Settings'!$O$10))))))</f>
        <v/>
      </c>
      <c r="T721" s="31"/>
      <c r="U721" s="31"/>
      <c r="V721" s="31"/>
    </row>
    <row r="722" ht="15.75" customHeight="1">
      <c r="B722" s="31"/>
      <c r="N722" s="127"/>
      <c r="S722" s="31" t="str">
        <f>IF($C722="","",IF(OR($M722="",$N722=""),'Lists &amp; Settings'!$O$10,IF($N722="Fail",'Lists &amp; Settings'!$O$9,IF($N722="Insufficient Evidence",'Lists &amp; Settings'!$O$10,IF($N722="Pass",IF($M722&gt;='Lists &amp; Settings'!$N$2,'Lists &amp; Settings'!$O$2,IF($M722&gt;='Lists &amp; Settings'!$N$3,'Lists &amp; Settings'!$O$3,'Lists &amp; Settings'!$O$4)),IF($N722="Partial",IF($M722&gt;='Lists &amp; Settings'!$N$6,'Lists &amp; Settings'!$O$6,IF($M722&gt;='Lists &amp; Settings'!$N$7,'Lists &amp; Settings'!$O$7,'Lists &amp; Settings'!$O$8)),'Lists &amp; Settings'!$O$10))))))</f>
        <v/>
      </c>
      <c r="T722" s="31"/>
      <c r="U722" s="31"/>
      <c r="V722" s="31"/>
    </row>
    <row r="723" ht="15.75" customHeight="1">
      <c r="B723" s="31"/>
      <c r="N723" s="127"/>
      <c r="S723" s="31" t="str">
        <f>IF($C723="","",IF(OR($M723="",$N723=""),'Lists &amp; Settings'!$O$10,IF($N723="Fail",'Lists &amp; Settings'!$O$9,IF($N723="Insufficient Evidence",'Lists &amp; Settings'!$O$10,IF($N723="Pass",IF($M723&gt;='Lists &amp; Settings'!$N$2,'Lists &amp; Settings'!$O$2,IF($M723&gt;='Lists &amp; Settings'!$N$3,'Lists &amp; Settings'!$O$3,'Lists &amp; Settings'!$O$4)),IF($N723="Partial",IF($M723&gt;='Lists &amp; Settings'!$N$6,'Lists &amp; Settings'!$O$6,IF($M723&gt;='Lists &amp; Settings'!$N$7,'Lists &amp; Settings'!$O$7,'Lists &amp; Settings'!$O$8)),'Lists &amp; Settings'!$O$10))))))</f>
        <v/>
      </c>
      <c r="T723" s="31"/>
      <c r="U723" s="31"/>
      <c r="V723" s="31"/>
    </row>
    <row r="724" ht="15.75" customHeight="1">
      <c r="B724" s="31"/>
      <c r="N724" s="127"/>
      <c r="S724" s="31" t="str">
        <f>IF($C724="","",IF(OR($M724="",$N724=""),'Lists &amp; Settings'!$O$10,IF($N724="Fail",'Lists &amp; Settings'!$O$9,IF($N724="Insufficient Evidence",'Lists &amp; Settings'!$O$10,IF($N724="Pass",IF($M724&gt;='Lists &amp; Settings'!$N$2,'Lists &amp; Settings'!$O$2,IF($M724&gt;='Lists &amp; Settings'!$N$3,'Lists &amp; Settings'!$O$3,'Lists &amp; Settings'!$O$4)),IF($N724="Partial",IF($M724&gt;='Lists &amp; Settings'!$N$6,'Lists &amp; Settings'!$O$6,IF($M724&gt;='Lists &amp; Settings'!$N$7,'Lists &amp; Settings'!$O$7,'Lists &amp; Settings'!$O$8)),'Lists &amp; Settings'!$O$10))))))</f>
        <v/>
      </c>
      <c r="T724" s="31"/>
      <c r="U724" s="31"/>
      <c r="V724" s="31"/>
    </row>
    <row r="725" ht="15.75" customHeight="1">
      <c r="B725" s="31"/>
      <c r="N725" s="127"/>
      <c r="S725" s="31" t="str">
        <f>IF($C725="","",IF(OR($M725="",$N725=""),'Lists &amp; Settings'!$O$10,IF($N725="Fail",'Lists &amp; Settings'!$O$9,IF($N725="Insufficient Evidence",'Lists &amp; Settings'!$O$10,IF($N725="Pass",IF($M725&gt;='Lists &amp; Settings'!$N$2,'Lists &amp; Settings'!$O$2,IF($M725&gt;='Lists &amp; Settings'!$N$3,'Lists &amp; Settings'!$O$3,'Lists &amp; Settings'!$O$4)),IF($N725="Partial",IF($M725&gt;='Lists &amp; Settings'!$N$6,'Lists &amp; Settings'!$O$6,IF($M725&gt;='Lists &amp; Settings'!$N$7,'Lists &amp; Settings'!$O$7,'Lists &amp; Settings'!$O$8)),'Lists &amp; Settings'!$O$10))))))</f>
        <v/>
      </c>
      <c r="T725" s="31"/>
      <c r="U725" s="31"/>
      <c r="V725" s="31"/>
    </row>
    <row r="726" ht="15.75" customHeight="1">
      <c r="B726" s="31"/>
      <c r="N726" s="127"/>
      <c r="S726" s="31" t="str">
        <f>IF($C726="","",IF(OR($M726="",$N726=""),'Lists &amp; Settings'!$O$10,IF($N726="Fail",'Lists &amp; Settings'!$O$9,IF($N726="Insufficient Evidence",'Lists &amp; Settings'!$O$10,IF($N726="Pass",IF($M726&gt;='Lists &amp; Settings'!$N$2,'Lists &amp; Settings'!$O$2,IF($M726&gt;='Lists &amp; Settings'!$N$3,'Lists &amp; Settings'!$O$3,'Lists &amp; Settings'!$O$4)),IF($N726="Partial",IF($M726&gt;='Lists &amp; Settings'!$N$6,'Lists &amp; Settings'!$O$6,IF($M726&gt;='Lists &amp; Settings'!$N$7,'Lists &amp; Settings'!$O$7,'Lists &amp; Settings'!$O$8)),'Lists &amp; Settings'!$O$10))))))</f>
        <v/>
      </c>
      <c r="T726" s="31"/>
      <c r="U726" s="31"/>
      <c r="V726" s="31"/>
    </row>
    <row r="727" ht="15.75" customHeight="1">
      <c r="B727" s="31"/>
      <c r="N727" s="127"/>
      <c r="S727" s="31" t="str">
        <f>IF($C727="","",IF(OR($M727="",$N727=""),'Lists &amp; Settings'!$O$10,IF($N727="Fail",'Lists &amp; Settings'!$O$9,IF($N727="Insufficient Evidence",'Lists &amp; Settings'!$O$10,IF($N727="Pass",IF($M727&gt;='Lists &amp; Settings'!$N$2,'Lists &amp; Settings'!$O$2,IF($M727&gt;='Lists &amp; Settings'!$N$3,'Lists &amp; Settings'!$O$3,'Lists &amp; Settings'!$O$4)),IF($N727="Partial",IF($M727&gt;='Lists &amp; Settings'!$N$6,'Lists &amp; Settings'!$O$6,IF($M727&gt;='Lists &amp; Settings'!$N$7,'Lists &amp; Settings'!$O$7,'Lists &amp; Settings'!$O$8)),'Lists &amp; Settings'!$O$10))))))</f>
        <v/>
      </c>
      <c r="T727" s="31"/>
      <c r="U727" s="31"/>
      <c r="V727" s="31"/>
    </row>
    <row r="728" ht="15.75" customHeight="1">
      <c r="B728" s="31"/>
      <c r="N728" s="127"/>
      <c r="S728" s="31" t="str">
        <f>IF($C728="","",IF(OR($M728="",$N728=""),'Lists &amp; Settings'!$O$10,IF($N728="Fail",'Lists &amp; Settings'!$O$9,IF($N728="Insufficient Evidence",'Lists &amp; Settings'!$O$10,IF($N728="Pass",IF($M728&gt;='Lists &amp; Settings'!$N$2,'Lists &amp; Settings'!$O$2,IF($M728&gt;='Lists &amp; Settings'!$N$3,'Lists &amp; Settings'!$O$3,'Lists &amp; Settings'!$O$4)),IF($N728="Partial",IF($M728&gt;='Lists &amp; Settings'!$N$6,'Lists &amp; Settings'!$O$6,IF($M728&gt;='Lists &amp; Settings'!$N$7,'Lists &amp; Settings'!$O$7,'Lists &amp; Settings'!$O$8)),'Lists &amp; Settings'!$O$10))))))</f>
        <v/>
      </c>
      <c r="T728" s="31"/>
      <c r="U728" s="31"/>
      <c r="V728" s="31"/>
    </row>
    <row r="729" ht="15.75" customHeight="1">
      <c r="B729" s="31"/>
      <c r="N729" s="127"/>
      <c r="S729" s="31" t="str">
        <f>IF($C729="","",IF(OR($M729="",$N729=""),'Lists &amp; Settings'!$O$10,IF($N729="Fail",'Lists &amp; Settings'!$O$9,IF($N729="Insufficient Evidence",'Lists &amp; Settings'!$O$10,IF($N729="Pass",IF($M729&gt;='Lists &amp; Settings'!$N$2,'Lists &amp; Settings'!$O$2,IF($M729&gt;='Lists &amp; Settings'!$N$3,'Lists &amp; Settings'!$O$3,'Lists &amp; Settings'!$O$4)),IF($N729="Partial",IF($M729&gt;='Lists &amp; Settings'!$N$6,'Lists &amp; Settings'!$O$6,IF($M729&gt;='Lists &amp; Settings'!$N$7,'Lists &amp; Settings'!$O$7,'Lists &amp; Settings'!$O$8)),'Lists &amp; Settings'!$O$10))))))</f>
        <v/>
      </c>
      <c r="T729" s="31"/>
      <c r="U729" s="31"/>
      <c r="V729" s="31"/>
    </row>
    <row r="730" ht="15.75" customHeight="1">
      <c r="B730" s="31"/>
      <c r="N730" s="127"/>
      <c r="S730" s="31" t="str">
        <f>IF($C730="","",IF(OR($M730="",$N730=""),'Lists &amp; Settings'!$O$10,IF($N730="Fail",'Lists &amp; Settings'!$O$9,IF($N730="Insufficient Evidence",'Lists &amp; Settings'!$O$10,IF($N730="Pass",IF($M730&gt;='Lists &amp; Settings'!$N$2,'Lists &amp; Settings'!$O$2,IF($M730&gt;='Lists &amp; Settings'!$N$3,'Lists &amp; Settings'!$O$3,'Lists &amp; Settings'!$O$4)),IF($N730="Partial",IF($M730&gt;='Lists &amp; Settings'!$N$6,'Lists &amp; Settings'!$O$6,IF($M730&gt;='Lists &amp; Settings'!$N$7,'Lists &amp; Settings'!$O$7,'Lists &amp; Settings'!$O$8)),'Lists &amp; Settings'!$O$10))))))</f>
        <v/>
      </c>
      <c r="T730" s="31"/>
      <c r="U730" s="31"/>
      <c r="V730" s="31"/>
    </row>
    <row r="731" ht="15.75" customHeight="1">
      <c r="B731" s="31"/>
      <c r="N731" s="127"/>
      <c r="S731" s="31" t="str">
        <f>IF($C731="","",IF(OR($M731="",$N731=""),'Lists &amp; Settings'!$O$10,IF($N731="Fail",'Lists &amp; Settings'!$O$9,IF($N731="Insufficient Evidence",'Lists &amp; Settings'!$O$10,IF($N731="Pass",IF($M731&gt;='Lists &amp; Settings'!$N$2,'Lists &amp; Settings'!$O$2,IF($M731&gt;='Lists &amp; Settings'!$N$3,'Lists &amp; Settings'!$O$3,'Lists &amp; Settings'!$O$4)),IF($N731="Partial",IF($M731&gt;='Lists &amp; Settings'!$N$6,'Lists &amp; Settings'!$O$6,IF($M731&gt;='Lists &amp; Settings'!$N$7,'Lists &amp; Settings'!$O$7,'Lists &amp; Settings'!$O$8)),'Lists &amp; Settings'!$O$10))))))</f>
        <v/>
      </c>
      <c r="T731" s="31"/>
      <c r="U731" s="31"/>
      <c r="V731" s="31"/>
    </row>
    <row r="732" ht="15.75" customHeight="1">
      <c r="B732" s="31"/>
      <c r="N732" s="127"/>
      <c r="S732" s="31" t="str">
        <f>IF($C732="","",IF(OR($M732="",$N732=""),'Lists &amp; Settings'!$O$10,IF($N732="Fail",'Lists &amp; Settings'!$O$9,IF($N732="Insufficient Evidence",'Lists &amp; Settings'!$O$10,IF($N732="Pass",IF($M732&gt;='Lists &amp; Settings'!$N$2,'Lists &amp; Settings'!$O$2,IF($M732&gt;='Lists &amp; Settings'!$N$3,'Lists &amp; Settings'!$O$3,'Lists &amp; Settings'!$O$4)),IF($N732="Partial",IF($M732&gt;='Lists &amp; Settings'!$N$6,'Lists &amp; Settings'!$O$6,IF($M732&gt;='Lists &amp; Settings'!$N$7,'Lists &amp; Settings'!$O$7,'Lists &amp; Settings'!$O$8)),'Lists &amp; Settings'!$O$10))))))</f>
        <v/>
      </c>
      <c r="T732" s="31"/>
      <c r="U732" s="31"/>
      <c r="V732" s="31"/>
    </row>
    <row r="733" ht="15.75" customHeight="1">
      <c r="B733" s="31"/>
      <c r="N733" s="127"/>
      <c r="S733" s="31" t="str">
        <f>IF($C733="","",IF(OR($M733="",$N733=""),'Lists &amp; Settings'!$O$10,IF($N733="Fail",'Lists &amp; Settings'!$O$9,IF($N733="Insufficient Evidence",'Lists &amp; Settings'!$O$10,IF($N733="Pass",IF($M733&gt;='Lists &amp; Settings'!$N$2,'Lists &amp; Settings'!$O$2,IF($M733&gt;='Lists &amp; Settings'!$N$3,'Lists &amp; Settings'!$O$3,'Lists &amp; Settings'!$O$4)),IF($N733="Partial",IF($M733&gt;='Lists &amp; Settings'!$N$6,'Lists &amp; Settings'!$O$6,IF($M733&gt;='Lists &amp; Settings'!$N$7,'Lists &amp; Settings'!$O$7,'Lists &amp; Settings'!$O$8)),'Lists &amp; Settings'!$O$10))))))</f>
        <v/>
      </c>
      <c r="T733" s="31"/>
      <c r="U733" s="31"/>
      <c r="V733" s="31"/>
    </row>
    <row r="734" ht="15.75" customHeight="1">
      <c r="B734" s="31"/>
      <c r="N734" s="127"/>
      <c r="S734" s="31" t="str">
        <f>IF($C734="","",IF(OR($M734="",$N734=""),'Lists &amp; Settings'!$O$10,IF($N734="Fail",'Lists &amp; Settings'!$O$9,IF($N734="Insufficient Evidence",'Lists &amp; Settings'!$O$10,IF($N734="Pass",IF($M734&gt;='Lists &amp; Settings'!$N$2,'Lists &amp; Settings'!$O$2,IF($M734&gt;='Lists &amp; Settings'!$N$3,'Lists &amp; Settings'!$O$3,'Lists &amp; Settings'!$O$4)),IF($N734="Partial",IF($M734&gt;='Lists &amp; Settings'!$N$6,'Lists &amp; Settings'!$O$6,IF($M734&gt;='Lists &amp; Settings'!$N$7,'Lists &amp; Settings'!$O$7,'Lists &amp; Settings'!$O$8)),'Lists &amp; Settings'!$O$10))))))</f>
        <v/>
      </c>
      <c r="T734" s="31"/>
      <c r="U734" s="31"/>
      <c r="V734" s="31"/>
    </row>
    <row r="735" ht="15.75" customHeight="1">
      <c r="B735" s="31"/>
      <c r="N735" s="127"/>
      <c r="S735" s="31" t="str">
        <f>IF($C735="","",IF(OR($M735="",$N735=""),'Lists &amp; Settings'!$O$10,IF($N735="Fail",'Lists &amp; Settings'!$O$9,IF($N735="Insufficient Evidence",'Lists &amp; Settings'!$O$10,IF($N735="Pass",IF($M735&gt;='Lists &amp; Settings'!$N$2,'Lists &amp; Settings'!$O$2,IF($M735&gt;='Lists &amp; Settings'!$N$3,'Lists &amp; Settings'!$O$3,'Lists &amp; Settings'!$O$4)),IF($N735="Partial",IF($M735&gt;='Lists &amp; Settings'!$N$6,'Lists &amp; Settings'!$O$6,IF($M735&gt;='Lists &amp; Settings'!$N$7,'Lists &amp; Settings'!$O$7,'Lists &amp; Settings'!$O$8)),'Lists &amp; Settings'!$O$10))))))</f>
        <v/>
      </c>
      <c r="T735" s="31"/>
      <c r="U735" s="31"/>
      <c r="V735" s="31"/>
    </row>
    <row r="736" ht="15.75" customHeight="1">
      <c r="B736" s="31"/>
      <c r="N736" s="127"/>
      <c r="S736" s="31" t="str">
        <f>IF($C736="","",IF(OR($M736="",$N736=""),'Lists &amp; Settings'!$O$10,IF($N736="Fail",'Lists &amp; Settings'!$O$9,IF($N736="Insufficient Evidence",'Lists &amp; Settings'!$O$10,IF($N736="Pass",IF($M736&gt;='Lists &amp; Settings'!$N$2,'Lists &amp; Settings'!$O$2,IF($M736&gt;='Lists &amp; Settings'!$N$3,'Lists &amp; Settings'!$O$3,'Lists &amp; Settings'!$O$4)),IF($N736="Partial",IF($M736&gt;='Lists &amp; Settings'!$N$6,'Lists &amp; Settings'!$O$6,IF($M736&gt;='Lists &amp; Settings'!$N$7,'Lists &amp; Settings'!$O$7,'Lists &amp; Settings'!$O$8)),'Lists &amp; Settings'!$O$10))))))</f>
        <v/>
      </c>
      <c r="T736" s="31"/>
      <c r="U736" s="31"/>
      <c r="V736" s="31"/>
    </row>
    <row r="737" ht="15.75" customHeight="1">
      <c r="B737" s="31"/>
      <c r="N737" s="127"/>
      <c r="S737" s="31" t="str">
        <f>IF($C737="","",IF(OR($M737="",$N737=""),'Lists &amp; Settings'!$O$10,IF($N737="Fail",'Lists &amp; Settings'!$O$9,IF($N737="Insufficient Evidence",'Lists &amp; Settings'!$O$10,IF($N737="Pass",IF($M737&gt;='Lists &amp; Settings'!$N$2,'Lists &amp; Settings'!$O$2,IF($M737&gt;='Lists &amp; Settings'!$N$3,'Lists &amp; Settings'!$O$3,'Lists &amp; Settings'!$O$4)),IF($N737="Partial",IF($M737&gt;='Lists &amp; Settings'!$N$6,'Lists &amp; Settings'!$O$6,IF($M737&gt;='Lists &amp; Settings'!$N$7,'Lists &amp; Settings'!$O$7,'Lists &amp; Settings'!$O$8)),'Lists &amp; Settings'!$O$10))))))</f>
        <v/>
      </c>
      <c r="T737" s="31"/>
      <c r="U737" s="31"/>
      <c r="V737" s="31"/>
    </row>
    <row r="738" ht="15.75" customHeight="1">
      <c r="B738" s="31"/>
      <c r="N738" s="127"/>
      <c r="S738" s="31" t="str">
        <f>IF($C738="","",IF(OR($M738="",$N738=""),'Lists &amp; Settings'!$O$10,IF($N738="Fail",'Lists &amp; Settings'!$O$9,IF($N738="Insufficient Evidence",'Lists &amp; Settings'!$O$10,IF($N738="Pass",IF($M738&gt;='Lists &amp; Settings'!$N$2,'Lists &amp; Settings'!$O$2,IF($M738&gt;='Lists &amp; Settings'!$N$3,'Lists &amp; Settings'!$O$3,'Lists &amp; Settings'!$O$4)),IF($N738="Partial",IF($M738&gt;='Lists &amp; Settings'!$N$6,'Lists &amp; Settings'!$O$6,IF($M738&gt;='Lists &amp; Settings'!$N$7,'Lists &amp; Settings'!$O$7,'Lists &amp; Settings'!$O$8)),'Lists &amp; Settings'!$O$10))))))</f>
        <v/>
      </c>
      <c r="T738" s="31"/>
      <c r="U738" s="31"/>
      <c r="V738" s="31"/>
    </row>
    <row r="739" ht="15.75" customHeight="1">
      <c r="B739" s="31"/>
      <c r="N739" s="127"/>
      <c r="S739" s="31" t="str">
        <f>IF($C739="","",IF(OR($M739="",$N739=""),'Lists &amp; Settings'!$O$10,IF($N739="Fail",'Lists &amp; Settings'!$O$9,IF($N739="Insufficient Evidence",'Lists &amp; Settings'!$O$10,IF($N739="Pass",IF($M739&gt;='Lists &amp; Settings'!$N$2,'Lists &amp; Settings'!$O$2,IF($M739&gt;='Lists &amp; Settings'!$N$3,'Lists &amp; Settings'!$O$3,'Lists &amp; Settings'!$O$4)),IF($N739="Partial",IF($M739&gt;='Lists &amp; Settings'!$N$6,'Lists &amp; Settings'!$O$6,IF($M739&gt;='Lists &amp; Settings'!$N$7,'Lists &amp; Settings'!$O$7,'Lists &amp; Settings'!$O$8)),'Lists &amp; Settings'!$O$10))))))</f>
        <v/>
      </c>
      <c r="T739" s="31"/>
      <c r="U739" s="31"/>
      <c r="V739" s="31"/>
    </row>
    <row r="740" ht="15.75" customHeight="1">
      <c r="B740" s="31"/>
      <c r="N740" s="127"/>
      <c r="S740" s="31" t="str">
        <f>IF($C740="","",IF(OR($M740="",$N740=""),'Lists &amp; Settings'!$O$10,IF($N740="Fail",'Lists &amp; Settings'!$O$9,IF($N740="Insufficient Evidence",'Lists &amp; Settings'!$O$10,IF($N740="Pass",IF($M740&gt;='Lists &amp; Settings'!$N$2,'Lists &amp; Settings'!$O$2,IF($M740&gt;='Lists &amp; Settings'!$N$3,'Lists &amp; Settings'!$O$3,'Lists &amp; Settings'!$O$4)),IF($N740="Partial",IF($M740&gt;='Lists &amp; Settings'!$N$6,'Lists &amp; Settings'!$O$6,IF($M740&gt;='Lists &amp; Settings'!$N$7,'Lists &amp; Settings'!$O$7,'Lists &amp; Settings'!$O$8)),'Lists &amp; Settings'!$O$10))))))</f>
        <v/>
      </c>
      <c r="T740" s="31"/>
      <c r="U740" s="31"/>
      <c r="V740" s="31"/>
    </row>
    <row r="741" ht="15.75" customHeight="1">
      <c r="B741" s="31"/>
      <c r="N741" s="127"/>
      <c r="S741" s="31" t="str">
        <f>IF($C741="","",IF(OR($M741="",$N741=""),'Lists &amp; Settings'!$O$10,IF($N741="Fail",'Lists &amp; Settings'!$O$9,IF($N741="Insufficient Evidence",'Lists &amp; Settings'!$O$10,IF($N741="Pass",IF($M741&gt;='Lists &amp; Settings'!$N$2,'Lists &amp; Settings'!$O$2,IF($M741&gt;='Lists &amp; Settings'!$N$3,'Lists &amp; Settings'!$O$3,'Lists &amp; Settings'!$O$4)),IF($N741="Partial",IF($M741&gt;='Lists &amp; Settings'!$N$6,'Lists &amp; Settings'!$O$6,IF($M741&gt;='Lists &amp; Settings'!$N$7,'Lists &amp; Settings'!$O$7,'Lists &amp; Settings'!$O$8)),'Lists &amp; Settings'!$O$10))))))</f>
        <v/>
      </c>
      <c r="T741" s="31"/>
      <c r="U741" s="31"/>
      <c r="V741" s="31"/>
    </row>
    <row r="742" ht="15.75" customHeight="1">
      <c r="B742" s="31"/>
      <c r="N742" s="127"/>
      <c r="S742" s="31" t="str">
        <f>IF($C742="","",IF(OR($M742="",$N742=""),'Lists &amp; Settings'!$O$10,IF($N742="Fail",'Lists &amp; Settings'!$O$9,IF($N742="Insufficient Evidence",'Lists &amp; Settings'!$O$10,IF($N742="Pass",IF($M742&gt;='Lists &amp; Settings'!$N$2,'Lists &amp; Settings'!$O$2,IF($M742&gt;='Lists &amp; Settings'!$N$3,'Lists &amp; Settings'!$O$3,'Lists &amp; Settings'!$O$4)),IF($N742="Partial",IF($M742&gt;='Lists &amp; Settings'!$N$6,'Lists &amp; Settings'!$O$6,IF($M742&gt;='Lists &amp; Settings'!$N$7,'Lists &amp; Settings'!$O$7,'Lists &amp; Settings'!$O$8)),'Lists &amp; Settings'!$O$10))))))</f>
        <v/>
      </c>
      <c r="T742" s="31"/>
      <c r="U742" s="31"/>
      <c r="V742" s="31"/>
    </row>
    <row r="743" ht="15.75" customHeight="1">
      <c r="B743" s="31"/>
      <c r="N743" s="127"/>
      <c r="S743" s="31" t="str">
        <f>IF($C743="","",IF(OR($M743="",$N743=""),'Lists &amp; Settings'!$O$10,IF($N743="Fail",'Lists &amp; Settings'!$O$9,IF($N743="Insufficient Evidence",'Lists &amp; Settings'!$O$10,IF($N743="Pass",IF($M743&gt;='Lists &amp; Settings'!$N$2,'Lists &amp; Settings'!$O$2,IF($M743&gt;='Lists &amp; Settings'!$N$3,'Lists &amp; Settings'!$O$3,'Lists &amp; Settings'!$O$4)),IF($N743="Partial",IF($M743&gt;='Lists &amp; Settings'!$N$6,'Lists &amp; Settings'!$O$6,IF($M743&gt;='Lists &amp; Settings'!$N$7,'Lists &amp; Settings'!$O$7,'Lists &amp; Settings'!$O$8)),'Lists &amp; Settings'!$O$10))))))</f>
        <v/>
      </c>
      <c r="T743" s="31"/>
      <c r="U743" s="31"/>
      <c r="V743" s="31"/>
    </row>
    <row r="744" ht="15.75" customHeight="1">
      <c r="B744" s="31"/>
      <c r="N744" s="127"/>
      <c r="S744" s="31" t="str">
        <f>IF($C744="","",IF(OR($M744="",$N744=""),'Lists &amp; Settings'!$O$10,IF($N744="Fail",'Lists &amp; Settings'!$O$9,IF($N744="Insufficient Evidence",'Lists &amp; Settings'!$O$10,IF($N744="Pass",IF($M744&gt;='Lists &amp; Settings'!$N$2,'Lists &amp; Settings'!$O$2,IF($M744&gt;='Lists &amp; Settings'!$N$3,'Lists &amp; Settings'!$O$3,'Lists &amp; Settings'!$O$4)),IF($N744="Partial",IF($M744&gt;='Lists &amp; Settings'!$N$6,'Lists &amp; Settings'!$O$6,IF($M744&gt;='Lists &amp; Settings'!$N$7,'Lists &amp; Settings'!$O$7,'Lists &amp; Settings'!$O$8)),'Lists &amp; Settings'!$O$10))))))</f>
        <v/>
      </c>
      <c r="T744" s="31"/>
      <c r="U744" s="31"/>
      <c r="V744" s="31"/>
    </row>
    <row r="745" ht="15.75" customHeight="1">
      <c r="B745" s="31"/>
      <c r="N745" s="127"/>
      <c r="S745" s="31" t="str">
        <f>IF($C745="","",IF(OR($M745="",$N745=""),'Lists &amp; Settings'!$O$10,IF($N745="Fail",'Lists &amp; Settings'!$O$9,IF($N745="Insufficient Evidence",'Lists &amp; Settings'!$O$10,IF($N745="Pass",IF($M745&gt;='Lists &amp; Settings'!$N$2,'Lists &amp; Settings'!$O$2,IF($M745&gt;='Lists &amp; Settings'!$N$3,'Lists &amp; Settings'!$O$3,'Lists &amp; Settings'!$O$4)),IF($N745="Partial",IF($M745&gt;='Lists &amp; Settings'!$N$6,'Lists &amp; Settings'!$O$6,IF($M745&gt;='Lists &amp; Settings'!$N$7,'Lists &amp; Settings'!$O$7,'Lists &amp; Settings'!$O$8)),'Lists &amp; Settings'!$O$10))))))</f>
        <v/>
      </c>
      <c r="T745" s="31"/>
      <c r="U745" s="31"/>
      <c r="V745" s="31"/>
    </row>
    <row r="746" ht="15.75" customHeight="1">
      <c r="B746" s="31"/>
      <c r="N746" s="127"/>
      <c r="S746" s="31" t="str">
        <f>IF($C746="","",IF(OR($M746="",$N746=""),'Lists &amp; Settings'!$O$10,IF($N746="Fail",'Lists &amp; Settings'!$O$9,IF($N746="Insufficient Evidence",'Lists &amp; Settings'!$O$10,IF($N746="Pass",IF($M746&gt;='Lists &amp; Settings'!$N$2,'Lists &amp; Settings'!$O$2,IF($M746&gt;='Lists &amp; Settings'!$N$3,'Lists &amp; Settings'!$O$3,'Lists &amp; Settings'!$O$4)),IF($N746="Partial",IF($M746&gt;='Lists &amp; Settings'!$N$6,'Lists &amp; Settings'!$O$6,IF($M746&gt;='Lists &amp; Settings'!$N$7,'Lists &amp; Settings'!$O$7,'Lists &amp; Settings'!$O$8)),'Lists &amp; Settings'!$O$10))))))</f>
        <v/>
      </c>
      <c r="T746" s="31"/>
      <c r="U746" s="31"/>
      <c r="V746" s="31"/>
    </row>
    <row r="747" ht="15.75" customHeight="1">
      <c r="B747" s="31"/>
      <c r="N747" s="127"/>
      <c r="S747" s="31" t="str">
        <f>IF($C747="","",IF(OR($M747="",$N747=""),'Lists &amp; Settings'!$O$10,IF($N747="Fail",'Lists &amp; Settings'!$O$9,IF($N747="Insufficient Evidence",'Lists &amp; Settings'!$O$10,IF($N747="Pass",IF($M747&gt;='Lists &amp; Settings'!$N$2,'Lists &amp; Settings'!$O$2,IF($M747&gt;='Lists &amp; Settings'!$N$3,'Lists &amp; Settings'!$O$3,'Lists &amp; Settings'!$O$4)),IF($N747="Partial",IF($M747&gt;='Lists &amp; Settings'!$N$6,'Lists &amp; Settings'!$O$6,IF($M747&gt;='Lists &amp; Settings'!$N$7,'Lists &amp; Settings'!$O$7,'Lists &amp; Settings'!$O$8)),'Lists &amp; Settings'!$O$10))))))</f>
        <v/>
      </c>
      <c r="T747" s="31"/>
      <c r="U747" s="31"/>
      <c r="V747" s="31"/>
    </row>
    <row r="748" ht="15.75" customHeight="1">
      <c r="B748" s="31"/>
      <c r="N748" s="127"/>
      <c r="S748" s="31" t="str">
        <f>IF($C748="","",IF(OR($M748="",$N748=""),'Lists &amp; Settings'!$O$10,IF($N748="Fail",'Lists &amp; Settings'!$O$9,IF($N748="Insufficient Evidence",'Lists &amp; Settings'!$O$10,IF($N748="Pass",IF($M748&gt;='Lists &amp; Settings'!$N$2,'Lists &amp; Settings'!$O$2,IF($M748&gt;='Lists &amp; Settings'!$N$3,'Lists &amp; Settings'!$O$3,'Lists &amp; Settings'!$O$4)),IF($N748="Partial",IF($M748&gt;='Lists &amp; Settings'!$N$6,'Lists &amp; Settings'!$O$6,IF($M748&gt;='Lists &amp; Settings'!$N$7,'Lists &amp; Settings'!$O$7,'Lists &amp; Settings'!$O$8)),'Lists &amp; Settings'!$O$10))))))</f>
        <v/>
      </c>
      <c r="T748" s="31"/>
      <c r="U748" s="31"/>
      <c r="V748" s="31"/>
    </row>
    <row r="749" ht="15.75" customHeight="1">
      <c r="B749" s="31"/>
      <c r="N749" s="127"/>
      <c r="S749" s="31" t="str">
        <f>IF($C749="","",IF(OR($M749="",$N749=""),'Lists &amp; Settings'!$O$10,IF($N749="Fail",'Lists &amp; Settings'!$O$9,IF($N749="Insufficient Evidence",'Lists &amp; Settings'!$O$10,IF($N749="Pass",IF($M749&gt;='Lists &amp; Settings'!$N$2,'Lists &amp; Settings'!$O$2,IF($M749&gt;='Lists &amp; Settings'!$N$3,'Lists &amp; Settings'!$O$3,'Lists &amp; Settings'!$O$4)),IF($N749="Partial",IF($M749&gt;='Lists &amp; Settings'!$N$6,'Lists &amp; Settings'!$O$6,IF($M749&gt;='Lists &amp; Settings'!$N$7,'Lists &amp; Settings'!$O$7,'Lists &amp; Settings'!$O$8)),'Lists &amp; Settings'!$O$10))))))</f>
        <v/>
      </c>
      <c r="T749" s="31"/>
      <c r="U749" s="31"/>
      <c r="V749" s="31"/>
    </row>
    <row r="750" ht="15.75" customHeight="1">
      <c r="B750" s="31"/>
      <c r="N750" s="127"/>
      <c r="S750" s="31" t="str">
        <f>IF($C750="","",IF(OR($M750="",$N750=""),'Lists &amp; Settings'!$O$10,IF($N750="Fail",'Lists &amp; Settings'!$O$9,IF($N750="Insufficient Evidence",'Lists &amp; Settings'!$O$10,IF($N750="Pass",IF($M750&gt;='Lists &amp; Settings'!$N$2,'Lists &amp; Settings'!$O$2,IF($M750&gt;='Lists &amp; Settings'!$N$3,'Lists &amp; Settings'!$O$3,'Lists &amp; Settings'!$O$4)),IF($N750="Partial",IF($M750&gt;='Lists &amp; Settings'!$N$6,'Lists &amp; Settings'!$O$6,IF($M750&gt;='Lists &amp; Settings'!$N$7,'Lists &amp; Settings'!$O$7,'Lists &amp; Settings'!$O$8)),'Lists &amp; Settings'!$O$10))))))</f>
        <v/>
      </c>
      <c r="T750" s="31"/>
      <c r="U750" s="31"/>
      <c r="V750" s="31"/>
    </row>
    <row r="751" ht="15.75" customHeight="1">
      <c r="B751" s="31"/>
      <c r="N751" s="127"/>
      <c r="S751" s="31" t="str">
        <f>IF($C751="","",IF(OR($M751="",$N751=""),'Lists &amp; Settings'!$O$10,IF($N751="Fail",'Lists &amp; Settings'!$O$9,IF($N751="Insufficient Evidence",'Lists &amp; Settings'!$O$10,IF($N751="Pass",IF($M751&gt;='Lists &amp; Settings'!$N$2,'Lists &amp; Settings'!$O$2,IF($M751&gt;='Lists &amp; Settings'!$N$3,'Lists &amp; Settings'!$O$3,'Lists &amp; Settings'!$O$4)),IF($N751="Partial",IF($M751&gt;='Lists &amp; Settings'!$N$6,'Lists &amp; Settings'!$O$6,IF($M751&gt;='Lists &amp; Settings'!$N$7,'Lists &amp; Settings'!$O$7,'Lists &amp; Settings'!$O$8)),'Lists &amp; Settings'!$O$10))))))</f>
        <v/>
      </c>
      <c r="T751" s="31"/>
      <c r="U751" s="31"/>
      <c r="V751" s="31"/>
    </row>
    <row r="752" ht="15.75" customHeight="1">
      <c r="B752" s="31"/>
      <c r="N752" s="127"/>
      <c r="S752" s="31" t="str">
        <f>IF($C752="","",IF(OR($M752="",$N752=""),'Lists &amp; Settings'!$O$10,IF($N752="Fail",'Lists &amp; Settings'!$O$9,IF($N752="Insufficient Evidence",'Lists &amp; Settings'!$O$10,IF($N752="Pass",IF($M752&gt;='Lists &amp; Settings'!$N$2,'Lists &amp; Settings'!$O$2,IF($M752&gt;='Lists &amp; Settings'!$N$3,'Lists &amp; Settings'!$O$3,'Lists &amp; Settings'!$O$4)),IF($N752="Partial",IF($M752&gt;='Lists &amp; Settings'!$N$6,'Lists &amp; Settings'!$O$6,IF($M752&gt;='Lists &amp; Settings'!$N$7,'Lists &amp; Settings'!$O$7,'Lists &amp; Settings'!$O$8)),'Lists &amp; Settings'!$O$10))))))</f>
        <v/>
      </c>
      <c r="T752" s="31"/>
      <c r="U752" s="31"/>
      <c r="V752" s="31"/>
    </row>
    <row r="753" ht="15.75" customHeight="1">
      <c r="B753" s="31"/>
      <c r="N753" s="127"/>
      <c r="S753" s="31" t="str">
        <f>IF($C753="","",IF(OR($M753="",$N753=""),'Lists &amp; Settings'!$O$10,IF($N753="Fail",'Lists &amp; Settings'!$O$9,IF($N753="Insufficient Evidence",'Lists &amp; Settings'!$O$10,IF($N753="Pass",IF($M753&gt;='Lists &amp; Settings'!$N$2,'Lists &amp; Settings'!$O$2,IF($M753&gt;='Lists &amp; Settings'!$N$3,'Lists &amp; Settings'!$O$3,'Lists &amp; Settings'!$O$4)),IF($N753="Partial",IF($M753&gt;='Lists &amp; Settings'!$N$6,'Lists &amp; Settings'!$O$6,IF($M753&gt;='Lists &amp; Settings'!$N$7,'Lists &amp; Settings'!$O$7,'Lists &amp; Settings'!$O$8)),'Lists &amp; Settings'!$O$10))))))</f>
        <v/>
      </c>
      <c r="T753" s="31"/>
      <c r="U753" s="31"/>
      <c r="V753" s="31"/>
    </row>
    <row r="754" ht="15.75" customHeight="1">
      <c r="B754" s="31"/>
      <c r="N754" s="127"/>
      <c r="S754" s="31" t="str">
        <f>IF($C754="","",IF(OR($M754="",$N754=""),'Lists &amp; Settings'!$O$10,IF($N754="Fail",'Lists &amp; Settings'!$O$9,IF($N754="Insufficient Evidence",'Lists &amp; Settings'!$O$10,IF($N754="Pass",IF($M754&gt;='Lists &amp; Settings'!$N$2,'Lists &amp; Settings'!$O$2,IF($M754&gt;='Lists &amp; Settings'!$N$3,'Lists &amp; Settings'!$O$3,'Lists &amp; Settings'!$O$4)),IF($N754="Partial",IF($M754&gt;='Lists &amp; Settings'!$N$6,'Lists &amp; Settings'!$O$6,IF($M754&gt;='Lists &amp; Settings'!$N$7,'Lists &amp; Settings'!$O$7,'Lists &amp; Settings'!$O$8)),'Lists &amp; Settings'!$O$10))))))</f>
        <v/>
      </c>
      <c r="T754" s="31"/>
      <c r="U754" s="31"/>
      <c r="V754" s="31"/>
    </row>
    <row r="755" ht="15.75" customHeight="1">
      <c r="B755" s="31"/>
      <c r="N755" s="127"/>
      <c r="S755" s="31" t="str">
        <f>IF($C755="","",IF(OR($M755="",$N755=""),'Lists &amp; Settings'!$O$10,IF($N755="Fail",'Lists &amp; Settings'!$O$9,IF($N755="Insufficient Evidence",'Lists &amp; Settings'!$O$10,IF($N755="Pass",IF($M755&gt;='Lists &amp; Settings'!$N$2,'Lists &amp; Settings'!$O$2,IF($M755&gt;='Lists &amp; Settings'!$N$3,'Lists &amp; Settings'!$O$3,'Lists &amp; Settings'!$O$4)),IF($N755="Partial",IF($M755&gt;='Lists &amp; Settings'!$N$6,'Lists &amp; Settings'!$O$6,IF($M755&gt;='Lists &amp; Settings'!$N$7,'Lists &amp; Settings'!$O$7,'Lists &amp; Settings'!$O$8)),'Lists &amp; Settings'!$O$10))))))</f>
        <v/>
      </c>
      <c r="T755" s="31"/>
      <c r="U755" s="31"/>
      <c r="V755" s="31"/>
    </row>
    <row r="756" ht="15.75" customHeight="1">
      <c r="B756" s="31"/>
      <c r="N756" s="127"/>
      <c r="S756" s="31" t="str">
        <f>IF($C756="","",IF(OR($M756="",$N756=""),'Lists &amp; Settings'!$O$10,IF($N756="Fail",'Lists &amp; Settings'!$O$9,IF($N756="Insufficient Evidence",'Lists &amp; Settings'!$O$10,IF($N756="Pass",IF($M756&gt;='Lists &amp; Settings'!$N$2,'Lists &amp; Settings'!$O$2,IF($M756&gt;='Lists &amp; Settings'!$N$3,'Lists &amp; Settings'!$O$3,'Lists &amp; Settings'!$O$4)),IF($N756="Partial",IF($M756&gt;='Lists &amp; Settings'!$N$6,'Lists &amp; Settings'!$O$6,IF($M756&gt;='Lists &amp; Settings'!$N$7,'Lists &amp; Settings'!$O$7,'Lists &amp; Settings'!$O$8)),'Lists &amp; Settings'!$O$10))))))</f>
        <v/>
      </c>
      <c r="T756" s="31"/>
      <c r="U756" s="31"/>
      <c r="V756" s="31"/>
    </row>
    <row r="757" ht="15.75" customHeight="1">
      <c r="B757" s="31"/>
      <c r="N757" s="127"/>
      <c r="S757" s="31" t="str">
        <f>IF($C757="","",IF(OR($M757="",$N757=""),'Lists &amp; Settings'!$O$10,IF($N757="Fail",'Lists &amp; Settings'!$O$9,IF($N757="Insufficient Evidence",'Lists &amp; Settings'!$O$10,IF($N757="Pass",IF($M757&gt;='Lists &amp; Settings'!$N$2,'Lists &amp; Settings'!$O$2,IF($M757&gt;='Lists &amp; Settings'!$N$3,'Lists &amp; Settings'!$O$3,'Lists &amp; Settings'!$O$4)),IF($N757="Partial",IF($M757&gt;='Lists &amp; Settings'!$N$6,'Lists &amp; Settings'!$O$6,IF($M757&gt;='Lists &amp; Settings'!$N$7,'Lists &amp; Settings'!$O$7,'Lists &amp; Settings'!$O$8)),'Lists &amp; Settings'!$O$10))))))</f>
        <v/>
      </c>
      <c r="T757" s="31"/>
      <c r="U757" s="31"/>
      <c r="V757" s="31"/>
    </row>
    <row r="758" ht="15.75" customHeight="1">
      <c r="B758" s="31"/>
      <c r="N758" s="127"/>
      <c r="S758" s="31" t="str">
        <f>IF($C758="","",IF(OR($M758="",$N758=""),'Lists &amp; Settings'!$O$10,IF($N758="Fail",'Lists &amp; Settings'!$O$9,IF($N758="Insufficient Evidence",'Lists &amp; Settings'!$O$10,IF($N758="Pass",IF($M758&gt;='Lists &amp; Settings'!$N$2,'Lists &amp; Settings'!$O$2,IF($M758&gt;='Lists &amp; Settings'!$N$3,'Lists &amp; Settings'!$O$3,'Lists &amp; Settings'!$O$4)),IF($N758="Partial",IF($M758&gt;='Lists &amp; Settings'!$N$6,'Lists &amp; Settings'!$O$6,IF($M758&gt;='Lists &amp; Settings'!$N$7,'Lists &amp; Settings'!$O$7,'Lists &amp; Settings'!$O$8)),'Lists &amp; Settings'!$O$10))))))</f>
        <v/>
      </c>
      <c r="T758" s="31"/>
      <c r="U758" s="31"/>
      <c r="V758" s="31"/>
    </row>
    <row r="759" ht="15.75" customHeight="1">
      <c r="B759" s="31"/>
      <c r="N759" s="127"/>
      <c r="S759" s="31" t="str">
        <f>IF($C759="","",IF(OR($M759="",$N759=""),'Lists &amp; Settings'!$O$10,IF($N759="Fail",'Lists &amp; Settings'!$O$9,IF($N759="Insufficient Evidence",'Lists &amp; Settings'!$O$10,IF($N759="Pass",IF($M759&gt;='Lists &amp; Settings'!$N$2,'Lists &amp; Settings'!$O$2,IF($M759&gt;='Lists &amp; Settings'!$N$3,'Lists &amp; Settings'!$O$3,'Lists &amp; Settings'!$O$4)),IF($N759="Partial",IF($M759&gt;='Lists &amp; Settings'!$N$6,'Lists &amp; Settings'!$O$6,IF($M759&gt;='Lists &amp; Settings'!$N$7,'Lists &amp; Settings'!$O$7,'Lists &amp; Settings'!$O$8)),'Lists &amp; Settings'!$O$10))))))</f>
        <v/>
      </c>
      <c r="T759" s="31"/>
      <c r="U759" s="31"/>
      <c r="V759" s="31"/>
    </row>
    <row r="760" ht="15.75" customHeight="1">
      <c r="B760" s="31"/>
      <c r="N760" s="127"/>
      <c r="S760" s="31" t="str">
        <f>IF($C760="","",IF(OR($M760="",$N760=""),'Lists &amp; Settings'!$O$10,IF($N760="Fail",'Lists &amp; Settings'!$O$9,IF($N760="Insufficient Evidence",'Lists &amp; Settings'!$O$10,IF($N760="Pass",IF($M760&gt;='Lists &amp; Settings'!$N$2,'Lists &amp; Settings'!$O$2,IF($M760&gt;='Lists &amp; Settings'!$N$3,'Lists &amp; Settings'!$O$3,'Lists &amp; Settings'!$O$4)),IF($N760="Partial",IF($M760&gt;='Lists &amp; Settings'!$N$6,'Lists &amp; Settings'!$O$6,IF($M760&gt;='Lists &amp; Settings'!$N$7,'Lists &amp; Settings'!$O$7,'Lists &amp; Settings'!$O$8)),'Lists &amp; Settings'!$O$10))))))</f>
        <v/>
      </c>
      <c r="T760" s="31"/>
      <c r="U760" s="31"/>
      <c r="V760" s="31"/>
    </row>
    <row r="761" ht="15.75" customHeight="1">
      <c r="B761" s="31"/>
      <c r="N761" s="127"/>
      <c r="S761" s="31" t="str">
        <f>IF($C761="","",IF(OR($M761="",$N761=""),'Lists &amp; Settings'!$O$10,IF($N761="Fail",'Lists &amp; Settings'!$O$9,IF($N761="Insufficient Evidence",'Lists &amp; Settings'!$O$10,IF($N761="Pass",IF($M761&gt;='Lists &amp; Settings'!$N$2,'Lists &amp; Settings'!$O$2,IF($M761&gt;='Lists &amp; Settings'!$N$3,'Lists &amp; Settings'!$O$3,'Lists &amp; Settings'!$O$4)),IF($N761="Partial",IF($M761&gt;='Lists &amp; Settings'!$N$6,'Lists &amp; Settings'!$O$6,IF($M761&gt;='Lists &amp; Settings'!$N$7,'Lists &amp; Settings'!$O$7,'Lists &amp; Settings'!$O$8)),'Lists &amp; Settings'!$O$10))))))</f>
        <v/>
      </c>
      <c r="T761" s="31"/>
      <c r="U761" s="31"/>
      <c r="V761" s="31"/>
    </row>
    <row r="762" ht="15.75" customHeight="1">
      <c r="B762" s="31"/>
      <c r="N762" s="127"/>
      <c r="S762" s="31" t="str">
        <f>IF($C762="","",IF(OR($M762="",$N762=""),'Lists &amp; Settings'!$O$10,IF($N762="Fail",'Lists &amp; Settings'!$O$9,IF($N762="Insufficient Evidence",'Lists &amp; Settings'!$O$10,IF($N762="Pass",IF($M762&gt;='Lists &amp; Settings'!$N$2,'Lists &amp; Settings'!$O$2,IF($M762&gt;='Lists &amp; Settings'!$N$3,'Lists &amp; Settings'!$O$3,'Lists &amp; Settings'!$O$4)),IF($N762="Partial",IF($M762&gt;='Lists &amp; Settings'!$N$6,'Lists &amp; Settings'!$O$6,IF($M762&gt;='Lists &amp; Settings'!$N$7,'Lists &amp; Settings'!$O$7,'Lists &amp; Settings'!$O$8)),'Lists &amp; Settings'!$O$10))))))</f>
        <v/>
      </c>
      <c r="T762" s="31"/>
      <c r="U762" s="31"/>
      <c r="V762" s="31"/>
    </row>
    <row r="763" ht="15.75" customHeight="1">
      <c r="B763" s="31"/>
      <c r="N763" s="127"/>
      <c r="S763" s="31" t="str">
        <f>IF($C763="","",IF(OR($M763="",$N763=""),'Lists &amp; Settings'!$O$10,IF($N763="Fail",'Lists &amp; Settings'!$O$9,IF($N763="Insufficient Evidence",'Lists &amp; Settings'!$O$10,IF($N763="Pass",IF($M763&gt;='Lists &amp; Settings'!$N$2,'Lists &amp; Settings'!$O$2,IF($M763&gt;='Lists &amp; Settings'!$N$3,'Lists &amp; Settings'!$O$3,'Lists &amp; Settings'!$O$4)),IF($N763="Partial",IF($M763&gt;='Lists &amp; Settings'!$N$6,'Lists &amp; Settings'!$O$6,IF($M763&gt;='Lists &amp; Settings'!$N$7,'Lists &amp; Settings'!$O$7,'Lists &amp; Settings'!$O$8)),'Lists &amp; Settings'!$O$10))))))</f>
        <v/>
      </c>
      <c r="T763" s="31"/>
      <c r="U763" s="31"/>
      <c r="V763" s="31"/>
    </row>
    <row r="764" ht="15.75" customHeight="1">
      <c r="B764" s="31"/>
      <c r="N764" s="127"/>
      <c r="S764" s="31" t="str">
        <f>IF($C764="","",IF(OR($M764="",$N764=""),'Lists &amp; Settings'!$O$10,IF($N764="Fail",'Lists &amp; Settings'!$O$9,IF($N764="Insufficient Evidence",'Lists &amp; Settings'!$O$10,IF($N764="Pass",IF($M764&gt;='Lists &amp; Settings'!$N$2,'Lists &amp; Settings'!$O$2,IF($M764&gt;='Lists &amp; Settings'!$N$3,'Lists &amp; Settings'!$O$3,'Lists &amp; Settings'!$O$4)),IF($N764="Partial",IF($M764&gt;='Lists &amp; Settings'!$N$6,'Lists &amp; Settings'!$O$6,IF($M764&gt;='Lists &amp; Settings'!$N$7,'Lists &amp; Settings'!$O$7,'Lists &amp; Settings'!$O$8)),'Lists &amp; Settings'!$O$10))))))</f>
        <v/>
      </c>
      <c r="T764" s="31"/>
      <c r="U764" s="31"/>
      <c r="V764" s="31"/>
    </row>
    <row r="765" ht="15.75" customHeight="1">
      <c r="B765" s="31"/>
      <c r="N765" s="127"/>
      <c r="S765" s="31" t="str">
        <f>IF($C765="","",IF(OR($M765="",$N765=""),'Lists &amp; Settings'!$O$10,IF($N765="Fail",'Lists &amp; Settings'!$O$9,IF($N765="Insufficient Evidence",'Lists &amp; Settings'!$O$10,IF($N765="Pass",IF($M765&gt;='Lists &amp; Settings'!$N$2,'Lists &amp; Settings'!$O$2,IF($M765&gt;='Lists &amp; Settings'!$N$3,'Lists &amp; Settings'!$O$3,'Lists &amp; Settings'!$O$4)),IF($N765="Partial",IF($M765&gt;='Lists &amp; Settings'!$N$6,'Lists &amp; Settings'!$O$6,IF($M765&gt;='Lists &amp; Settings'!$N$7,'Lists &amp; Settings'!$O$7,'Lists &amp; Settings'!$O$8)),'Lists &amp; Settings'!$O$10))))))</f>
        <v/>
      </c>
      <c r="T765" s="31"/>
      <c r="U765" s="31"/>
      <c r="V765" s="31"/>
    </row>
    <row r="766" ht="15.75" customHeight="1">
      <c r="B766" s="31"/>
      <c r="N766" s="127"/>
      <c r="S766" s="31" t="str">
        <f>IF($C766="","",IF(OR($M766="",$N766=""),'Lists &amp; Settings'!$O$10,IF($N766="Fail",'Lists &amp; Settings'!$O$9,IF($N766="Insufficient Evidence",'Lists &amp; Settings'!$O$10,IF($N766="Pass",IF($M766&gt;='Lists &amp; Settings'!$N$2,'Lists &amp; Settings'!$O$2,IF($M766&gt;='Lists &amp; Settings'!$N$3,'Lists &amp; Settings'!$O$3,'Lists &amp; Settings'!$O$4)),IF($N766="Partial",IF($M766&gt;='Lists &amp; Settings'!$N$6,'Lists &amp; Settings'!$O$6,IF($M766&gt;='Lists &amp; Settings'!$N$7,'Lists &amp; Settings'!$O$7,'Lists &amp; Settings'!$O$8)),'Lists &amp; Settings'!$O$10))))))</f>
        <v/>
      </c>
      <c r="T766" s="31"/>
      <c r="U766" s="31"/>
      <c r="V766" s="31"/>
    </row>
    <row r="767" ht="15.75" customHeight="1">
      <c r="B767" s="31"/>
      <c r="N767" s="127"/>
      <c r="S767" s="31" t="str">
        <f>IF($C767="","",IF(OR($M767="",$N767=""),'Lists &amp; Settings'!$O$10,IF($N767="Fail",'Lists &amp; Settings'!$O$9,IF($N767="Insufficient Evidence",'Lists &amp; Settings'!$O$10,IF($N767="Pass",IF($M767&gt;='Lists &amp; Settings'!$N$2,'Lists &amp; Settings'!$O$2,IF($M767&gt;='Lists &amp; Settings'!$N$3,'Lists &amp; Settings'!$O$3,'Lists &amp; Settings'!$O$4)),IF($N767="Partial",IF($M767&gt;='Lists &amp; Settings'!$N$6,'Lists &amp; Settings'!$O$6,IF($M767&gt;='Lists &amp; Settings'!$N$7,'Lists &amp; Settings'!$O$7,'Lists &amp; Settings'!$O$8)),'Lists &amp; Settings'!$O$10))))))</f>
        <v/>
      </c>
      <c r="T767" s="31"/>
      <c r="U767" s="31"/>
      <c r="V767" s="31"/>
    </row>
    <row r="768" ht="15.75" customHeight="1">
      <c r="B768" s="31"/>
      <c r="N768" s="127"/>
      <c r="S768" s="31" t="str">
        <f>IF($C768="","",IF(OR($M768="",$N768=""),'Lists &amp; Settings'!$O$10,IF($N768="Fail",'Lists &amp; Settings'!$O$9,IF($N768="Insufficient Evidence",'Lists &amp; Settings'!$O$10,IF($N768="Pass",IF($M768&gt;='Lists &amp; Settings'!$N$2,'Lists &amp; Settings'!$O$2,IF($M768&gt;='Lists &amp; Settings'!$N$3,'Lists &amp; Settings'!$O$3,'Lists &amp; Settings'!$O$4)),IF($N768="Partial",IF($M768&gt;='Lists &amp; Settings'!$N$6,'Lists &amp; Settings'!$O$6,IF($M768&gt;='Lists &amp; Settings'!$N$7,'Lists &amp; Settings'!$O$7,'Lists &amp; Settings'!$O$8)),'Lists &amp; Settings'!$O$10))))))</f>
        <v/>
      </c>
      <c r="T768" s="31"/>
      <c r="U768" s="31"/>
      <c r="V768" s="31"/>
    </row>
    <row r="769" ht="15.75" customHeight="1">
      <c r="B769" s="31"/>
      <c r="N769" s="127"/>
      <c r="S769" s="31" t="str">
        <f>IF($C769="","",IF(OR($M769="",$N769=""),'Lists &amp; Settings'!$O$10,IF($N769="Fail",'Lists &amp; Settings'!$O$9,IF($N769="Insufficient Evidence",'Lists &amp; Settings'!$O$10,IF($N769="Pass",IF($M769&gt;='Lists &amp; Settings'!$N$2,'Lists &amp; Settings'!$O$2,IF($M769&gt;='Lists &amp; Settings'!$N$3,'Lists &amp; Settings'!$O$3,'Lists &amp; Settings'!$O$4)),IF($N769="Partial",IF($M769&gt;='Lists &amp; Settings'!$N$6,'Lists &amp; Settings'!$O$6,IF($M769&gt;='Lists &amp; Settings'!$N$7,'Lists &amp; Settings'!$O$7,'Lists &amp; Settings'!$O$8)),'Lists &amp; Settings'!$O$10))))))</f>
        <v/>
      </c>
      <c r="T769" s="31"/>
      <c r="U769" s="31"/>
      <c r="V769" s="31"/>
    </row>
    <row r="770" ht="15.75" customHeight="1">
      <c r="B770" s="31"/>
      <c r="N770" s="127"/>
      <c r="S770" s="31" t="str">
        <f>IF($C770="","",IF(OR($M770="",$N770=""),'Lists &amp; Settings'!$O$10,IF($N770="Fail",'Lists &amp; Settings'!$O$9,IF($N770="Insufficient Evidence",'Lists &amp; Settings'!$O$10,IF($N770="Pass",IF($M770&gt;='Lists &amp; Settings'!$N$2,'Lists &amp; Settings'!$O$2,IF($M770&gt;='Lists &amp; Settings'!$N$3,'Lists &amp; Settings'!$O$3,'Lists &amp; Settings'!$O$4)),IF($N770="Partial",IF($M770&gt;='Lists &amp; Settings'!$N$6,'Lists &amp; Settings'!$O$6,IF($M770&gt;='Lists &amp; Settings'!$N$7,'Lists &amp; Settings'!$O$7,'Lists &amp; Settings'!$O$8)),'Lists &amp; Settings'!$O$10))))))</f>
        <v/>
      </c>
      <c r="T770" s="31"/>
      <c r="U770" s="31"/>
      <c r="V770" s="31"/>
    </row>
    <row r="771" ht="15.75" customHeight="1">
      <c r="B771" s="31"/>
      <c r="N771" s="127"/>
      <c r="S771" s="31" t="str">
        <f>IF($C771="","",IF(OR($M771="",$N771=""),'Lists &amp; Settings'!$O$10,IF($N771="Fail",'Lists &amp; Settings'!$O$9,IF($N771="Insufficient Evidence",'Lists &amp; Settings'!$O$10,IF($N771="Pass",IF($M771&gt;='Lists &amp; Settings'!$N$2,'Lists &amp; Settings'!$O$2,IF($M771&gt;='Lists &amp; Settings'!$N$3,'Lists &amp; Settings'!$O$3,'Lists &amp; Settings'!$O$4)),IF($N771="Partial",IF($M771&gt;='Lists &amp; Settings'!$N$6,'Lists &amp; Settings'!$O$6,IF($M771&gt;='Lists &amp; Settings'!$N$7,'Lists &amp; Settings'!$O$7,'Lists &amp; Settings'!$O$8)),'Lists &amp; Settings'!$O$10))))))</f>
        <v/>
      </c>
      <c r="T771" s="31"/>
      <c r="U771" s="31"/>
      <c r="V771" s="31"/>
    </row>
    <row r="772" ht="15.75" customHeight="1">
      <c r="B772" s="31"/>
      <c r="N772" s="127"/>
      <c r="S772" s="31" t="str">
        <f>IF($C772="","",IF(OR($M772="",$N772=""),'Lists &amp; Settings'!$O$10,IF($N772="Fail",'Lists &amp; Settings'!$O$9,IF($N772="Insufficient Evidence",'Lists &amp; Settings'!$O$10,IF($N772="Pass",IF($M772&gt;='Lists &amp; Settings'!$N$2,'Lists &amp; Settings'!$O$2,IF($M772&gt;='Lists &amp; Settings'!$N$3,'Lists &amp; Settings'!$O$3,'Lists &amp; Settings'!$O$4)),IF($N772="Partial",IF($M772&gt;='Lists &amp; Settings'!$N$6,'Lists &amp; Settings'!$O$6,IF($M772&gt;='Lists &amp; Settings'!$N$7,'Lists &amp; Settings'!$O$7,'Lists &amp; Settings'!$O$8)),'Lists &amp; Settings'!$O$10))))))</f>
        <v/>
      </c>
      <c r="T772" s="31"/>
      <c r="U772" s="31"/>
      <c r="V772" s="31"/>
    </row>
    <row r="773" ht="15.75" customHeight="1">
      <c r="B773" s="31"/>
      <c r="N773" s="127"/>
      <c r="S773" s="31" t="str">
        <f>IF($C773="","",IF(OR($M773="",$N773=""),'Lists &amp; Settings'!$O$10,IF($N773="Fail",'Lists &amp; Settings'!$O$9,IF($N773="Insufficient Evidence",'Lists &amp; Settings'!$O$10,IF($N773="Pass",IF($M773&gt;='Lists &amp; Settings'!$N$2,'Lists &amp; Settings'!$O$2,IF($M773&gt;='Lists &amp; Settings'!$N$3,'Lists &amp; Settings'!$O$3,'Lists &amp; Settings'!$O$4)),IF($N773="Partial",IF($M773&gt;='Lists &amp; Settings'!$N$6,'Lists &amp; Settings'!$O$6,IF($M773&gt;='Lists &amp; Settings'!$N$7,'Lists &amp; Settings'!$O$7,'Lists &amp; Settings'!$O$8)),'Lists &amp; Settings'!$O$10))))))</f>
        <v/>
      </c>
      <c r="T773" s="31"/>
      <c r="U773" s="31"/>
      <c r="V773" s="31"/>
    </row>
    <row r="774" ht="15.75" customHeight="1">
      <c r="B774" s="31"/>
      <c r="N774" s="127"/>
      <c r="S774" s="31" t="str">
        <f>IF($C774="","",IF(OR($M774="",$N774=""),'Lists &amp; Settings'!$O$10,IF($N774="Fail",'Lists &amp; Settings'!$O$9,IF($N774="Insufficient Evidence",'Lists &amp; Settings'!$O$10,IF($N774="Pass",IF($M774&gt;='Lists &amp; Settings'!$N$2,'Lists &amp; Settings'!$O$2,IF($M774&gt;='Lists &amp; Settings'!$N$3,'Lists &amp; Settings'!$O$3,'Lists &amp; Settings'!$O$4)),IF($N774="Partial",IF($M774&gt;='Lists &amp; Settings'!$N$6,'Lists &amp; Settings'!$O$6,IF($M774&gt;='Lists &amp; Settings'!$N$7,'Lists &amp; Settings'!$O$7,'Lists &amp; Settings'!$O$8)),'Lists &amp; Settings'!$O$10))))))</f>
        <v/>
      </c>
      <c r="T774" s="31"/>
      <c r="U774" s="31"/>
      <c r="V774" s="31"/>
    </row>
    <row r="775" ht="15.75" customHeight="1">
      <c r="B775" s="31"/>
      <c r="N775" s="127"/>
      <c r="S775" s="31" t="str">
        <f>IF($C775="","",IF(OR($M775="",$N775=""),'Lists &amp; Settings'!$O$10,IF($N775="Fail",'Lists &amp; Settings'!$O$9,IF($N775="Insufficient Evidence",'Lists &amp; Settings'!$O$10,IF($N775="Pass",IF($M775&gt;='Lists &amp; Settings'!$N$2,'Lists &amp; Settings'!$O$2,IF($M775&gt;='Lists &amp; Settings'!$N$3,'Lists &amp; Settings'!$O$3,'Lists &amp; Settings'!$O$4)),IF($N775="Partial",IF($M775&gt;='Lists &amp; Settings'!$N$6,'Lists &amp; Settings'!$O$6,IF($M775&gt;='Lists &amp; Settings'!$N$7,'Lists &amp; Settings'!$O$7,'Lists &amp; Settings'!$O$8)),'Lists &amp; Settings'!$O$10))))))</f>
        <v/>
      </c>
      <c r="T775" s="31"/>
      <c r="U775" s="31"/>
      <c r="V775" s="31"/>
    </row>
    <row r="776" ht="15.75" customHeight="1">
      <c r="B776" s="31"/>
      <c r="N776" s="127"/>
      <c r="S776" s="31" t="str">
        <f>IF($C776="","",IF(OR($M776="",$N776=""),'Lists &amp; Settings'!$O$10,IF($N776="Fail",'Lists &amp; Settings'!$O$9,IF($N776="Insufficient Evidence",'Lists &amp; Settings'!$O$10,IF($N776="Pass",IF($M776&gt;='Lists &amp; Settings'!$N$2,'Lists &amp; Settings'!$O$2,IF($M776&gt;='Lists &amp; Settings'!$N$3,'Lists &amp; Settings'!$O$3,'Lists &amp; Settings'!$O$4)),IF($N776="Partial",IF($M776&gt;='Lists &amp; Settings'!$N$6,'Lists &amp; Settings'!$O$6,IF($M776&gt;='Lists &amp; Settings'!$N$7,'Lists &amp; Settings'!$O$7,'Lists &amp; Settings'!$O$8)),'Lists &amp; Settings'!$O$10))))))</f>
        <v/>
      </c>
      <c r="T776" s="31"/>
      <c r="U776" s="31"/>
      <c r="V776" s="31"/>
    </row>
    <row r="777" ht="15.75" customHeight="1">
      <c r="B777" s="31"/>
      <c r="N777" s="127"/>
      <c r="S777" s="31" t="str">
        <f>IF($C777="","",IF(OR($M777="",$N777=""),'Lists &amp; Settings'!$O$10,IF($N777="Fail",'Lists &amp; Settings'!$O$9,IF($N777="Insufficient Evidence",'Lists &amp; Settings'!$O$10,IF($N777="Pass",IF($M777&gt;='Lists &amp; Settings'!$N$2,'Lists &amp; Settings'!$O$2,IF($M777&gt;='Lists &amp; Settings'!$N$3,'Lists &amp; Settings'!$O$3,'Lists &amp; Settings'!$O$4)),IF($N777="Partial",IF($M777&gt;='Lists &amp; Settings'!$N$6,'Lists &amp; Settings'!$O$6,IF($M777&gt;='Lists &amp; Settings'!$N$7,'Lists &amp; Settings'!$O$7,'Lists &amp; Settings'!$O$8)),'Lists &amp; Settings'!$O$10))))))</f>
        <v/>
      </c>
      <c r="T777" s="31"/>
      <c r="U777" s="31"/>
      <c r="V777" s="31"/>
    </row>
    <row r="778" ht="15.75" customHeight="1">
      <c r="B778" s="31"/>
      <c r="N778" s="127"/>
      <c r="S778" s="31" t="str">
        <f>IF($C778="","",IF(OR($M778="",$N778=""),'Lists &amp; Settings'!$O$10,IF($N778="Fail",'Lists &amp; Settings'!$O$9,IF($N778="Insufficient Evidence",'Lists &amp; Settings'!$O$10,IF($N778="Pass",IF($M778&gt;='Lists &amp; Settings'!$N$2,'Lists &amp; Settings'!$O$2,IF($M778&gt;='Lists &amp; Settings'!$N$3,'Lists &amp; Settings'!$O$3,'Lists &amp; Settings'!$O$4)),IF($N778="Partial",IF($M778&gt;='Lists &amp; Settings'!$N$6,'Lists &amp; Settings'!$O$6,IF($M778&gt;='Lists &amp; Settings'!$N$7,'Lists &amp; Settings'!$O$7,'Lists &amp; Settings'!$O$8)),'Lists &amp; Settings'!$O$10))))))</f>
        <v/>
      </c>
      <c r="T778" s="31"/>
      <c r="U778" s="31"/>
      <c r="V778" s="31"/>
    </row>
    <row r="779" ht="15.75" customHeight="1">
      <c r="B779" s="31"/>
      <c r="N779" s="127"/>
      <c r="S779" s="31" t="str">
        <f>IF($C779="","",IF(OR($M779="",$N779=""),'Lists &amp; Settings'!$O$10,IF($N779="Fail",'Lists &amp; Settings'!$O$9,IF($N779="Insufficient Evidence",'Lists &amp; Settings'!$O$10,IF($N779="Pass",IF($M779&gt;='Lists &amp; Settings'!$N$2,'Lists &amp; Settings'!$O$2,IF($M779&gt;='Lists &amp; Settings'!$N$3,'Lists &amp; Settings'!$O$3,'Lists &amp; Settings'!$O$4)),IF($N779="Partial",IF($M779&gt;='Lists &amp; Settings'!$N$6,'Lists &amp; Settings'!$O$6,IF($M779&gt;='Lists &amp; Settings'!$N$7,'Lists &amp; Settings'!$O$7,'Lists &amp; Settings'!$O$8)),'Lists &amp; Settings'!$O$10))))))</f>
        <v/>
      </c>
      <c r="T779" s="31"/>
      <c r="U779" s="31"/>
      <c r="V779" s="31"/>
    </row>
    <row r="780" ht="15.75" customHeight="1">
      <c r="B780" s="31"/>
      <c r="N780" s="127"/>
      <c r="S780" s="31" t="str">
        <f>IF($C780="","",IF(OR($M780="",$N780=""),'Lists &amp; Settings'!$O$10,IF($N780="Fail",'Lists &amp; Settings'!$O$9,IF($N780="Insufficient Evidence",'Lists &amp; Settings'!$O$10,IF($N780="Pass",IF($M780&gt;='Lists &amp; Settings'!$N$2,'Lists &amp; Settings'!$O$2,IF($M780&gt;='Lists &amp; Settings'!$N$3,'Lists &amp; Settings'!$O$3,'Lists &amp; Settings'!$O$4)),IF($N780="Partial",IF($M780&gt;='Lists &amp; Settings'!$N$6,'Lists &amp; Settings'!$O$6,IF($M780&gt;='Lists &amp; Settings'!$N$7,'Lists &amp; Settings'!$O$7,'Lists &amp; Settings'!$O$8)),'Lists &amp; Settings'!$O$10))))))</f>
        <v/>
      </c>
      <c r="T780" s="31"/>
      <c r="U780" s="31"/>
      <c r="V780" s="31"/>
    </row>
    <row r="781" ht="15.75" customHeight="1">
      <c r="B781" s="31"/>
      <c r="N781" s="127"/>
      <c r="S781" s="31" t="str">
        <f>IF($C781="","",IF(OR($M781="",$N781=""),'Lists &amp; Settings'!$O$10,IF($N781="Fail",'Lists &amp; Settings'!$O$9,IF($N781="Insufficient Evidence",'Lists &amp; Settings'!$O$10,IF($N781="Pass",IF($M781&gt;='Lists &amp; Settings'!$N$2,'Lists &amp; Settings'!$O$2,IF($M781&gt;='Lists &amp; Settings'!$N$3,'Lists &amp; Settings'!$O$3,'Lists &amp; Settings'!$O$4)),IF($N781="Partial",IF($M781&gt;='Lists &amp; Settings'!$N$6,'Lists &amp; Settings'!$O$6,IF($M781&gt;='Lists &amp; Settings'!$N$7,'Lists &amp; Settings'!$O$7,'Lists &amp; Settings'!$O$8)),'Lists &amp; Settings'!$O$10))))))</f>
        <v/>
      </c>
      <c r="T781" s="31"/>
      <c r="U781" s="31"/>
      <c r="V781" s="31"/>
    </row>
    <row r="782" ht="15.75" customHeight="1">
      <c r="B782" s="31"/>
      <c r="N782" s="127"/>
      <c r="S782" s="31" t="str">
        <f>IF($C782="","",IF(OR($M782="",$N782=""),'Lists &amp; Settings'!$O$10,IF($N782="Fail",'Lists &amp; Settings'!$O$9,IF($N782="Insufficient Evidence",'Lists &amp; Settings'!$O$10,IF($N782="Pass",IF($M782&gt;='Lists &amp; Settings'!$N$2,'Lists &amp; Settings'!$O$2,IF($M782&gt;='Lists &amp; Settings'!$N$3,'Lists &amp; Settings'!$O$3,'Lists &amp; Settings'!$O$4)),IF($N782="Partial",IF($M782&gt;='Lists &amp; Settings'!$N$6,'Lists &amp; Settings'!$O$6,IF($M782&gt;='Lists &amp; Settings'!$N$7,'Lists &amp; Settings'!$O$7,'Lists &amp; Settings'!$O$8)),'Lists &amp; Settings'!$O$10))))))</f>
        <v/>
      </c>
      <c r="T782" s="31"/>
      <c r="U782" s="31"/>
      <c r="V782" s="31"/>
    </row>
    <row r="783" ht="15.75" customHeight="1">
      <c r="B783" s="31"/>
      <c r="N783" s="127"/>
      <c r="S783" s="31" t="str">
        <f>IF($C783="","",IF(OR($M783="",$N783=""),'Lists &amp; Settings'!$O$10,IF($N783="Fail",'Lists &amp; Settings'!$O$9,IF($N783="Insufficient Evidence",'Lists &amp; Settings'!$O$10,IF($N783="Pass",IF($M783&gt;='Lists &amp; Settings'!$N$2,'Lists &amp; Settings'!$O$2,IF($M783&gt;='Lists &amp; Settings'!$N$3,'Lists &amp; Settings'!$O$3,'Lists &amp; Settings'!$O$4)),IF($N783="Partial",IF($M783&gt;='Lists &amp; Settings'!$N$6,'Lists &amp; Settings'!$O$6,IF($M783&gt;='Lists &amp; Settings'!$N$7,'Lists &amp; Settings'!$O$7,'Lists &amp; Settings'!$O$8)),'Lists &amp; Settings'!$O$10))))))</f>
        <v/>
      </c>
      <c r="T783" s="31"/>
      <c r="U783" s="31"/>
      <c r="V783" s="31"/>
    </row>
    <row r="784" ht="15.75" customHeight="1">
      <c r="B784" s="31"/>
      <c r="N784" s="127"/>
      <c r="S784" s="31" t="str">
        <f>IF($C784="","",IF(OR($M784="",$N784=""),'Lists &amp; Settings'!$O$10,IF($N784="Fail",'Lists &amp; Settings'!$O$9,IF($N784="Insufficient Evidence",'Lists &amp; Settings'!$O$10,IF($N784="Pass",IF($M784&gt;='Lists &amp; Settings'!$N$2,'Lists &amp; Settings'!$O$2,IF($M784&gt;='Lists &amp; Settings'!$N$3,'Lists &amp; Settings'!$O$3,'Lists &amp; Settings'!$O$4)),IF($N784="Partial",IF($M784&gt;='Lists &amp; Settings'!$N$6,'Lists &amp; Settings'!$O$6,IF($M784&gt;='Lists &amp; Settings'!$N$7,'Lists &amp; Settings'!$O$7,'Lists &amp; Settings'!$O$8)),'Lists &amp; Settings'!$O$10))))))</f>
        <v/>
      </c>
      <c r="T784" s="31"/>
      <c r="U784" s="31"/>
      <c r="V784" s="31"/>
    </row>
    <row r="785" ht="15.75" customHeight="1">
      <c r="B785" s="31"/>
      <c r="N785" s="127"/>
      <c r="S785" s="31" t="str">
        <f>IF($C785="","",IF(OR($M785="",$N785=""),'Lists &amp; Settings'!$O$10,IF($N785="Fail",'Lists &amp; Settings'!$O$9,IF($N785="Insufficient Evidence",'Lists &amp; Settings'!$O$10,IF($N785="Pass",IF($M785&gt;='Lists &amp; Settings'!$N$2,'Lists &amp; Settings'!$O$2,IF($M785&gt;='Lists &amp; Settings'!$N$3,'Lists &amp; Settings'!$O$3,'Lists &amp; Settings'!$O$4)),IF($N785="Partial",IF($M785&gt;='Lists &amp; Settings'!$N$6,'Lists &amp; Settings'!$O$6,IF($M785&gt;='Lists &amp; Settings'!$N$7,'Lists &amp; Settings'!$O$7,'Lists &amp; Settings'!$O$8)),'Lists &amp; Settings'!$O$10))))))</f>
        <v/>
      </c>
      <c r="T785" s="31"/>
      <c r="U785" s="31"/>
      <c r="V785" s="31"/>
    </row>
    <row r="786" ht="15.75" customHeight="1">
      <c r="B786" s="31"/>
      <c r="N786" s="127"/>
      <c r="S786" s="31" t="str">
        <f>IF($C786="","",IF(OR($M786="",$N786=""),'Lists &amp; Settings'!$O$10,IF($N786="Fail",'Lists &amp; Settings'!$O$9,IF($N786="Insufficient Evidence",'Lists &amp; Settings'!$O$10,IF($N786="Pass",IF($M786&gt;='Lists &amp; Settings'!$N$2,'Lists &amp; Settings'!$O$2,IF($M786&gt;='Lists &amp; Settings'!$N$3,'Lists &amp; Settings'!$O$3,'Lists &amp; Settings'!$O$4)),IF($N786="Partial",IF($M786&gt;='Lists &amp; Settings'!$N$6,'Lists &amp; Settings'!$O$6,IF($M786&gt;='Lists &amp; Settings'!$N$7,'Lists &amp; Settings'!$O$7,'Lists &amp; Settings'!$O$8)),'Lists &amp; Settings'!$O$10))))))</f>
        <v/>
      </c>
      <c r="T786" s="31"/>
      <c r="U786" s="31"/>
      <c r="V786" s="31"/>
    </row>
    <row r="787" ht="15.75" customHeight="1">
      <c r="B787" s="31"/>
      <c r="N787" s="127"/>
      <c r="S787" s="31" t="str">
        <f>IF($C787="","",IF(OR($M787="",$N787=""),'Lists &amp; Settings'!$O$10,IF($N787="Fail",'Lists &amp; Settings'!$O$9,IF($N787="Insufficient Evidence",'Lists &amp; Settings'!$O$10,IF($N787="Pass",IF($M787&gt;='Lists &amp; Settings'!$N$2,'Lists &amp; Settings'!$O$2,IF($M787&gt;='Lists &amp; Settings'!$N$3,'Lists &amp; Settings'!$O$3,'Lists &amp; Settings'!$O$4)),IF($N787="Partial",IF($M787&gt;='Lists &amp; Settings'!$N$6,'Lists &amp; Settings'!$O$6,IF($M787&gt;='Lists &amp; Settings'!$N$7,'Lists &amp; Settings'!$O$7,'Lists &amp; Settings'!$O$8)),'Lists &amp; Settings'!$O$10))))))</f>
        <v/>
      </c>
      <c r="T787" s="31"/>
      <c r="U787" s="31"/>
      <c r="V787" s="31"/>
    </row>
    <row r="788" ht="15.75" customHeight="1">
      <c r="B788" s="31"/>
      <c r="N788" s="127"/>
      <c r="S788" s="31" t="str">
        <f>IF($C788="","",IF(OR($M788="",$N788=""),'Lists &amp; Settings'!$O$10,IF($N788="Fail",'Lists &amp; Settings'!$O$9,IF($N788="Insufficient Evidence",'Lists &amp; Settings'!$O$10,IF($N788="Pass",IF($M788&gt;='Lists &amp; Settings'!$N$2,'Lists &amp; Settings'!$O$2,IF($M788&gt;='Lists &amp; Settings'!$N$3,'Lists &amp; Settings'!$O$3,'Lists &amp; Settings'!$O$4)),IF($N788="Partial",IF($M788&gt;='Lists &amp; Settings'!$N$6,'Lists &amp; Settings'!$O$6,IF($M788&gt;='Lists &amp; Settings'!$N$7,'Lists &amp; Settings'!$O$7,'Lists &amp; Settings'!$O$8)),'Lists &amp; Settings'!$O$10))))))</f>
        <v/>
      </c>
      <c r="T788" s="31"/>
      <c r="U788" s="31"/>
      <c r="V788" s="31"/>
    </row>
    <row r="789" ht="15.75" customHeight="1">
      <c r="B789" s="31"/>
      <c r="N789" s="127"/>
      <c r="S789" s="31" t="str">
        <f>IF($C789="","",IF(OR($M789="",$N789=""),'Lists &amp; Settings'!$O$10,IF($N789="Fail",'Lists &amp; Settings'!$O$9,IF($N789="Insufficient Evidence",'Lists &amp; Settings'!$O$10,IF($N789="Pass",IF($M789&gt;='Lists &amp; Settings'!$N$2,'Lists &amp; Settings'!$O$2,IF($M789&gt;='Lists &amp; Settings'!$N$3,'Lists &amp; Settings'!$O$3,'Lists &amp; Settings'!$O$4)),IF($N789="Partial",IF($M789&gt;='Lists &amp; Settings'!$N$6,'Lists &amp; Settings'!$O$6,IF($M789&gt;='Lists &amp; Settings'!$N$7,'Lists &amp; Settings'!$O$7,'Lists &amp; Settings'!$O$8)),'Lists &amp; Settings'!$O$10))))))</f>
        <v/>
      </c>
      <c r="T789" s="31"/>
      <c r="U789" s="31"/>
      <c r="V789" s="31"/>
    </row>
    <row r="790" ht="15.75" customHeight="1">
      <c r="B790" s="31"/>
      <c r="N790" s="127"/>
      <c r="S790" s="31" t="str">
        <f>IF($C790="","",IF(OR($M790="",$N790=""),'Lists &amp; Settings'!$O$10,IF($N790="Fail",'Lists &amp; Settings'!$O$9,IF($N790="Insufficient Evidence",'Lists &amp; Settings'!$O$10,IF($N790="Pass",IF($M790&gt;='Lists &amp; Settings'!$N$2,'Lists &amp; Settings'!$O$2,IF($M790&gt;='Lists &amp; Settings'!$N$3,'Lists &amp; Settings'!$O$3,'Lists &amp; Settings'!$O$4)),IF($N790="Partial",IF($M790&gt;='Lists &amp; Settings'!$N$6,'Lists &amp; Settings'!$O$6,IF($M790&gt;='Lists &amp; Settings'!$N$7,'Lists &amp; Settings'!$O$7,'Lists &amp; Settings'!$O$8)),'Lists &amp; Settings'!$O$10))))))</f>
        <v/>
      </c>
      <c r="T790" s="31"/>
      <c r="U790" s="31"/>
      <c r="V790" s="31"/>
    </row>
    <row r="791" ht="15.75" customHeight="1">
      <c r="B791" s="31"/>
      <c r="N791" s="127"/>
      <c r="S791" s="31" t="str">
        <f>IF($C791="","",IF(OR($M791="",$N791=""),'Lists &amp; Settings'!$O$10,IF($N791="Fail",'Lists &amp; Settings'!$O$9,IF($N791="Insufficient Evidence",'Lists &amp; Settings'!$O$10,IF($N791="Pass",IF($M791&gt;='Lists &amp; Settings'!$N$2,'Lists &amp; Settings'!$O$2,IF($M791&gt;='Lists &amp; Settings'!$N$3,'Lists &amp; Settings'!$O$3,'Lists &amp; Settings'!$O$4)),IF($N791="Partial",IF($M791&gt;='Lists &amp; Settings'!$N$6,'Lists &amp; Settings'!$O$6,IF($M791&gt;='Lists &amp; Settings'!$N$7,'Lists &amp; Settings'!$O$7,'Lists &amp; Settings'!$O$8)),'Lists &amp; Settings'!$O$10))))))</f>
        <v/>
      </c>
      <c r="T791" s="31"/>
      <c r="U791" s="31"/>
      <c r="V791" s="31"/>
    </row>
    <row r="792" ht="15.75" customHeight="1">
      <c r="B792" s="31"/>
      <c r="N792" s="127"/>
      <c r="S792" s="31" t="str">
        <f>IF($C792="","",IF(OR($M792="",$N792=""),'Lists &amp; Settings'!$O$10,IF($N792="Fail",'Lists &amp; Settings'!$O$9,IF($N792="Insufficient Evidence",'Lists &amp; Settings'!$O$10,IF($N792="Pass",IF($M792&gt;='Lists &amp; Settings'!$N$2,'Lists &amp; Settings'!$O$2,IF($M792&gt;='Lists &amp; Settings'!$N$3,'Lists &amp; Settings'!$O$3,'Lists &amp; Settings'!$O$4)),IF($N792="Partial",IF($M792&gt;='Lists &amp; Settings'!$N$6,'Lists &amp; Settings'!$O$6,IF($M792&gt;='Lists &amp; Settings'!$N$7,'Lists &amp; Settings'!$O$7,'Lists &amp; Settings'!$O$8)),'Lists &amp; Settings'!$O$10))))))</f>
        <v/>
      </c>
      <c r="T792" s="31"/>
      <c r="U792" s="31"/>
      <c r="V792" s="31"/>
    </row>
    <row r="793" ht="15.75" customHeight="1">
      <c r="B793" s="31"/>
      <c r="N793" s="127"/>
      <c r="S793" s="31" t="str">
        <f>IF($C793="","",IF(OR($M793="",$N793=""),'Lists &amp; Settings'!$O$10,IF($N793="Fail",'Lists &amp; Settings'!$O$9,IF($N793="Insufficient Evidence",'Lists &amp; Settings'!$O$10,IF($N793="Pass",IF($M793&gt;='Lists &amp; Settings'!$N$2,'Lists &amp; Settings'!$O$2,IF($M793&gt;='Lists &amp; Settings'!$N$3,'Lists &amp; Settings'!$O$3,'Lists &amp; Settings'!$O$4)),IF($N793="Partial",IF($M793&gt;='Lists &amp; Settings'!$N$6,'Lists &amp; Settings'!$O$6,IF($M793&gt;='Lists &amp; Settings'!$N$7,'Lists &amp; Settings'!$O$7,'Lists &amp; Settings'!$O$8)),'Lists &amp; Settings'!$O$10))))))</f>
        <v/>
      </c>
      <c r="T793" s="31"/>
      <c r="U793" s="31"/>
      <c r="V793" s="31"/>
    </row>
    <row r="794" ht="15.75" customHeight="1">
      <c r="B794" s="31"/>
      <c r="N794" s="127"/>
      <c r="S794" s="31" t="str">
        <f>IF($C794="","",IF(OR($M794="",$N794=""),'Lists &amp; Settings'!$O$10,IF($N794="Fail",'Lists &amp; Settings'!$O$9,IF($N794="Insufficient Evidence",'Lists &amp; Settings'!$O$10,IF($N794="Pass",IF($M794&gt;='Lists &amp; Settings'!$N$2,'Lists &amp; Settings'!$O$2,IF($M794&gt;='Lists &amp; Settings'!$N$3,'Lists &amp; Settings'!$O$3,'Lists &amp; Settings'!$O$4)),IF($N794="Partial",IF($M794&gt;='Lists &amp; Settings'!$N$6,'Lists &amp; Settings'!$O$6,IF($M794&gt;='Lists &amp; Settings'!$N$7,'Lists &amp; Settings'!$O$7,'Lists &amp; Settings'!$O$8)),'Lists &amp; Settings'!$O$10))))))</f>
        <v/>
      </c>
      <c r="T794" s="31"/>
      <c r="U794" s="31"/>
      <c r="V794" s="31"/>
    </row>
    <row r="795" ht="15.75" customHeight="1">
      <c r="B795" s="31"/>
      <c r="N795" s="127"/>
      <c r="S795" s="31" t="str">
        <f>IF($C795="","",IF(OR($M795="",$N795=""),'Lists &amp; Settings'!$O$10,IF($N795="Fail",'Lists &amp; Settings'!$O$9,IF($N795="Insufficient Evidence",'Lists &amp; Settings'!$O$10,IF($N795="Pass",IF($M795&gt;='Lists &amp; Settings'!$N$2,'Lists &amp; Settings'!$O$2,IF($M795&gt;='Lists &amp; Settings'!$N$3,'Lists &amp; Settings'!$O$3,'Lists &amp; Settings'!$O$4)),IF($N795="Partial",IF($M795&gt;='Lists &amp; Settings'!$N$6,'Lists &amp; Settings'!$O$6,IF($M795&gt;='Lists &amp; Settings'!$N$7,'Lists &amp; Settings'!$O$7,'Lists &amp; Settings'!$O$8)),'Lists &amp; Settings'!$O$10))))))</f>
        <v/>
      </c>
      <c r="T795" s="31"/>
      <c r="U795" s="31"/>
      <c r="V795" s="31"/>
    </row>
    <row r="796" ht="15.75" customHeight="1">
      <c r="B796" s="31"/>
      <c r="N796" s="127"/>
      <c r="S796" s="31" t="str">
        <f>IF($C796="","",IF(OR($M796="",$N796=""),'Lists &amp; Settings'!$O$10,IF($N796="Fail",'Lists &amp; Settings'!$O$9,IF($N796="Insufficient Evidence",'Lists &amp; Settings'!$O$10,IF($N796="Pass",IF($M796&gt;='Lists &amp; Settings'!$N$2,'Lists &amp; Settings'!$O$2,IF($M796&gt;='Lists &amp; Settings'!$N$3,'Lists &amp; Settings'!$O$3,'Lists &amp; Settings'!$O$4)),IF($N796="Partial",IF($M796&gt;='Lists &amp; Settings'!$N$6,'Lists &amp; Settings'!$O$6,IF($M796&gt;='Lists &amp; Settings'!$N$7,'Lists &amp; Settings'!$O$7,'Lists &amp; Settings'!$O$8)),'Lists &amp; Settings'!$O$10))))))</f>
        <v/>
      </c>
      <c r="T796" s="31"/>
      <c r="U796" s="31"/>
      <c r="V796" s="31"/>
    </row>
    <row r="797" ht="15.75" customHeight="1">
      <c r="B797" s="31"/>
      <c r="N797" s="127"/>
      <c r="S797" s="31" t="str">
        <f>IF($C797="","",IF(OR($M797="",$N797=""),'Lists &amp; Settings'!$O$10,IF($N797="Fail",'Lists &amp; Settings'!$O$9,IF($N797="Insufficient Evidence",'Lists &amp; Settings'!$O$10,IF($N797="Pass",IF($M797&gt;='Lists &amp; Settings'!$N$2,'Lists &amp; Settings'!$O$2,IF($M797&gt;='Lists &amp; Settings'!$N$3,'Lists &amp; Settings'!$O$3,'Lists &amp; Settings'!$O$4)),IF($N797="Partial",IF($M797&gt;='Lists &amp; Settings'!$N$6,'Lists &amp; Settings'!$O$6,IF($M797&gt;='Lists &amp; Settings'!$N$7,'Lists &amp; Settings'!$O$7,'Lists &amp; Settings'!$O$8)),'Lists &amp; Settings'!$O$10))))))</f>
        <v/>
      </c>
      <c r="T797" s="31"/>
      <c r="U797" s="31"/>
      <c r="V797" s="31"/>
    </row>
    <row r="798" ht="15.75" customHeight="1">
      <c r="B798" s="31"/>
      <c r="N798" s="127"/>
      <c r="S798" s="31" t="str">
        <f>IF($C798="","",IF(OR($M798="",$N798=""),'Lists &amp; Settings'!$O$10,IF($N798="Fail",'Lists &amp; Settings'!$O$9,IF($N798="Insufficient Evidence",'Lists &amp; Settings'!$O$10,IF($N798="Pass",IF($M798&gt;='Lists &amp; Settings'!$N$2,'Lists &amp; Settings'!$O$2,IF($M798&gt;='Lists &amp; Settings'!$N$3,'Lists &amp; Settings'!$O$3,'Lists &amp; Settings'!$O$4)),IF($N798="Partial",IF($M798&gt;='Lists &amp; Settings'!$N$6,'Lists &amp; Settings'!$O$6,IF($M798&gt;='Lists &amp; Settings'!$N$7,'Lists &amp; Settings'!$O$7,'Lists &amp; Settings'!$O$8)),'Lists &amp; Settings'!$O$10))))))</f>
        <v/>
      </c>
      <c r="T798" s="31"/>
      <c r="U798" s="31"/>
      <c r="V798" s="31"/>
    </row>
    <row r="799" ht="15.75" customHeight="1">
      <c r="B799" s="31"/>
      <c r="N799" s="127"/>
      <c r="S799" s="31" t="str">
        <f>IF($C799="","",IF(OR($M799="",$N799=""),'Lists &amp; Settings'!$O$10,IF($N799="Fail",'Lists &amp; Settings'!$O$9,IF($N799="Insufficient Evidence",'Lists &amp; Settings'!$O$10,IF($N799="Pass",IF($M799&gt;='Lists &amp; Settings'!$N$2,'Lists &amp; Settings'!$O$2,IF($M799&gt;='Lists &amp; Settings'!$N$3,'Lists &amp; Settings'!$O$3,'Lists &amp; Settings'!$O$4)),IF($N799="Partial",IF($M799&gt;='Lists &amp; Settings'!$N$6,'Lists &amp; Settings'!$O$6,IF($M799&gt;='Lists &amp; Settings'!$N$7,'Lists &amp; Settings'!$O$7,'Lists &amp; Settings'!$O$8)),'Lists &amp; Settings'!$O$10))))))</f>
        <v/>
      </c>
      <c r="T799" s="31"/>
      <c r="U799" s="31"/>
      <c r="V799" s="31"/>
    </row>
    <row r="800" ht="15.75" customHeight="1">
      <c r="B800" s="31"/>
      <c r="N800" s="127"/>
      <c r="S800" s="31" t="str">
        <f>IF($C800="","",IF(OR($M800="",$N800=""),'Lists &amp; Settings'!$O$10,IF($N800="Fail",'Lists &amp; Settings'!$O$9,IF($N800="Insufficient Evidence",'Lists &amp; Settings'!$O$10,IF($N800="Pass",IF($M800&gt;='Lists &amp; Settings'!$N$2,'Lists &amp; Settings'!$O$2,IF($M800&gt;='Lists &amp; Settings'!$N$3,'Lists &amp; Settings'!$O$3,'Lists &amp; Settings'!$O$4)),IF($N800="Partial",IF($M800&gt;='Lists &amp; Settings'!$N$6,'Lists &amp; Settings'!$O$6,IF($M800&gt;='Lists &amp; Settings'!$N$7,'Lists &amp; Settings'!$O$7,'Lists &amp; Settings'!$O$8)),'Lists &amp; Settings'!$O$10))))))</f>
        <v/>
      </c>
      <c r="T800" s="31"/>
      <c r="U800" s="31"/>
      <c r="V800" s="31"/>
    </row>
    <row r="801" ht="15.75" customHeight="1">
      <c r="B801" s="31"/>
      <c r="N801" s="127"/>
      <c r="S801" s="31" t="str">
        <f>IF($C801="","",IF(OR($M801="",$N801=""),'Lists &amp; Settings'!$O$10,IF($N801="Fail",'Lists &amp; Settings'!$O$9,IF($N801="Insufficient Evidence",'Lists &amp; Settings'!$O$10,IF($N801="Pass",IF($M801&gt;='Lists &amp; Settings'!$N$2,'Lists &amp; Settings'!$O$2,IF($M801&gt;='Lists &amp; Settings'!$N$3,'Lists &amp; Settings'!$O$3,'Lists &amp; Settings'!$O$4)),IF($N801="Partial",IF($M801&gt;='Lists &amp; Settings'!$N$6,'Lists &amp; Settings'!$O$6,IF($M801&gt;='Lists &amp; Settings'!$N$7,'Lists &amp; Settings'!$O$7,'Lists &amp; Settings'!$O$8)),'Lists &amp; Settings'!$O$10))))))</f>
        <v/>
      </c>
      <c r="T801" s="31"/>
      <c r="U801" s="31"/>
      <c r="V801" s="31"/>
    </row>
    <row r="802" ht="15.75" customHeight="1">
      <c r="B802" s="31"/>
      <c r="N802" s="127"/>
      <c r="S802" s="31" t="str">
        <f>IF($C802="","",IF(OR($M802="",$N802=""),'Lists &amp; Settings'!$O$10,IF($N802="Fail",'Lists &amp; Settings'!$O$9,IF($N802="Insufficient Evidence",'Lists &amp; Settings'!$O$10,IF($N802="Pass",IF($M802&gt;='Lists &amp; Settings'!$N$2,'Lists &amp; Settings'!$O$2,IF($M802&gt;='Lists &amp; Settings'!$N$3,'Lists &amp; Settings'!$O$3,'Lists &amp; Settings'!$O$4)),IF($N802="Partial",IF($M802&gt;='Lists &amp; Settings'!$N$6,'Lists &amp; Settings'!$O$6,IF($M802&gt;='Lists &amp; Settings'!$N$7,'Lists &amp; Settings'!$O$7,'Lists &amp; Settings'!$O$8)),'Lists &amp; Settings'!$O$10))))))</f>
        <v/>
      </c>
      <c r="T802" s="31"/>
      <c r="U802" s="31"/>
      <c r="V802" s="31"/>
    </row>
    <row r="803" ht="15.75" customHeight="1">
      <c r="B803" s="31"/>
      <c r="N803" s="127"/>
      <c r="S803" s="31" t="str">
        <f>IF($C803="","",IF(OR($M803="",$N803=""),'Lists &amp; Settings'!$O$10,IF($N803="Fail",'Lists &amp; Settings'!$O$9,IF($N803="Insufficient Evidence",'Lists &amp; Settings'!$O$10,IF($N803="Pass",IF($M803&gt;='Lists &amp; Settings'!$N$2,'Lists &amp; Settings'!$O$2,IF($M803&gt;='Lists &amp; Settings'!$N$3,'Lists &amp; Settings'!$O$3,'Lists &amp; Settings'!$O$4)),IF($N803="Partial",IF($M803&gt;='Lists &amp; Settings'!$N$6,'Lists &amp; Settings'!$O$6,IF($M803&gt;='Lists &amp; Settings'!$N$7,'Lists &amp; Settings'!$O$7,'Lists &amp; Settings'!$O$8)),'Lists &amp; Settings'!$O$10))))))</f>
        <v/>
      </c>
      <c r="T803" s="31"/>
      <c r="U803" s="31"/>
      <c r="V803" s="31"/>
    </row>
    <row r="804" ht="15.75" customHeight="1">
      <c r="B804" s="31"/>
      <c r="N804" s="127"/>
      <c r="S804" s="31" t="str">
        <f>IF($C804="","",IF(OR($M804="",$N804=""),'Lists &amp; Settings'!$O$10,IF($N804="Fail",'Lists &amp; Settings'!$O$9,IF($N804="Insufficient Evidence",'Lists &amp; Settings'!$O$10,IF($N804="Pass",IF($M804&gt;='Lists &amp; Settings'!$N$2,'Lists &amp; Settings'!$O$2,IF($M804&gt;='Lists &amp; Settings'!$N$3,'Lists &amp; Settings'!$O$3,'Lists &amp; Settings'!$O$4)),IF($N804="Partial",IF($M804&gt;='Lists &amp; Settings'!$N$6,'Lists &amp; Settings'!$O$6,IF($M804&gt;='Lists &amp; Settings'!$N$7,'Lists &amp; Settings'!$O$7,'Lists &amp; Settings'!$O$8)),'Lists &amp; Settings'!$O$10))))))</f>
        <v/>
      </c>
      <c r="T804" s="31"/>
      <c r="U804" s="31"/>
      <c r="V804" s="31"/>
    </row>
    <row r="805" ht="15.75" customHeight="1">
      <c r="B805" s="31"/>
      <c r="N805" s="127"/>
      <c r="S805" s="31" t="str">
        <f>IF($C805="","",IF(OR($M805="",$N805=""),'Lists &amp; Settings'!$O$10,IF($N805="Fail",'Lists &amp; Settings'!$O$9,IF($N805="Insufficient Evidence",'Lists &amp; Settings'!$O$10,IF($N805="Pass",IF($M805&gt;='Lists &amp; Settings'!$N$2,'Lists &amp; Settings'!$O$2,IF($M805&gt;='Lists &amp; Settings'!$N$3,'Lists &amp; Settings'!$O$3,'Lists &amp; Settings'!$O$4)),IF($N805="Partial",IF($M805&gt;='Lists &amp; Settings'!$N$6,'Lists &amp; Settings'!$O$6,IF($M805&gt;='Lists &amp; Settings'!$N$7,'Lists &amp; Settings'!$O$7,'Lists &amp; Settings'!$O$8)),'Lists &amp; Settings'!$O$10))))))</f>
        <v/>
      </c>
      <c r="T805" s="31"/>
      <c r="U805" s="31"/>
      <c r="V805" s="31"/>
    </row>
    <row r="806" ht="15.75" customHeight="1">
      <c r="B806" s="31"/>
      <c r="N806" s="127"/>
      <c r="S806" s="31" t="str">
        <f>IF($C806="","",IF(OR($M806="",$N806=""),'Lists &amp; Settings'!$O$10,IF($N806="Fail",'Lists &amp; Settings'!$O$9,IF($N806="Insufficient Evidence",'Lists &amp; Settings'!$O$10,IF($N806="Pass",IF($M806&gt;='Lists &amp; Settings'!$N$2,'Lists &amp; Settings'!$O$2,IF($M806&gt;='Lists &amp; Settings'!$N$3,'Lists &amp; Settings'!$O$3,'Lists &amp; Settings'!$O$4)),IF($N806="Partial",IF($M806&gt;='Lists &amp; Settings'!$N$6,'Lists &amp; Settings'!$O$6,IF($M806&gt;='Lists &amp; Settings'!$N$7,'Lists &amp; Settings'!$O$7,'Lists &amp; Settings'!$O$8)),'Lists &amp; Settings'!$O$10))))))</f>
        <v/>
      </c>
      <c r="T806" s="31"/>
      <c r="U806" s="31"/>
      <c r="V806" s="31"/>
    </row>
    <row r="807" ht="15.75" customHeight="1">
      <c r="B807" s="31"/>
      <c r="N807" s="127"/>
      <c r="S807" s="31" t="str">
        <f>IF($C807="","",IF(OR($M807="",$N807=""),'Lists &amp; Settings'!$O$10,IF($N807="Fail",'Lists &amp; Settings'!$O$9,IF($N807="Insufficient Evidence",'Lists &amp; Settings'!$O$10,IF($N807="Pass",IF($M807&gt;='Lists &amp; Settings'!$N$2,'Lists &amp; Settings'!$O$2,IF($M807&gt;='Lists &amp; Settings'!$N$3,'Lists &amp; Settings'!$O$3,'Lists &amp; Settings'!$O$4)),IF($N807="Partial",IF($M807&gt;='Lists &amp; Settings'!$N$6,'Lists &amp; Settings'!$O$6,IF($M807&gt;='Lists &amp; Settings'!$N$7,'Lists &amp; Settings'!$O$7,'Lists &amp; Settings'!$O$8)),'Lists &amp; Settings'!$O$10))))))</f>
        <v/>
      </c>
      <c r="T807" s="31"/>
      <c r="U807" s="31"/>
      <c r="V807" s="31"/>
    </row>
    <row r="808" ht="15.75" customHeight="1">
      <c r="B808" s="31"/>
      <c r="N808" s="127"/>
      <c r="S808" s="31" t="str">
        <f>IF($C808="","",IF(OR($M808="",$N808=""),'Lists &amp; Settings'!$O$10,IF($N808="Fail",'Lists &amp; Settings'!$O$9,IF($N808="Insufficient Evidence",'Lists &amp; Settings'!$O$10,IF($N808="Pass",IF($M808&gt;='Lists &amp; Settings'!$N$2,'Lists &amp; Settings'!$O$2,IF($M808&gt;='Lists &amp; Settings'!$N$3,'Lists &amp; Settings'!$O$3,'Lists &amp; Settings'!$O$4)),IF($N808="Partial",IF($M808&gt;='Lists &amp; Settings'!$N$6,'Lists &amp; Settings'!$O$6,IF($M808&gt;='Lists &amp; Settings'!$N$7,'Lists &amp; Settings'!$O$7,'Lists &amp; Settings'!$O$8)),'Lists &amp; Settings'!$O$10))))))</f>
        <v/>
      </c>
      <c r="T808" s="31"/>
      <c r="U808" s="31"/>
      <c r="V808" s="31"/>
    </row>
    <row r="809" ht="15.75" customHeight="1">
      <c r="B809" s="31"/>
      <c r="N809" s="127"/>
      <c r="S809" s="31" t="str">
        <f>IF($C809="","",IF(OR($M809="",$N809=""),'Lists &amp; Settings'!$O$10,IF($N809="Fail",'Lists &amp; Settings'!$O$9,IF($N809="Insufficient Evidence",'Lists &amp; Settings'!$O$10,IF($N809="Pass",IF($M809&gt;='Lists &amp; Settings'!$N$2,'Lists &amp; Settings'!$O$2,IF($M809&gt;='Lists &amp; Settings'!$N$3,'Lists &amp; Settings'!$O$3,'Lists &amp; Settings'!$O$4)),IF($N809="Partial",IF($M809&gt;='Lists &amp; Settings'!$N$6,'Lists &amp; Settings'!$O$6,IF($M809&gt;='Lists &amp; Settings'!$N$7,'Lists &amp; Settings'!$O$7,'Lists &amp; Settings'!$O$8)),'Lists &amp; Settings'!$O$10))))))</f>
        <v/>
      </c>
      <c r="T809" s="31"/>
      <c r="U809" s="31"/>
      <c r="V809" s="31"/>
    </row>
    <row r="810" ht="15.75" customHeight="1">
      <c r="B810" s="31"/>
      <c r="N810" s="127"/>
      <c r="S810" s="31" t="str">
        <f>IF($C810="","",IF(OR($M810="",$N810=""),'Lists &amp; Settings'!$O$10,IF($N810="Fail",'Lists &amp; Settings'!$O$9,IF($N810="Insufficient Evidence",'Lists &amp; Settings'!$O$10,IF($N810="Pass",IF($M810&gt;='Lists &amp; Settings'!$N$2,'Lists &amp; Settings'!$O$2,IF($M810&gt;='Lists &amp; Settings'!$N$3,'Lists &amp; Settings'!$O$3,'Lists &amp; Settings'!$O$4)),IF($N810="Partial",IF($M810&gt;='Lists &amp; Settings'!$N$6,'Lists &amp; Settings'!$O$6,IF($M810&gt;='Lists &amp; Settings'!$N$7,'Lists &amp; Settings'!$O$7,'Lists &amp; Settings'!$O$8)),'Lists &amp; Settings'!$O$10))))))</f>
        <v/>
      </c>
      <c r="T810" s="31"/>
      <c r="U810" s="31"/>
      <c r="V810" s="31"/>
    </row>
    <row r="811" ht="15.75" customHeight="1">
      <c r="B811" s="31"/>
      <c r="N811" s="127"/>
      <c r="S811" s="31" t="str">
        <f>IF($C811="","",IF(OR($M811="",$N811=""),'Lists &amp; Settings'!$O$10,IF($N811="Fail",'Lists &amp; Settings'!$O$9,IF($N811="Insufficient Evidence",'Lists &amp; Settings'!$O$10,IF($N811="Pass",IF($M811&gt;='Lists &amp; Settings'!$N$2,'Lists &amp; Settings'!$O$2,IF($M811&gt;='Lists &amp; Settings'!$N$3,'Lists &amp; Settings'!$O$3,'Lists &amp; Settings'!$O$4)),IF($N811="Partial",IF($M811&gt;='Lists &amp; Settings'!$N$6,'Lists &amp; Settings'!$O$6,IF($M811&gt;='Lists &amp; Settings'!$N$7,'Lists &amp; Settings'!$O$7,'Lists &amp; Settings'!$O$8)),'Lists &amp; Settings'!$O$10))))))</f>
        <v/>
      </c>
      <c r="T811" s="31"/>
      <c r="U811" s="31"/>
      <c r="V811" s="31"/>
    </row>
    <row r="812" ht="15.75" customHeight="1">
      <c r="B812" s="31"/>
      <c r="N812" s="127"/>
      <c r="S812" s="31" t="str">
        <f>IF($C812="","",IF(OR($M812="",$N812=""),'Lists &amp; Settings'!$O$10,IF($N812="Fail",'Lists &amp; Settings'!$O$9,IF($N812="Insufficient Evidence",'Lists &amp; Settings'!$O$10,IF($N812="Pass",IF($M812&gt;='Lists &amp; Settings'!$N$2,'Lists &amp; Settings'!$O$2,IF($M812&gt;='Lists &amp; Settings'!$N$3,'Lists &amp; Settings'!$O$3,'Lists &amp; Settings'!$O$4)),IF($N812="Partial",IF($M812&gt;='Lists &amp; Settings'!$N$6,'Lists &amp; Settings'!$O$6,IF($M812&gt;='Lists &amp; Settings'!$N$7,'Lists &amp; Settings'!$O$7,'Lists &amp; Settings'!$O$8)),'Lists &amp; Settings'!$O$10))))))</f>
        <v/>
      </c>
      <c r="T812" s="31"/>
      <c r="U812" s="31"/>
      <c r="V812" s="31"/>
    </row>
    <row r="813" ht="15.75" customHeight="1">
      <c r="B813" s="31"/>
      <c r="N813" s="127"/>
      <c r="S813" s="31" t="str">
        <f>IF($C813="","",IF(OR($M813="",$N813=""),'Lists &amp; Settings'!$O$10,IF($N813="Fail",'Lists &amp; Settings'!$O$9,IF($N813="Insufficient Evidence",'Lists &amp; Settings'!$O$10,IF($N813="Pass",IF($M813&gt;='Lists &amp; Settings'!$N$2,'Lists &amp; Settings'!$O$2,IF($M813&gt;='Lists &amp; Settings'!$N$3,'Lists &amp; Settings'!$O$3,'Lists &amp; Settings'!$O$4)),IF($N813="Partial",IF($M813&gt;='Lists &amp; Settings'!$N$6,'Lists &amp; Settings'!$O$6,IF($M813&gt;='Lists &amp; Settings'!$N$7,'Lists &amp; Settings'!$O$7,'Lists &amp; Settings'!$O$8)),'Lists &amp; Settings'!$O$10))))))</f>
        <v/>
      </c>
      <c r="T813" s="31"/>
      <c r="U813" s="31"/>
      <c r="V813" s="31"/>
    </row>
    <row r="814" ht="15.75" customHeight="1">
      <c r="B814" s="31"/>
      <c r="N814" s="127"/>
      <c r="S814" s="31" t="str">
        <f>IF($C814="","",IF(OR($M814="",$N814=""),'Lists &amp; Settings'!$O$10,IF($N814="Fail",'Lists &amp; Settings'!$O$9,IF($N814="Insufficient Evidence",'Lists &amp; Settings'!$O$10,IF($N814="Pass",IF($M814&gt;='Lists &amp; Settings'!$N$2,'Lists &amp; Settings'!$O$2,IF($M814&gt;='Lists &amp; Settings'!$N$3,'Lists &amp; Settings'!$O$3,'Lists &amp; Settings'!$O$4)),IF($N814="Partial",IF($M814&gt;='Lists &amp; Settings'!$N$6,'Lists &amp; Settings'!$O$6,IF($M814&gt;='Lists &amp; Settings'!$N$7,'Lists &amp; Settings'!$O$7,'Lists &amp; Settings'!$O$8)),'Lists &amp; Settings'!$O$10))))))</f>
        <v/>
      </c>
      <c r="T814" s="31"/>
      <c r="U814" s="31"/>
      <c r="V814" s="31"/>
    </row>
    <row r="815" ht="15.75" customHeight="1">
      <c r="B815" s="31"/>
      <c r="N815" s="127"/>
      <c r="S815" s="31" t="str">
        <f>IF($C815="","",IF(OR($M815="",$N815=""),'Lists &amp; Settings'!$O$10,IF($N815="Fail",'Lists &amp; Settings'!$O$9,IF($N815="Insufficient Evidence",'Lists &amp; Settings'!$O$10,IF($N815="Pass",IF($M815&gt;='Lists &amp; Settings'!$N$2,'Lists &amp; Settings'!$O$2,IF($M815&gt;='Lists &amp; Settings'!$N$3,'Lists &amp; Settings'!$O$3,'Lists &amp; Settings'!$O$4)),IF($N815="Partial",IF($M815&gt;='Lists &amp; Settings'!$N$6,'Lists &amp; Settings'!$O$6,IF($M815&gt;='Lists &amp; Settings'!$N$7,'Lists &amp; Settings'!$O$7,'Lists &amp; Settings'!$O$8)),'Lists &amp; Settings'!$O$10))))))</f>
        <v/>
      </c>
      <c r="T815" s="31"/>
      <c r="U815" s="31"/>
      <c r="V815" s="31"/>
    </row>
    <row r="816" ht="15.75" customHeight="1">
      <c r="B816" s="31"/>
      <c r="N816" s="127"/>
      <c r="S816" s="31" t="str">
        <f>IF($C816="","",IF(OR($M816="",$N816=""),'Lists &amp; Settings'!$O$10,IF($N816="Fail",'Lists &amp; Settings'!$O$9,IF($N816="Insufficient Evidence",'Lists &amp; Settings'!$O$10,IF($N816="Pass",IF($M816&gt;='Lists &amp; Settings'!$N$2,'Lists &amp; Settings'!$O$2,IF($M816&gt;='Lists &amp; Settings'!$N$3,'Lists &amp; Settings'!$O$3,'Lists &amp; Settings'!$O$4)),IF($N816="Partial",IF($M816&gt;='Lists &amp; Settings'!$N$6,'Lists &amp; Settings'!$O$6,IF($M816&gt;='Lists &amp; Settings'!$N$7,'Lists &amp; Settings'!$O$7,'Lists &amp; Settings'!$O$8)),'Lists &amp; Settings'!$O$10))))))</f>
        <v/>
      </c>
      <c r="T816" s="31"/>
      <c r="U816" s="31"/>
      <c r="V816" s="31"/>
    </row>
    <row r="817" ht="15.75" customHeight="1">
      <c r="B817" s="31"/>
      <c r="N817" s="127"/>
      <c r="S817" s="31" t="str">
        <f>IF($C817="","",IF(OR($M817="",$N817=""),'Lists &amp; Settings'!$O$10,IF($N817="Fail",'Lists &amp; Settings'!$O$9,IF($N817="Insufficient Evidence",'Lists &amp; Settings'!$O$10,IF($N817="Pass",IF($M817&gt;='Lists &amp; Settings'!$N$2,'Lists &amp; Settings'!$O$2,IF($M817&gt;='Lists &amp; Settings'!$N$3,'Lists &amp; Settings'!$O$3,'Lists &amp; Settings'!$O$4)),IF($N817="Partial",IF($M817&gt;='Lists &amp; Settings'!$N$6,'Lists &amp; Settings'!$O$6,IF($M817&gt;='Lists &amp; Settings'!$N$7,'Lists &amp; Settings'!$O$7,'Lists &amp; Settings'!$O$8)),'Lists &amp; Settings'!$O$10))))))</f>
        <v/>
      </c>
      <c r="T817" s="31"/>
      <c r="U817" s="31"/>
      <c r="V817" s="31"/>
    </row>
    <row r="818" ht="15.75" customHeight="1">
      <c r="B818" s="31"/>
      <c r="N818" s="127"/>
      <c r="S818" s="31" t="str">
        <f>IF($C818="","",IF(OR($M818="",$N818=""),'Lists &amp; Settings'!$O$10,IF($N818="Fail",'Lists &amp; Settings'!$O$9,IF($N818="Insufficient Evidence",'Lists &amp; Settings'!$O$10,IF($N818="Pass",IF($M818&gt;='Lists &amp; Settings'!$N$2,'Lists &amp; Settings'!$O$2,IF($M818&gt;='Lists &amp; Settings'!$N$3,'Lists &amp; Settings'!$O$3,'Lists &amp; Settings'!$O$4)),IF($N818="Partial",IF($M818&gt;='Lists &amp; Settings'!$N$6,'Lists &amp; Settings'!$O$6,IF($M818&gt;='Lists &amp; Settings'!$N$7,'Lists &amp; Settings'!$O$7,'Lists &amp; Settings'!$O$8)),'Lists &amp; Settings'!$O$10))))))</f>
        <v/>
      </c>
      <c r="T818" s="31"/>
      <c r="U818" s="31"/>
      <c r="V818" s="31"/>
    </row>
    <row r="819" ht="15.75" customHeight="1">
      <c r="B819" s="31"/>
      <c r="N819" s="127"/>
      <c r="S819" s="31" t="str">
        <f>IF($C819="","",IF(OR($M819="",$N819=""),'Lists &amp; Settings'!$O$10,IF($N819="Fail",'Lists &amp; Settings'!$O$9,IF($N819="Insufficient Evidence",'Lists &amp; Settings'!$O$10,IF($N819="Pass",IF($M819&gt;='Lists &amp; Settings'!$N$2,'Lists &amp; Settings'!$O$2,IF($M819&gt;='Lists &amp; Settings'!$N$3,'Lists &amp; Settings'!$O$3,'Lists &amp; Settings'!$O$4)),IF($N819="Partial",IF($M819&gt;='Lists &amp; Settings'!$N$6,'Lists &amp; Settings'!$O$6,IF($M819&gt;='Lists &amp; Settings'!$N$7,'Lists &amp; Settings'!$O$7,'Lists &amp; Settings'!$O$8)),'Lists &amp; Settings'!$O$10))))))</f>
        <v/>
      </c>
      <c r="T819" s="31"/>
      <c r="U819" s="31"/>
      <c r="V819" s="31"/>
    </row>
    <row r="820" ht="15.75" customHeight="1">
      <c r="B820" s="31"/>
      <c r="N820" s="127"/>
      <c r="S820" s="31" t="str">
        <f>IF($C820="","",IF(OR($M820="",$N820=""),'Lists &amp; Settings'!$O$10,IF($N820="Fail",'Lists &amp; Settings'!$O$9,IF($N820="Insufficient Evidence",'Lists &amp; Settings'!$O$10,IF($N820="Pass",IF($M820&gt;='Lists &amp; Settings'!$N$2,'Lists &amp; Settings'!$O$2,IF($M820&gt;='Lists &amp; Settings'!$N$3,'Lists &amp; Settings'!$O$3,'Lists &amp; Settings'!$O$4)),IF($N820="Partial",IF($M820&gt;='Lists &amp; Settings'!$N$6,'Lists &amp; Settings'!$O$6,IF($M820&gt;='Lists &amp; Settings'!$N$7,'Lists &amp; Settings'!$O$7,'Lists &amp; Settings'!$O$8)),'Lists &amp; Settings'!$O$10))))))</f>
        <v/>
      </c>
      <c r="T820" s="31"/>
      <c r="U820" s="31"/>
      <c r="V820" s="31"/>
    </row>
    <row r="821" ht="15.75" customHeight="1">
      <c r="B821" s="31"/>
      <c r="N821" s="127"/>
      <c r="S821" s="31" t="str">
        <f>IF($C821="","",IF(OR($M821="",$N821=""),'Lists &amp; Settings'!$O$10,IF($N821="Fail",'Lists &amp; Settings'!$O$9,IF($N821="Insufficient Evidence",'Lists &amp; Settings'!$O$10,IF($N821="Pass",IF($M821&gt;='Lists &amp; Settings'!$N$2,'Lists &amp; Settings'!$O$2,IF($M821&gt;='Lists &amp; Settings'!$N$3,'Lists &amp; Settings'!$O$3,'Lists &amp; Settings'!$O$4)),IF($N821="Partial",IF($M821&gt;='Lists &amp; Settings'!$N$6,'Lists &amp; Settings'!$O$6,IF($M821&gt;='Lists &amp; Settings'!$N$7,'Lists &amp; Settings'!$O$7,'Lists &amp; Settings'!$O$8)),'Lists &amp; Settings'!$O$10))))))</f>
        <v/>
      </c>
      <c r="T821" s="31"/>
      <c r="U821" s="31"/>
      <c r="V821" s="31"/>
    </row>
    <row r="822" ht="15.75" customHeight="1">
      <c r="B822" s="31"/>
      <c r="N822" s="127"/>
      <c r="S822" s="31" t="str">
        <f>IF($C822="","",IF(OR($M822="",$N822=""),'Lists &amp; Settings'!$O$10,IF($N822="Fail",'Lists &amp; Settings'!$O$9,IF($N822="Insufficient Evidence",'Lists &amp; Settings'!$O$10,IF($N822="Pass",IF($M822&gt;='Lists &amp; Settings'!$N$2,'Lists &amp; Settings'!$O$2,IF($M822&gt;='Lists &amp; Settings'!$N$3,'Lists &amp; Settings'!$O$3,'Lists &amp; Settings'!$O$4)),IF($N822="Partial",IF($M822&gt;='Lists &amp; Settings'!$N$6,'Lists &amp; Settings'!$O$6,IF($M822&gt;='Lists &amp; Settings'!$N$7,'Lists &amp; Settings'!$O$7,'Lists &amp; Settings'!$O$8)),'Lists &amp; Settings'!$O$10))))))</f>
        <v/>
      </c>
      <c r="T822" s="31"/>
      <c r="U822" s="31"/>
      <c r="V822" s="31"/>
    </row>
    <row r="823" ht="15.75" customHeight="1">
      <c r="B823" s="31"/>
      <c r="N823" s="127"/>
      <c r="S823" s="31" t="str">
        <f>IF($C823="","",IF(OR($M823="",$N823=""),'Lists &amp; Settings'!$O$10,IF($N823="Fail",'Lists &amp; Settings'!$O$9,IF($N823="Insufficient Evidence",'Lists &amp; Settings'!$O$10,IF($N823="Pass",IF($M823&gt;='Lists &amp; Settings'!$N$2,'Lists &amp; Settings'!$O$2,IF($M823&gt;='Lists &amp; Settings'!$N$3,'Lists &amp; Settings'!$O$3,'Lists &amp; Settings'!$O$4)),IF($N823="Partial",IF($M823&gt;='Lists &amp; Settings'!$N$6,'Lists &amp; Settings'!$O$6,IF($M823&gt;='Lists &amp; Settings'!$N$7,'Lists &amp; Settings'!$O$7,'Lists &amp; Settings'!$O$8)),'Lists &amp; Settings'!$O$10))))))</f>
        <v/>
      </c>
      <c r="T823" s="31"/>
      <c r="U823" s="31"/>
      <c r="V823" s="31"/>
    </row>
    <row r="824" ht="15.75" customHeight="1">
      <c r="B824" s="31"/>
      <c r="N824" s="127"/>
      <c r="S824" s="31" t="str">
        <f>IF($C824="","",IF(OR($M824="",$N824=""),'Lists &amp; Settings'!$O$10,IF($N824="Fail",'Lists &amp; Settings'!$O$9,IF($N824="Insufficient Evidence",'Lists &amp; Settings'!$O$10,IF($N824="Pass",IF($M824&gt;='Lists &amp; Settings'!$N$2,'Lists &amp; Settings'!$O$2,IF($M824&gt;='Lists &amp; Settings'!$N$3,'Lists &amp; Settings'!$O$3,'Lists &amp; Settings'!$O$4)),IF($N824="Partial",IF($M824&gt;='Lists &amp; Settings'!$N$6,'Lists &amp; Settings'!$O$6,IF($M824&gt;='Lists &amp; Settings'!$N$7,'Lists &amp; Settings'!$O$7,'Lists &amp; Settings'!$O$8)),'Lists &amp; Settings'!$O$10))))))</f>
        <v/>
      </c>
      <c r="T824" s="31"/>
      <c r="U824" s="31"/>
      <c r="V824" s="31"/>
    </row>
    <row r="825" ht="15.75" customHeight="1">
      <c r="B825" s="31"/>
      <c r="N825" s="127"/>
      <c r="S825" s="31" t="str">
        <f>IF($C825="","",IF(OR($M825="",$N825=""),'Lists &amp; Settings'!$O$10,IF($N825="Fail",'Lists &amp; Settings'!$O$9,IF($N825="Insufficient Evidence",'Lists &amp; Settings'!$O$10,IF($N825="Pass",IF($M825&gt;='Lists &amp; Settings'!$N$2,'Lists &amp; Settings'!$O$2,IF($M825&gt;='Lists &amp; Settings'!$N$3,'Lists &amp; Settings'!$O$3,'Lists &amp; Settings'!$O$4)),IF($N825="Partial",IF($M825&gt;='Lists &amp; Settings'!$N$6,'Lists &amp; Settings'!$O$6,IF($M825&gt;='Lists &amp; Settings'!$N$7,'Lists &amp; Settings'!$O$7,'Lists &amp; Settings'!$O$8)),'Lists &amp; Settings'!$O$10))))))</f>
        <v/>
      </c>
      <c r="T825" s="31"/>
      <c r="U825" s="31"/>
      <c r="V825" s="31"/>
    </row>
    <row r="826" ht="15.75" customHeight="1">
      <c r="B826" s="31"/>
      <c r="N826" s="127"/>
      <c r="S826" s="31" t="str">
        <f>IF($C826="","",IF(OR($M826="",$N826=""),'Lists &amp; Settings'!$O$10,IF($N826="Fail",'Lists &amp; Settings'!$O$9,IF($N826="Insufficient Evidence",'Lists &amp; Settings'!$O$10,IF($N826="Pass",IF($M826&gt;='Lists &amp; Settings'!$N$2,'Lists &amp; Settings'!$O$2,IF($M826&gt;='Lists &amp; Settings'!$N$3,'Lists &amp; Settings'!$O$3,'Lists &amp; Settings'!$O$4)),IF($N826="Partial",IF($M826&gt;='Lists &amp; Settings'!$N$6,'Lists &amp; Settings'!$O$6,IF($M826&gt;='Lists &amp; Settings'!$N$7,'Lists &amp; Settings'!$O$7,'Lists &amp; Settings'!$O$8)),'Lists &amp; Settings'!$O$10))))))</f>
        <v/>
      </c>
      <c r="T826" s="31"/>
      <c r="U826" s="31"/>
      <c r="V826" s="31"/>
    </row>
    <row r="827" ht="15.75" customHeight="1">
      <c r="B827" s="31"/>
      <c r="N827" s="127"/>
      <c r="S827" s="31" t="str">
        <f>IF($C827="","",IF(OR($M827="",$N827=""),'Lists &amp; Settings'!$O$10,IF($N827="Fail",'Lists &amp; Settings'!$O$9,IF($N827="Insufficient Evidence",'Lists &amp; Settings'!$O$10,IF($N827="Pass",IF($M827&gt;='Lists &amp; Settings'!$N$2,'Lists &amp; Settings'!$O$2,IF($M827&gt;='Lists &amp; Settings'!$N$3,'Lists &amp; Settings'!$O$3,'Lists &amp; Settings'!$O$4)),IF($N827="Partial",IF($M827&gt;='Lists &amp; Settings'!$N$6,'Lists &amp; Settings'!$O$6,IF($M827&gt;='Lists &amp; Settings'!$N$7,'Lists &amp; Settings'!$O$7,'Lists &amp; Settings'!$O$8)),'Lists &amp; Settings'!$O$10))))))</f>
        <v/>
      </c>
      <c r="T827" s="31"/>
      <c r="U827" s="31"/>
      <c r="V827" s="31"/>
    </row>
    <row r="828" ht="15.75" customHeight="1">
      <c r="B828" s="31"/>
      <c r="N828" s="127"/>
      <c r="S828" s="31" t="str">
        <f>IF($C828="","",IF(OR($M828="",$N828=""),'Lists &amp; Settings'!$O$10,IF($N828="Fail",'Lists &amp; Settings'!$O$9,IF($N828="Insufficient Evidence",'Lists &amp; Settings'!$O$10,IF($N828="Pass",IF($M828&gt;='Lists &amp; Settings'!$N$2,'Lists &amp; Settings'!$O$2,IF($M828&gt;='Lists &amp; Settings'!$N$3,'Lists &amp; Settings'!$O$3,'Lists &amp; Settings'!$O$4)),IF($N828="Partial",IF($M828&gt;='Lists &amp; Settings'!$N$6,'Lists &amp; Settings'!$O$6,IF($M828&gt;='Lists &amp; Settings'!$N$7,'Lists &amp; Settings'!$O$7,'Lists &amp; Settings'!$O$8)),'Lists &amp; Settings'!$O$10))))))</f>
        <v/>
      </c>
      <c r="T828" s="31"/>
      <c r="U828" s="31"/>
      <c r="V828" s="31"/>
    </row>
    <row r="829" ht="15.75" customHeight="1">
      <c r="B829" s="31"/>
      <c r="N829" s="127"/>
      <c r="S829" s="31" t="str">
        <f>IF($C829="","",IF(OR($M829="",$N829=""),'Lists &amp; Settings'!$O$10,IF($N829="Fail",'Lists &amp; Settings'!$O$9,IF($N829="Insufficient Evidence",'Lists &amp; Settings'!$O$10,IF($N829="Pass",IF($M829&gt;='Lists &amp; Settings'!$N$2,'Lists &amp; Settings'!$O$2,IF($M829&gt;='Lists &amp; Settings'!$N$3,'Lists &amp; Settings'!$O$3,'Lists &amp; Settings'!$O$4)),IF($N829="Partial",IF($M829&gt;='Lists &amp; Settings'!$N$6,'Lists &amp; Settings'!$O$6,IF($M829&gt;='Lists &amp; Settings'!$N$7,'Lists &amp; Settings'!$O$7,'Lists &amp; Settings'!$O$8)),'Lists &amp; Settings'!$O$10))))))</f>
        <v/>
      </c>
      <c r="T829" s="31"/>
      <c r="U829" s="31"/>
      <c r="V829" s="31"/>
    </row>
    <row r="830" ht="15.75" customHeight="1">
      <c r="B830" s="31"/>
      <c r="N830" s="127"/>
      <c r="S830" s="31" t="str">
        <f>IF($C830="","",IF(OR($M830="",$N830=""),'Lists &amp; Settings'!$O$10,IF($N830="Fail",'Lists &amp; Settings'!$O$9,IF($N830="Insufficient Evidence",'Lists &amp; Settings'!$O$10,IF($N830="Pass",IF($M830&gt;='Lists &amp; Settings'!$N$2,'Lists &amp; Settings'!$O$2,IF($M830&gt;='Lists &amp; Settings'!$N$3,'Lists &amp; Settings'!$O$3,'Lists &amp; Settings'!$O$4)),IF($N830="Partial",IF($M830&gt;='Lists &amp; Settings'!$N$6,'Lists &amp; Settings'!$O$6,IF($M830&gt;='Lists &amp; Settings'!$N$7,'Lists &amp; Settings'!$O$7,'Lists &amp; Settings'!$O$8)),'Lists &amp; Settings'!$O$10))))))</f>
        <v/>
      </c>
      <c r="T830" s="31"/>
      <c r="U830" s="31"/>
      <c r="V830" s="31"/>
    </row>
    <row r="831" ht="15.75" customHeight="1">
      <c r="B831" s="31"/>
      <c r="N831" s="127"/>
      <c r="S831" s="31" t="str">
        <f>IF($C831="","",IF(OR($M831="",$N831=""),'Lists &amp; Settings'!$O$10,IF($N831="Fail",'Lists &amp; Settings'!$O$9,IF($N831="Insufficient Evidence",'Lists &amp; Settings'!$O$10,IF($N831="Pass",IF($M831&gt;='Lists &amp; Settings'!$N$2,'Lists &amp; Settings'!$O$2,IF($M831&gt;='Lists &amp; Settings'!$N$3,'Lists &amp; Settings'!$O$3,'Lists &amp; Settings'!$O$4)),IF($N831="Partial",IF($M831&gt;='Lists &amp; Settings'!$N$6,'Lists &amp; Settings'!$O$6,IF($M831&gt;='Lists &amp; Settings'!$N$7,'Lists &amp; Settings'!$O$7,'Lists &amp; Settings'!$O$8)),'Lists &amp; Settings'!$O$10))))))</f>
        <v/>
      </c>
      <c r="T831" s="31"/>
      <c r="U831" s="31"/>
      <c r="V831" s="31"/>
    </row>
    <row r="832" ht="15.75" customHeight="1">
      <c r="B832" s="31"/>
      <c r="N832" s="127"/>
      <c r="S832" s="31" t="str">
        <f>IF($C832="","",IF(OR($M832="",$N832=""),'Lists &amp; Settings'!$O$10,IF($N832="Fail",'Lists &amp; Settings'!$O$9,IF($N832="Insufficient Evidence",'Lists &amp; Settings'!$O$10,IF($N832="Pass",IF($M832&gt;='Lists &amp; Settings'!$N$2,'Lists &amp; Settings'!$O$2,IF($M832&gt;='Lists &amp; Settings'!$N$3,'Lists &amp; Settings'!$O$3,'Lists &amp; Settings'!$O$4)),IF($N832="Partial",IF($M832&gt;='Lists &amp; Settings'!$N$6,'Lists &amp; Settings'!$O$6,IF($M832&gt;='Lists &amp; Settings'!$N$7,'Lists &amp; Settings'!$O$7,'Lists &amp; Settings'!$O$8)),'Lists &amp; Settings'!$O$10))))))</f>
        <v/>
      </c>
      <c r="T832" s="31"/>
      <c r="U832" s="31"/>
      <c r="V832" s="31"/>
    </row>
    <row r="833" ht="15.75" customHeight="1">
      <c r="B833" s="31"/>
      <c r="N833" s="127"/>
      <c r="S833" s="31" t="str">
        <f>IF($C833="","",IF(OR($M833="",$N833=""),'Lists &amp; Settings'!$O$10,IF($N833="Fail",'Lists &amp; Settings'!$O$9,IF($N833="Insufficient Evidence",'Lists &amp; Settings'!$O$10,IF($N833="Pass",IF($M833&gt;='Lists &amp; Settings'!$N$2,'Lists &amp; Settings'!$O$2,IF($M833&gt;='Lists &amp; Settings'!$N$3,'Lists &amp; Settings'!$O$3,'Lists &amp; Settings'!$O$4)),IF($N833="Partial",IF($M833&gt;='Lists &amp; Settings'!$N$6,'Lists &amp; Settings'!$O$6,IF($M833&gt;='Lists &amp; Settings'!$N$7,'Lists &amp; Settings'!$O$7,'Lists &amp; Settings'!$O$8)),'Lists &amp; Settings'!$O$10))))))</f>
        <v/>
      </c>
      <c r="T833" s="31"/>
      <c r="U833" s="31"/>
      <c r="V833" s="31"/>
    </row>
    <row r="834" ht="15.75" customHeight="1">
      <c r="B834" s="31"/>
      <c r="N834" s="127"/>
      <c r="S834" s="31" t="str">
        <f>IF($C834="","",IF(OR($M834="",$N834=""),'Lists &amp; Settings'!$O$10,IF($N834="Fail",'Lists &amp; Settings'!$O$9,IF($N834="Insufficient Evidence",'Lists &amp; Settings'!$O$10,IF($N834="Pass",IF($M834&gt;='Lists &amp; Settings'!$N$2,'Lists &amp; Settings'!$O$2,IF($M834&gt;='Lists &amp; Settings'!$N$3,'Lists &amp; Settings'!$O$3,'Lists &amp; Settings'!$O$4)),IF($N834="Partial",IF($M834&gt;='Lists &amp; Settings'!$N$6,'Lists &amp; Settings'!$O$6,IF($M834&gt;='Lists &amp; Settings'!$N$7,'Lists &amp; Settings'!$O$7,'Lists &amp; Settings'!$O$8)),'Lists &amp; Settings'!$O$10))))))</f>
        <v/>
      </c>
      <c r="T834" s="31"/>
      <c r="U834" s="31"/>
      <c r="V834" s="31"/>
    </row>
    <row r="835" ht="15.75" customHeight="1">
      <c r="B835" s="31"/>
      <c r="N835" s="127"/>
      <c r="S835" s="31" t="str">
        <f>IF($C835="","",IF(OR($M835="",$N835=""),'Lists &amp; Settings'!$O$10,IF($N835="Fail",'Lists &amp; Settings'!$O$9,IF($N835="Insufficient Evidence",'Lists &amp; Settings'!$O$10,IF($N835="Pass",IF($M835&gt;='Lists &amp; Settings'!$N$2,'Lists &amp; Settings'!$O$2,IF($M835&gt;='Lists &amp; Settings'!$N$3,'Lists &amp; Settings'!$O$3,'Lists &amp; Settings'!$O$4)),IF($N835="Partial",IF($M835&gt;='Lists &amp; Settings'!$N$6,'Lists &amp; Settings'!$O$6,IF($M835&gt;='Lists &amp; Settings'!$N$7,'Lists &amp; Settings'!$O$7,'Lists &amp; Settings'!$O$8)),'Lists &amp; Settings'!$O$10))))))</f>
        <v/>
      </c>
      <c r="T835" s="31"/>
      <c r="U835" s="31"/>
      <c r="V835" s="31"/>
    </row>
    <row r="836" ht="15.75" customHeight="1">
      <c r="B836" s="31"/>
      <c r="N836" s="127"/>
      <c r="S836" s="31" t="str">
        <f>IF($C836="","",IF(OR($M836="",$N836=""),'Lists &amp; Settings'!$O$10,IF($N836="Fail",'Lists &amp; Settings'!$O$9,IF($N836="Insufficient Evidence",'Lists &amp; Settings'!$O$10,IF($N836="Pass",IF($M836&gt;='Lists &amp; Settings'!$N$2,'Lists &amp; Settings'!$O$2,IF($M836&gt;='Lists &amp; Settings'!$N$3,'Lists &amp; Settings'!$O$3,'Lists &amp; Settings'!$O$4)),IF($N836="Partial",IF($M836&gt;='Lists &amp; Settings'!$N$6,'Lists &amp; Settings'!$O$6,IF($M836&gt;='Lists &amp; Settings'!$N$7,'Lists &amp; Settings'!$O$7,'Lists &amp; Settings'!$O$8)),'Lists &amp; Settings'!$O$10))))))</f>
        <v/>
      </c>
      <c r="T836" s="31"/>
      <c r="U836" s="31"/>
      <c r="V836" s="31"/>
    </row>
    <row r="837" ht="15.75" customHeight="1">
      <c r="B837" s="31"/>
      <c r="N837" s="127"/>
      <c r="S837" s="31" t="str">
        <f>IF($C837="","",IF(OR($M837="",$N837=""),'Lists &amp; Settings'!$O$10,IF($N837="Fail",'Lists &amp; Settings'!$O$9,IF($N837="Insufficient Evidence",'Lists &amp; Settings'!$O$10,IF($N837="Pass",IF($M837&gt;='Lists &amp; Settings'!$N$2,'Lists &amp; Settings'!$O$2,IF($M837&gt;='Lists &amp; Settings'!$N$3,'Lists &amp; Settings'!$O$3,'Lists &amp; Settings'!$O$4)),IF($N837="Partial",IF($M837&gt;='Lists &amp; Settings'!$N$6,'Lists &amp; Settings'!$O$6,IF($M837&gt;='Lists &amp; Settings'!$N$7,'Lists &amp; Settings'!$O$7,'Lists &amp; Settings'!$O$8)),'Lists &amp; Settings'!$O$10))))))</f>
        <v/>
      </c>
      <c r="T837" s="31"/>
      <c r="U837" s="31"/>
      <c r="V837" s="31"/>
    </row>
    <row r="838" ht="15.75" customHeight="1">
      <c r="B838" s="31"/>
      <c r="N838" s="127"/>
      <c r="S838" s="31" t="str">
        <f>IF($C838="","",IF(OR($M838="",$N838=""),'Lists &amp; Settings'!$O$10,IF($N838="Fail",'Lists &amp; Settings'!$O$9,IF($N838="Insufficient Evidence",'Lists &amp; Settings'!$O$10,IF($N838="Pass",IF($M838&gt;='Lists &amp; Settings'!$N$2,'Lists &amp; Settings'!$O$2,IF($M838&gt;='Lists &amp; Settings'!$N$3,'Lists &amp; Settings'!$O$3,'Lists &amp; Settings'!$O$4)),IF($N838="Partial",IF($M838&gt;='Lists &amp; Settings'!$N$6,'Lists &amp; Settings'!$O$6,IF($M838&gt;='Lists &amp; Settings'!$N$7,'Lists &amp; Settings'!$O$7,'Lists &amp; Settings'!$O$8)),'Lists &amp; Settings'!$O$10))))))</f>
        <v/>
      </c>
      <c r="T838" s="31"/>
      <c r="U838" s="31"/>
      <c r="V838" s="31"/>
    </row>
    <row r="839" ht="15.75" customHeight="1">
      <c r="B839" s="31"/>
      <c r="N839" s="127"/>
      <c r="S839" s="31" t="str">
        <f>IF($C839="","",IF(OR($M839="",$N839=""),'Lists &amp; Settings'!$O$10,IF($N839="Fail",'Lists &amp; Settings'!$O$9,IF($N839="Insufficient Evidence",'Lists &amp; Settings'!$O$10,IF($N839="Pass",IF($M839&gt;='Lists &amp; Settings'!$N$2,'Lists &amp; Settings'!$O$2,IF($M839&gt;='Lists &amp; Settings'!$N$3,'Lists &amp; Settings'!$O$3,'Lists &amp; Settings'!$O$4)),IF($N839="Partial",IF($M839&gt;='Lists &amp; Settings'!$N$6,'Lists &amp; Settings'!$O$6,IF($M839&gt;='Lists &amp; Settings'!$N$7,'Lists &amp; Settings'!$O$7,'Lists &amp; Settings'!$O$8)),'Lists &amp; Settings'!$O$10))))))</f>
        <v/>
      </c>
      <c r="T839" s="31"/>
      <c r="U839" s="31"/>
      <c r="V839" s="31"/>
    </row>
    <row r="840" ht="15.75" customHeight="1">
      <c r="B840" s="31"/>
      <c r="N840" s="127"/>
      <c r="S840" s="31" t="str">
        <f>IF($C840="","",IF(OR($M840="",$N840=""),'Lists &amp; Settings'!$O$10,IF($N840="Fail",'Lists &amp; Settings'!$O$9,IF($N840="Insufficient Evidence",'Lists &amp; Settings'!$O$10,IF($N840="Pass",IF($M840&gt;='Lists &amp; Settings'!$N$2,'Lists &amp; Settings'!$O$2,IF($M840&gt;='Lists &amp; Settings'!$N$3,'Lists &amp; Settings'!$O$3,'Lists &amp; Settings'!$O$4)),IF($N840="Partial",IF($M840&gt;='Lists &amp; Settings'!$N$6,'Lists &amp; Settings'!$O$6,IF($M840&gt;='Lists &amp; Settings'!$N$7,'Lists &amp; Settings'!$O$7,'Lists &amp; Settings'!$O$8)),'Lists &amp; Settings'!$O$10))))))</f>
        <v/>
      </c>
      <c r="T840" s="31"/>
      <c r="U840" s="31"/>
      <c r="V840" s="31"/>
    </row>
    <row r="841" ht="15.75" customHeight="1">
      <c r="B841" s="31"/>
      <c r="N841" s="127"/>
      <c r="S841" s="31" t="str">
        <f>IF($C841="","",IF(OR($M841="",$N841=""),'Lists &amp; Settings'!$O$10,IF($N841="Fail",'Lists &amp; Settings'!$O$9,IF($N841="Insufficient Evidence",'Lists &amp; Settings'!$O$10,IF($N841="Pass",IF($M841&gt;='Lists &amp; Settings'!$N$2,'Lists &amp; Settings'!$O$2,IF($M841&gt;='Lists &amp; Settings'!$N$3,'Lists &amp; Settings'!$O$3,'Lists &amp; Settings'!$O$4)),IF($N841="Partial",IF($M841&gt;='Lists &amp; Settings'!$N$6,'Lists &amp; Settings'!$O$6,IF($M841&gt;='Lists &amp; Settings'!$N$7,'Lists &amp; Settings'!$O$7,'Lists &amp; Settings'!$O$8)),'Lists &amp; Settings'!$O$10))))))</f>
        <v/>
      </c>
      <c r="T841" s="31"/>
      <c r="U841" s="31"/>
      <c r="V841" s="31"/>
    </row>
    <row r="842" ht="15.75" customHeight="1">
      <c r="B842" s="31"/>
      <c r="N842" s="127"/>
      <c r="S842" s="31" t="str">
        <f>IF($C842="","",IF(OR($M842="",$N842=""),'Lists &amp; Settings'!$O$10,IF($N842="Fail",'Lists &amp; Settings'!$O$9,IF($N842="Insufficient Evidence",'Lists &amp; Settings'!$O$10,IF($N842="Pass",IF($M842&gt;='Lists &amp; Settings'!$N$2,'Lists &amp; Settings'!$O$2,IF($M842&gt;='Lists &amp; Settings'!$N$3,'Lists &amp; Settings'!$O$3,'Lists &amp; Settings'!$O$4)),IF($N842="Partial",IF($M842&gt;='Lists &amp; Settings'!$N$6,'Lists &amp; Settings'!$O$6,IF($M842&gt;='Lists &amp; Settings'!$N$7,'Lists &amp; Settings'!$O$7,'Lists &amp; Settings'!$O$8)),'Lists &amp; Settings'!$O$10))))))</f>
        <v/>
      </c>
      <c r="T842" s="31"/>
      <c r="U842" s="31"/>
      <c r="V842" s="31"/>
    </row>
    <row r="843" ht="15.75" customHeight="1">
      <c r="B843" s="31"/>
      <c r="N843" s="127"/>
      <c r="S843" s="31" t="str">
        <f>IF($C843="","",IF(OR($M843="",$N843=""),'Lists &amp; Settings'!$O$10,IF($N843="Fail",'Lists &amp; Settings'!$O$9,IF($N843="Insufficient Evidence",'Lists &amp; Settings'!$O$10,IF($N843="Pass",IF($M843&gt;='Lists &amp; Settings'!$N$2,'Lists &amp; Settings'!$O$2,IF($M843&gt;='Lists &amp; Settings'!$N$3,'Lists &amp; Settings'!$O$3,'Lists &amp; Settings'!$O$4)),IF($N843="Partial",IF($M843&gt;='Lists &amp; Settings'!$N$6,'Lists &amp; Settings'!$O$6,IF($M843&gt;='Lists &amp; Settings'!$N$7,'Lists &amp; Settings'!$O$7,'Lists &amp; Settings'!$O$8)),'Lists &amp; Settings'!$O$10))))))</f>
        <v/>
      </c>
      <c r="T843" s="31"/>
      <c r="U843" s="31"/>
      <c r="V843" s="31"/>
    </row>
    <row r="844" ht="15.75" customHeight="1">
      <c r="B844" s="31"/>
      <c r="N844" s="127"/>
      <c r="S844" s="31" t="str">
        <f>IF($C844="","",IF(OR($M844="",$N844=""),'Lists &amp; Settings'!$O$10,IF($N844="Fail",'Lists &amp; Settings'!$O$9,IF($N844="Insufficient Evidence",'Lists &amp; Settings'!$O$10,IF($N844="Pass",IF($M844&gt;='Lists &amp; Settings'!$N$2,'Lists &amp; Settings'!$O$2,IF($M844&gt;='Lists &amp; Settings'!$N$3,'Lists &amp; Settings'!$O$3,'Lists &amp; Settings'!$O$4)),IF($N844="Partial",IF($M844&gt;='Lists &amp; Settings'!$N$6,'Lists &amp; Settings'!$O$6,IF($M844&gt;='Lists &amp; Settings'!$N$7,'Lists &amp; Settings'!$O$7,'Lists &amp; Settings'!$O$8)),'Lists &amp; Settings'!$O$10))))))</f>
        <v/>
      </c>
      <c r="T844" s="31"/>
      <c r="U844" s="31"/>
      <c r="V844" s="31"/>
    </row>
    <row r="845" ht="15.75" customHeight="1">
      <c r="B845" s="31"/>
      <c r="N845" s="127"/>
      <c r="S845" s="31" t="str">
        <f>IF($C845="","",IF(OR($M845="",$N845=""),'Lists &amp; Settings'!$O$10,IF($N845="Fail",'Lists &amp; Settings'!$O$9,IF($N845="Insufficient Evidence",'Lists &amp; Settings'!$O$10,IF($N845="Pass",IF($M845&gt;='Lists &amp; Settings'!$N$2,'Lists &amp; Settings'!$O$2,IF($M845&gt;='Lists &amp; Settings'!$N$3,'Lists &amp; Settings'!$O$3,'Lists &amp; Settings'!$O$4)),IF($N845="Partial",IF($M845&gt;='Lists &amp; Settings'!$N$6,'Lists &amp; Settings'!$O$6,IF($M845&gt;='Lists &amp; Settings'!$N$7,'Lists &amp; Settings'!$O$7,'Lists &amp; Settings'!$O$8)),'Lists &amp; Settings'!$O$10))))))</f>
        <v/>
      </c>
      <c r="T845" s="31"/>
      <c r="U845" s="31"/>
      <c r="V845" s="31"/>
    </row>
    <row r="846" ht="15.75" customHeight="1">
      <c r="B846" s="31"/>
      <c r="N846" s="127"/>
      <c r="S846" s="31" t="str">
        <f>IF($C846="","",IF(OR($M846="",$N846=""),'Lists &amp; Settings'!$O$10,IF($N846="Fail",'Lists &amp; Settings'!$O$9,IF($N846="Insufficient Evidence",'Lists &amp; Settings'!$O$10,IF($N846="Pass",IF($M846&gt;='Lists &amp; Settings'!$N$2,'Lists &amp; Settings'!$O$2,IF($M846&gt;='Lists &amp; Settings'!$N$3,'Lists &amp; Settings'!$O$3,'Lists &amp; Settings'!$O$4)),IF($N846="Partial",IF($M846&gt;='Lists &amp; Settings'!$N$6,'Lists &amp; Settings'!$O$6,IF($M846&gt;='Lists &amp; Settings'!$N$7,'Lists &amp; Settings'!$O$7,'Lists &amp; Settings'!$O$8)),'Lists &amp; Settings'!$O$10))))))</f>
        <v/>
      </c>
      <c r="T846" s="31"/>
      <c r="U846" s="31"/>
      <c r="V846" s="31"/>
    </row>
    <row r="847" ht="15.75" customHeight="1">
      <c r="B847" s="31"/>
      <c r="N847" s="127"/>
      <c r="S847" s="31" t="str">
        <f>IF($C847="","",IF(OR($M847="",$N847=""),'Lists &amp; Settings'!$O$10,IF($N847="Fail",'Lists &amp; Settings'!$O$9,IF($N847="Insufficient Evidence",'Lists &amp; Settings'!$O$10,IF($N847="Pass",IF($M847&gt;='Lists &amp; Settings'!$N$2,'Lists &amp; Settings'!$O$2,IF($M847&gt;='Lists &amp; Settings'!$N$3,'Lists &amp; Settings'!$O$3,'Lists &amp; Settings'!$O$4)),IF($N847="Partial",IF($M847&gt;='Lists &amp; Settings'!$N$6,'Lists &amp; Settings'!$O$6,IF($M847&gt;='Lists &amp; Settings'!$N$7,'Lists &amp; Settings'!$O$7,'Lists &amp; Settings'!$O$8)),'Lists &amp; Settings'!$O$10))))))</f>
        <v/>
      </c>
      <c r="T847" s="31"/>
      <c r="U847" s="31"/>
      <c r="V847" s="31"/>
    </row>
    <row r="848" ht="15.75" customHeight="1">
      <c r="B848" s="31"/>
      <c r="N848" s="127"/>
      <c r="S848" s="31" t="str">
        <f>IF($C848="","",IF(OR($M848="",$N848=""),'Lists &amp; Settings'!$O$10,IF($N848="Fail",'Lists &amp; Settings'!$O$9,IF($N848="Insufficient Evidence",'Lists &amp; Settings'!$O$10,IF($N848="Pass",IF($M848&gt;='Lists &amp; Settings'!$N$2,'Lists &amp; Settings'!$O$2,IF($M848&gt;='Lists &amp; Settings'!$N$3,'Lists &amp; Settings'!$O$3,'Lists &amp; Settings'!$O$4)),IF($N848="Partial",IF($M848&gt;='Lists &amp; Settings'!$N$6,'Lists &amp; Settings'!$O$6,IF($M848&gt;='Lists &amp; Settings'!$N$7,'Lists &amp; Settings'!$O$7,'Lists &amp; Settings'!$O$8)),'Lists &amp; Settings'!$O$10))))))</f>
        <v/>
      </c>
      <c r="T848" s="31"/>
      <c r="U848" s="31"/>
      <c r="V848" s="31"/>
    </row>
    <row r="849" ht="15.75" customHeight="1">
      <c r="B849" s="31"/>
      <c r="N849" s="127"/>
      <c r="S849" s="31" t="str">
        <f>IF($C849="","",IF(OR($M849="",$N849=""),'Lists &amp; Settings'!$O$10,IF($N849="Fail",'Lists &amp; Settings'!$O$9,IF($N849="Insufficient Evidence",'Lists &amp; Settings'!$O$10,IF($N849="Pass",IF($M849&gt;='Lists &amp; Settings'!$N$2,'Lists &amp; Settings'!$O$2,IF($M849&gt;='Lists &amp; Settings'!$N$3,'Lists &amp; Settings'!$O$3,'Lists &amp; Settings'!$O$4)),IF($N849="Partial",IF($M849&gt;='Lists &amp; Settings'!$N$6,'Lists &amp; Settings'!$O$6,IF($M849&gt;='Lists &amp; Settings'!$N$7,'Lists &amp; Settings'!$O$7,'Lists &amp; Settings'!$O$8)),'Lists &amp; Settings'!$O$10))))))</f>
        <v/>
      </c>
      <c r="T849" s="31"/>
      <c r="U849" s="31"/>
      <c r="V849" s="31"/>
    </row>
    <row r="850" ht="15.75" customHeight="1">
      <c r="B850" s="31"/>
      <c r="N850" s="127"/>
      <c r="S850" s="31" t="str">
        <f>IF($C850="","",IF(OR($M850="",$N850=""),'Lists &amp; Settings'!$O$10,IF($N850="Fail",'Lists &amp; Settings'!$O$9,IF($N850="Insufficient Evidence",'Lists &amp; Settings'!$O$10,IF($N850="Pass",IF($M850&gt;='Lists &amp; Settings'!$N$2,'Lists &amp; Settings'!$O$2,IF($M850&gt;='Lists &amp; Settings'!$N$3,'Lists &amp; Settings'!$O$3,'Lists &amp; Settings'!$O$4)),IF($N850="Partial",IF($M850&gt;='Lists &amp; Settings'!$N$6,'Lists &amp; Settings'!$O$6,IF($M850&gt;='Lists &amp; Settings'!$N$7,'Lists &amp; Settings'!$O$7,'Lists &amp; Settings'!$O$8)),'Lists &amp; Settings'!$O$10))))))</f>
        <v/>
      </c>
      <c r="T850" s="31"/>
      <c r="U850" s="31"/>
      <c r="V850" s="31"/>
    </row>
    <row r="851" ht="15.75" customHeight="1">
      <c r="B851" s="31"/>
      <c r="N851" s="127"/>
      <c r="S851" s="31" t="str">
        <f>IF($C851="","",IF(OR($M851="",$N851=""),'Lists &amp; Settings'!$O$10,IF($N851="Fail",'Lists &amp; Settings'!$O$9,IF($N851="Insufficient Evidence",'Lists &amp; Settings'!$O$10,IF($N851="Pass",IF($M851&gt;='Lists &amp; Settings'!$N$2,'Lists &amp; Settings'!$O$2,IF($M851&gt;='Lists &amp; Settings'!$N$3,'Lists &amp; Settings'!$O$3,'Lists &amp; Settings'!$O$4)),IF($N851="Partial",IF($M851&gt;='Lists &amp; Settings'!$N$6,'Lists &amp; Settings'!$O$6,IF($M851&gt;='Lists &amp; Settings'!$N$7,'Lists &amp; Settings'!$O$7,'Lists &amp; Settings'!$O$8)),'Lists &amp; Settings'!$O$10))))))</f>
        <v/>
      </c>
      <c r="T851" s="31"/>
      <c r="U851" s="31"/>
      <c r="V851" s="31"/>
    </row>
    <row r="852" ht="15.75" customHeight="1">
      <c r="B852" s="31"/>
      <c r="N852" s="127"/>
      <c r="S852" s="31" t="str">
        <f>IF($C852="","",IF(OR($M852="",$N852=""),'Lists &amp; Settings'!$O$10,IF($N852="Fail",'Lists &amp; Settings'!$O$9,IF($N852="Insufficient Evidence",'Lists &amp; Settings'!$O$10,IF($N852="Pass",IF($M852&gt;='Lists &amp; Settings'!$N$2,'Lists &amp; Settings'!$O$2,IF($M852&gt;='Lists &amp; Settings'!$N$3,'Lists &amp; Settings'!$O$3,'Lists &amp; Settings'!$O$4)),IF($N852="Partial",IF($M852&gt;='Lists &amp; Settings'!$N$6,'Lists &amp; Settings'!$O$6,IF($M852&gt;='Lists &amp; Settings'!$N$7,'Lists &amp; Settings'!$O$7,'Lists &amp; Settings'!$O$8)),'Lists &amp; Settings'!$O$10))))))</f>
        <v/>
      </c>
      <c r="T852" s="31"/>
      <c r="U852" s="31"/>
      <c r="V852" s="31"/>
    </row>
    <row r="853" ht="15.75" customHeight="1">
      <c r="B853" s="31"/>
      <c r="N853" s="127"/>
      <c r="S853" s="31" t="str">
        <f>IF($C853="","",IF(OR($M853="",$N853=""),'Lists &amp; Settings'!$O$10,IF($N853="Fail",'Lists &amp; Settings'!$O$9,IF($N853="Insufficient Evidence",'Lists &amp; Settings'!$O$10,IF($N853="Pass",IF($M853&gt;='Lists &amp; Settings'!$N$2,'Lists &amp; Settings'!$O$2,IF($M853&gt;='Lists &amp; Settings'!$N$3,'Lists &amp; Settings'!$O$3,'Lists &amp; Settings'!$O$4)),IF($N853="Partial",IF($M853&gt;='Lists &amp; Settings'!$N$6,'Lists &amp; Settings'!$O$6,IF($M853&gt;='Lists &amp; Settings'!$N$7,'Lists &amp; Settings'!$O$7,'Lists &amp; Settings'!$O$8)),'Lists &amp; Settings'!$O$10))))))</f>
        <v/>
      </c>
      <c r="T853" s="31"/>
      <c r="U853" s="31"/>
      <c r="V853" s="31"/>
    </row>
    <row r="854" ht="15.75" customHeight="1">
      <c r="B854" s="31"/>
      <c r="N854" s="127"/>
      <c r="S854" s="31" t="str">
        <f>IF($C854="","",IF(OR($M854="",$N854=""),'Lists &amp; Settings'!$O$10,IF($N854="Fail",'Lists &amp; Settings'!$O$9,IF($N854="Insufficient Evidence",'Lists &amp; Settings'!$O$10,IF($N854="Pass",IF($M854&gt;='Lists &amp; Settings'!$N$2,'Lists &amp; Settings'!$O$2,IF($M854&gt;='Lists &amp; Settings'!$N$3,'Lists &amp; Settings'!$O$3,'Lists &amp; Settings'!$O$4)),IF($N854="Partial",IF($M854&gt;='Lists &amp; Settings'!$N$6,'Lists &amp; Settings'!$O$6,IF($M854&gt;='Lists &amp; Settings'!$N$7,'Lists &amp; Settings'!$O$7,'Lists &amp; Settings'!$O$8)),'Lists &amp; Settings'!$O$10))))))</f>
        <v/>
      </c>
      <c r="T854" s="31"/>
      <c r="U854" s="31"/>
      <c r="V854" s="31"/>
    </row>
    <row r="855" ht="15.75" customHeight="1">
      <c r="B855" s="31"/>
      <c r="N855" s="127"/>
      <c r="S855" s="31" t="str">
        <f>IF($C855="","",IF(OR($M855="",$N855=""),'Lists &amp; Settings'!$O$10,IF($N855="Fail",'Lists &amp; Settings'!$O$9,IF($N855="Insufficient Evidence",'Lists &amp; Settings'!$O$10,IF($N855="Pass",IF($M855&gt;='Lists &amp; Settings'!$N$2,'Lists &amp; Settings'!$O$2,IF($M855&gt;='Lists &amp; Settings'!$N$3,'Lists &amp; Settings'!$O$3,'Lists &amp; Settings'!$O$4)),IF($N855="Partial",IF($M855&gt;='Lists &amp; Settings'!$N$6,'Lists &amp; Settings'!$O$6,IF($M855&gt;='Lists &amp; Settings'!$N$7,'Lists &amp; Settings'!$O$7,'Lists &amp; Settings'!$O$8)),'Lists &amp; Settings'!$O$10))))))</f>
        <v/>
      </c>
      <c r="T855" s="31"/>
      <c r="U855" s="31"/>
      <c r="V855" s="31"/>
    </row>
    <row r="856" ht="15.75" customHeight="1">
      <c r="B856" s="31"/>
      <c r="N856" s="127"/>
      <c r="S856" s="31" t="str">
        <f>IF($C856="","",IF(OR($M856="",$N856=""),'Lists &amp; Settings'!$O$10,IF($N856="Fail",'Lists &amp; Settings'!$O$9,IF($N856="Insufficient Evidence",'Lists &amp; Settings'!$O$10,IF($N856="Pass",IF($M856&gt;='Lists &amp; Settings'!$N$2,'Lists &amp; Settings'!$O$2,IF($M856&gt;='Lists &amp; Settings'!$N$3,'Lists &amp; Settings'!$O$3,'Lists &amp; Settings'!$O$4)),IF($N856="Partial",IF($M856&gt;='Lists &amp; Settings'!$N$6,'Lists &amp; Settings'!$O$6,IF($M856&gt;='Lists &amp; Settings'!$N$7,'Lists &amp; Settings'!$O$7,'Lists &amp; Settings'!$O$8)),'Lists &amp; Settings'!$O$10))))))</f>
        <v/>
      </c>
      <c r="T856" s="31"/>
      <c r="U856" s="31"/>
      <c r="V856" s="31"/>
    </row>
    <row r="857" ht="15.75" customHeight="1">
      <c r="B857" s="31"/>
      <c r="N857" s="127"/>
      <c r="S857" s="31" t="str">
        <f>IF($C857="","",IF(OR($M857="",$N857=""),'Lists &amp; Settings'!$O$10,IF($N857="Fail",'Lists &amp; Settings'!$O$9,IF($N857="Insufficient Evidence",'Lists &amp; Settings'!$O$10,IF($N857="Pass",IF($M857&gt;='Lists &amp; Settings'!$N$2,'Lists &amp; Settings'!$O$2,IF($M857&gt;='Lists &amp; Settings'!$N$3,'Lists &amp; Settings'!$O$3,'Lists &amp; Settings'!$O$4)),IF($N857="Partial",IF($M857&gt;='Lists &amp; Settings'!$N$6,'Lists &amp; Settings'!$O$6,IF($M857&gt;='Lists &amp; Settings'!$N$7,'Lists &amp; Settings'!$O$7,'Lists &amp; Settings'!$O$8)),'Lists &amp; Settings'!$O$10))))))</f>
        <v/>
      </c>
      <c r="T857" s="31"/>
      <c r="U857" s="31"/>
      <c r="V857" s="31"/>
    </row>
    <row r="858" ht="15.75" customHeight="1">
      <c r="B858" s="31"/>
      <c r="N858" s="127"/>
      <c r="S858" s="31" t="str">
        <f>IF($C858="","",IF(OR($M858="",$N858=""),'Lists &amp; Settings'!$O$10,IF($N858="Fail",'Lists &amp; Settings'!$O$9,IF($N858="Insufficient Evidence",'Lists &amp; Settings'!$O$10,IF($N858="Pass",IF($M858&gt;='Lists &amp; Settings'!$N$2,'Lists &amp; Settings'!$O$2,IF($M858&gt;='Lists &amp; Settings'!$N$3,'Lists &amp; Settings'!$O$3,'Lists &amp; Settings'!$O$4)),IF($N858="Partial",IF($M858&gt;='Lists &amp; Settings'!$N$6,'Lists &amp; Settings'!$O$6,IF($M858&gt;='Lists &amp; Settings'!$N$7,'Lists &amp; Settings'!$O$7,'Lists &amp; Settings'!$O$8)),'Lists &amp; Settings'!$O$10))))))</f>
        <v/>
      </c>
      <c r="T858" s="31"/>
      <c r="U858" s="31"/>
      <c r="V858" s="31"/>
    </row>
    <row r="859" ht="15.75" customHeight="1">
      <c r="B859" s="31"/>
      <c r="N859" s="127"/>
      <c r="S859" s="31" t="str">
        <f>IF($C859="","",IF(OR($M859="",$N859=""),'Lists &amp; Settings'!$O$10,IF($N859="Fail",'Lists &amp; Settings'!$O$9,IF($N859="Insufficient Evidence",'Lists &amp; Settings'!$O$10,IF($N859="Pass",IF($M859&gt;='Lists &amp; Settings'!$N$2,'Lists &amp; Settings'!$O$2,IF($M859&gt;='Lists &amp; Settings'!$N$3,'Lists &amp; Settings'!$O$3,'Lists &amp; Settings'!$O$4)),IF($N859="Partial",IF($M859&gt;='Lists &amp; Settings'!$N$6,'Lists &amp; Settings'!$O$6,IF($M859&gt;='Lists &amp; Settings'!$N$7,'Lists &amp; Settings'!$O$7,'Lists &amp; Settings'!$O$8)),'Lists &amp; Settings'!$O$10))))))</f>
        <v/>
      </c>
      <c r="T859" s="31"/>
      <c r="U859" s="31"/>
      <c r="V859" s="31"/>
    </row>
    <row r="860" ht="15.75" customHeight="1">
      <c r="B860" s="31"/>
      <c r="N860" s="127"/>
      <c r="S860" s="31" t="str">
        <f>IF($C860="","",IF(OR($M860="",$N860=""),'Lists &amp; Settings'!$O$10,IF($N860="Fail",'Lists &amp; Settings'!$O$9,IF($N860="Insufficient Evidence",'Lists &amp; Settings'!$O$10,IF($N860="Pass",IF($M860&gt;='Lists &amp; Settings'!$N$2,'Lists &amp; Settings'!$O$2,IF($M860&gt;='Lists &amp; Settings'!$N$3,'Lists &amp; Settings'!$O$3,'Lists &amp; Settings'!$O$4)),IF($N860="Partial",IF($M860&gt;='Lists &amp; Settings'!$N$6,'Lists &amp; Settings'!$O$6,IF($M860&gt;='Lists &amp; Settings'!$N$7,'Lists &amp; Settings'!$O$7,'Lists &amp; Settings'!$O$8)),'Lists &amp; Settings'!$O$10))))))</f>
        <v/>
      </c>
      <c r="T860" s="31"/>
      <c r="U860" s="31"/>
      <c r="V860" s="31"/>
    </row>
    <row r="861" ht="15.75" customHeight="1">
      <c r="B861" s="31"/>
      <c r="N861" s="127"/>
      <c r="S861" s="31" t="str">
        <f>IF($C861="","",IF(OR($M861="",$N861=""),'Lists &amp; Settings'!$O$10,IF($N861="Fail",'Lists &amp; Settings'!$O$9,IF($N861="Insufficient Evidence",'Lists &amp; Settings'!$O$10,IF($N861="Pass",IF($M861&gt;='Lists &amp; Settings'!$N$2,'Lists &amp; Settings'!$O$2,IF($M861&gt;='Lists &amp; Settings'!$N$3,'Lists &amp; Settings'!$O$3,'Lists &amp; Settings'!$O$4)),IF($N861="Partial",IF($M861&gt;='Lists &amp; Settings'!$N$6,'Lists &amp; Settings'!$O$6,IF($M861&gt;='Lists &amp; Settings'!$N$7,'Lists &amp; Settings'!$O$7,'Lists &amp; Settings'!$O$8)),'Lists &amp; Settings'!$O$10))))))</f>
        <v/>
      </c>
      <c r="T861" s="31"/>
      <c r="U861" s="31"/>
      <c r="V861" s="31"/>
    </row>
    <row r="862" ht="15.75" customHeight="1">
      <c r="B862" s="31"/>
      <c r="N862" s="127"/>
      <c r="S862" s="31" t="str">
        <f>IF($C862="","",IF(OR($M862="",$N862=""),'Lists &amp; Settings'!$O$10,IF($N862="Fail",'Lists &amp; Settings'!$O$9,IF($N862="Insufficient Evidence",'Lists &amp; Settings'!$O$10,IF($N862="Pass",IF($M862&gt;='Lists &amp; Settings'!$N$2,'Lists &amp; Settings'!$O$2,IF($M862&gt;='Lists &amp; Settings'!$N$3,'Lists &amp; Settings'!$O$3,'Lists &amp; Settings'!$O$4)),IF($N862="Partial",IF($M862&gt;='Lists &amp; Settings'!$N$6,'Lists &amp; Settings'!$O$6,IF($M862&gt;='Lists &amp; Settings'!$N$7,'Lists &amp; Settings'!$O$7,'Lists &amp; Settings'!$O$8)),'Lists &amp; Settings'!$O$10))))))</f>
        <v/>
      </c>
      <c r="T862" s="31"/>
      <c r="U862" s="31"/>
      <c r="V862" s="31"/>
    </row>
    <row r="863" ht="15.75" customHeight="1">
      <c r="B863" s="31"/>
      <c r="N863" s="127"/>
      <c r="S863" s="31" t="str">
        <f>IF($C863="","",IF(OR($M863="",$N863=""),'Lists &amp; Settings'!$O$10,IF($N863="Fail",'Lists &amp; Settings'!$O$9,IF($N863="Insufficient Evidence",'Lists &amp; Settings'!$O$10,IF($N863="Pass",IF($M863&gt;='Lists &amp; Settings'!$N$2,'Lists &amp; Settings'!$O$2,IF($M863&gt;='Lists &amp; Settings'!$N$3,'Lists &amp; Settings'!$O$3,'Lists &amp; Settings'!$O$4)),IF($N863="Partial",IF($M863&gt;='Lists &amp; Settings'!$N$6,'Lists &amp; Settings'!$O$6,IF($M863&gt;='Lists &amp; Settings'!$N$7,'Lists &amp; Settings'!$O$7,'Lists &amp; Settings'!$O$8)),'Lists &amp; Settings'!$O$10))))))</f>
        <v/>
      </c>
      <c r="T863" s="31"/>
      <c r="U863" s="31"/>
      <c r="V863" s="31"/>
    </row>
    <row r="864" ht="15.75" customHeight="1">
      <c r="B864" s="31"/>
      <c r="N864" s="127"/>
      <c r="S864" s="31" t="str">
        <f>IF($C864="","",IF(OR($M864="",$N864=""),'Lists &amp; Settings'!$O$10,IF($N864="Fail",'Lists &amp; Settings'!$O$9,IF($N864="Insufficient Evidence",'Lists &amp; Settings'!$O$10,IF($N864="Pass",IF($M864&gt;='Lists &amp; Settings'!$N$2,'Lists &amp; Settings'!$O$2,IF($M864&gt;='Lists &amp; Settings'!$N$3,'Lists &amp; Settings'!$O$3,'Lists &amp; Settings'!$O$4)),IF($N864="Partial",IF($M864&gt;='Lists &amp; Settings'!$N$6,'Lists &amp; Settings'!$O$6,IF($M864&gt;='Lists &amp; Settings'!$N$7,'Lists &amp; Settings'!$O$7,'Lists &amp; Settings'!$O$8)),'Lists &amp; Settings'!$O$10))))))</f>
        <v/>
      </c>
      <c r="T864" s="31"/>
      <c r="U864" s="31"/>
      <c r="V864" s="31"/>
    </row>
    <row r="865" ht="15.75" customHeight="1">
      <c r="B865" s="31"/>
      <c r="N865" s="127"/>
      <c r="S865" s="31" t="str">
        <f>IF($C865="","",IF(OR($M865="",$N865=""),'Lists &amp; Settings'!$O$10,IF($N865="Fail",'Lists &amp; Settings'!$O$9,IF($N865="Insufficient Evidence",'Lists &amp; Settings'!$O$10,IF($N865="Pass",IF($M865&gt;='Lists &amp; Settings'!$N$2,'Lists &amp; Settings'!$O$2,IF($M865&gt;='Lists &amp; Settings'!$N$3,'Lists &amp; Settings'!$O$3,'Lists &amp; Settings'!$O$4)),IF($N865="Partial",IF($M865&gt;='Lists &amp; Settings'!$N$6,'Lists &amp; Settings'!$O$6,IF($M865&gt;='Lists &amp; Settings'!$N$7,'Lists &amp; Settings'!$O$7,'Lists &amp; Settings'!$O$8)),'Lists &amp; Settings'!$O$10))))))</f>
        <v/>
      </c>
      <c r="T865" s="31"/>
      <c r="U865" s="31"/>
      <c r="V865" s="31"/>
    </row>
    <row r="866" ht="15.75" customHeight="1">
      <c r="B866" s="31"/>
      <c r="N866" s="127"/>
      <c r="S866" s="31" t="str">
        <f>IF($C866="","",IF(OR($M866="",$N866=""),'Lists &amp; Settings'!$O$10,IF($N866="Fail",'Lists &amp; Settings'!$O$9,IF($N866="Insufficient Evidence",'Lists &amp; Settings'!$O$10,IF($N866="Pass",IF($M866&gt;='Lists &amp; Settings'!$N$2,'Lists &amp; Settings'!$O$2,IF($M866&gt;='Lists &amp; Settings'!$N$3,'Lists &amp; Settings'!$O$3,'Lists &amp; Settings'!$O$4)),IF($N866="Partial",IF($M866&gt;='Lists &amp; Settings'!$N$6,'Lists &amp; Settings'!$O$6,IF($M866&gt;='Lists &amp; Settings'!$N$7,'Lists &amp; Settings'!$O$7,'Lists &amp; Settings'!$O$8)),'Lists &amp; Settings'!$O$10))))))</f>
        <v/>
      </c>
      <c r="T866" s="31"/>
      <c r="U866" s="31"/>
      <c r="V866" s="31"/>
    </row>
    <row r="867" ht="15.75" customHeight="1">
      <c r="B867" s="31"/>
      <c r="N867" s="127"/>
      <c r="S867" s="31" t="str">
        <f>IF($C867="","",IF(OR($M867="",$N867=""),'Lists &amp; Settings'!$O$10,IF($N867="Fail",'Lists &amp; Settings'!$O$9,IF($N867="Insufficient Evidence",'Lists &amp; Settings'!$O$10,IF($N867="Pass",IF($M867&gt;='Lists &amp; Settings'!$N$2,'Lists &amp; Settings'!$O$2,IF($M867&gt;='Lists &amp; Settings'!$N$3,'Lists &amp; Settings'!$O$3,'Lists &amp; Settings'!$O$4)),IF($N867="Partial",IF($M867&gt;='Lists &amp; Settings'!$N$6,'Lists &amp; Settings'!$O$6,IF($M867&gt;='Lists &amp; Settings'!$N$7,'Lists &amp; Settings'!$O$7,'Lists &amp; Settings'!$O$8)),'Lists &amp; Settings'!$O$10))))))</f>
        <v/>
      </c>
      <c r="T867" s="31"/>
      <c r="U867" s="31"/>
      <c r="V867" s="31"/>
    </row>
    <row r="868" ht="15.75" customHeight="1">
      <c r="B868" s="31"/>
      <c r="N868" s="127"/>
      <c r="S868" s="31" t="str">
        <f>IF($C868="","",IF(OR($M868="",$N868=""),'Lists &amp; Settings'!$O$10,IF($N868="Fail",'Lists &amp; Settings'!$O$9,IF($N868="Insufficient Evidence",'Lists &amp; Settings'!$O$10,IF($N868="Pass",IF($M868&gt;='Lists &amp; Settings'!$N$2,'Lists &amp; Settings'!$O$2,IF($M868&gt;='Lists &amp; Settings'!$N$3,'Lists &amp; Settings'!$O$3,'Lists &amp; Settings'!$O$4)),IF($N868="Partial",IF($M868&gt;='Lists &amp; Settings'!$N$6,'Lists &amp; Settings'!$O$6,IF($M868&gt;='Lists &amp; Settings'!$N$7,'Lists &amp; Settings'!$O$7,'Lists &amp; Settings'!$O$8)),'Lists &amp; Settings'!$O$10))))))</f>
        <v/>
      </c>
      <c r="T868" s="31"/>
      <c r="U868" s="31"/>
      <c r="V868" s="31"/>
    </row>
    <row r="869" ht="15.75" customHeight="1">
      <c r="B869" s="31"/>
      <c r="N869" s="127"/>
      <c r="S869" s="31" t="str">
        <f>IF($C869="","",IF(OR($M869="",$N869=""),'Lists &amp; Settings'!$O$10,IF($N869="Fail",'Lists &amp; Settings'!$O$9,IF($N869="Insufficient Evidence",'Lists &amp; Settings'!$O$10,IF($N869="Pass",IF($M869&gt;='Lists &amp; Settings'!$N$2,'Lists &amp; Settings'!$O$2,IF($M869&gt;='Lists &amp; Settings'!$N$3,'Lists &amp; Settings'!$O$3,'Lists &amp; Settings'!$O$4)),IF($N869="Partial",IF($M869&gt;='Lists &amp; Settings'!$N$6,'Lists &amp; Settings'!$O$6,IF($M869&gt;='Lists &amp; Settings'!$N$7,'Lists &amp; Settings'!$O$7,'Lists &amp; Settings'!$O$8)),'Lists &amp; Settings'!$O$10))))))</f>
        <v/>
      </c>
      <c r="T869" s="31"/>
      <c r="U869" s="31"/>
      <c r="V869" s="31"/>
    </row>
    <row r="870" ht="15.75" customHeight="1">
      <c r="B870" s="31"/>
      <c r="N870" s="127"/>
      <c r="S870" s="31" t="str">
        <f>IF($C870="","",IF(OR($M870="",$N870=""),'Lists &amp; Settings'!$O$10,IF($N870="Fail",'Lists &amp; Settings'!$O$9,IF($N870="Insufficient Evidence",'Lists &amp; Settings'!$O$10,IF($N870="Pass",IF($M870&gt;='Lists &amp; Settings'!$N$2,'Lists &amp; Settings'!$O$2,IF($M870&gt;='Lists &amp; Settings'!$N$3,'Lists &amp; Settings'!$O$3,'Lists &amp; Settings'!$O$4)),IF($N870="Partial",IF($M870&gt;='Lists &amp; Settings'!$N$6,'Lists &amp; Settings'!$O$6,IF($M870&gt;='Lists &amp; Settings'!$N$7,'Lists &amp; Settings'!$O$7,'Lists &amp; Settings'!$O$8)),'Lists &amp; Settings'!$O$10))))))</f>
        <v/>
      </c>
      <c r="T870" s="31"/>
      <c r="U870" s="31"/>
      <c r="V870" s="31"/>
    </row>
    <row r="871" ht="15.75" customHeight="1">
      <c r="B871" s="31"/>
      <c r="N871" s="127"/>
      <c r="S871" s="31" t="str">
        <f>IF($C871="","",IF(OR($M871="",$N871=""),'Lists &amp; Settings'!$O$10,IF($N871="Fail",'Lists &amp; Settings'!$O$9,IF($N871="Insufficient Evidence",'Lists &amp; Settings'!$O$10,IF($N871="Pass",IF($M871&gt;='Lists &amp; Settings'!$N$2,'Lists &amp; Settings'!$O$2,IF($M871&gt;='Lists &amp; Settings'!$N$3,'Lists &amp; Settings'!$O$3,'Lists &amp; Settings'!$O$4)),IF($N871="Partial",IF($M871&gt;='Lists &amp; Settings'!$N$6,'Lists &amp; Settings'!$O$6,IF($M871&gt;='Lists &amp; Settings'!$N$7,'Lists &amp; Settings'!$O$7,'Lists &amp; Settings'!$O$8)),'Lists &amp; Settings'!$O$10))))))</f>
        <v/>
      </c>
      <c r="T871" s="31"/>
      <c r="U871" s="31"/>
      <c r="V871" s="31"/>
    </row>
    <row r="872" ht="15.75" customHeight="1">
      <c r="B872" s="31"/>
      <c r="N872" s="127"/>
      <c r="S872" s="31" t="str">
        <f>IF($C872="","",IF(OR($M872="",$N872=""),'Lists &amp; Settings'!$O$10,IF($N872="Fail",'Lists &amp; Settings'!$O$9,IF($N872="Insufficient Evidence",'Lists &amp; Settings'!$O$10,IF($N872="Pass",IF($M872&gt;='Lists &amp; Settings'!$N$2,'Lists &amp; Settings'!$O$2,IF($M872&gt;='Lists &amp; Settings'!$N$3,'Lists &amp; Settings'!$O$3,'Lists &amp; Settings'!$O$4)),IF($N872="Partial",IF($M872&gt;='Lists &amp; Settings'!$N$6,'Lists &amp; Settings'!$O$6,IF($M872&gt;='Lists &amp; Settings'!$N$7,'Lists &amp; Settings'!$O$7,'Lists &amp; Settings'!$O$8)),'Lists &amp; Settings'!$O$10))))))</f>
        <v/>
      </c>
      <c r="T872" s="31"/>
      <c r="U872" s="31"/>
      <c r="V872" s="31"/>
    </row>
    <row r="873" ht="15.75" customHeight="1">
      <c r="B873" s="31"/>
      <c r="N873" s="127"/>
      <c r="S873" s="31" t="str">
        <f>IF($C873="","",IF(OR($M873="",$N873=""),'Lists &amp; Settings'!$O$10,IF($N873="Fail",'Lists &amp; Settings'!$O$9,IF($N873="Insufficient Evidence",'Lists &amp; Settings'!$O$10,IF($N873="Pass",IF($M873&gt;='Lists &amp; Settings'!$N$2,'Lists &amp; Settings'!$O$2,IF($M873&gt;='Lists &amp; Settings'!$N$3,'Lists &amp; Settings'!$O$3,'Lists &amp; Settings'!$O$4)),IF($N873="Partial",IF($M873&gt;='Lists &amp; Settings'!$N$6,'Lists &amp; Settings'!$O$6,IF($M873&gt;='Lists &amp; Settings'!$N$7,'Lists &amp; Settings'!$O$7,'Lists &amp; Settings'!$O$8)),'Lists &amp; Settings'!$O$10))))))</f>
        <v/>
      </c>
      <c r="T873" s="31"/>
      <c r="U873" s="31"/>
      <c r="V873" s="31"/>
    </row>
    <row r="874" ht="15.75" customHeight="1">
      <c r="B874" s="31"/>
      <c r="N874" s="127"/>
      <c r="S874" s="31" t="str">
        <f>IF($C874="","",IF(OR($M874="",$N874=""),'Lists &amp; Settings'!$O$10,IF($N874="Fail",'Lists &amp; Settings'!$O$9,IF($N874="Insufficient Evidence",'Lists &amp; Settings'!$O$10,IF($N874="Pass",IF($M874&gt;='Lists &amp; Settings'!$N$2,'Lists &amp; Settings'!$O$2,IF($M874&gt;='Lists &amp; Settings'!$N$3,'Lists &amp; Settings'!$O$3,'Lists &amp; Settings'!$O$4)),IF($N874="Partial",IF($M874&gt;='Lists &amp; Settings'!$N$6,'Lists &amp; Settings'!$O$6,IF($M874&gt;='Lists &amp; Settings'!$N$7,'Lists &amp; Settings'!$O$7,'Lists &amp; Settings'!$O$8)),'Lists &amp; Settings'!$O$10))))))</f>
        <v/>
      </c>
      <c r="T874" s="31"/>
      <c r="U874" s="31"/>
      <c r="V874" s="31"/>
    </row>
    <row r="875" ht="15.75" customHeight="1">
      <c r="B875" s="31"/>
      <c r="N875" s="127"/>
      <c r="S875" s="31" t="str">
        <f>IF($C875="","",IF(OR($M875="",$N875=""),'Lists &amp; Settings'!$O$10,IF($N875="Fail",'Lists &amp; Settings'!$O$9,IF($N875="Insufficient Evidence",'Lists &amp; Settings'!$O$10,IF($N875="Pass",IF($M875&gt;='Lists &amp; Settings'!$N$2,'Lists &amp; Settings'!$O$2,IF($M875&gt;='Lists &amp; Settings'!$N$3,'Lists &amp; Settings'!$O$3,'Lists &amp; Settings'!$O$4)),IF($N875="Partial",IF($M875&gt;='Lists &amp; Settings'!$N$6,'Lists &amp; Settings'!$O$6,IF($M875&gt;='Lists &amp; Settings'!$N$7,'Lists &amp; Settings'!$O$7,'Lists &amp; Settings'!$O$8)),'Lists &amp; Settings'!$O$10))))))</f>
        <v/>
      </c>
      <c r="T875" s="31"/>
      <c r="U875" s="31"/>
      <c r="V875" s="31"/>
    </row>
    <row r="876" ht="15.75" customHeight="1">
      <c r="B876" s="31"/>
      <c r="N876" s="127"/>
      <c r="S876" s="31" t="str">
        <f>IF($C876="","",IF(OR($M876="",$N876=""),'Lists &amp; Settings'!$O$10,IF($N876="Fail",'Lists &amp; Settings'!$O$9,IF($N876="Insufficient Evidence",'Lists &amp; Settings'!$O$10,IF($N876="Pass",IF($M876&gt;='Lists &amp; Settings'!$N$2,'Lists &amp; Settings'!$O$2,IF($M876&gt;='Lists &amp; Settings'!$N$3,'Lists &amp; Settings'!$O$3,'Lists &amp; Settings'!$O$4)),IF($N876="Partial",IF($M876&gt;='Lists &amp; Settings'!$N$6,'Lists &amp; Settings'!$O$6,IF($M876&gt;='Lists &amp; Settings'!$N$7,'Lists &amp; Settings'!$O$7,'Lists &amp; Settings'!$O$8)),'Lists &amp; Settings'!$O$10))))))</f>
        <v/>
      </c>
      <c r="T876" s="31"/>
      <c r="U876" s="31"/>
      <c r="V876" s="31"/>
    </row>
    <row r="877" ht="15.75" customHeight="1">
      <c r="B877" s="31"/>
      <c r="N877" s="127"/>
      <c r="S877" s="31" t="str">
        <f>IF($C877="","",IF(OR($M877="",$N877=""),'Lists &amp; Settings'!$O$10,IF($N877="Fail",'Lists &amp; Settings'!$O$9,IF($N877="Insufficient Evidence",'Lists &amp; Settings'!$O$10,IF($N877="Pass",IF($M877&gt;='Lists &amp; Settings'!$N$2,'Lists &amp; Settings'!$O$2,IF($M877&gt;='Lists &amp; Settings'!$N$3,'Lists &amp; Settings'!$O$3,'Lists &amp; Settings'!$O$4)),IF($N877="Partial",IF($M877&gt;='Lists &amp; Settings'!$N$6,'Lists &amp; Settings'!$O$6,IF($M877&gt;='Lists &amp; Settings'!$N$7,'Lists &amp; Settings'!$O$7,'Lists &amp; Settings'!$O$8)),'Lists &amp; Settings'!$O$10))))))</f>
        <v/>
      </c>
      <c r="T877" s="31"/>
      <c r="U877" s="31"/>
      <c r="V877" s="31"/>
    </row>
    <row r="878" ht="15.75" customHeight="1">
      <c r="B878" s="31"/>
      <c r="N878" s="127"/>
      <c r="S878" s="31" t="str">
        <f>IF($C878="","",IF(OR($M878="",$N878=""),'Lists &amp; Settings'!$O$10,IF($N878="Fail",'Lists &amp; Settings'!$O$9,IF($N878="Insufficient Evidence",'Lists &amp; Settings'!$O$10,IF($N878="Pass",IF($M878&gt;='Lists &amp; Settings'!$N$2,'Lists &amp; Settings'!$O$2,IF($M878&gt;='Lists &amp; Settings'!$N$3,'Lists &amp; Settings'!$O$3,'Lists &amp; Settings'!$O$4)),IF($N878="Partial",IF($M878&gt;='Lists &amp; Settings'!$N$6,'Lists &amp; Settings'!$O$6,IF($M878&gt;='Lists &amp; Settings'!$N$7,'Lists &amp; Settings'!$O$7,'Lists &amp; Settings'!$O$8)),'Lists &amp; Settings'!$O$10))))))</f>
        <v/>
      </c>
      <c r="T878" s="31"/>
      <c r="U878" s="31"/>
      <c r="V878" s="31"/>
    </row>
    <row r="879" ht="15.75" customHeight="1">
      <c r="B879" s="31"/>
      <c r="N879" s="127"/>
      <c r="S879" s="31" t="str">
        <f>IF($C879="","",IF(OR($M879="",$N879=""),'Lists &amp; Settings'!$O$10,IF($N879="Fail",'Lists &amp; Settings'!$O$9,IF($N879="Insufficient Evidence",'Lists &amp; Settings'!$O$10,IF($N879="Pass",IF($M879&gt;='Lists &amp; Settings'!$N$2,'Lists &amp; Settings'!$O$2,IF($M879&gt;='Lists &amp; Settings'!$N$3,'Lists &amp; Settings'!$O$3,'Lists &amp; Settings'!$O$4)),IF($N879="Partial",IF($M879&gt;='Lists &amp; Settings'!$N$6,'Lists &amp; Settings'!$O$6,IF($M879&gt;='Lists &amp; Settings'!$N$7,'Lists &amp; Settings'!$O$7,'Lists &amp; Settings'!$O$8)),'Lists &amp; Settings'!$O$10))))))</f>
        <v/>
      </c>
      <c r="T879" s="31"/>
      <c r="U879" s="31"/>
      <c r="V879" s="31"/>
    </row>
    <row r="880" ht="15.75" customHeight="1">
      <c r="B880" s="31"/>
      <c r="N880" s="127"/>
      <c r="S880" s="31" t="str">
        <f>IF($C880="","",IF(OR($M880="",$N880=""),'Lists &amp; Settings'!$O$10,IF($N880="Fail",'Lists &amp; Settings'!$O$9,IF($N880="Insufficient Evidence",'Lists &amp; Settings'!$O$10,IF($N880="Pass",IF($M880&gt;='Lists &amp; Settings'!$N$2,'Lists &amp; Settings'!$O$2,IF($M880&gt;='Lists &amp; Settings'!$N$3,'Lists &amp; Settings'!$O$3,'Lists &amp; Settings'!$O$4)),IF($N880="Partial",IF($M880&gt;='Lists &amp; Settings'!$N$6,'Lists &amp; Settings'!$O$6,IF($M880&gt;='Lists &amp; Settings'!$N$7,'Lists &amp; Settings'!$O$7,'Lists &amp; Settings'!$O$8)),'Lists &amp; Settings'!$O$10))))))</f>
        <v/>
      </c>
      <c r="T880" s="31"/>
      <c r="U880" s="31"/>
      <c r="V880" s="31"/>
    </row>
    <row r="881" ht="15.75" customHeight="1">
      <c r="B881" s="31"/>
      <c r="N881" s="127"/>
      <c r="S881" s="31" t="str">
        <f>IF($C881="","",IF(OR($M881="",$N881=""),'Lists &amp; Settings'!$O$10,IF($N881="Fail",'Lists &amp; Settings'!$O$9,IF($N881="Insufficient Evidence",'Lists &amp; Settings'!$O$10,IF($N881="Pass",IF($M881&gt;='Lists &amp; Settings'!$N$2,'Lists &amp; Settings'!$O$2,IF($M881&gt;='Lists &amp; Settings'!$N$3,'Lists &amp; Settings'!$O$3,'Lists &amp; Settings'!$O$4)),IF($N881="Partial",IF($M881&gt;='Lists &amp; Settings'!$N$6,'Lists &amp; Settings'!$O$6,IF($M881&gt;='Lists &amp; Settings'!$N$7,'Lists &amp; Settings'!$O$7,'Lists &amp; Settings'!$O$8)),'Lists &amp; Settings'!$O$10))))))</f>
        <v/>
      </c>
      <c r="T881" s="31"/>
      <c r="U881" s="31"/>
      <c r="V881" s="31"/>
    </row>
    <row r="882" ht="15.75" customHeight="1">
      <c r="B882" s="31"/>
      <c r="N882" s="127"/>
      <c r="S882" s="31" t="str">
        <f>IF($C882="","",IF(OR($M882="",$N882=""),'Lists &amp; Settings'!$O$10,IF($N882="Fail",'Lists &amp; Settings'!$O$9,IF($N882="Insufficient Evidence",'Lists &amp; Settings'!$O$10,IF($N882="Pass",IF($M882&gt;='Lists &amp; Settings'!$N$2,'Lists &amp; Settings'!$O$2,IF($M882&gt;='Lists &amp; Settings'!$N$3,'Lists &amp; Settings'!$O$3,'Lists &amp; Settings'!$O$4)),IF($N882="Partial",IF($M882&gt;='Lists &amp; Settings'!$N$6,'Lists &amp; Settings'!$O$6,IF($M882&gt;='Lists &amp; Settings'!$N$7,'Lists &amp; Settings'!$O$7,'Lists &amp; Settings'!$O$8)),'Lists &amp; Settings'!$O$10))))))</f>
        <v/>
      </c>
      <c r="T882" s="31"/>
      <c r="U882" s="31"/>
      <c r="V882" s="31"/>
    </row>
    <row r="883" ht="15.75" customHeight="1">
      <c r="B883" s="31"/>
      <c r="N883" s="127"/>
      <c r="S883" s="31" t="str">
        <f>IF($C883="","",IF(OR($M883="",$N883=""),'Lists &amp; Settings'!$O$10,IF($N883="Fail",'Lists &amp; Settings'!$O$9,IF($N883="Insufficient Evidence",'Lists &amp; Settings'!$O$10,IF($N883="Pass",IF($M883&gt;='Lists &amp; Settings'!$N$2,'Lists &amp; Settings'!$O$2,IF($M883&gt;='Lists &amp; Settings'!$N$3,'Lists &amp; Settings'!$O$3,'Lists &amp; Settings'!$O$4)),IF($N883="Partial",IF($M883&gt;='Lists &amp; Settings'!$N$6,'Lists &amp; Settings'!$O$6,IF($M883&gt;='Lists &amp; Settings'!$N$7,'Lists &amp; Settings'!$O$7,'Lists &amp; Settings'!$O$8)),'Lists &amp; Settings'!$O$10))))))</f>
        <v/>
      </c>
      <c r="T883" s="31"/>
      <c r="U883" s="31"/>
      <c r="V883" s="31"/>
    </row>
    <row r="884" ht="15.75" customHeight="1">
      <c r="B884" s="31"/>
      <c r="N884" s="127"/>
      <c r="S884" s="31" t="str">
        <f>IF($C884="","",IF(OR($M884="",$N884=""),'Lists &amp; Settings'!$O$10,IF($N884="Fail",'Lists &amp; Settings'!$O$9,IF($N884="Insufficient Evidence",'Lists &amp; Settings'!$O$10,IF($N884="Pass",IF($M884&gt;='Lists &amp; Settings'!$N$2,'Lists &amp; Settings'!$O$2,IF($M884&gt;='Lists &amp; Settings'!$N$3,'Lists &amp; Settings'!$O$3,'Lists &amp; Settings'!$O$4)),IF($N884="Partial",IF($M884&gt;='Lists &amp; Settings'!$N$6,'Lists &amp; Settings'!$O$6,IF($M884&gt;='Lists &amp; Settings'!$N$7,'Lists &amp; Settings'!$O$7,'Lists &amp; Settings'!$O$8)),'Lists &amp; Settings'!$O$10))))))</f>
        <v/>
      </c>
      <c r="T884" s="31"/>
      <c r="U884" s="31"/>
      <c r="V884" s="31"/>
    </row>
    <row r="885" ht="15.75" customHeight="1">
      <c r="B885" s="31"/>
      <c r="N885" s="127"/>
      <c r="S885" s="31" t="str">
        <f>IF($C885="","",IF(OR($M885="",$N885=""),'Lists &amp; Settings'!$O$10,IF($N885="Fail",'Lists &amp; Settings'!$O$9,IF($N885="Insufficient Evidence",'Lists &amp; Settings'!$O$10,IF($N885="Pass",IF($M885&gt;='Lists &amp; Settings'!$N$2,'Lists &amp; Settings'!$O$2,IF($M885&gt;='Lists &amp; Settings'!$N$3,'Lists &amp; Settings'!$O$3,'Lists &amp; Settings'!$O$4)),IF($N885="Partial",IF($M885&gt;='Lists &amp; Settings'!$N$6,'Lists &amp; Settings'!$O$6,IF($M885&gt;='Lists &amp; Settings'!$N$7,'Lists &amp; Settings'!$O$7,'Lists &amp; Settings'!$O$8)),'Lists &amp; Settings'!$O$10))))))</f>
        <v/>
      </c>
      <c r="T885" s="31"/>
      <c r="U885" s="31"/>
      <c r="V885" s="31"/>
    </row>
    <row r="886" ht="15.75" customHeight="1">
      <c r="B886" s="31"/>
      <c r="N886" s="127"/>
      <c r="S886" s="31" t="str">
        <f>IF($C886="","",IF(OR($M886="",$N886=""),'Lists &amp; Settings'!$O$10,IF($N886="Fail",'Lists &amp; Settings'!$O$9,IF($N886="Insufficient Evidence",'Lists &amp; Settings'!$O$10,IF($N886="Pass",IF($M886&gt;='Lists &amp; Settings'!$N$2,'Lists &amp; Settings'!$O$2,IF($M886&gt;='Lists &amp; Settings'!$N$3,'Lists &amp; Settings'!$O$3,'Lists &amp; Settings'!$O$4)),IF($N886="Partial",IF($M886&gt;='Lists &amp; Settings'!$N$6,'Lists &amp; Settings'!$O$6,IF($M886&gt;='Lists &amp; Settings'!$N$7,'Lists &amp; Settings'!$O$7,'Lists &amp; Settings'!$O$8)),'Lists &amp; Settings'!$O$10))))))</f>
        <v/>
      </c>
      <c r="T886" s="31"/>
      <c r="U886" s="31"/>
      <c r="V886" s="31"/>
    </row>
    <row r="887" ht="15.75" customHeight="1">
      <c r="B887" s="31"/>
      <c r="N887" s="127"/>
      <c r="S887" s="31" t="str">
        <f>IF($C887="","",IF(OR($M887="",$N887=""),'Lists &amp; Settings'!$O$10,IF($N887="Fail",'Lists &amp; Settings'!$O$9,IF($N887="Insufficient Evidence",'Lists &amp; Settings'!$O$10,IF($N887="Pass",IF($M887&gt;='Lists &amp; Settings'!$N$2,'Lists &amp; Settings'!$O$2,IF($M887&gt;='Lists &amp; Settings'!$N$3,'Lists &amp; Settings'!$O$3,'Lists &amp; Settings'!$O$4)),IF($N887="Partial",IF($M887&gt;='Lists &amp; Settings'!$N$6,'Lists &amp; Settings'!$O$6,IF($M887&gt;='Lists &amp; Settings'!$N$7,'Lists &amp; Settings'!$O$7,'Lists &amp; Settings'!$O$8)),'Lists &amp; Settings'!$O$10))))))</f>
        <v/>
      </c>
      <c r="T887" s="31"/>
      <c r="U887" s="31"/>
      <c r="V887" s="31"/>
    </row>
    <row r="888" ht="15.75" customHeight="1">
      <c r="B888" s="31"/>
      <c r="N888" s="127"/>
      <c r="S888" s="31" t="str">
        <f>IF($C888="","",IF(OR($M888="",$N888=""),'Lists &amp; Settings'!$O$10,IF($N888="Fail",'Lists &amp; Settings'!$O$9,IF($N888="Insufficient Evidence",'Lists &amp; Settings'!$O$10,IF($N888="Pass",IF($M888&gt;='Lists &amp; Settings'!$N$2,'Lists &amp; Settings'!$O$2,IF($M888&gt;='Lists &amp; Settings'!$N$3,'Lists &amp; Settings'!$O$3,'Lists &amp; Settings'!$O$4)),IF($N888="Partial",IF($M888&gt;='Lists &amp; Settings'!$N$6,'Lists &amp; Settings'!$O$6,IF($M888&gt;='Lists &amp; Settings'!$N$7,'Lists &amp; Settings'!$O$7,'Lists &amp; Settings'!$O$8)),'Lists &amp; Settings'!$O$10))))))</f>
        <v/>
      </c>
      <c r="T888" s="31"/>
      <c r="U888" s="31"/>
      <c r="V888" s="31"/>
    </row>
    <row r="889" ht="15.75" customHeight="1">
      <c r="B889" s="31"/>
      <c r="N889" s="127"/>
      <c r="S889" s="31" t="str">
        <f>IF($C889="","",IF(OR($M889="",$N889=""),'Lists &amp; Settings'!$O$10,IF($N889="Fail",'Lists &amp; Settings'!$O$9,IF($N889="Insufficient Evidence",'Lists &amp; Settings'!$O$10,IF($N889="Pass",IF($M889&gt;='Lists &amp; Settings'!$N$2,'Lists &amp; Settings'!$O$2,IF($M889&gt;='Lists &amp; Settings'!$N$3,'Lists &amp; Settings'!$O$3,'Lists &amp; Settings'!$O$4)),IF($N889="Partial",IF($M889&gt;='Lists &amp; Settings'!$N$6,'Lists &amp; Settings'!$O$6,IF($M889&gt;='Lists &amp; Settings'!$N$7,'Lists &amp; Settings'!$O$7,'Lists &amp; Settings'!$O$8)),'Lists &amp; Settings'!$O$10))))))</f>
        <v/>
      </c>
      <c r="T889" s="31"/>
      <c r="U889" s="31"/>
      <c r="V889" s="31"/>
    </row>
    <row r="890" ht="15.75" customHeight="1">
      <c r="B890" s="31"/>
      <c r="N890" s="127"/>
      <c r="S890" s="31" t="str">
        <f>IF($C890="","",IF(OR($M890="",$N890=""),'Lists &amp; Settings'!$O$10,IF($N890="Fail",'Lists &amp; Settings'!$O$9,IF($N890="Insufficient Evidence",'Lists &amp; Settings'!$O$10,IF($N890="Pass",IF($M890&gt;='Lists &amp; Settings'!$N$2,'Lists &amp; Settings'!$O$2,IF($M890&gt;='Lists &amp; Settings'!$N$3,'Lists &amp; Settings'!$O$3,'Lists &amp; Settings'!$O$4)),IF($N890="Partial",IF($M890&gt;='Lists &amp; Settings'!$N$6,'Lists &amp; Settings'!$O$6,IF($M890&gt;='Lists &amp; Settings'!$N$7,'Lists &amp; Settings'!$O$7,'Lists &amp; Settings'!$O$8)),'Lists &amp; Settings'!$O$10))))))</f>
        <v/>
      </c>
      <c r="T890" s="31"/>
      <c r="U890" s="31"/>
      <c r="V890" s="31"/>
    </row>
    <row r="891" ht="15.75" customHeight="1">
      <c r="B891" s="31"/>
      <c r="N891" s="127"/>
      <c r="S891" s="31" t="str">
        <f>IF($C891="","",IF(OR($M891="",$N891=""),'Lists &amp; Settings'!$O$10,IF($N891="Fail",'Lists &amp; Settings'!$O$9,IF($N891="Insufficient Evidence",'Lists &amp; Settings'!$O$10,IF($N891="Pass",IF($M891&gt;='Lists &amp; Settings'!$N$2,'Lists &amp; Settings'!$O$2,IF($M891&gt;='Lists &amp; Settings'!$N$3,'Lists &amp; Settings'!$O$3,'Lists &amp; Settings'!$O$4)),IF($N891="Partial",IF($M891&gt;='Lists &amp; Settings'!$N$6,'Lists &amp; Settings'!$O$6,IF($M891&gt;='Lists &amp; Settings'!$N$7,'Lists &amp; Settings'!$O$7,'Lists &amp; Settings'!$O$8)),'Lists &amp; Settings'!$O$10))))))</f>
        <v/>
      </c>
      <c r="T891" s="31"/>
      <c r="U891" s="31"/>
      <c r="V891" s="31"/>
    </row>
    <row r="892" ht="15.75" customHeight="1">
      <c r="B892" s="31"/>
      <c r="N892" s="127"/>
      <c r="S892" s="31" t="str">
        <f>IF($C892="","",IF(OR($M892="",$N892=""),'Lists &amp; Settings'!$O$10,IF($N892="Fail",'Lists &amp; Settings'!$O$9,IF($N892="Insufficient Evidence",'Lists &amp; Settings'!$O$10,IF($N892="Pass",IF($M892&gt;='Lists &amp; Settings'!$N$2,'Lists &amp; Settings'!$O$2,IF($M892&gt;='Lists &amp; Settings'!$N$3,'Lists &amp; Settings'!$O$3,'Lists &amp; Settings'!$O$4)),IF($N892="Partial",IF($M892&gt;='Lists &amp; Settings'!$N$6,'Lists &amp; Settings'!$O$6,IF($M892&gt;='Lists &amp; Settings'!$N$7,'Lists &amp; Settings'!$O$7,'Lists &amp; Settings'!$O$8)),'Lists &amp; Settings'!$O$10))))))</f>
        <v/>
      </c>
      <c r="T892" s="31"/>
      <c r="U892" s="31"/>
      <c r="V892" s="31"/>
    </row>
    <row r="893" ht="15.75" customHeight="1">
      <c r="B893" s="31"/>
      <c r="N893" s="127"/>
      <c r="S893" s="31" t="str">
        <f>IF($C893="","",IF(OR($M893="",$N893=""),'Lists &amp; Settings'!$O$10,IF($N893="Fail",'Lists &amp; Settings'!$O$9,IF($N893="Insufficient Evidence",'Lists &amp; Settings'!$O$10,IF($N893="Pass",IF($M893&gt;='Lists &amp; Settings'!$N$2,'Lists &amp; Settings'!$O$2,IF($M893&gt;='Lists &amp; Settings'!$N$3,'Lists &amp; Settings'!$O$3,'Lists &amp; Settings'!$O$4)),IF($N893="Partial",IF($M893&gt;='Lists &amp; Settings'!$N$6,'Lists &amp; Settings'!$O$6,IF($M893&gt;='Lists &amp; Settings'!$N$7,'Lists &amp; Settings'!$O$7,'Lists &amp; Settings'!$O$8)),'Lists &amp; Settings'!$O$10))))))</f>
        <v/>
      </c>
      <c r="T893" s="31"/>
      <c r="U893" s="31"/>
      <c r="V893" s="31"/>
    </row>
    <row r="894" ht="15.75" customHeight="1">
      <c r="B894" s="31"/>
      <c r="N894" s="127"/>
      <c r="S894" s="31" t="str">
        <f>IF($C894="","",IF(OR($M894="",$N894=""),'Lists &amp; Settings'!$O$10,IF($N894="Fail",'Lists &amp; Settings'!$O$9,IF($N894="Insufficient Evidence",'Lists &amp; Settings'!$O$10,IF($N894="Pass",IF($M894&gt;='Lists &amp; Settings'!$N$2,'Lists &amp; Settings'!$O$2,IF($M894&gt;='Lists &amp; Settings'!$N$3,'Lists &amp; Settings'!$O$3,'Lists &amp; Settings'!$O$4)),IF($N894="Partial",IF($M894&gt;='Lists &amp; Settings'!$N$6,'Lists &amp; Settings'!$O$6,IF($M894&gt;='Lists &amp; Settings'!$N$7,'Lists &amp; Settings'!$O$7,'Lists &amp; Settings'!$O$8)),'Lists &amp; Settings'!$O$10))))))</f>
        <v/>
      </c>
      <c r="T894" s="31"/>
      <c r="U894" s="31"/>
      <c r="V894" s="31"/>
    </row>
    <row r="895" ht="15.75" customHeight="1">
      <c r="B895" s="31"/>
      <c r="N895" s="127"/>
      <c r="S895" s="31" t="str">
        <f>IF($C895="","",IF(OR($M895="",$N895=""),'Lists &amp; Settings'!$O$10,IF($N895="Fail",'Lists &amp; Settings'!$O$9,IF($N895="Insufficient Evidence",'Lists &amp; Settings'!$O$10,IF($N895="Pass",IF($M895&gt;='Lists &amp; Settings'!$N$2,'Lists &amp; Settings'!$O$2,IF($M895&gt;='Lists &amp; Settings'!$N$3,'Lists &amp; Settings'!$O$3,'Lists &amp; Settings'!$O$4)),IF($N895="Partial",IF($M895&gt;='Lists &amp; Settings'!$N$6,'Lists &amp; Settings'!$O$6,IF($M895&gt;='Lists &amp; Settings'!$N$7,'Lists &amp; Settings'!$O$7,'Lists &amp; Settings'!$O$8)),'Lists &amp; Settings'!$O$10))))))</f>
        <v/>
      </c>
      <c r="T895" s="31"/>
      <c r="U895" s="31"/>
      <c r="V895" s="31"/>
    </row>
    <row r="896" ht="15.75" customHeight="1">
      <c r="B896" s="31"/>
      <c r="N896" s="127"/>
      <c r="S896" s="31" t="str">
        <f>IF($C896="","",IF(OR($M896="",$N896=""),'Lists &amp; Settings'!$O$10,IF($N896="Fail",'Lists &amp; Settings'!$O$9,IF($N896="Insufficient Evidence",'Lists &amp; Settings'!$O$10,IF($N896="Pass",IF($M896&gt;='Lists &amp; Settings'!$N$2,'Lists &amp; Settings'!$O$2,IF($M896&gt;='Lists &amp; Settings'!$N$3,'Lists &amp; Settings'!$O$3,'Lists &amp; Settings'!$O$4)),IF($N896="Partial",IF($M896&gt;='Lists &amp; Settings'!$N$6,'Lists &amp; Settings'!$O$6,IF($M896&gt;='Lists &amp; Settings'!$N$7,'Lists &amp; Settings'!$O$7,'Lists &amp; Settings'!$O$8)),'Lists &amp; Settings'!$O$10))))))</f>
        <v/>
      </c>
      <c r="T896" s="31"/>
      <c r="U896" s="31"/>
      <c r="V896" s="31"/>
    </row>
    <row r="897" ht="15.75" customHeight="1">
      <c r="B897" s="31"/>
      <c r="N897" s="127"/>
      <c r="S897" s="31" t="str">
        <f>IF($C897="","",IF(OR($M897="",$N897=""),'Lists &amp; Settings'!$O$10,IF($N897="Fail",'Lists &amp; Settings'!$O$9,IF($N897="Insufficient Evidence",'Lists &amp; Settings'!$O$10,IF($N897="Pass",IF($M897&gt;='Lists &amp; Settings'!$N$2,'Lists &amp; Settings'!$O$2,IF($M897&gt;='Lists &amp; Settings'!$N$3,'Lists &amp; Settings'!$O$3,'Lists &amp; Settings'!$O$4)),IF($N897="Partial",IF($M897&gt;='Lists &amp; Settings'!$N$6,'Lists &amp; Settings'!$O$6,IF($M897&gt;='Lists &amp; Settings'!$N$7,'Lists &amp; Settings'!$O$7,'Lists &amp; Settings'!$O$8)),'Lists &amp; Settings'!$O$10))))))</f>
        <v/>
      </c>
      <c r="T897" s="31"/>
      <c r="U897" s="31"/>
      <c r="V897" s="31"/>
    </row>
    <row r="898" ht="15.75" customHeight="1">
      <c r="B898" s="31"/>
      <c r="N898" s="127"/>
      <c r="S898" s="31" t="str">
        <f>IF($C898="","",IF(OR($M898="",$N898=""),'Lists &amp; Settings'!$O$10,IF($N898="Fail",'Lists &amp; Settings'!$O$9,IF($N898="Insufficient Evidence",'Lists &amp; Settings'!$O$10,IF($N898="Pass",IF($M898&gt;='Lists &amp; Settings'!$N$2,'Lists &amp; Settings'!$O$2,IF($M898&gt;='Lists &amp; Settings'!$N$3,'Lists &amp; Settings'!$O$3,'Lists &amp; Settings'!$O$4)),IF($N898="Partial",IF($M898&gt;='Lists &amp; Settings'!$N$6,'Lists &amp; Settings'!$O$6,IF($M898&gt;='Lists &amp; Settings'!$N$7,'Lists &amp; Settings'!$O$7,'Lists &amp; Settings'!$O$8)),'Lists &amp; Settings'!$O$10))))))</f>
        <v/>
      </c>
      <c r="T898" s="31"/>
      <c r="U898" s="31"/>
      <c r="V898" s="31"/>
    </row>
    <row r="899" ht="15.75" customHeight="1">
      <c r="B899" s="31"/>
      <c r="N899" s="127"/>
      <c r="S899" s="31" t="str">
        <f>IF($C899="","",IF(OR($M899="",$N899=""),'Lists &amp; Settings'!$O$10,IF($N899="Fail",'Lists &amp; Settings'!$O$9,IF($N899="Insufficient Evidence",'Lists &amp; Settings'!$O$10,IF($N899="Pass",IF($M899&gt;='Lists &amp; Settings'!$N$2,'Lists &amp; Settings'!$O$2,IF($M899&gt;='Lists &amp; Settings'!$N$3,'Lists &amp; Settings'!$O$3,'Lists &amp; Settings'!$O$4)),IF($N899="Partial",IF($M899&gt;='Lists &amp; Settings'!$N$6,'Lists &amp; Settings'!$O$6,IF($M899&gt;='Lists &amp; Settings'!$N$7,'Lists &amp; Settings'!$O$7,'Lists &amp; Settings'!$O$8)),'Lists &amp; Settings'!$O$10))))))</f>
        <v/>
      </c>
      <c r="T899" s="31"/>
      <c r="U899" s="31"/>
      <c r="V899" s="31"/>
    </row>
    <row r="900" ht="15.75" customHeight="1">
      <c r="B900" s="31"/>
      <c r="N900" s="127"/>
      <c r="S900" s="31" t="str">
        <f>IF($C900="","",IF(OR($M900="",$N900=""),'Lists &amp; Settings'!$O$10,IF($N900="Fail",'Lists &amp; Settings'!$O$9,IF($N900="Insufficient Evidence",'Lists &amp; Settings'!$O$10,IF($N900="Pass",IF($M900&gt;='Lists &amp; Settings'!$N$2,'Lists &amp; Settings'!$O$2,IF($M900&gt;='Lists &amp; Settings'!$N$3,'Lists &amp; Settings'!$O$3,'Lists &amp; Settings'!$O$4)),IF($N900="Partial",IF($M900&gt;='Lists &amp; Settings'!$N$6,'Lists &amp; Settings'!$O$6,IF($M900&gt;='Lists &amp; Settings'!$N$7,'Lists &amp; Settings'!$O$7,'Lists &amp; Settings'!$O$8)),'Lists &amp; Settings'!$O$10))))))</f>
        <v/>
      </c>
      <c r="T900" s="31"/>
      <c r="U900" s="31"/>
      <c r="V900" s="31"/>
    </row>
    <row r="901" ht="15.75" customHeight="1">
      <c r="B901" s="31"/>
      <c r="N901" s="127"/>
      <c r="S901" s="31" t="str">
        <f>IF($C901="","",IF(OR($M901="",$N901=""),'Lists &amp; Settings'!$O$10,IF($N901="Fail",'Lists &amp; Settings'!$O$9,IF($N901="Insufficient Evidence",'Lists &amp; Settings'!$O$10,IF($N901="Pass",IF($M901&gt;='Lists &amp; Settings'!$N$2,'Lists &amp; Settings'!$O$2,IF($M901&gt;='Lists &amp; Settings'!$N$3,'Lists &amp; Settings'!$O$3,'Lists &amp; Settings'!$O$4)),IF($N901="Partial",IF($M901&gt;='Lists &amp; Settings'!$N$6,'Lists &amp; Settings'!$O$6,IF($M901&gt;='Lists &amp; Settings'!$N$7,'Lists &amp; Settings'!$O$7,'Lists &amp; Settings'!$O$8)),'Lists &amp; Settings'!$O$10))))))</f>
        <v/>
      </c>
      <c r="T901" s="31"/>
      <c r="U901" s="31"/>
      <c r="V901" s="31"/>
    </row>
    <row r="902" ht="15.75" customHeight="1">
      <c r="B902" s="31"/>
      <c r="N902" s="127"/>
      <c r="S902" s="31" t="str">
        <f>IF($C902="","",IF(OR($M902="",$N902=""),'Lists &amp; Settings'!$O$10,IF($N902="Fail",'Lists &amp; Settings'!$O$9,IF($N902="Insufficient Evidence",'Lists &amp; Settings'!$O$10,IF($N902="Pass",IF($M902&gt;='Lists &amp; Settings'!$N$2,'Lists &amp; Settings'!$O$2,IF($M902&gt;='Lists &amp; Settings'!$N$3,'Lists &amp; Settings'!$O$3,'Lists &amp; Settings'!$O$4)),IF($N902="Partial",IF($M902&gt;='Lists &amp; Settings'!$N$6,'Lists &amp; Settings'!$O$6,IF($M902&gt;='Lists &amp; Settings'!$N$7,'Lists &amp; Settings'!$O$7,'Lists &amp; Settings'!$O$8)),'Lists &amp; Settings'!$O$10))))))</f>
        <v/>
      </c>
      <c r="T902" s="31"/>
      <c r="U902" s="31"/>
      <c r="V902" s="31"/>
    </row>
    <row r="903" ht="15.75" customHeight="1">
      <c r="B903" s="31"/>
      <c r="N903" s="127"/>
      <c r="S903" s="31" t="str">
        <f>IF($C903="","",IF(OR($M903="",$N903=""),'Lists &amp; Settings'!$O$10,IF($N903="Fail",'Lists &amp; Settings'!$O$9,IF($N903="Insufficient Evidence",'Lists &amp; Settings'!$O$10,IF($N903="Pass",IF($M903&gt;='Lists &amp; Settings'!$N$2,'Lists &amp; Settings'!$O$2,IF($M903&gt;='Lists &amp; Settings'!$N$3,'Lists &amp; Settings'!$O$3,'Lists &amp; Settings'!$O$4)),IF($N903="Partial",IF($M903&gt;='Lists &amp; Settings'!$N$6,'Lists &amp; Settings'!$O$6,IF($M903&gt;='Lists &amp; Settings'!$N$7,'Lists &amp; Settings'!$O$7,'Lists &amp; Settings'!$O$8)),'Lists &amp; Settings'!$O$10))))))</f>
        <v/>
      </c>
      <c r="T903" s="31"/>
      <c r="U903" s="31"/>
      <c r="V903" s="31"/>
    </row>
    <row r="904" ht="15.75" customHeight="1">
      <c r="B904" s="31"/>
      <c r="N904" s="127"/>
      <c r="S904" s="31" t="str">
        <f>IF($C904="","",IF(OR($M904="",$N904=""),'Lists &amp; Settings'!$O$10,IF($N904="Fail",'Lists &amp; Settings'!$O$9,IF($N904="Insufficient Evidence",'Lists &amp; Settings'!$O$10,IF($N904="Pass",IF($M904&gt;='Lists &amp; Settings'!$N$2,'Lists &amp; Settings'!$O$2,IF($M904&gt;='Lists &amp; Settings'!$N$3,'Lists &amp; Settings'!$O$3,'Lists &amp; Settings'!$O$4)),IF($N904="Partial",IF($M904&gt;='Lists &amp; Settings'!$N$6,'Lists &amp; Settings'!$O$6,IF($M904&gt;='Lists &amp; Settings'!$N$7,'Lists &amp; Settings'!$O$7,'Lists &amp; Settings'!$O$8)),'Lists &amp; Settings'!$O$10))))))</f>
        <v/>
      </c>
      <c r="T904" s="31"/>
      <c r="U904" s="31"/>
      <c r="V904" s="31"/>
    </row>
    <row r="905" ht="15.75" customHeight="1">
      <c r="B905" s="31"/>
      <c r="N905" s="127"/>
      <c r="S905" s="31" t="str">
        <f>IF($C905="","",IF(OR($M905="",$N905=""),'Lists &amp; Settings'!$O$10,IF($N905="Fail",'Lists &amp; Settings'!$O$9,IF($N905="Insufficient Evidence",'Lists &amp; Settings'!$O$10,IF($N905="Pass",IF($M905&gt;='Lists &amp; Settings'!$N$2,'Lists &amp; Settings'!$O$2,IF($M905&gt;='Lists &amp; Settings'!$N$3,'Lists &amp; Settings'!$O$3,'Lists &amp; Settings'!$O$4)),IF($N905="Partial",IF($M905&gt;='Lists &amp; Settings'!$N$6,'Lists &amp; Settings'!$O$6,IF($M905&gt;='Lists &amp; Settings'!$N$7,'Lists &amp; Settings'!$O$7,'Lists &amp; Settings'!$O$8)),'Lists &amp; Settings'!$O$10))))))</f>
        <v/>
      </c>
      <c r="T905" s="31"/>
      <c r="U905" s="31"/>
      <c r="V905" s="31"/>
    </row>
    <row r="906" ht="15.75" customHeight="1">
      <c r="B906" s="31"/>
      <c r="N906" s="127"/>
      <c r="S906" s="31" t="str">
        <f>IF($C906="","",IF(OR($M906="",$N906=""),'Lists &amp; Settings'!$O$10,IF($N906="Fail",'Lists &amp; Settings'!$O$9,IF($N906="Insufficient Evidence",'Lists &amp; Settings'!$O$10,IF($N906="Pass",IF($M906&gt;='Lists &amp; Settings'!$N$2,'Lists &amp; Settings'!$O$2,IF($M906&gt;='Lists &amp; Settings'!$N$3,'Lists &amp; Settings'!$O$3,'Lists &amp; Settings'!$O$4)),IF($N906="Partial",IF($M906&gt;='Lists &amp; Settings'!$N$6,'Lists &amp; Settings'!$O$6,IF($M906&gt;='Lists &amp; Settings'!$N$7,'Lists &amp; Settings'!$O$7,'Lists &amp; Settings'!$O$8)),'Lists &amp; Settings'!$O$10))))))</f>
        <v/>
      </c>
      <c r="T906" s="31"/>
      <c r="U906" s="31"/>
      <c r="V906" s="31"/>
    </row>
    <row r="907" ht="15.75" customHeight="1">
      <c r="B907" s="31"/>
      <c r="N907" s="127"/>
      <c r="S907" s="31" t="str">
        <f>IF($C907="","",IF(OR($M907="",$N907=""),'Lists &amp; Settings'!$O$10,IF($N907="Fail",'Lists &amp; Settings'!$O$9,IF($N907="Insufficient Evidence",'Lists &amp; Settings'!$O$10,IF($N907="Pass",IF($M907&gt;='Lists &amp; Settings'!$N$2,'Lists &amp; Settings'!$O$2,IF($M907&gt;='Lists &amp; Settings'!$N$3,'Lists &amp; Settings'!$O$3,'Lists &amp; Settings'!$O$4)),IF($N907="Partial",IF($M907&gt;='Lists &amp; Settings'!$N$6,'Lists &amp; Settings'!$O$6,IF($M907&gt;='Lists &amp; Settings'!$N$7,'Lists &amp; Settings'!$O$7,'Lists &amp; Settings'!$O$8)),'Lists &amp; Settings'!$O$10))))))</f>
        <v/>
      </c>
      <c r="T907" s="31"/>
      <c r="U907" s="31"/>
      <c r="V907" s="31"/>
    </row>
    <row r="908" ht="15.75" customHeight="1">
      <c r="B908" s="31"/>
      <c r="N908" s="127"/>
      <c r="S908" s="31" t="str">
        <f>IF($C908="","",IF(OR($M908="",$N908=""),'Lists &amp; Settings'!$O$10,IF($N908="Fail",'Lists &amp; Settings'!$O$9,IF($N908="Insufficient Evidence",'Lists &amp; Settings'!$O$10,IF($N908="Pass",IF($M908&gt;='Lists &amp; Settings'!$N$2,'Lists &amp; Settings'!$O$2,IF($M908&gt;='Lists &amp; Settings'!$N$3,'Lists &amp; Settings'!$O$3,'Lists &amp; Settings'!$O$4)),IF($N908="Partial",IF($M908&gt;='Lists &amp; Settings'!$N$6,'Lists &amp; Settings'!$O$6,IF($M908&gt;='Lists &amp; Settings'!$N$7,'Lists &amp; Settings'!$O$7,'Lists &amp; Settings'!$O$8)),'Lists &amp; Settings'!$O$10))))))</f>
        <v/>
      </c>
      <c r="T908" s="31"/>
      <c r="U908" s="31"/>
      <c r="V908" s="31"/>
    </row>
    <row r="909" ht="15.75" customHeight="1">
      <c r="B909" s="31"/>
      <c r="N909" s="127"/>
      <c r="S909" s="31" t="str">
        <f>IF($C909="","",IF(OR($M909="",$N909=""),'Lists &amp; Settings'!$O$10,IF($N909="Fail",'Lists &amp; Settings'!$O$9,IF($N909="Insufficient Evidence",'Lists &amp; Settings'!$O$10,IF($N909="Pass",IF($M909&gt;='Lists &amp; Settings'!$N$2,'Lists &amp; Settings'!$O$2,IF($M909&gt;='Lists &amp; Settings'!$N$3,'Lists &amp; Settings'!$O$3,'Lists &amp; Settings'!$O$4)),IF($N909="Partial",IF($M909&gt;='Lists &amp; Settings'!$N$6,'Lists &amp; Settings'!$O$6,IF($M909&gt;='Lists &amp; Settings'!$N$7,'Lists &amp; Settings'!$O$7,'Lists &amp; Settings'!$O$8)),'Lists &amp; Settings'!$O$10))))))</f>
        <v/>
      </c>
      <c r="T909" s="31"/>
      <c r="U909" s="31"/>
      <c r="V909" s="31"/>
    </row>
    <row r="910" ht="15.75" customHeight="1">
      <c r="B910" s="31"/>
      <c r="N910" s="127"/>
      <c r="S910" s="31" t="str">
        <f>IF($C910="","",IF(OR($M910="",$N910=""),'Lists &amp; Settings'!$O$10,IF($N910="Fail",'Lists &amp; Settings'!$O$9,IF($N910="Insufficient Evidence",'Lists &amp; Settings'!$O$10,IF($N910="Pass",IF($M910&gt;='Lists &amp; Settings'!$N$2,'Lists &amp; Settings'!$O$2,IF($M910&gt;='Lists &amp; Settings'!$N$3,'Lists &amp; Settings'!$O$3,'Lists &amp; Settings'!$O$4)),IF($N910="Partial",IF($M910&gt;='Lists &amp; Settings'!$N$6,'Lists &amp; Settings'!$O$6,IF($M910&gt;='Lists &amp; Settings'!$N$7,'Lists &amp; Settings'!$O$7,'Lists &amp; Settings'!$O$8)),'Lists &amp; Settings'!$O$10))))))</f>
        <v/>
      </c>
      <c r="T910" s="31"/>
      <c r="U910" s="31"/>
      <c r="V910" s="31"/>
    </row>
    <row r="911" ht="15.75" customHeight="1">
      <c r="B911" s="31"/>
      <c r="N911" s="127"/>
      <c r="S911" s="31" t="str">
        <f>IF($C911="","",IF(OR($M911="",$N911=""),'Lists &amp; Settings'!$O$10,IF($N911="Fail",'Lists &amp; Settings'!$O$9,IF($N911="Insufficient Evidence",'Lists &amp; Settings'!$O$10,IF($N911="Pass",IF($M911&gt;='Lists &amp; Settings'!$N$2,'Lists &amp; Settings'!$O$2,IF($M911&gt;='Lists &amp; Settings'!$N$3,'Lists &amp; Settings'!$O$3,'Lists &amp; Settings'!$O$4)),IF($N911="Partial",IF($M911&gt;='Lists &amp; Settings'!$N$6,'Lists &amp; Settings'!$O$6,IF($M911&gt;='Lists &amp; Settings'!$N$7,'Lists &amp; Settings'!$O$7,'Lists &amp; Settings'!$O$8)),'Lists &amp; Settings'!$O$10))))))</f>
        <v/>
      </c>
      <c r="T911" s="31"/>
      <c r="U911" s="31"/>
      <c r="V911" s="31"/>
    </row>
    <row r="912" ht="15.75" customHeight="1">
      <c r="B912" s="31"/>
      <c r="N912" s="127"/>
      <c r="S912" s="31" t="str">
        <f>IF($C912="","",IF(OR($M912="",$N912=""),'Lists &amp; Settings'!$O$10,IF($N912="Fail",'Lists &amp; Settings'!$O$9,IF($N912="Insufficient Evidence",'Lists &amp; Settings'!$O$10,IF($N912="Pass",IF($M912&gt;='Lists &amp; Settings'!$N$2,'Lists &amp; Settings'!$O$2,IF($M912&gt;='Lists &amp; Settings'!$N$3,'Lists &amp; Settings'!$O$3,'Lists &amp; Settings'!$O$4)),IF($N912="Partial",IF($M912&gt;='Lists &amp; Settings'!$N$6,'Lists &amp; Settings'!$O$6,IF($M912&gt;='Lists &amp; Settings'!$N$7,'Lists &amp; Settings'!$O$7,'Lists &amp; Settings'!$O$8)),'Lists &amp; Settings'!$O$10))))))</f>
        <v/>
      </c>
      <c r="T912" s="31"/>
      <c r="U912" s="31"/>
      <c r="V912" s="31"/>
    </row>
    <row r="913" ht="15.75" customHeight="1">
      <c r="B913" s="31"/>
      <c r="N913" s="127"/>
      <c r="S913" s="31" t="str">
        <f>IF($C913="","",IF(OR($M913="",$N913=""),'Lists &amp; Settings'!$O$10,IF($N913="Fail",'Lists &amp; Settings'!$O$9,IF($N913="Insufficient Evidence",'Lists &amp; Settings'!$O$10,IF($N913="Pass",IF($M913&gt;='Lists &amp; Settings'!$N$2,'Lists &amp; Settings'!$O$2,IF($M913&gt;='Lists &amp; Settings'!$N$3,'Lists &amp; Settings'!$O$3,'Lists &amp; Settings'!$O$4)),IF($N913="Partial",IF($M913&gt;='Lists &amp; Settings'!$N$6,'Lists &amp; Settings'!$O$6,IF($M913&gt;='Lists &amp; Settings'!$N$7,'Lists &amp; Settings'!$O$7,'Lists &amp; Settings'!$O$8)),'Lists &amp; Settings'!$O$10))))))</f>
        <v/>
      </c>
      <c r="T913" s="31"/>
      <c r="U913" s="31"/>
      <c r="V913" s="31"/>
    </row>
    <row r="914" ht="15.75" customHeight="1">
      <c r="B914" s="31"/>
      <c r="N914" s="127"/>
      <c r="S914" s="31" t="str">
        <f>IF($C914="","",IF(OR($M914="",$N914=""),'Lists &amp; Settings'!$O$10,IF($N914="Fail",'Lists &amp; Settings'!$O$9,IF($N914="Insufficient Evidence",'Lists &amp; Settings'!$O$10,IF($N914="Pass",IF($M914&gt;='Lists &amp; Settings'!$N$2,'Lists &amp; Settings'!$O$2,IF($M914&gt;='Lists &amp; Settings'!$N$3,'Lists &amp; Settings'!$O$3,'Lists &amp; Settings'!$O$4)),IF($N914="Partial",IF($M914&gt;='Lists &amp; Settings'!$N$6,'Lists &amp; Settings'!$O$6,IF($M914&gt;='Lists &amp; Settings'!$N$7,'Lists &amp; Settings'!$O$7,'Lists &amp; Settings'!$O$8)),'Lists &amp; Settings'!$O$10))))))</f>
        <v/>
      </c>
      <c r="T914" s="31"/>
      <c r="U914" s="31"/>
      <c r="V914" s="31"/>
    </row>
    <row r="915" ht="15.75" customHeight="1">
      <c r="B915" s="31"/>
      <c r="N915" s="127"/>
      <c r="S915" s="31" t="str">
        <f>IF($C915="","",IF(OR($M915="",$N915=""),'Lists &amp; Settings'!$O$10,IF($N915="Fail",'Lists &amp; Settings'!$O$9,IF($N915="Insufficient Evidence",'Lists &amp; Settings'!$O$10,IF($N915="Pass",IF($M915&gt;='Lists &amp; Settings'!$N$2,'Lists &amp; Settings'!$O$2,IF($M915&gt;='Lists &amp; Settings'!$N$3,'Lists &amp; Settings'!$O$3,'Lists &amp; Settings'!$O$4)),IF($N915="Partial",IF($M915&gt;='Lists &amp; Settings'!$N$6,'Lists &amp; Settings'!$O$6,IF($M915&gt;='Lists &amp; Settings'!$N$7,'Lists &amp; Settings'!$O$7,'Lists &amp; Settings'!$O$8)),'Lists &amp; Settings'!$O$10))))))</f>
        <v/>
      </c>
      <c r="T915" s="31"/>
      <c r="U915" s="31"/>
      <c r="V915" s="31"/>
    </row>
    <row r="916" ht="15.75" customHeight="1">
      <c r="B916" s="31"/>
      <c r="N916" s="127"/>
      <c r="S916" s="31" t="str">
        <f>IF($C916="","",IF(OR($M916="",$N916=""),'Lists &amp; Settings'!$O$10,IF($N916="Fail",'Lists &amp; Settings'!$O$9,IF($N916="Insufficient Evidence",'Lists &amp; Settings'!$O$10,IF($N916="Pass",IF($M916&gt;='Lists &amp; Settings'!$N$2,'Lists &amp; Settings'!$O$2,IF($M916&gt;='Lists &amp; Settings'!$N$3,'Lists &amp; Settings'!$O$3,'Lists &amp; Settings'!$O$4)),IF($N916="Partial",IF($M916&gt;='Lists &amp; Settings'!$N$6,'Lists &amp; Settings'!$O$6,IF($M916&gt;='Lists &amp; Settings'!$N$7,'Lists &amp; Settings'!$O$7,'Lists &amp; Settings'!$O$8)),'Lists &amp; Settings'!$O$10))))))</f>
        <v/>
      </c>
      <c r="T916" s="31"/>
      <c r="U916" s="31"/>
      <c r="V916" s="31"/>
    </row>
    <row r="917" ht="15.75" customHeight="1">
      <c r="B917" s="31"/>
      <c r="N917" s="127"/>
      <c r="S917" s="31" t="str">
        <f>IF($C917="","",IF(OR($M917="",$N917=""),'Lists &amp; Settings'!$O$10,IF($N917="Fail",'Lists &amp; Settings'!$O$9,IF($N917="Insufficient Evidence",'Lists &amp; Settings'!$O$10,IF($N917="Pass",IF($M917&gt;='Lists &amp; Settings'!$N$2,'Lists &amp; Settings'!$O$2,IF($M917&gt;='Lists &amp; Settings'!$N$3,'Lists &amp; Settings'!$O$3,'Lists &amp; Settings'!$O$4)),IF($N917="Partial",IF($M917&gt;='Lists &amp; Settings'!$N$6,'Lists &amp; Settings'!$O$6,IF($M917&gt;='Lists &amp; Settings'!$N$7,'Lists &amp; Settings'!$O$7,'Lists &amp; Settings'!$O$8)),'Lists &amp; Settings'!$O$10))))))</f>
        <v/>
      </c>
      <c r="T917" s="31"/>
      <c r="U917" s="31"/>
      <c r="V917" s="31"/>
    </row>
    <row r="918" ht="15.75" customHeight="1">
      <c r="B918" s="31"/>
      <c r="N918" s="127"/>
      <c r="S918" s="31" t="str">
        <f>IF($C918="","",IF(OR($M918="",$N918=""),'Lists &amp; Settings'!$O$10,IF($N918="Fail",'Lists &amp; Settings'!$O$9,IF($N918="Insufficient Evidence",'Lists &amp; Settings'!$O$10,IF($N918="Pass",IF($M918&gt;='Lists &amp; Settings'!$N$2,'Lists &amp; Settings'!$O$2,IF($M918&gt;='Lists &amp; Settings'!$N$3,'Lists &amp; Settings'!$O$3,'Lists &amp; Settings'!$O$4)),IF($N918="Partial",IF($M918&gt;='Lists &amp; Settings'!$N$6,'Lists &amp; Settings'!$O$6,IF($M918&gt;='Lists &amp; Settings'!$N$7,'Lists &amp; Settings'!$O$7,'Lists &amp; Settings'!$O$8)),'Lists &amp; Settings'!$O$10))))))</f>
        <v/>
      </c>
      <c r="T918" s="31"/>
      <c r="U918" s="31"/>
      <c r="V918" s="31"/>
    </row>
    <row r="919" ht="15.75" customHeight="1">
      <c r="B919" s="31"/>
      <c r="N919" s="127"/>
      <c r="S919" s="31" t="str">
        <f>IF($C919="","",IF(OR($M919="",$N919=""),'Lists &amp; Settings'!$O$10,IF($N919="Fail",'Lists &amp; Settings'!$O$9,IF($N919="Insufficient Evidence",'Lists &amp; Settings'!$O$10,IF($N919="Pass",IF($M919&gt;='Lists &amp; Settings'!$N$2,'Lists &amp; Settings'!$O$2,IF($M919&gt;='Lists &amp; Settings'!$N$3,'Lists &amp; Settings'!$O$3,'Lists &amp; Settings'!$O$4)),IF($N919="Partial",IF($M919&gt;='Lists &amp; Settings'!$N$6,'Lists &amp; Settings'!$O$6,IF($M919&gt;='Lists &amp; Settings'!$N$7,'Lists &amp; Settings'!$O$7,'Lists &amp; Settings'!$O$8)),'Lists &amp; Settings'!$O$10))))))</f>
        <v/>
      </c>
      <c r="T919" s="31"/>
      <c r="U919" s="31"/>
      <c r="V919" s="31"/>
    </row>
    <row r="920" ht="15.75" customHeight="1">
      <c r="B920" s="31"/>
      <c r="N920" s="127"/>
      <c r="S920" s="31" t="str">
        <f>IF($C920="","",IF(OR($M920="",$N920=""),'Lists &amp; Settings'!$O$10,IF($N920="Fail",'Lists &amp; Settings'!$O$9,IF($N920="Insufficient Evidence",'Lists &amp; Settings'!$O$10,IF($N920="Pass",IF($M920&gt;='Lists &amp; Settings'!$N$2,'Lists &amp; Settings'!$O$2,IF($M920&gt;='Lists &amp; Settings'!$N$3,'Lists &amp; Settings'!$O$3,'Lists &amp; Settings'!$O$4)),IF($N920="Partial",IF($M920&gt;='Lists &amp; Settings'!$N$6,'Lists &amp; Settings'!$O$6,IF($M920&gt;='Lists &amp; Settings'!$N$7,'Lists &amp; Settings'!$O$7,'Lists &amp; Settings'!$O$8)),'Lists &amp; Settings'!$O$10))))))</f>
        <v/>
      </c>
      <c r="T920" s="31"/>
      <c r="U920" s="31"/>
      <c r="V920" s="31"/>
    </row>
    <row r="921" ht="15.75" customHeight="1">
      <c r="B921" s="31"/>
      <c r="N921" s="127"/>
      <c r="S921" s="31" t="str">
        <f>IF($C921="","",IF(OR($M921="",$N921=""),'Lists &amp; Settings'!$O$10,IF($N921="Fail",'Lists &amp; Settings'!$O$9,IF($N921="Insufficient Evidence",'Lists &amp; Settings'!$O$10,IF($N921="Pass",IF($M921&gt;='Lists &amp; Settings'!$N$2,'Lists &amp; Settings'!$O$2,IF($M921&gt;='Lists &amp; Settings'!$N$3,'Lists &amp; Settings'!$O$3,'Lists &amp; Settings'!$O$4)),IF($N921="Partial",IF($M921&gt;='Lists &amp; Settings'!$N$6,'Lists &amp; Settings'!$O$6,IF($M921&gt;='Lists &amp; Settings'!$N$7,'Lists &amp; Settings'!$O$7,'Lists &amp; Settings'!$O$8)),'Lists &amp; Settings'!$O$10))))))</f>
        <v/>
      </c>
      <c r="T921" s="31"/>
      <c r="U921" s="31"/>
      <c r="V921" s="31"/>
    </row>
    <row r="922" ht="15.75" customHeight="1">
      <c r="B922" s="31"/>
      <c r="N922" s="127"/>
      <c r="S922" s="31" t="str">
        <f>IF($C922="","",IF(OR($M922="",$N922=""),'Lists &amp; Settings'!$O$10,IF($N922="Fail",'Lists &amp; Settings'!$O$9,IF($N922="Insufficient Evidence",'Lists &amp; Settings'!$O$10,IF($N922="Pass",IF($M922&gt;='Lists &amp; Settings'!$N$2,'Lists &amp; Settings'!$O$2,IF($M922&gt;='Lists &amp; Settings'!$N$3,'Lists &amp; Settings'!$O$3,'Lists &amp; Settings'!$O$4)),IF($N922="Partial",IF($M922&gt;='Lists &amp; Settings'!$N$6,'Lists &amp; Settings'!$O$6,IF($M922&gt;='Lists &amp; Settings'!$N$7,'Lists &amp; Settings'!$O$7,'Lists &amp; Settings'!$O$8)),'Lists &amp; Settings'!$O$10))))))</f>
        <v/>
      </c>
      <c r="T922" s="31"/>
      <c r="U922" s="31"/>
      <c r="V922" s="31"/>
    </row>
    <row r="923" ht="15.75" customHeight="1">
      <c r="B923" s="31"/>
      <c r="N923" s="127"/>
      <c r="S923" s="31" t="str">
        <f>IF($C923="","",IF(OR($M923="",$N923=""),'Lists &amp; Settings'!$O$10,IF($N923="Fail",'Lists &amp; Settings'!$O$9,IF($N923="Insufficient Evidence",'Lists &amp; Settings'!$O$10,IF($N923="Pass",IF($M923&gt;='Lists &amp; Settings'!$N$2,'Lists &amp; Settings'!$O$2,IF($M923&gt;='Lists &amp; Settings'!$N$3,'Lists &amp; Settings'!$O$3,'Lists &amp; Settings'!$O$4)),IF($N923="Partial",IF($M923&gt;='Lists &amp; Settings'!$N$6,'Lists &amp; Settings'!$O$6,IF($M923&gt;='Lists &amp; Settings'!$N$7,'Lists &amp; Settings'!$O$7,'Lists &amp; Settings'!$O$8)),'Lists &amp; Settings'!$O$10))))))</f>
        <v/>
      </c>
      <c r="T923" s="31"/>
      <c r="U923" s="31"/>
      <c r="V923" s="31"/>
    </row>
    <row r="924" ht="15.75" customHeight="1">
      <c r="B924" s="31"/>
      <c r="N924" s="127"/>
      <c r="S924" s="31" t="str">
        <f>IF($C924="","",IF(OR($M924="",$N924=""),'Lists &amp; Settings'!$O$10,IF($N924="Fail",'Lists &amp; Settings'!$O$9,IF($N924="Insufficient Evidence",'Lists &amp; Settings'!$O$10,IF($N924="Pass",IF($M924&gt;='Lists &amp; Settings'!$N$2,'Lists &amp; Settings'!$O$2,IF($M924&gt;='Lists &amp; Settings'!$N$3,'Lists &amp; Settings'!$O$3,'Lists &amp; Settings'!$O$4)),IF($N924="Partial",IF($M924&gt;='Lists &amp; Settings'!$N$6,'Lists &amp; Settings'!$O$6,IF($M924&gt;='Lists &amp; Settings'!$N$7,'Lists &amp; Settings'!$O$7,'Lists &amp; Settings'!$O$8)),'Lists &amp; Settings'!$O$10))))))</f>
        <v/>
      </c>
      <c r="T924" s="31"/>
      <c r="U924" s="31"/>
      <c r="V924" s="31"/>
    </row>
    <row r="925" ht="15.75" customHeight="1">
      <c r="B925" s="31"/>
      <c r="N925" s="127"/>
      <c r="S925" s="31" t="str">
        <f>IF($C925="","",IF(OR($M925="",$N925=""),'Lists &amp; Settings'!$O$10,IF($N925="Fail",'Lists &amp; Settings'!$O$9,IF($N925="Insufficient Evidence",'Lists &amp; Settings'!$O$10,IF($N925="Pass",IF($M925&gt;='Lists &amp; Settings'!$N$2,'Lists &amp; Settings'!$O$2,IF($M925&gt;='Lists &amp; Settings'!$N$3,'Lists &amp; Settings'!$O$3,'Lists &amp; Settings'!$O$4)),IF($N925="Partial",IF($M925&gt;='Lists &amp; Settings'!$N$6,'Lists &amp; Settings'!$O$6,IF($M925&gt;='Lists &amp; Settings'!$N$7,'Lists &amp; Settings'!$O$7,'Lists &amp; Settings'!$O$8)),'Lists &amp; Settings'!$O$10))))))</f>
        <v/>
      </c>
      <c r="T925" s="31"/>
      <c r="U925" s="31"/>
      <c r="V925" s="31"/>
    </row>
    <row r="926" ht="15.75" customHeight="1">
      <c r="B926" s="31"/>
      <c r="N926" s="127"/>
      <c r="S926" s="31" t="str">
        <f>IF($C926="","",IF(OR($M926="",$N926=""),'Lists &amp; Settings'!$O$10,IF($N926="Fail",'Lists &amp; Settings'!$O$9,IF($N926="Insufficient Evidence",'Lists &amp; Settings'!$O$10,IF($N926="Pass",IF($M926&gt;='Lists &amp; Settings'!$N$2,'Lists &amp; Settings'!$O$2,IF($M926&gt;='Lists &amp; Settings'!$N$3,'Lists &amp; Settings'!$O$3,'Lists &amp; Settings'!$O$4)),IF($N926="Partial",IF($M926&gt;='Lists &amp; Settings'!$N$6,'Lists &amp; Settings'!$O$6,IF($M926&gt;='Lists &amp; Settings'!$N$7,'Lists &amp; Settings'!$O$7,'Lists &amp; Settings'!$O$8)),'Lists &amp; Settings'!$O$10))))))</f>
        <v/>
      </c>
      <c r="T926" s="31"/>
      <c r="U926" s="31"/>
      <c r="V926" s="31"/>
    </row>
    <row r="927" ht="15.75" customHeight="1">
      <c r="B927" s="31"/>
      <c r="N927" s="127"/>
      <c r="S927" s="31" t="str">
        <f>IF($C927="","",IF(OR($M927="",$N927=""),'Lists &amp; Settings'!$O$10,IF($N927="Fail",'Lists &amp; Settings'!$O$9,IF($N927="Insufficient Evidence",'Lists &amp; Settings'!$O$10,IF($N927="Pass",IF($M927&gt;='Lists &amp; Settings'!$N$2,'Lists &amp; Settings'!$O$2,IF($M927&gt;='Lists &amp; Settings'!$N$3,'Lists &amp; Settings'!$O$3,'Lists &amp; Settings'!$O$4)),IF($N927="Partial",IF($M927&gt;='Lists &amp; Settings'!$N$6,'Lists &amp; Settings'!$O$6,IF($M927&gt;='Lists &amp; Settings'!$N$7,'Lists &amp; Settings'!$O$7,'Lists &amp; Settings'!$O$8)),'Lists &amp; Settings'!$O$10))))))</f>
        <v/>
      </c>
      <c r="T927" s="31"/>
      <c r="U927" s="31"/>
      <c r="V927" s="31"/>
    </row>
    <row r="928" ht="15.75" customHeight="1">
      <c r="B928" s="31"/>
      <c r="N928" s="127"/>
      <c r="S928" s="31" t="str">
        <f>IF($C928="","",IF(OR($M928="",$N928=""),'Lists &amp; Settings'!$O$10,IF($N928="Fail",'Lists &amp; Settings'!$O$9,IF($N928="Insufficient Evidence",'Lists &amp; Settings'!$O$10,IF($N928="Pass",IF($M928&gt;='Lists &amp; Settings'!$N$2,'Lists &amp; Settings'!$O$2,IF($M928&gt;='Lists &amp; Settings'!$N$3,'Lists &amp; Settings'!$O$3,'Lists &amp; Settings'!$O$4)),IF($N928="Partial",IF($M928&gt;='Lists &amp; Settings'!$N$6,'Lists &amp; Settings'!$O$6,IF($M928&gt;='Lists &amp; Settings'!$N$7,'Lists &amp; Settings'!$O$7,'Lists &amp; Settings'!$O$8)),'Lists &amp; Settings'!$O$10))))))</f>
        <v/>
      </c>
      <c r="T928" s="31"/>
      <c r="U928" s="31"/>
      <c r="V928" s="31"/>
    </row>
    <row r="929" ht="15.75" customHeight="1">
      <c r="B929" s="31"/>
      <c r="N929" s="127"/>
      <c r="S929" s="31" t="str">
        <f>IF($C929="","",IF(OR($M929="",$N929=""),'Lists &amp; Settings'!$O$10,IF($N929="Fail",'Lists &amp; Settings'!$O$9,IF($N929="Insufficient Evidence",'Lists &amp; Settings'!$O$10,IF($N929="Pass",IF($M929&gt;='Lists &amp; Settings'!$N$2,'Lists &amp; Settings'!$O$2,IF($M929&gt;='Lists &amp; Settings'!$N$3,'Lists &amp; Settings'!$O$3,'Lists &amp; Settings'!$O$4)),IF($N929="Partial",IF($M929&gt;='Lists &amp; Settings'!$N$6,'Lists &amp; Settings'!$O$6,IF($M929&gt;='Lists &amp; Settings'!$N$7,'Lists &amp; Settings'!$O$7,'Lists &amp; Settings'!$O$8)),'Lists &amp; Settings'!$O$10))))))</f>
        <v/>
      </c>
      <c r="T929" s="31"/>
      <c r="U929" s="31"/>
      <c r="V929" s="31"/>
    </row>
    <row r="930" ht="15.75" customHeight="1">
      <c r="B930" s="31"/>
      <c r="N930" s="127"/>
      <c r="S930" s="31" t="str">
        <f>IF($C930="","",IF(OR($M930="",$N930=""),'Lists &amp; Settings'!$O$10,IF($N930="Fail",'Lists &amp; Settings'!$O$9,IF($N930="Insufficient Evidence",'Lists &amp; Settings'!$O$10,IF($N930="Pass",IF($M930&gt;='Lists &amp; Settings'!$N$2,'Lists &amp; Settings'!$O$2,IF($M930&gt;='Lists &amp; Settings'!$N$3,'Lists &amp; Settings'!$O$3,'Lists &amp; Settings'!$O$4)),IF($N930="Partial",IF($M930&gt;='Lists &amp; Settings'!$N$6,'Lists &amp; Settings'!$O$6,IF($M930&gt;='Lists &amp; Settings'!$N$7,'Lists &amp; Settings'!$O$7,'Lists &amp; Settings'!$O$8)),'Lists &amp; Settings'!$O$10))))))</f>
        <v/>
      </c>
      <c r="T930" s="31"/>
      <c r="U930" s="31"/>
      <c r="V930" s="31"/>
    </row>
    <row r="931" ht="15.75" customHeight="1">
      <c r="B931" s="31"/>
      <c r="N931" s="127"/>
      <c r="S931" s="31" t="str">
        <f>IF($C931="","",IF(OR($M931="",$N931=""),'Lists &amp; Settings'!$O$10,IF($N931="Fail",'Lists &amp; Settings'!$O$9,IF($N931="Insufficient Evidence",'Lists &amp; Settings'!$O$10,IF($N931="Pass",IF($M931&gt;='Lists &amp; Settings'!$N$2,'Lists &amp; Settings'!$O$2,IF($M931&gt;='Lists &amp; Settings'!$N$3,'Lists &amp; Settings'!$O$3,'Lists &amp; Settings'!$O$4)),IF($N931="Partial",IF($M931&gt;='Lists &amp; Settings'!$N$6,'Lists &amp; Settings'!$O$6,IF($M931&gt;='Lists &amp; Settings'!$N$7,'Lists &amp; Settings'!$O$7,'Lists &amp; Settings'!$O$8)),'Lists &amp; Settings'!$O$10))))))</f>
        <v/>
      </c>
      <c r="T931" s="31"/>
      <c r="U931" s="31"/>
      <c r="V931" s="31"/>
    </row>
    <row r="932" ht="15.75" customHeight="1">
      <c r="B932" s="31"/>
      <c r="N932" s="127"/>
      <c r="S932" s="31" t="str">
        <f>IF($C932="","",IF(OR($M932="",$N932=""),'Lists &amp; Settings'!$O$10,IF($N932="Fail",'Lists &amp; Settings'!$O$9,IF($N932="Insufficient Evidence",'Lists &amp; Settings'!$O$10,IF($N932="Pass",IF($M932&gt;='Lists &amp; Settings'!$N$2,'Lists &amp; Settings'!$O$2,IF($M932&gt;='Lists &amp; Settings'!$N$3,'Lists &amp; Settings'!$O$3,'Lists &amp; Settings'!$O$4)),IF($N932="Partial",IF($M932&gt;='Lists &amp; Settings'!$N$6,'Lists &amp; Settings'!$O$6,IF($M932&gt;='Lists &amp; Settings'!$N$7,'Lists &amp; Settings'!$O$7,'Lists &amp; Settings'!$O$8)),'Lists &amp; Settings'!$O$10))))))</f>
        <v/>
      </c>
      <c r="T932" s="31"/>
      <c r="U932" s="31"/>
      <c r="V932" s="31"/>
    </row>
    <row r="933" ht="15.75" customHeight="1">
      <c r="B933" s="31"/>
      <c r="N933" s="127"/>
      <c r="S933" s="31" t="str">
        <f>IF($C933="","",IF(OR($M933="",$N933=""),'Lists &amp; Settings'!$O$10,IF($N933="Fail",'Lists &amp; Settings'!$O$9,IF($N933="Insufficient Evidence",'Lists &amp; Settings'!$O$10,IF($N933="Pass",IF($M933&gt;='Lists &amp; Settings'!$N$2,'Lists &amp; Settings'!$O$2,IF($M933&gt;='Lists &amp; Settings'!$N$3,'Lists &amp; Settings'!$O$3,'Lists &amp; Settings'!$O$4)),IF($N933="Partial",IF($M933&gt;='Lists &amp; Settings'!$N$6,'Lists &amp; Settings'!$O$6,IF($M933&gt;='Lists &amp; Settings'!$N$7,'Lists &amp; Settings'!$O$7,'Lists &amp; Settings'!$O$8)),'Lists &amp; Settings'!$O$10))))))</f>
        <v/>
      </c>
      <c r="T933" s="31"/>
      <c r="U933" s="31"/>
      <c r="V933" s="31"/>
    </row>
    <row r="934" ht="15.75" customHeight="1">
      <c r="B934" s="31"/>
      <c r="N934" s="127"/>
      <c r="S934" s="31" t="str">
        <f>IF($C934="","",IF(OR($M934="",$N934=""),'Lists &amp; Settings'!$O$10,IF($N934="Fail",'Lists &amp; Settings'!$O$9,IF($N934="Insufficient Evidence",'Lists &amp; Settings'!$O$10,IF($N934="Pass",IF($M934&gt;='Lists &amp; Settings'!$N$2,'Lists &amp; Settings'!$O$2,IF($M934&gt;='Lists &amp; Settings'!$N$3,'Lists &amp; Settings'!$O$3,'Lists &amp; Settings'!$O$4)),IF($N934="Partial",IF($M934&gt;='Lists &amp; Settings'!$N$6,'Lists &amp; Settings'!$O$6,IF($M934&gt;='Lists &amp; Settings'!$N$7,'Lists &amp; Settings'!$O$7,'Lists &amp; Settings'!$O$8)),'Lists &amp; Settings'!$O$10))))))</f>
        <v/>
      </c>
      <c r="T934" s="31"/>
      <c r="U934" s="31"/>
      <c r="V934" s="31"/>
    </row>
    <row r="935" ht="15.75" customHeight="1">
      <c r="B935" s="31"/>
      <c r="N935" s="127"/>
      <c r="S935" s="31" t="str">
        <f>IF($C935="","",IF(OR($M935="",$N935=""),'Lists &amp; Settings'!$O$10,IF($N935="Fail",'Lists &amp; Settings'!$O$9,IF($N935="Insufficient Evidence",'Lists &amp; Settings'!$O$10,IF($N935="Pass",IF($M935&gt;='Lists &amp; Settings'!$N$2,'Lists &amp; Settings'!$O$2,IF($M935&gt;='Lists &amp; Settings'!$N$3,'Lists &amp; Settings'!$O$3,'Lists &amp; Settings'!$O$4)),IF($N935="Partial",IF($M935&gt;='Lists &amp; Settings'!$N$6,'Lists &amp; Settings'!$O$6,IF($M935&gt;='Lists &amp; Settings'!$N$7,'Lists &amp; Settings'!$O$7,'Lists &amp; Settings'!$O$8)),'Lists &amp; Settings'!$O$10))))))</f>
        <v/>
      </c>
      <c r="T935" s="31"/>
      <c r="U935" s="31"/>
      <c r="V935" s="31"/>
    </row>
    <row r="936" ht="15.75" customHeight="1">
      <c r="B936" s="31"/>
      <c r="N936" s="127"/>
      <c r="S936" s="31" t="str">
        <f>IF($C936="","",IF(OR($M936="",$N936=""),'Lists &amp; Settings'!$O$10,IF($N936="Fail",'Lists &amp; Settings'!$O$9,IF($N936="Insufficient Evidence",'Lists &amp; Settings'!$O$10,IF($N936="Pass",IF($M936&gt;='Lists &amp; Settings'!$N$2,'Lists &amp; Settings'!$O$2,IF($M936&gt;='Lists &amp; Settings'!$N$3,'Lists &amp; Settings'!$O$3,'Lists &amp; Settings'!$O$4)),IF($N936="Partial",IF($M936&gt;='Lists &amp; Settings'!$N$6,'Lists &amp; Settings'!$O$6,IF($M936&gt;='Lists &amp; Settings'!$N$7,'Lists &amp; Settings'!$O$7,'Lists &amp; Settings'!$O$8)),'Lists &amp; Settings'!$O$10))))))</f>
        <v/>
      </c>
      <c r="T936" s="31"/>
      <c r="U936" s="31"/>
      <c r="V936" s="31"/>
    </row>
    <row r="937" ht="15.75" customHeight="1">
      <c r="B937" s="31"/>
      <c r="N937" s="127"/>
      <c r="S937" s="31" t="str">
        <f>IF($C937="","",IF(OR($M937="",$N937=""),'Lists &amp; Settings'!$O$10,IF($N937="Fail",'Lists &amp; Settings'!$O$9,IF($N937="Insufficient Evidence",'Lists &amp; Settings'!$O$10,IF($N937="Pass",IF($M937&gt;='Lists &amp; Settings'!$N$2,'Lists &amp; Settings'!$O$2,IF($M937&gt;='Lists &amp; Settings'!$N$3,'Lists &amp; Settings'!$O$3,'Lists &amp; Settings'!$O$4)),IF($N937="Partial",IF($M937&gt;='Lists &amp; Settings'!$N$6,'Lists &amp; Settings'!$O$6,IF($M937&gt;='Lists &amp; Settings'!$N$7,'Lists &amp; Settings'!$O$7,'Lists &amp; Settings'!$O$8)),'Lists &amp; Settings'!$O$10))))))</f>
        <v/>
      </c>
      <c r="T937" s="31"/>
      <c r="U937" s="31"/>
      <c r="V937" s="31"/>
    </row>
    <row r="938" ht="15.75" customHeight="1">
      <c r="B938" s="31"/>
      <c r="N938" s="127"/>
      <c r="S938" s="31" t="str">
        <f>IF($C938="","",IF(OR($M938="",$N938=""),'Lists &amp; Settings'!$O$10,IF($N938="Fail",'Lists &amp; Settings'!$O$9,IF($N938="Insufficient Evidence",'Lists &amp; Settings'!$O$10,IF($N938="Pass",IF($M938&gt;='Lists &amp; Settings'!$N$2,'Lists &amp; Settings'!$O$2,IF($M938&gt;='Lists &amp; Settings'!$N$3,'Lists &amp; Settings'!$O$3,'Lists &amp; Settings'!$O$4)),IF($N938="Partial",IF($M938&gt;='Lists &amp; Settings'!$N$6,'Lists &amp; Settings'!$O$6,IF($M938&gt;='Lists &amp; Settings'!$N$7,'Lists &amp; Settings'!$O$7,'Lists &amp; Settings'!$O$8)),'Lists &amp; Settings'!$O$10))))))</f>
        <v/>
      </c>
      <c r="T938" s="31"/>
      <c r="U938" s="31"/>
      <c r="V938" s="31"/>
    </row>
    <row r="939" ht="15.75" customHeight="1">
      <c r="B939" s="31"/>
      <c r="N939" s="127"/>
      <c r="S939" s="31" t="str">
        <f>IF($C939="","",IF(OR($M939="",$N939=""),'Lists &amp; Settings'!$O$10,IF($N939="Fail",'Lists &amp; Settings'!$O$9,IF($N939="Insufficient Evidence",'Lists &amp; Settings'!$O$10,IF($N939="Pass",IF($M939&gt;='Lists &amp; Settings'!$N$2,'Lists &amp; Settings'!$O$2,IF($M939&gt;='Lists &amp; Settings'!$N$3,'Lists &amp; Settings'!$O$3,'Lists &amp; Settings'!$O$4)),IF($N939="Partial",IF($M939&gt;='Lists &amp; Settings'!$N$6,'Lists &amp; Settings'!$O$6,IF($M939&gt;='Lists &amp; Settings'!$N$7,'Lists &amp; Settings'!$O$7,'Lists &amp; Settings'!$O$8)),'Lists &amp; Settings'!$O$10))))))</f>
        <v/>
      </c>
      <c r="T939" s="31"/>
      <c r="U939" s="31"/>
      <c r="V939" s="31"/>
    </row>
    <row r="940" ht="15.75" customHeight="1">
      <c r="B940" s="31"/>
      <c r="N940" s="127"/>
      <c r="S940" s="31" t="str">
        <f>IF($C940="","",IF(OR($M940="",$N940=""),'Lists &amp; Settings'!$O$10,IF($N940="Fail",'Lists &amp; Settings'!$O$9,IF($N940="Insufficient Evidence",'Lists &amp; Settings'!$O$10,IF($N940="Pass",IF($M940&gt;='Lists &amp; Settings'!$N$2,'Lists &amp; Settings'!$O$2,IF($M940&gt;='Lists &amp; Settings'!$N$3,'Lists &amp; Settings'!$O$3,'Lists &amp; Settings'!$O$4)),IF($N940="Partial",IF($M940&gt;='Lists &amp; Settings'!$N$6,'Lists &amp; Settings'!$O$6,IF($M940&gt;='Lists &amp; Settings'!$N$7,'Lists &amp; Settings'!$O$7,'Lists &amp; Settings'!$O$8)),'Lists &amp; Settings'!$O$10))))))</f>
        <v/>
      </c>
      <c r="T940" s="31"/>
      <c r="U940" s="31"/>
      <c r="V940" s="31"/>
    </row>
    <row r="941" ht="15.75" customHeight="1">
      <c r="B941" s="31"/>
      <c r="N941" s="127"/>
      <c r="S941" s="31" t="str">
        <f>IF($C941="","",IF(OR($M941="",$N941=""),'Lists &amp; Settings'!$O$10,IF($N941="Fail",'Lists &amp; Settings'!$O$9,IF($N941="Insufficient Evidence",'Lists &amp; Settings'!$O$10,IF($N941="Pass",IF($M941&gt;='Lists &amp; Settings'!$N$2,'Lists &amp; Settings'!$O$2,IF($M941&gt;='Lists &amp; Settings'!$N$3,'Lists &amp; Settings'!$O$3,'Lists &amp; Settings'!$O$4)),IF($N941="Partial",IF($M941&gt;='Lists &amp; Settings'!$N$6,'Lists &amp; Settings'!$O$6,IF($M941&gt;='Lists &amp; Settings'!$N$7,'Lists &amp; Settings'!$O$7,'Lists &amp; Settings'!$O$8)),'Lists &amp; Settings'!$O$10))))))</f>
        <v/>
      </c>
      <c r="T941" s="31"/>
      <c r="U941" s="31"/>
      <c r="V941" s="31"/>
    </row>
    <row r="942" ht="15.75" customHeight="1">
      <c r="B942" s="31"/>
      <c r="N942" s="127"/>
      <c r="S942" s="31" t="str">
        <f>IF($C942="","",IF(OR($M942="",$N942=""),'Lists &amp; Settings'!$O$10,IF($N942="Fail",'Lists &amp; Settings'!$O$9,IF($N942="Insufficient Evidence",'Lists &amp; Settings'!$O$10,IF($N942="Pass",IF($M942&gt;='Lists &amp; Settings'!$N$2,'Lists &amp; Settings'!$O$2,IF($M942&gt;='Lists &amp; Settings'!$N$3,'Lists &amp; Settings'!$O$3,'Lists &amp; Settings'!$O$4)),IF($N942="Partial",IF($M942&gt;='Lists &amp; Settings'!$N$6,'Lists &amp; Settings'!$O$6,IF($M942&gt;='Lists &amp; Settings'!$N$7,'Lists &amp; Settings'!$O$7,'Lists &amp; Settings'!$O$8)),'Lists &amp; Settings'!$O$10))))))</f>
        <v/>
      </c>
      <c r="T942" s="31"/>
      <c r="U942" s="31"/>
      <c r="V942" s="31"/>
    </row>
    <row r="943" ht="15.75" customHeight="1">
      <c r="B943" s="31"/>
      <c r="N943" s="127"/>
      <c r="S943" s="31" t="str">
        <f>IF($C943="","",IF(OR($M943="",$N943=""),'Lists &amp; Settings'!$O$10,IF($N943="Fail",'Lists &amp; Settings'!$O$9,IF($N943="Insufficient Evidence",'Lists &amp; Settings'!$O$10,IF($N943="Pass",IF($M943&gt;='Lists &amp; Settings'!$N$2,'Lists &amp; Settings'!$O$2,IF($M943&gt;='Lists &amp; Settings'!$N$3,'Lists &amp; Settings'!$O$3,'Lists &amp; Settings'!$O$4)),IF($N943="Partial",IF($M943&gt;='Lists &amp; Settings'!$N$6,'Lists &amp; Settings'!$O$6,IF($M943&gt;='Lists &amp; Settings'!$N$7,'Lists &amp; Settings'!$O$7,'Lists &amp; Settings'!$O$8)),'Lists &amp; Settings'!$O$10))))))</f>
        <v/>
      </c>
      <c r="T943" s="31"/>
      <c r="U943" s="31"/>
      <c r="V943" s="31"/>
    </row>
    <row r="944" ht="15.75" customHeight="1">
      <c r="B944" s="31"/>
      <c r="N944" s="127"/>
      <c r="S944" s="31" t="str">
        <f>IF($C944="","",IF(OR($M944="",$N944=""),'Lists &amp; Settings'!$O$10,IF($N944="Fail",'Lists &amp; Settings'!$O$9,IF($N944="Insufficient Evidence",'Lists &amp; Settings'!$O$10,IF($N944="Pass",IF($M944&gt;='Lists &amp; Settings'!$N$2,'Lists &amp; Settings'!$O$2,IF($M944&gt;='Lists &amp; Settings'!$N$3,'Lists &amp; Settings'!$O$3,'Lists &amp; Settings'!$O$4)),IF($N944="Partial",IF($M944&gt;='Lists &amp; Settings'!$N$6,'Lists &amp; Settings'!$O$6,IF($M944&gt;='Lists &amp; Settings'!$N$7,'Lists &amp; Settings'!$O$7,'Lists &amp; Settings'!$O$8)),'Lists &amp; Settings'!$O$10))))))</f>
        <v/>
      </c>
      <c r="T944" s="31"/>
      <c r="U944" s="31"/>
      <c r="V944" s="31"/>
    </row>
    <row r="945" ht="15.75" customHeight="1">
      <c r="B945" s="31"/>
      <c r="N945" s="127"/>
      <c r="S945" s="31" t="str">
        <f>IF($C945="","",IF(OR($M945="",$N945=""),'Lists &amp; Settings'!$O$10,IF($N945="Fail",'Lists &amp; Settings'!$O$9,IF($N945="Insufficient Evidence",'Lists &amp; Settings'!$O$10,IF($N945="Pass",IF($M945&gt;='Lists &amp; Settings'!$N$2,'Lists &amp; Settings'!$O$2,IF($M945&gt;='Lists &amp; Settings'!$N$3,'Lists &amp; Settings'!$O$3,'Lists &amp; Settings'!$O$4)),IF($N945="Partial",IF($M945&gt;='Lists &amp; Settings'!$N$6,'Lists &amp; Settings'!$O$6,IF($M945&gt;='Lists &amp; Settings'!$N$7,'Lists &amp; Settings'!$O$7,'Lists &amp; Settings'!$O$8)),'Lists &amp; Settings'!$O$10))))))</f>
        <v/>
      </c>
      <c r="T945" s="31"/>
      <c r="U945" s="31"/>
      <c r="V945" s="31"/>
    </row>
    <row r="946" ht="15.75" customHeight="1">
      <c r="B946" s="31"/>
      <c r="N946" s="127"/>
      <c r="S946" s="31" t="str">
        <f>IF($C946="","",IF(OR($M946="",$N946=""),'Lists &amp; Settings'!$O$10,IF($N946="Fail",'Lists &amp; Settings'!$O$9,IF($N946="Insufficient Evidence",'Lists &amp; Settings'!$O$10,IF($N946="Pass",IF($M946&gt;='Lists &amp; Settings'!$N$2,'Lists &amp; Settings'!$O$2,IF($M946&gt;='Lists &amp; Settings'!$N$3,'Lists &amp; Settings'!$O$3,'Lists &amp; Settings'!$O$4)),IF($N946="Partial",IF($M946&gt;='Lists &amp; Settings'!$N$6,'Lists &amp; Settings'!$O$6,IF($M946&gt;='Lists &amp; Settings'!$N$7,'Lists &amp; Settings'!$O$7,'Lists &amp; Settings'!$O$8)),'Lists &amp; Settings'!$O$10))))))</f>
        <v/>
      </c>
      <c r="T946" s="31"/>
      <c r="U946" s="31"/>
      <c r="V946" s="31"/>
    </row>
    <row r="947" ht="15.75" customHeight="1">
      <c r="B947" s="31"/>
      <c r="N947" s="127"/>
      <c r="S947" s="31" t="str">
        <f>IF($C947="","",IF(OR($M947="",$N947=""),'Lists &amp; Settings'!$O$10,IF($N947="Fail",'Lists &amp; Settings'!$O$9,IF($N947="Insufficient Evidence",'Lists &amp; Settings'!$O$10,IF($N947="Pass",IF($M947&gt;='Lists &amp; Settings'!$N$2,'Lists &amp; Settings'!$O$2,IF($M947&gt;='Lists &amp; Settings'!$N$3,'Lists &amp; Settings'!$O$3,'Lists &amp; Settings'!$O$4)),IF($N947="Partial",IF($M947&gt;='Lists &amp; Settings'!$N$6,'Lists &amp; Settings'!$O$6,IF($M947&gt;='Lists &amp; Settings'!$N$7,'Lists &amp; Settings'!$O$7,'Lists &amp; Settings'!$O$8)),'Lists &amp; Settings'!$O$10))))))</f>
        <v/>
      </c>
      <c r="T947" s="31"/>
      <c r="U947" s="31"/>
      <c r="V947" s="31"/>
    </row>
    <row r="948" ht="15.75" customHeight="1">
      <c r="B948" s="31"/>
      <c r="N948" s="127"/>
      <c r="S948" s="31" t="str">
        <f>IF($C948="","",IF(OR($M948="",$N948=""),'Lists &amp; Settings'!$O$10,IF($N948="Fail",'Lists &amp; Settings'!$O$9,IF($N948="Insufficient Evidence",'Lists &amp; Settings'!$O$10,IF($N948="Pass",IF($M948&gt;='Lists &amp; Settings'!$N$2,'Lists &amp; Settings'!$O$2,IF($M948&gt;='Lists &amp; Settings'!$N$3,'Lists &amp; Settings'!$O$3,'Lists &amp; Settings'!$O$4)),IF($N948="Partial",IF($M948&gt;='Lists &amp; Settings'!$N$6,'Lists &amp; Settings'!$O$6,IF($M948&gt;='Lists &amp; Settings'!$N$7,'Lists &amp; Settings'!$O$7,'Lists &amp; Settings'!$O$8)),'Lists &amp; Settings'!$O$10))))))</f>
        <v/>
      </c>
      <c r="T948" s="31"/>
      <c r="U948" s="31"/>
      <c r="V948" s="31"/>
    </row>
    <row r="949" ht="15.75" customHeight="1">
      <c r="B949" s="31"/>
      <c r="N949" s="127"/>
      <c r="S949" s="31" t="str">
        <f>IF($C949="","",IF(OR($M949="",$N949=""),'Lists &amp; Settings'!$O$10,IF($N949="Fail",'Lists &amp; Settings'!$O$9,IF($N949="Insufficient Evidence",'Lists &amp; Settings'!$O$10,IF($N949="Pass",IF($M949&gt;='Lists &amp; Settings'!$N$2,'Lists &amp; Settings'!$O$2,IF($M949&gt;='Lists &amp; Settings'!$N$3,'Lists &amp; Settings'!$O$3,'Lists &amp; Settings'!$O$4)),IF($N949="Partial",IF($M949&gt;='Lists &amp; Settings'!$N$6,'Lists &amp; Settings'!$O$6,IF($M949&gt;='Lists &amp; Settings'!$N$7,'Lists &amp; Settings'!$O$7,'Lists &amp; Settings'!$O$8)),'Lists &amp; Settings'!$O$10))))))</f>
        <v/>
      </c>
      <c r="T949" s="31"/>
      <c r="U949" s="31"/>
      <c r="V949" s="31"/>
    </row>
    <row r="950" ht="15.75" customHeight="1">
      <c r="B950" s="31"/>
      <c r="N950" s="127"/>
      <c r="S950" s="31" t="str">
        <f>IF($C950="","",IF(OR($M950="",$N950=""),'Lists &amp; Settings'!$O$10,IF($N950="Fail",'Lists &amp; Settings'!$O$9,IF($N950="Insufficient Evidence",'Lists &amp; Settings'!$O$10,IF($N950="Pass",IF($M950&gt;='Lists &amp; Settings'!$N$2,'Lists &amp; Settings'!$O$2,IF($M950&gt;='Lists &amp; Settings'!$N$3,'Lists &amp; Settings'!$O$3,'Lists &amp; Settings'!$O$4)),IF($N950="Partial",IF($M950&gt;='Lists &amp; Settings'!$N$6,'Lists &amp; Settings'!$O$6,IF($M950&gt;='Lists &amp; Settings'!$N$7,'Lists &amp; Settings'!$O$7,'Lists &amp; Settings'!$O$8)),'Lists &amp; Settings'!$O$10))))))</f>
        <v/>
      </c>
      <c r="T950" s="31"/>
      <c r="U950" s="31"/>
      <c r="V950" s="31"/>
    </row>
    <row r="951" ht="15.75" customHeight="1">
      <c r="B951" s="31"/>
      <c r="N951" s="127"/>
      <c r="S951" s="31" t="str">
        <f>IF($C951="","",IF(OR($M951="",$N951=""),'Lists &amp; Settings'!$O$10,IF($N951="Fail",'Lists &amp; Settings'!$O$9,IF($N951="Insufficient Evidence",'Lists &amp; Settings'!$O$10,IF($N951="Pass",IF($M951&gt;='Lists &amp; Settings'!$N$2,'Lists &amp; Settings'!$O$2,IF($M951&gt;='Lists &amp; Settings'!$N$3,'Lists &amp; Settings'!$O$3,'Lists &amp; Settings'!$O$4)),IF($N951="Partial",IF($M951&gt;='Lists &amp; Settings'!$N$6,'Lists &amp; Settings'!$O$6,IF($M951&gt;='Lists &amp; Settings'!$N$7,'Lists &amp; Settings'!$O$7,'Lists &amp; Settings'!$O$8)),'Lists &amp; Settings'!$O$10))))))</f>
        <v/>
      </c>
      <c r="T951" s="31"/>
      <c r="U951" s="31"/>
      <c r="V951" s="31"/>
    </row>
    <row r="952" ht="15.75" customHeight="1">
      <c r="B952" s="31"/>
      <c r="N952" s="127"/>
      <c r="S952" s="31" t="str">
        <f>IF($C952="","",IF(OR($M952="",$N952=""),'Lists &amp; Settings'!$O$10,IF($N952="Fail",'Lists &amp; Settings'!$O$9,IF($N952="Insufficient Evidence",'Lists &amp; Settings'!$O$10,IF($N952="Pass",IF($M952&gt;='Lists &amp; Settings'!$N$2,'Lists &amp; Settings'!$O$2,IF($M952&gt;='Lists &amp; Settings'!$N$3,'Lists &amp; Settings'!$O$3,'Lists &amp; Settings'!$O$4)),IF($N952="Partial",IF($M952&gt;='Lists &amp; Settings'!$N$6,'Lists &amp; Settings'!$O$6,IF($M952&gt;='Lists &amp; Settings'!$N$7,'Lists &amp; Settings'!$O$7,'Lists &amp; Settings'!$O$8)),'Lists &amp; Settings'!$O$10))))))</f>
        <v/>
      </c>
      <c r="T952" s="31"/>
      <c r="U952" s="31"/>
      <c r="V952" s="31"/>
    </row>
    <row r="953" ht="15.75" customHeight="1">
      <c r="B953" s="31"/>
      <c r="N953" s="127"/>
      <c r="S953" s="31" t="str">
        <f>IF($C953="","",IF(OR($M953="",$N953=""),'Lists &amp; Settings'!$O$10,IF($N953="Fail",'Lists &amp; Settings'!$O$9,IF($N953="Insufficient Evidence",'Lists &amp; Settings'!$O$10,IF($N953="Pass",IF($M953&gt;='Lists &amp; Settings'!$N$2,'Lists &amp; Settings'!$O$2,IF($M953&gt;='Lists &amp; Settings'!$N$3,'Lists &amp; Settings'!$O$3,'Lists &amp; Settings'!$O$4)),IF($N953="Partial",IF($M953&gt;='Lists &amp; Settings'!$N$6,'Lists &amp; Settings'!$O$6,IF($M953&gt;='Lists &amp; Settings'!$N$7,'Lists &amp; Settings'!$O$7,'Lists &amp; Settings'!$O$8)),'Lists &amp; Settings'!$O$10))))))</f>
        <v/>
      </c>
      <c r="T953" s="31"/>
      <c r="U953" s="31"/>
      <c r="V953" s="31"/>
    </row>
    <row r="954" ht="15.75" customHeight="1">
      <c r="B954" s="31"/>
      <c r="N954" s="127"/>
      <c r="S954" s="31" t="str">
        <f>IF($C954="","",IF(OR($M954="",$N954=""),'Lists &amp; Settings'!$O$10,IF($N954="Fail",'Lists &amp; Settings'!$O$9,IF($N954="Insufficient Evidence",'Lists &amp; Settings'!$O$10,IF($N954="Pass",IF($M954&gt;='Lists &amp; Settings'!$N$2,'Lists &amp; Settings'!$O$2,IF($M954&gt;='Lists &amp; Settings'!$N$3,'Lists &amp; Settings'!$O$3,'Lists &amp; Settings'!$O$4)),IF($N954="Partial",IF($M954&gt;='Lists &amp; Settings'!$N$6,'Lists &amp; Settings'!$O$6,IF($M954&gt;='Lists &amp; Settings'!$N$7,'Lists &amp; Settings'!$O$7,'Lists &amp; Settings'!$O$8)),'Lists &amp; Settings'!$O$10))))))</f>
        <v/>
      </c>
      <c r="T954" s="31"/>
      <c r="U954" s="31"/>
      <c r="V954" s="31"/>
    </row>
    <row r="955" ht="15.75" customHeight="1">
      <c r="B955" s="31"/>
      <c r="N955" s="127"/>
      <c r="S955" s="31" t="str">
        <f>IF($C955="","",IF(OR($M955="",$N955=""),'Lists &amp; Settings'!$O$10,IF($N955="Fail",'Lists &amp; Settings'!$O$9,IF($N955="Insufficient Evidence",'Lists &amp; Settings'!$O$10,IF($N955="Pass",IF($M955&gt;='Lists &amp; Settings'!$N$2,'Lists &amp; Settings'!$O$2,IF($M955&gt;='Lists &amp; Settings'!$N$3,'Lists &amp; Settings'!$O$3,'Lists &amp; Settings'!$O$4)),IF($N955="Partial",IF($M955&gt;='Lists &amp; Settings'!$N$6,'Lists &amp; Settings'!$O$6,IF($M955&gt;='Lists &amp; Settings'!$N$7,'Lists &amp; Settings'!$O$7,'Lists &amp; Settings'!$O$8)),'Lists &amp; Settings'!$O$10))))))</f>
        <v/>
      </c>
      <c r="T955" s="31"/>
      <c r="U955" s="31"/>
      <c r="V955" s="31"/>
    </row>
    <row r="956" ht="15.75" customHeight="1">
      <c r="B956" s="31"/>
      <c r="N956" s="127"/>
      <c r="S956" s="31" t="str">
        <f>IF($C956="","",IF(OR($M956="",$N956=""),'Lists &amp; Settings'!$O$10,IF($N956="Fail",'Lists &amp; Settings'!$O$9,IF($N956="Insufficient Evidence",'Lists &amp; Settings'!$O$10,IF($N956="Pass",IF($M956&gt;='Lists &amp; Settings'!$N$2,'Lists &amp; Settings'!$O$2,IF($M956&gt;='Lists &amp; Settings'!$N$3,'Lists &amp; Settings'!$O$3,'Lists &amp; Settings'!$O$4)),IF($N956="Partial",IF($M956&gt;='Lists &amp; Settings'!$N$6,'Lists &amp; Settings'!$O$6,IF($M956&gt;='Lists &amp; Settings'!$N$7,'Lists &amp; Settings'!$O$7,'Lists &amp; Settings'!$O$8)),'Lists &amp; Settings'!$O$10))))))</f>
        <v/>
      </c>
      <c r="T956" s="31"/>
      <c r="U956" s="31"/>
      <c r="V956" s="31"/>
    </row>
    <row r="957" ht="15.75" customHeight="1">
      <c r="B957" s="31"/>
      <c r="N957" s="127"/>
      <c r="S957" s="31" t="str">
        <f>IF($C957="","",IF(OR($M957="",$N957=""),'Lists &amp; Settings'!$O$10,IF($N957="Fail",'Lists &amp; Settings'!$O$9,IF($N957="Insufficient Evidence",'Lists &amp; Settings'!$O$10,IF($N957="Pass",IF($M957&gt;='Lists &amp; Settings'!$N$2,'Lists &amp; Settings'!$O$2,IF($M957&gt;='Lists &amp; Settings'!$N$3,'Lists &amp; Settings'!$O$3,'Lists &amp; Settings'!$O$4)),IF($N957="Partial",IF($M957&gt;='Lists &amp; Settings'!$N$6,'Lists &amp; Settings'!$O$6,IF($M957&gt;='Lists &amp; Settings'!$N$7,'Lists &amp; Settings'!$O$7,'Lists &amp; Settings'!$O$8)),'Lists &amp; Settings'!$O$10))))))</f>
        <v/>
      </c>
      <c r="T957" s="31"/>
      <c r="U957" s="31"/>
      <c r="V957" s="31"/>
    </row>
    <row r="958" ht="15.75" customHeight="1">
      <c r="B958" s="31"/>
      <c r="N958" s="127"/>
      <c r="S958" s="31" t="str">
        <f>IF($C958="","",IF(OR($M958="",$N958=""),'Lists &amp; Settings'!$O$10,IF($N958="Fail",'Lists &amp; Settings'!$O$9,IF($N958="Insufficient Evidence",'Lists &amp; Settings'!$O$10,IF($N958="Pass",IF($M958&gt;='Lists &amp; Settings'!$N$2,'Lists &amp; Settings'!$O$2,IF($M958&gt;='Lists &amp; Settings'!$N$3,'Lists &amp; Settings'!$O$3,'Lists &amp; Settings'!$O$4)),IF($N958="Partial",IF($M958&gt;='Lists &amp; Settings'!$N$6,'Lists &amp; Settings'!$O$6,IF($M958&gt;='Lists &amp; Settings'!$N$7,'Lists &amp; Settings'!$O$7,'Lists &amp; Settings'!$O$8)),'Lists &amp; Settings'!$O$10))))))</f>
        <v/>
      </c>
      <c r="T958" s="31"/>
      <c r="U958" s="31"/>
      <c r="V958" s="31"/>
    </row>
    <row r="959" ht="15.75" customHeight="1">
      <c r="B959" s="31"/>
      <c r="N959" s="127"/>
      <c r="S959" s="31" t="str">
        <f>IF($C959="","",IF(OR($M959="",$N959=""),'Lists &amp; Settings'!$O$10,IF($N959="Fail",'Lists &amp; Settings'!$O$9,IF($N959="Insufficient Evidence",'Lists &amp; Settings'!$O$10,IF($N959="Pass",IF($M959&gt;='Lists &amp; Settings'!$N$2,'Lists &amp; Settings'!$O$2,IF($M959&gt;='Lists &amp; Settings'!$N$3,'Lists &amp; Settings'!$O$3,'Lists &amp; Settings'!$O$4)),IF($N959="Partial",IF($M959&gt;='Lists &amp; Settings'!$N$6,'Lists &amp; Settings'!$O$6,IF($M959&gt;='Lists &amp; Settings'!$N$7,'Lists &amp; Settings'!$O$7,'Lists &amp; Settings'!$O$8)),'Lists &amp; Settings'!$O$10))))))</f>
        <v/>
      </c>
      <c r="T959" s="31"/>
      <c r="U959" s="31"/>
      <c r="V959" s="31"/>
    </row>
    <row r="960" ht="15.75" customHeight="1">
      <c r="B960" s="31"/>
      <c r="N960" s="127"/>
      <c r="S960" s="31" t="str">
        <f>IF($C960="","",IF(OR($M960="",$N960=""),'Lists &amp; Settings'!$O$10,IF($N960="Fail",'Lists &amp; Settings'!$O$9,IF($N960="Insufficient Evidence",'Lists &amp; Settings'!$O$10,IF($N960="Pass",IF($M960&gt;='Lists &amp; Settings'!$N$2,'Lists &amp; Settings'!$O$2,IF($M960&gt;='Lists &amp; Settings'!$N$3,'Lists &amp; Settings'!$O$3,'Lists &amp; Settings'!$O$4)),IF($N960="Partial",IF($M960&gt;='Lists &amp; Settings'!$N$6,'Lists &amp; Settings'!$O$6,IF($M960&gt;='Lists &amp; Settings'!$N$7,'Lists &amp; Settings'!$O$7,'Lists &amp; Settings'!$O$8)),'Lists &amp; Settings'!$O$10))))))</f>
        <v/>
      </c>
      <c r="T960" s="31"/>
      <c r="U960" s="31"/>
      <c r="V960" s="31"/>
    </row>
    <row r="961" ht="15.75" customHeight="1">
      <c r="B961" s="31"/>
      <c r="N961" s="127"/>
      <c r="S961" s="31" t="str">
        <f>IF($C961="","",IF(OR($M961="",$N961=""),'Lists &amp; Settings'!$O$10,IF($N961="Fail",'Lists &amp; Settings'!$O$9,IF($N961="Insufficient Evidence",'Lists &amp; Settings'!$O$10,IF($N961="Pass",IF($M961&gt;='Lists &amp; Settings'!$N$2,'Lists &amp; Settings'!$O$2,IF($M961&gt;='Lists &amp; Settings'!$N$3,'Lists &amp; Settings'!$O$3,'Lists &amp; Settings'!$O$4)),IF($N961="Partial",IF($M961&gt;='Lists &amp; Settings'!$N$6,'Lists &amp; Settings'!$O$6,IF($M961&gt;='Lists &amp; Settings'!$N$7,'Lists &amp; Settings'!$O$7,'Lists &amp; Settings'!$O$8)),'Lists &amp; Settings'!$O$10))))))</f>
        <v/>
      </c>
      <c r="T961" s="31"/>
      <c r="U961" s="31"/>
      <c r="V961" s="31"/>
    </row>
    <row r="962" ht="15.75" customHeight="1">
      <c r="B962" s="31"/>
      <c r="N962" s="127"/>
      <c r="S962" s="31" t="str">
        <f>IF($C962="","",IF(OR($M962="",$N962=""),'Lists &amp; Settings'!$O$10,IF($N962="Fail",'Lists &amp; Settings'!$O$9,IF($N962="Insufficient Evidence",'Lists &amp; Settings'!$O$10,IF($N962="Pass",IF($M962&gt;='Lists &amp; Settings'!$N$2,'Lists &amp; Settings'!$O$2,IF($M962&gt;='Lists &amp; Settings'!$N$3,'Lists &amp; Settings'!$O$3,'Lists &amp; Settings'!$O$4)),IF($N962="Partial",IF($M962&gt;='Lists &amp; Settings'!$N$6,'Lists &amp; Settings'!$O$6,IF($M962&gt;='Lists &amp; Settings'!$N$7,'Lists &amp; Settings'!$O$7,'Lists &amp; Settings'!$O$8)),'Lists &amp; Settings'!$O$10))))))</f>
        <v/>
      </c>
      <c r="T962" s="31"/>
      <c r="U962" s="31"/>
      <c r="V962" s="31"/>
    </row>
    <row r="963" ht="15.75" customHeight="1">
      <c r="B963" s="31"/>
      <c r="N963" s="127"/>
      <c r="S963" s="31" t="str">
        <f>IF($C963="","",IF(OR($M963="",$N963=""),'Lists &amp; Settings'!$O$10,IF($N963="Fail",'Lists &amp; Settings'!$O$9,IF($N963="Insufficient Evidence",'Lists &amp; Settings'!$O$10,IF($N963="Pass",IF($M963&gt;='Lists &amp; Settings'!$N$2,'Lists &amp; Settings'!$O$2,IF($M963&gt;='Lists &amp; Settings'!$N$3,'Lists &amp; Settings'!$O$3,'Lists &amp; Settings'!$O$4)),IF($N963="Partial",IF($M963&gt;='Lists &amp; Settings'!$N$6,'Lists &amp; Settings'!$O$6,IF($M963&gt;='Lists &amp; Settings'!$N$7,'Lists &amp; Settings'!$O$7,'Lists &amp; Settings'!$O$8)),'Lists &amp; Settings'!$O$10))))))</f>
        <v/>
      </c>
      <c r="T963" s="31"/>
      <c r="U963" s="31"/>
      <c r="V963" s="31"/>
    </row>
    <row r="964" ht="15.75" customHeight="1">
      <c r="B964" s="31"/>
      <c r="N964" s="127"/>
      <c r="S964" s="31" t="str">
        <f>IF($C964="","",IF(OR($M964="",$N964=""),'Lists &amp; Settings'!$O$10,IF($N964="Fail",'Lists &amp; Settings'!$O$9,IF($N964="Insufficient Evidence",'Lists &amp; Settings'!$O$10,IF($N964="Pass",IF($M964&gt;='Lists &amp; Settings'!$N$2,'Lists &amp; Settings'!$O$2,IF($M964&gt;='Lists &amp; Settings'!$N$3,'Lists &amp; Settings'!$O$3,'Lists &amp; Settings'!$O$4)),IF($N964="Partial",IF($M964&gt;='Lists &amp; Settings'!$N$6,'Lists &amp; Settings'!$O$6,IF($M964&gt;='Lists &amp; Settings'!$N$7,'Lists &amp; Settings'!$O$7,'Lists &amp; Settings'!$O$8)),'Lists &amp; Settings'!$O$10))))))</f>
        <v/>
      </c>
      <c r="T964" s="31"/>
      <c r="U964" s="31"/>
      <c r="V964" s="31"/>
    </row>
    <row r="965" ht="15.75" customHeight="1">
      <c r="B965" s="31"/>
      <c r="N965" s="127"/>
      <c r="S965" s="31" t="str">
        <f>IF($C965="","",IF(OR($M965="",$N965=""),'Lists &amp; Settings'!$O$10,IF($N965="Fail",'Lists &amp; Settings'!$O$9,IF($N965="Insufficient Evidence",'Lists &amp; Settings'!$O$10,IF($N965="Pass",IF($M965&gt;='Lists &amp; Settings'!$N$2,'Lists &amp; Settings'!$O$2,IF($M965&gt;='Lists &amp; Settings'!$N$3,'Lists &amp; Settings'!$O$3,'Lists &amp; Settings'!$O$4)),IF($N965="Partial",IF($M965&gt;='Lists &amp; Settings'!$N$6,'Lists &amp; Settings'!$O$6,IF($M965&gt;='Lists &amp; Settings'!$N$7,'Lists &amp; Settings'!$O$7,'Lists &amp; Settings'!$O$8)),'Lists &amp; Settings'!$O$10))))))</f>
        <v/>
      </c>
      <c r="T965" s="31"/>
      <c r="U965" s="31"/>
      <c r="V965" s="31"/>
    </row>
    <row r="966" ht="15.75" customHeight="1">
      <c r="B966" s="31"/>
      <c r="N966" s="127"/>
      <c r="S966" s="31" t="str">
        <f>IF($C966="","",IF(OR($M966="",$N966=""),'Lists &amp; Settings'!$O$10,IF($N966="Fail",'Lists &amp; Settings'!$O$9,IF($N966="Insufficient Evidence",'Lists &amp; Settings'!$O$10,IF($N966="Pass",IF($M966&gt;='Lists &amp; Settings'!$N$2,'Lists &amp; Settings'!$O$2,IF($M966&gt;='Lists &amp; Settings'!$N$3,'Lists &amp; Settings'!$O$3,'Lists &amp; Settings'!$O$4)),IF($N966="Partial",IF($M966&gt;='Lists &amp; Settings'!$N$6,'Lists &amp; Settings'!$O$6,IF($M966&gt;='Lists &amp; Settings'!$N$7,'Lists &amp; Settings'!$O$7,'Lists &amp; Settings'!$O$8)),'Lists &amp; Settings'!$O$10))))))</f>
        <v/>
      </c>
      <c r="T966" s="31"/>
      <c r="U966" s="31"/>
      <c r="V966" s="31"/>
    </row>
    <row r="967" ht="15.75" customHeight="1">
      <c r="B967" s="31"/>
      <c r="N967" s="127"/>
      <c r="S967" s="31" t="str">
        <f>IF($C967="","",IF(OR($M967="",$N967=""),'Lists &amp; Settings'!$O$10,IF($N967="Fail",'Lists &amp; Settings'!$O$9,IF($N967="Insufficient Evidence",'Lists &amp; Settings'!$O$10,IF($N967="Pass",IF($M967&gt;='Lists &amp; Settings'!$N$2,'Lists &amp; Settings'!$O$2,IF($M967&gt;='Lists &amp; Settings'!$N$3,'Lists &amp; Settings'!$O$3,'Lists &amp; Settings'!$O$4)),IF($N967="Partial",IF($M967&gt;='Lists &amp; Settings'!$N$6,'Lists &amp; Settings'!$O$6,IF($M967&gt;='Lists &amp; Settings'!$N$7,'Lists &amp; Settings'!$O$7,'Lists &amp; Settings'!$O$8)),'Lists &amp; Settings'!$O$10))))))</f>
        <v/>
      </c>
      <c r="T967" s="31"/>
      <c r="U967" s="31"/>
      <c r="V967" s="31"/>
    </row>
    <row r="968" ht="15.75" customHeight="1">
      <c r="B968" s="31"/>
      <c r="N968" s="127"/>
      <c r="S968" s="31" t="str">
        <f>IF($C968="","",IF(OR($M968="",$N968=""),'Lists &amp; Settings'!$O$10,IF($N968="Fail",'Lists &amp; Settings'!$O$9,IF($N968="Insufficient Evidence",'Lists &amp; Settings'!$O$10,IF($N968="Pass",IF($M968&gt;='Lists &amp; Settings'!$N$2,'Lists &amp; Settings'!$O$2,IF($M968&gt;='Lists &amp; Settings'!$N$3,'Lists &amp; Settings'!$O$3,'Lists &amp; Settings'!$O$4)),IF($N968="Partial",IF($M968&gt;='Lists &amp; Settings'!$N$6,'Lists &amp; Settings'!$O$6,IF($M968&gt;='Lists &amp; Settings'!$N$7,'Lists &amp; Settings'!$O$7,'Lists &amp; Settings'!$O$8)),'Lists &amp; Settings'!$O$10))))))</f>
        <v/>
      </c>
      <c r="T968" s="31"/>
      <c r="U968" s="31"/>
      <c r="V968" s="31"/>
    </row>
    <row r="969" ht="15.75" customHeight="1">
      <c r="B969" s="31"/>
      <c r="N969" s="127"/>
      <c r="S969" s="31" t="str">
        <f>IF($C969="","",IF(OR($M969="",$N969=""),'Lists &amp; Settings'!$O$10,IF($N969="Fail",'Lists &amp; Settings'!$O$9,IF($N969="Insufficient Evidence",'Lists &amp; Settings'!$O$10,IF($N969="Pass",IF($M969&gt;='Lists &amp; Settings'!$N$2,'Lists &amp; Settings'!$O$2,IF($M969&gt;='Lists &amp; Settings'!$N$3,'Lists &amp; Settings'!$O$3,'Lists &amp; Settings'!$O$4)),IF($N969="Partial",IF($M969&gt;='Lists &amp; Settings'!$N$6,'Lists &amp; Settings'!$O$6,IF($M969&gt;='Lists &amp; Settings'!$N$7,'Lists &amp; Settings'!$O$7,'Lists &amp; Settings'!$O$8)),'Lists &amp; Settings'!$O$10))))))</f>
        <v/>
      </c>
      <c r="T969" s="31"/>
      <c r="U969" s="31"/>
      <c r="V969" s="31"/>
    </row>
    <row r="970" ht="15.75" customHeight="1">
      <c r="B970" s="31"/>
      <c r="N970" s="127"/>
      <c r="S970" s="31" t="str">
        <f>IF($C970="","",IF(OR($M970="",$N970=""),'Lists &amp; Settings'!$O$10,IF($N970="Fail",'Lists &amp; Settings'!$O$9,IF($N970="Insufficient Evidence",'Lists &amp; Settings'!$O$10,IF($N970="Pass",IF($M970&gt;='Lists &amp; Settings'!$N$2,'Lists &amp; Settings'!$O$2,IF($M970&gt;='Lists &amp; Settings'!$N$3,'Lists &amp; Settings'!$O$3,'Lists &amp; Settings'!$O$4)),IF($N970="Partial",IF($M970&gt;='Lists &amp; Settings'!$N$6,'Lists &amp; Settings'!$O$6,IF($M970&gt;='Lists &amp; Settings'!$N$7,'Lists &amp; Settings'!$O$7,'Lists &amp; Settings'!$O$8)),'Lists &amp; Settings'!$O$10))))))</f>
        <v/>
      </c>
      <c r="T970" s="31"/>
      <c r="U970" s="31"/>
      <c r="V970" s="31"/>
    </row>
    <row r="971" ht="15.75" customHeight="1">
      <c r="B971" s="31"/>
      <c r="N971" s="127"/>
      <c r="S971" s="31" t="str">
        <f>IF($C971="","",IF(OR($M971="",$N971=""),'Lists &amp; Settings'!$O$10,IF($N971="Fail",'Lists &amp; Settings'!$O$9,IF($N971="Insufficient Evidence",'Lists &amp; Settings'!$O$10,IF($N971="Pass",IF($M971&gt;='Lists &amp; Settings'!$N$2,'Lists &amp; Settings'!$O$2,IF($M971&gt;='Lists &amp; Settings'!$N$3,'Lists &amp; Settings'!$O$3,'Lists &amp; Settings'!$O$4)),IF($N971="Partial",IF($M971&gt;='Lists &amp; Settings'!$N$6,'Lists &amp; Settings'!$O$6,IF($M971&gt;='Lists &amp; Settings'!$N$7,'Lists &amp; Settings'!$O$7,'Lists &amp; Settings'!$O$8)),'Lists &amp; Settings'!$O$10))))))</f>
        <v/>
      </c>
      <c r="T971" s="31"/>
      <c r="U971" s="31"/>
      <c r="V971" s="31"/>
    </row>
    <row r="972" ht="15.75" customHeight="1">
      <c r="B972" s="31"/>
      <c r="N972" s="127"/>
      <c r="S972" s="31" t="str">
        <f>IF($C972="","",IF(OR($M972="",$N972=""),'Lists &amp; Settings'!$O$10,IF($N972="Fail",'Lists &amp; Settings'!$O$9,IF($N972="Insufficient Evidence",'Lists &amp; Settings'!$O$10,IF($N972="Pass",IF($M972&gt;='Lists &amp; Settings'!$N$2,'Lists &amp; Settings'!$O$2,IF($M972&gt;='Lists &amp; Settings'!$N$3,'Lists &amp; Settings'!$O$3,'Lists &amp; Settings'!$O$4)),IF($N972="Partial",IF($M972&gt;='Lists &amp; Settings'!$N$6,'Lists &amp; Settings'!$O$6,IF($M972&gt;='Lists &amp; Settings'!$N$7,'Lists &amp; Settings'!$O$7,'Lists &amp; Settings'!$O$8)),'Lists &amp; Settings'!$O$10))))))</f>
        <v/>
      </c>
      <c r="T972" s="31"/>
      <c r="U972" s="31"/>
      <c r="V972" s="31"/>
    </row>
    <row r="973" ht="15.75" customHeight="1">
      <c r="B973" s="31"/>
      <c r="N973" s="127"/>
      <c r="S973" s="31" t="str">
        <f>IF($C973="","",IF(OR($M973="",$N973=""),'Lists &amp; Settings'!$O$10,IF($N973="Fail",'Lists &amp; Settings'!$O$9,IF($N973="Insufficient Evidence",'Lists &amp; Settings'!$O$10,IF($N973="Pass",IF($M973&gt;='Lists &amp; Settings'!$N$2,'Lists &amp; Settings'!$O$2,IF($M973&gt;='Lists &amp; Settings'!$N$3,'Lists &amp; Settings'!$O$3,'Lists &amp; Settings'!$O$4)),IF($N973="Partial",IF($M973&gt;='Lists &amp; Settings'!$N$6,'Lists &amp; Settings'!$O$6,IF($M973&gt;='Lists &amp; Settings'!$N$7,'Lists &amp; Settings'!$O$7,'Lists &amp; Settings'!$O$8)),'Lists &amp; Settings'!$O$10))))))</f>
        <v/>
      </c>
      <c r="T973" s="31"/>
      <c r="U973" s="31"/>
      <c r="V973" s="31"/>
    </row>
    <row r="974" ht="15.75" customHeight="1">
      <c r="B974" s="31"/>
      <c r="N974" s="127"/>
      <c r="S974" s="31" t="str">
        <f>IF($C974="","",IF(OR($M974="",$N974=""),'Lists &amp; Settings'!$O$10,IF($N974="Fail",'Lists &amp; Settings'!$O$9,IF($N974="Insufficient Evidence",'Lists &amp; Settings'!$O$10,IF($N974="Pass",IF($M974&gt;='Lists &amp; Settings'!$N$2,'Lists &amp; Settings'!$O$2,IF($M974&gt;='Lists &amp; Settings'!$N$3,'Lists &amp; Settings'!$O$3,'Lists &amp; Settings'!$O$4)),IF($N974="Partial",IF($M974&gt;='Lists &amp; Settings'!$N$6,'Lists &amp; Settings'!$O$6,IF($M974&gt;='Lists &amp; Settings'!$N$7,'Lists &amp; Settings'!$O$7,'Lists &amp; Settings'!$O$8)),'Lists &amp; Settings'!$O$10))))))</f>
        <v/>
      </c>
      <c r="T974" s="31"/>
      <c r="U974" s="31"/>
      <c r="V974" s="31"/>
    </row>
    <row r="975" ht="15.75" customHeight="1">
      <c r="B975" s="31"/>
      <c r="N975" s="127"/>
      <c r="S975" s="31" t="str">
        <f>IF($C975="","",IF(OR($M975="",$N975=""),'Lists &amp; Settings'!$O$10,IF($N975="Fail",'Lists &amp; Settings'!$O$9,IF($N975="Insufficient Evidence",'Lists &amp; Settings'!$O$10,IF($N975="Pass",IF($M975&gt;='Lists &amp; Settings'!$N$2,'Lists &amp; Settings'!$O$2,IF($M975&gt;='Lists &amp; Settings'!$N$3,'Lists &amp; Settings'!$O$3,'Lists &amp; Settings'!$O$4)),IF($N975="Partial",IF($M975&gt;='Lists &amp; Settings'!$N$6,'Lists &amp; Settings'!$O$6,IF($M975&gt;='Lists &amp; Settings'!$N$7,'Lists &amp; Settings'!$O$7,'Lists &amp; Settings'!$O$8)),'Lists &amp; Settings'!$O$10))))))</f>
        <v/>
      </c>
      <c r="T975" s="31"/>
      <c r="U975" s="31"/>
      <c r="V975" s="31"/>
    </row>
    <row r="976" ht="15.75" customHeight="1">
      <c r="B976" s="31"/>
      <c r="N976" s="127"/>
      <c r="S976" s="31" t="str">
        <f>IF($C976="","",IF(OR($M976="",$N976=""),'Lists &amp; Settings'!$O$10,IF($N976="Fail",'Lists &amp; Settings'!$O$9,IF($N976="Insufficient Evidence",'Lists &amp; Settings'!$O$10,IF($N976="Pass",IF($M976&gt;='Lists &amp; Settings'!$N$2,'Lists &amp; Settings'!$O$2,IF($M976&gt;='Lists &amp; Settings'!$N$3,'Lists &amp; Settings'!$O$3,'Lists &amp; Settings'!$O$4)),IF($N976="Partial",IF($M976&gt;='Lists &amp; Settings'!$N$6,'Lists &amp; Settings'!$O$6,IF($M976&gt;='Lists &amp; Settings'!$N$7,'Lists &amp; Settings'!$O$7,'Lists &amp; Settings'!$O$8)),'Lists &amp; Settings'!$O$10))))))</f>
        <v/>
      </c>
      <c r="T976" s="31"/>
      <c r="U976" s="31"/>
      <c r="V976" s="31"/>
    </row>
    <row r="977" ht="15.75" customHeight="1">
      <c r="B977" s="31"/>
      <c r="N977" s="127"/>
      <c r="S977" s="31" t="str">
        <f>IF($C977="","",IF(OR($M977="",$N977=""),'Lists &amp; Settings'!$O$10,IF($N977="Fail",'Lists &amp; Settings'!$O$9,IF($N977="Insufficient Evidence",'Lists &amp; Settings'!$O$10,IF($N977="Pass",IF($M977&gt;='Lists &amp; Settings'!$N$2,'Lists &amp; Settings'!$O$2,IF($M977&gt;='Lists &amp; Settings'!$N$3,'Lists &amp; Settings'!$O$3,'Lists &amp; Settings'!$O$4)),IF($N977="Partial",IF($M977&gt;='Lists &amp; Settings'!$N$6,'Lists &amp; Settings'!$O$6,IF($M977&gt;='Lists &amp; Settings'!$N$7,'Lists &amp; Settings'!$O$7,'Lists &amp; Settings'!$O$8)),'Lists &amp; Settings'!$O$10))))))</f>
        <v/>
      </c>
      <c r="T977" s="31"/>
      <c r="U977" s="31"/>
      <c r="V977" s="31"/>
    </row>
    <row r="978" ht="15.75" customHeight="1">
      <c r="B978" s="31"/>
      <c r="N978" s="127"/>
      <c r="S978" s="31" t="str">
        <f>IF($C978="","",IF(OR($M978="",$N978=""),'Lists &amp; Settings'!$O$10,IF($N978="Fail",'Lists &amp; Settings'!$O$9,IF($N978="Insufficient Evidence",'Lists &amp; Settings'!$O$10,IF($N978="Pass",IF($M978&gt;='Lists &amp; Settings'!$N$2,'Lists &amp; Settings'!$O$2,IF($M978&gt;='Lists &amp; Settings'!$N$3,'Lists &amp; Settings'!$O$3,'Lists &amp; Settings'!$O$4)),IF($N978="Partial",IF($M978&gt;='Lists &amp; Settings'!$N$6,'Lists &amp; Settings'!$O$6,IF($M978&gt;='Lists &amp; Settings'!$N$7,'Lists &amp; Settings'!$O$7,'Lists &amp; Settings'!$O$8)),'Lists &amp; Settings'!$O$10))))))</f>
        <v/>
      </c>
      <c r="T978" s="31"/>
      <c r="U978" s="31"/>
      <c r="V978" s="31"/>
    </row>
    <row r="979" ht="15.75" customHeight="1">
      <c r="B979" s="31"/>
      <c r="N979" s="127"/>
      <c r="S979" s="31" t="str">
        <f>IF($C979="","",IF(OR($M979="",$N979=""),'Lists &amp; Settings'!$O$10,IF($N979="Fail",'Lists &amp; Settings'!$O$9,IF($N979="Insufficient Evidence",'Lists &amp; Settings'!$O$10,IF($N979="Pass",IF($M979&gt;='Lists &amp; Settings'!$N$2,'Lists &amp; Settings'!$O$2,IF($M979&gt;='Lists &amp; Settings'!$N$3,'Lists &amp; Settings'!$O$3,'Lists &amp; Settings'!$O$4)),IF($N979="Partial",IF($M979&gt;='Lists &amp; Settings'!$N$6,'Lists &amp; Settings'!$O$6,IF($M979&gt;='Lists &amp; Settings'!$N$7,'Lists &amp; Settings'!$O$7,'Lists &amp; Settings'!$O$8)),'Lists &amp; Settings'!$O$10))))))</f>
        <v/>
      </c>
      <c r="T979" s="31"/>
      <c r="U979" s="31"/>
      <c r="V979" s="31"/>
    </row>
    <row r="980" ht="15.75" customHeight="1">
      <c r="B980" s="31"/>
      <c r="N980" s="127"/>
      <c r="S980" s="31" t="str">
        <f>IF($C980="","",IF(OR($M980="",$N980=""),'Lists &amp; Settings'!$O$10,IF($N980="Fail",'Lists &amp; Settings'!$O$9,IF($N980="Insufficient Evidence",'Lists &amp; Settings'!$O$10,IF($N980="Pass",IF($M980&gt;='Lists &amp; Settings'!$N$2,'Lists &amp; Settings'!$O$2,IF($M980&gt;='Lists &amp; Settings'!$N$3,'Lists &amp; Settings'!$O$3,'Lists &amp; Settings'!$O$4)),IF($N980="Partial",IF($M980&gt;='Lists &amp; Settings'!$N$6,'Lists &amp; Settings'!$O$6,IF($M980&gt;='Lists &amp; Settings'!$N$7,'Lists &amp; Settings'!$O$7,'Lists &amp; Settings'!$O$8)),'Lists &amp; Settings'!$O$10))))))</f>
        <v/>
      </c>
      <c r="T980" s="31"/>
      <c r="U980" s="31"/>
      <c r="V980" s="31"/>
    </row>
    <row r="981" ht="15.75" customHeight="1">
      <c r="B981" s="31"/>
      <c r="N981" s="127"/>
      <c r="S981" s="31" t="str">
        <f>IF($C981="","",IF(OR($M981="",$N981=""),'Lists &amp; Settings'!$O$10,IF($N981="Fail",'Lists &amp; Settings'!$O$9,IF($N981="Insufficient Evidence",'Lists &amp; Settings'!$O$10,IF($N981="Pass",IF($M981&gt;='Lists &amp; Settings'!$N$2,'Lists &amp; Settings'!$O$2,IF($M981&gt;='Lists &amp; Settings'!$N$3,'Lists &amp; Settings'!$O$3,'Lists &amp; Settings'!$O$4)),IF($N981="Partial",IF($M981&gt;='Lists &amp; Settings'!$N$6,'Lists &amp; Settings'!$O$6,IF($M981&gt;='Lists &amp; Settings'!$N$7,'Lists &amp; Settings'!$O$7,'Lists &amp; Settings'!$O$8)),'Lists &amp; Settings'!$O$10))))))</f>
        <v/>
      </c>
      <c r="T981" s="31"/>
      <c r="U981" s="31"/>
      <c r="V981" s="31"/>
    </row>
    <row r="982" ht="15.75" customHeight="1">
      <c r="B982" s="31"/>
      <c r="N982" s="127"/>
      <c r="S982" s="31" t="str">
        <f>IF($C982="","",IF(OR($M982="",$N982=""),'Lists &amp; Settings'!$O$10,IF($N982="Fail",'Lists &amp; Settings'!$O$9,IF($N982="Insufficient Evidence",'Lists &amp; Settings'!$O$10,IF($N982="Pass",IF($M982&gt;='Lists &amp; Settings'!$N$2,'Lists &amp; Settings'!$O$2,IF($M982&gt;='Lists &amp; Settings'!$N$3,'Lists &amp; Settings'!$O$3,'Lists &amp; Settings'!$O$4)),IF($N982="Partial",IF($M982&gt;='Lists &amp; Settings'!$N$6,'Lists &amp; Settings'!$O$6,IF($M982&gt;='Lists &amp; Settings'!$N$7,'Lists &amp; Settings'!$O$7,'Lists &amp; Settings'!$O$8)),'Lists &amp; Settings'!$O$10))))))</f>
        <v/>
      </c>
      <c r="T982" s="31"/>
      <c r="U982" s="31"/>
      <c r="V982" s="31"/>
    </row>
    <row r="983" ht="15.75" customHeight="1">
      <c r="B983" s="31"/>
      <c r="N983" s="127"/>
      <c r="S983" s="31" t="str">
        <f>IF($C983="","",IF(OR($M983="",$N983=""),'Lists &amp; Settings'!$O$10,IF($N983="Fail",'Lists &amp; Settings'!$O$9,IF($N983="Insufficient Evidence",'Lists &amp; Settings'!$O$10,IF($N983="Pass",IF($M983&gt;='Lists &amp; Settings'!$N$2,'Lists &amp; Settings'!$O$2,IF($M983&gt;='Lists &amp; Settings'!$N$3,'Lists &amp; Settings'!$O$3,'Lists &amp; Settings'!$O$4)),IF($N983="Partial",IF($M983&gt;='Lists &amp; Settings'!$N$6,'Lists &amp; Settings'!$O$6,IF($M983&gt;='Lists &amp; Settings'!$N$7,'Lists &amp; Settings'!$O$7,'Lists &amp; Settings'!$O$8)),'Lists &amp; Settings'!$O$10))))))</f>
        <v/>
      </c>
      <c r="T983" s="31"/>
      <c r="U983" s="31"/>
      <c r="V983" s="31"/>
    </row>
    <row r="984" ht="15.75" customHeight="1">
      <c r="B984" s="31"/>
      <c r="N984" s="127"/>
      <c r="S984" s="31" t="str">
        <f>IF($C984="","",IF(OR($M984="",$N984=""),'Lists &amp; Settings'!$O$10,IF($N984="Fail",'Lists &amp; Settings'!$O$9,IF($N984="Insufficient Evidence",'Lists &amp; Settings'!$O$10,IF($N984="Pass",IF($M984&gt;='Lists &amp; Settings'!$N$2,'Lists &amp; Settings'!$O$2,IF($M984&gt;='Lists &amp; Settings'!$N$3,'Lists &amp; Settings'!$O$3,'Lists &amp; Settings'!$O$4)),IF($N984="Partial",IF($M984&gt;='Lists &amp; Settings'!$N$6,'Lists &amp; Settings'!$O$6,IF($M984&gt;='Lists &amp; Settings'!$N$7,'Lists &amp; Settings'!$O$7,'Lists &amp; Settings'!$O$8)),'Lists &amp; Settings'!$O$10))))))</f>
        <v/>
      </c>
      <c r="T984" s="31"/>
      <c r="U984" s="31"/>
      <c r="V984" s="31"/>
    </row>
    <row r="985" ht="15.75" customHeight="1">
      <c r="B985" s="31"/>
      <c r="N985" s="127"/>
      <c r="S985" s="31" t="str">
        <f>IF($C985="","",IF(OR($M985="",$N985=""),'Lists &amp; Settings'!$O$10,IF($N985="Fail",'Lists &amp; Settings'!$O$9,IF($N985="Insufficient Evidence",'Lists &amp; Settings'!$O$10,IF($N985="Pass",IF($M985&gt;='Lists &amp; Settings'!$N$2,'Lists &amp; Settings'!$O$2,IF($M985&gt;='Lists &amp; Settings'!$N$3,'Lists &amp; Settings'!$O$3,'Lists &amp; Settings'!$O$4)),IF($N985="Partial",IF($M985&gt;='Lists &amp; Settings'!$N$6,'Lists &amp; Settings'!$O$6,IF($M985&gt;='Lists &amp; Settings'!$N$7,'Lists &amp; Settings'!$O$7,'Lists &amp; Settings'!$O$8)),'Lists &amp; Settings'!$O$10))))))</f>
        <v/>
      </c>
      <c r="T985" s="31"/>
      <c r="U985" s="31"/>
      <c r="V985" s="31"/>
    </row>
    <row r="986" ht="15.75" customHeight="1">
      <c r="B986" s="31"/>
      <c r="N986" s="127"/>
      <c r="S986" s="31" t="str">
        <f>IF($C986="","",IF(OR($M986="",$N986=""),'Lists &amp; Settings'!$O$10,IF($N986="Fail",'Lists &amp; Settings'!$O$9,IF($N986="Insufficient Evidence",'Lists &amp; Settings'!$O$10,IF($N986="Pass",IF($M986&gt;='Lists &amp; Settings'!$N$2,'Lists &amp; Settings'!$O$2,IF($M986&gt;='Lists &amp; Settings'!$N$3,'Lists &amp; Settings'!$O$3,'Lists &amp; Settings'!$O$4)),IF($N986="Partial",IF($M986&gt;='Lists &amp; Settings'!$N$6,'Lists &amp; Settings'!$O$6,IF($M986&gt;='Lists &amp; Settings'!$N$7,'Lists &amp; Settings'!$O$7,'Lists &amp; Settings'!$O$8)),'Lists &amp; Settings'!$O$10))))))</f>
        <v/>
      </c>
      <c r="T986" s="31"/>
      <c r="U986" s="31"/>
      <c r="V986" s="31"/>
    </row>
    <row r="987" ht="15.75" customHeight="1">
      <c r="B987" s="31"/>
      <c r="N987" s="127"/>
      <c r="S987" s="31" t="str">
        <f>IF($C987="","",IF(OR($M987="",$N987=""),'Lists &amp; Settings'!$O$10,IF($N987="Fail",'Lists &amp; Settings'!$O$9,IF($N987="Insufficient Evidence",'Lists &amp; Settings'!$O$10,IF($N987="Pass",IF($M987&gt;='Lists &amp; Settings'!$N$2,'Lists &amp; Settings'!$O$2,IF($M987&gt;='Lists &amp; Settings'!$N$3,'Lists &amp; Settings'!$O$3,'Lists &amp; Settings'!$O$4)),IF($N987="Partial",IF($M987&gt;='Lists &amp; Settings'!$N$6,'Lists &amp; Settings'!$O$6,IF($M987&gt;='Lists &amp; Settings'!$N$7,'Lists &amp; Settings'!$O$7,'Lists &amp; Settings'!$O$8)),'Lists &amp; Settings'!$O$10))))))</f>
        <v/>
      </c>
      <c r="T987" s="31"/>
      <c r="U987" s="31"/>
      <c r="V987" s="31"/>
    </row>
    <row r="988" ht="15.75" customHeight="1">
      <c r="B988" s="31"/>
      <c r="N988" s="127"/>
      <c r="S988" s="31" t="str">
        <f>IF($C988="","",IF(OR($M988="",$N988=""),'Lists &amp; Settings'!$O$10,IF($N988="Fail",'Lists &amp; Settings'!$O$9,IF($N988="Insufficient Evidence",'Lists &amp; Settings'!$O$10,IF($N988="Pass",IF($M988&gt;='Lists &amp; Settings'!$N$2,'Lists &amp; Settings'!$O$2,IF($M988&gt;='Lists &amp; Settings'!$N$3,'Lists &amp; Settings'!$O$3,'Lists &amp; Settings'!$O$4)),IF($N988="Partial",IF($M988&gt;='Lists &amp; Settings'!$N$6,'Lists &amp; Settings'!$O$6,IF($M988&gt;='Lists &amp; Settings'!$N$7,'Lists &amp; Settings'!$O$7,'Lists &amp; Settings'!$O$8)),'Lists &amp; Settings'!$O$10))))))</f>
        <v/>
      </c>
      <c r="T988" s="31"/>
      <c r="U988" s="31"/>
      <c r="V988" s="31"/>
    </row>
    <row r="989" ht="15.75" customHeight="1">
      <c r="B989" s="31"/>
      <c r="N989" s="127"/>
      <c r="S989" s="31" t="str">
        <f>IF($C989="","",IF(OR($M989="",$N989=""),'Lists &amp; Settings'!$O$10,IF($N989="Fail",'Lists &amp; Settings'!$O$9,IF($N989="Insufficient Evidence",'Lists &amp; Settings'!$O$10,IF($N989="Pass",IF($M989&gt;='Lists &amp; Settings'!$N$2,'Lists &amp; Settings'!$O$2,IF($M989&gt;='Lists &amp; Settings'!$N$3,'Lists &amp; Settings'!$O$3,'Lists &amp; Settings'!$O$4)),IF($N989="Partial",IF($M989&gt;='Lists &amp; Settings'!$N$6,'Lists &amp; Settings'!$O$6,IF($M989&gt;='Lists &amp; Settings'!$N$7,'Lists &amp; Settings'!$O$7,'Lists &amp; Settings'!$O$8)),'Lists &amp; Settings'!$O$10))))))</f>
        <v/>
      </c>
      <c r="T989" s="31"/>
      <c r="U989" s="31"/>
      <c r="V989" s="31"/>
    </row>
    <row r="990" ht="15.75" customHeight="1">
      <c r="B990" s="31"/>
      <c r="N990" s="127"/>
      <c r="S990" s="31" t="str">
        <f>IF($C990="","",IF(OR($M990="",$N990=""),'Lists &amp; Settings'!$O$10,IF($N990="Fail",'Lists &amp; Settings'!$O$9,IF($N990="Insufficient Evidence",'Lists &amp; Settings'!$O$10,IF($N990="Pass",IF($M990&gt;='Lists &amp; Settings'!$N$2,'Lists &amp; Settings'!$O$2,IF($M990&gt;='Lists &amp; Settings'!$N$3,'Lists &amp; Settings'!$O$3,'Lists &amp; Settings'!$O$4)),IF($N990="Partial",IF($M990&gt;='Lists &amp; Settings'!$N$6,'Lists &amp; Settings'!$O$6,IF($M990&gt;='Lists &amp; Settings'!$N$7,'Lists &amp; Settings'!$O$7,'Lists &amp; Settings'!$O$8)),'Lists &amp; Settings'!$O$10))))))</f>
        <v/>
      </c>
      <c r="T990" s="31"/>
      <c r="U990" s="31"/>
      <c r="V990" s="31"/>
    </row>
    <row r="991" ht="15.75" customHeight="1">
      <c r="B991" s="31"/>
      <c r="N991" s="127"/>
      <c r="S991" s="31" t="str">
        <f>IF($C991="","",IF(OR($M991="",$N991=""),'Lists &amp; Settings'!$O$10,IF($N991="Fail",'Lists &amp; Settings'!$O$9,IF($N991="Insufficient Evidence",'Lists &amp; Settings'!$O$10,IF($N991="Pass",IF($M991&gt;='Lists &amp; Settings'!$N$2,'Lists &amp; Settings'!$O$2,IF($M991&gt;='Lists &amp; Settings'!$N$3,'Lists &amp; Settings'!$O$3,'Lists &amp; Settings'!$O$4)),IF($N991="Partial",IF($M991&gt;='Lists &amp; Settings'!$N$6,'Lists &amp; Settings'!$O$6,IF($M991&gt;='Lists &amp; Settings'!$N$7,'Lists &amp; Settings'!$O$7,'Lists &amp; Settings'!$O$8)),'Lists &amp; Settings'!$O$10))))))</f>
        <v/>
      </c>
      <c r="T991" s="31"/>
      <c r="U991" s="31"/>
      <c r="V991" s="31"/>
    </row>
    <row r="992" ht="15.75" customHeight="1">
      <c r="B992" s="31"/>
      <c r="N992" s="127"/>
      <c r="S992" s="31" t="str">
        <f>IF($C992="","",IF(OR($M992="",$N992=""),'Lists &amp; Settings'!$O$10,IF($N992="Fail",'Lists &amp; Settings'!$O$9,IF($N992="Insufficient Evidence",'Lists &amp; Settings'!$O$10,IF($N992="Pass",IF($M992&gt;='Lists &amp; Settings'!$N$2,'Lists &amp; Settings'!$O$2,IF($M992&gt;='Lists &amp; Settings'!$N$3,'Lists &amp; Settings'!$O$3,'Lists &amp; Settings'!$O$4)),IF($N992="Partial",IF($M992&gt;='Lists &amp; Settings'!$N$6,'Lists &amp; Settings'!$O$6,IF($M992&gt;='Lists &amp; Settings'!$N$7,'Lists &amp; Settings'!$O$7,'Lists &amp; Settings'!$O$8)),'Lists &amp; Settings'!$O$10))))))</f>
        <v/>
      </c>
      <c r="T992" s="31"/>
      <c r="U992" s="31"/>
      <c r="V992" s="31"/>
    </row>
    <row r="993" ht="15.75" customHeight="1">
      <c r="B993" s="31"/>
      <c r="N993" s="127"/>
      <c r="S993" s="31" t="str">
        <f>IF($C993="","",IF(OR($M993="",$N993=""),'Lists &amp; Settings'!$O$10,IF($N993="Fail",'Lists &amp; Settings'!$O$9,IF($N993="Insufficient Evidence",'Lists &amp; Settings'!$O$10,IF($N993="Pass",IF($M993&gt;='Lists &amp; Settings'!$N$2,'Lists &amp; Settings'!$O$2,IF($M993&gt;='Lists &amp; Settings'!$N$3,'Lists &amp; Settings'!$O$3,'Lists &amp; Settings'!$O$4)),IF($N993="Partial",IF($M993&gt;='Lists &amp; Settings'!$N$6,'Lists &amp; Settings'!$O$6,IF($M993&gt;='Lists &amp; Settings'!$N$7,'Lists &amp; Settings'!$O$7,'Lists &amp; Settings'!$O$8)),'Lists &amp; Settings'!$O$10))))))</f>
        <v/>
      </c>
      <c r="T993" s="31"/>
      <c r="U993" s="31"/>
      <c r="V993" s="31"/>
    </row>
    <row r="994" ht="15.75" customHeight="1">
      <c r="B994" s="31"/>
      <c r="N994" s="127"/>
      <c r="S994" s="31" t="str">
        <f>IF($C994="","",IF(OR($M994="",$N994=""),'Lists &amp; Settings'!$O$10,IF($N994="Fail",'Lists &amp; Settings'!$O$9,IF($N994="Insufficient Evidence",'Lists &amp; Settings'!$O$10,IF($N994="Pass",IF($M994&gt;='Lists &amp; Settings'!$N$2,'Lists &amp; Settings'!$O$2,IF($M994&gt;='Lists &amp; Settings'!$N$3,'Lists &amp; Settings'!$O$3,'Lists &amp; Settings'!$O$4)),IF($N994="Partial",IF($M994&gt;='Lists &amp; Settings'!$N$6,'Lists &amp; Settings'!$O$6,IF($M994&gt;='Lists &amp; Settings'!$N$7,'Lists &amp; Settings'!$O$7,'Lists &amp; Settings'!$O$8)),'Lists &amp; Settings'!$O$10))))))</f>
        <v/>
      </c>
      <c r="T994" s="31"/>
      <c r="U994" s="31"/>
      <c r="V994" s="31"/>
    </row>
    <row r="995" ht="15.75" customHeight="1">
      <c r="B995" s="31"/>
      <c r="N995" s="127"/>
      <c r="S995" s="31" t="str">
        <f>IF($C995="","",IF(OR($M995="",$N995=""),'Lists &amp; Settings'!$O$10,IF($N995="Fail",'Lists &amp; Settings'!$O$9,IF($N995="Insufficient Evidence",'Lists &amp; Settings'!$O$10,IF($N995="Pass",IF($M995&gt;='Lists &amp; Settings'!$N$2,'Lists &amp; Settings'!$O$2,IF($M995&gt;='Lists &amp; Settings'!$N$3,'Lists &amp; Settings'!$O$3,'Lists &amp; Settings'!$O$4)),IF($N995="Partial",IF($M995&gt;='Lists &amp; Settings'!$N$6,'Lists &amp; Settings'!$O$6,IF($M995&gt;='Lists &amp; Settings'!$N$7,'Lists &amp; Settings'!$O$7,'Lists &amp; Settings'!$O$8)),'Lists &amp; Settings'!$O$10))))))</f>
        <v/>
      </c>
      <c r="T995" s="31"/>
      <c r="U995" s="31"/>
      <c r="V995" s="31"/>
    </row>
    <row r="996" ht="15.75" customHeight="1">
      <c r="B996" s="31"/>
      <c r="N996" s="127"/>
      <c r="S996" s="31" t="str">
        <f>IF($C996="","",IF(OR($M996="",$N996=""),'Lists &amp; Settings'!$O$10,IF($N996="Fail",'Lists &amp; Settings'!$O$9,IF($N996="Insufficient Evidence",'Lists &amp; Settings'!$O$10,IF($N996="Pass",IF($M996&gt;='Lists &amp; Settings'!$N$2,'Lists &amp; Settings'!$O$2,IF($M996&gt;='Lists &amp; Settings'!$N$3,'Lists &amp; Settings'!$O$3,'Lists &amp; Settings'!$O$4)),IF($N996="Partial",IF($M996&gt;='Lists &amp; Settings'!$N$6,'Lists &amp; Settings'!$O$6,IF($M996&gt;='Lists &amp; Settings'!$N$7,'Lists &amp; Settings'!$O$7,'Lists &amp; Settings'!$O$8)),'Lists &amp; Settings'!$O$10))))))</f>
        <v/>
      </c>
      <c r="T996" s="31"/>
      <c r="U996" s="31"/>
      <c r="V996" s="31"/>
    </row>
    <row r="997" ht="15.75" customHeight="1">
      <c r="B997" s="31"/>
      <c r="N997" s="127"/>
      <c r="S997" s="31" t="str">
        <f>IF($C997="","",IF(OR($M997="",$N997=""),'Lists &amp; Settings'!$O$10,IF($N997="Fail",'Lists &amp; Settings'!$O$9,IF($N997="Insufficient Evidence",'Lists &amp; Settings'!$O$10,IF($N997="Pass",IF($M997&gt;='Lists &amp; Settings'!$N$2,'Lists &amp; Settings'!$O$2,IF($M997&gt;='Lists &amp; Settings'!$N$3,'Lists &amp; Settings'!$O$3,'Lists &amp; Settings'!$O$4)),IF($N997="Partial",IF($M997&gt;='Lists &amp; Settings'!$N$6,'Lists &amp; Settings'!$O$6,IF($M997&gt;='Lists &amp; Settings'!$N$7,'Lists &amp; Settings'!$O$7,'Lists &amp; Settings'!$O$8)),'Lists &amp; Settings'!$O$10))))))</f>
        <v/>
      </c>
      <c r="T997" s="31"/>
      <c r="U997" s="31"/>
      <c r="V997" s="31"/>
    </row>
    <row r="998" ht="15.75" customHeight="1">
      <c r="B998" s="31"/>
      <c r="N998" s="127"/>
      <c r="S998" s="31" t="str">
        <f>IF($C998="","",IF(OR($M998="",$N998=""),'Lists &amp; Settings'!$O$10,IF($N998="Fail",'Lists &amp; Settings'!$O$9,IF($N998="Insufficient Evidence",'Lists &amp; Settings'!$O$10,IF($N998="Pass",IF($M998&gt;='Lists &amp; Settings'!$N$2,'Lists &amp; Settings'!$O$2,IF($M998&gt;='Lists &amp; Settings'!$N$3,'Lists &amp; Settings'!$O$3,'Lists &amp; Settings'!$O$4)),IF($N998="Partial",IF($M998&gt;='Lists &amp; Settings'!$N$6,'Lists &amp; Settings'!$O$6,IF($M998&gt;='Lists &amp; Settings'!$N$7,'Lists &amp; Settings'!$O$7,'Lists &amp; Settings'!$O$8)),'Lists &amp; Settings'!$O$10))))))</f>
        <v/>
      </c>
      <c r="T998" s="31"/>
      <c r="U998" s="31"/>
      <c r="V998" s="31"/>
    </row>
    <row r="999" ht="15.75" customHeight="1">
      <c r="B999" s="31"/>
      <c r="N999" s="127"/>
      <c r="S999" s="31" t="str">
        <f>IF($C999="","",IF(OR($M999="",$N999=""),'Lists &amp; Settings'!$O$10,IF($N999="Fail",'Lists &amp; Settings'!$O$9,IF($N999="Insufficient Evidence",'Lists &amp; Settings'!$O$10,IF($N999="Pass",IF($M999&gt;='Lists &amp; Settings'!$N$2,'Lists &amp; Settings'!$O$2,IF($M999&gt;='Lists &amp; Settings'!$N$3,'Lists &amp; Settings'!$O$3,'Lists &amp; Settings'!$O$4)),IF($N999="Partial",IF($M999&gt;='Lists &amp; Settings'!$N$6,'Lists &amp; Settings'!$O$6,IF($M999&gt;='Lists &amp; Settings'!$N$7,'Lists &amp; Settings'!$O$7,'Lists &amp; Settings'!$O$8)),'Lists &amp; Settings'!$O$10))))))</f>
        <v/>
      </c>
      <c r="T999" s="31"/>
      <c r="U999" s="31"/>
      <c r="V999" s="31"/>
    </row>
    <row r="1000" ht="15.75" customHeight="1">
      <c r="B1000" s="31"/>
      <c r="N1000" s="127"/>
      <c r="S1000" s="31" t="str">
        <f>IF($C1000="","",IF(OR($M1000="",$N1000=""),'Lists &amp; Settings'!$O$10,IF($N1000="Fail",'Lists &amp; Settings'!$O$9,IF($N1000="Insufficient Evidence",'Lists &amp; Settings'!$O$10,IF($N1000="Pass",IF($M1000&gt;='Lists &amp; Settings'!$N$2,'Lists &amp; Settings'!$O$2,IF($M1000&gt;='Lists &amp; Settings'!$N$3,'Lists &amp; Settings'!$O$3,'Lists &amp; Settings'!$O$4)),IF($N1000="Partial",IF($M1000&gt;='Lists &amp; Settings'!$N$6,'Lists &amp; Settings'!$O$6,IF($M1000&gt;='Lists &amp; Settings'!$N$7,'Lists &amp; Settings'!$O$7,'Lists &amp; Settings'!$O$8)),'Lists &amp; Settings'!$O$10))))))</f>
        <v/>
      </c>
      <c r="T1000" s="31"/>
      <c r="U1000" s="31"/>
      <c r="V1000" s="31"/>
    </row>
    <row r="1001" ht="15.75" customHeight="1">
      <c r="B1001" s="31"/>
      <c r="N1001" s="127"/>
      <c r="S1001" s="31" t="str">
        <f>IF($C1001="","",IF(OR($M1001="",$N1001=""),'Lists &amp; Settings'!$O$10,IF($N1001="Fail",'Lists &amp; Settings'!$O$9,IF($N1001="Insufficient Evidence",'Lists &amp; Settings'!$O$10,IF($N1001="Pass",IF($M1001&gt;='Lists &amp; Settings'!$N$2,'Lists &amp; Settings'!$O$2,IF($M1001&gt;='Lists &amp; Settings'!$N$3,'Lists &amp; Settings'!$O$3,'Lists &amp; Settings'!$O$4)),IF($N1001="Partial",IF($M1001&gt;='Lists &amp; Settings'!$N$6,'Lists &amp; Settings'!$O$6,IF($M1001&gt;='Lists &amp; Settings'!$N$7,'Lists &amp; Settings'!$O$7,'Lists &amp; Settings'!$O$8)),'Lists &amp; Settings'!$O$10))))))</f>
        <v/>
      </c>
      <c r="T1001" s="31"/>
      <c r="U1001" s="31"/>
      <c r="V1001" s="31"/>
    </row>
    <row r="1002" ht="15.75" customHeight="1">
      <c r="B1002" s="31"/>
      <c r="N1002" s="127"/>
      <c r="S1002" s="31" t="str">
        <f>IF($C1002="","",IF(OR($M1002="",$N1002=""),'Lists &amp; Settings'!$O$10,IF($N1002="Fail",'Lists &amp; Settings'!$O$9,IF($N1002="Insufficient Evidence",'Lists &amp; Settings'!$O$10,IF($N1002="Pass",IF($M1002&gt;='Lists &amp; Settings'!$N$2,'Lists &amp; Settings'!$O$2,IF($M1002&gt;='Lists &amp; Settings'!$N$3,'Lists &amp; Settings'!$O$3,'Lists &amp; Settings'!$O$4)),IF($N1002="Partial",IF($M1002&gt;='Lists &amp; Settings'!$N$6,'Lists &amp; Settings'!$O$6,IF($M1002&gt;='Lists &amp; Settings'!$N$7,'Lists &amp; Settings'!$O$7,'Lists &amp; Settings'!$O$8)),'Lists &amp; Settings'!$O$10))))))</f>
        <v/>
      </c>
      <c r="T1002" s="31"/>
      <c r="U1002" s="31"/>
      <c r="V1002" s="31"/>
    </row>
    <row r="1003" ht="15.75" customHeight="1">
      <c r="B1003" s="31"/>
      <c r="N1003" s="127"/>
      <c r="S1003" s="31" t="str">
        <f>IF($C1003="","",IF(OR($M1003="",$N1003=""),'Lists &amp; Settings'!$O$10,IF($N1003="Fail",'Lists &amp; Settings'!$O$9,IF($N1003="Insufficient Evidence",'Lists &amp; Settings'!$O$10,IF($N1003="Pass",IF($M1003&gt;='Lists &amp; Settings'!$N$2,'Lists &amp; Settings'!$O$2,IF($M1003&gt;='Lists &amp; Settings'!$N$3,'Lists &amp; Settings'!$O$3,'Lists &amp; Settings'!$O$4)),IF($N1003="Partial",IF($M1003&gt;='Lists &amp; Settings'!$N$6,'Lists &amp; Settings'!$O$6,IF($M1003&gt;='Lists &amp; Settings'!$N$7,'Lists &amp; Settings'!$O$7,'Lists &amp; Settings'!$O$8)),'Lists &amp; Settings'!$O$10))))))</f>
        <v/>
      </c>
      <c r="T1003" s="31"/>
      <c r="U1003" s="31"/>
      <c r="V1003" s="31"/>
    </row>
    <row r="1004" ht="15.75" customHeight="1">
      <c r="B1004" s="31"/>
      <c r="N1004" s="127"/>
      <c r="S1004" s="31" t="str">
        <f>IF($C1004="","",IF(OR($M1004="",$N1004=""),'Lists &amp; Settings'!$O$10,IF($N1004="Fail",'Lists &amp; Settings'!$O$9,IF($N1004="Insufficient Evidence",'Lists &amp; Settings'!$O$10,IF($N1004="Pass",IF($M1004&gt;='Lists &amp; Settings'!$N$2,'Lists &amp; Settings'!$O$2,IF($M1004&gt;='Lists &amp; Settings'!$N$3,'Lists &amp; Settings'!$O$3,'Lists &amp; Settings'!$O$4)),IF($N1004="Partial",IF($M1004&gt;='Lists &amp; Settings'!$N$6,'Lists &amp; Settings'!$O$6,IF($M1004&gt;='Lists &amp; Settings'!$N$7,'Lists &amp; Settings'!$O$7,'Lists &amp; Settings'!$O$8)),'Lists &amp; Settings'!$O$10))))))</f>
        <v/>
      </c>
      <c r="T1004" s="31"/>
      <c r="U1004" s="31"/>
      <c r="V1004" s="31"/>
    </row>
    <row r="1005" ht="15.75" customHeight="1">
      <c r="B1005" s="31"/>
      <c r="N1005" s="127"/>
      <c r="S1005" s="31" t="str">
        <f>IF($C1005="","",IF(OR($M1005="",$N1005=""),'Lists &amp; Settings'!$O$10,IF($N1005="Fail",'Lists &amp; Settings'!$O$9,IF($N1005="Insufficient Evidence",'Lists &amp; Settings'!$O$10,IF($N1005="Pass",IF($M1005&gt;='Lists &amp; Settings'!$N$2,'Lists &amp; Settings'!$O$2,IF($M1005&gt;='Lists &amp; Settings'!$N$3,'Lists &amp; Settings'!$O$3,'Lists &amp; Settings'!$O$4)),IF($N1005="Partial",IF($M1005&gt;='Lists &amp; Settings'!$N$6,'Lists &amp; Settings'!$O$6,IF($M1005&gt;='Lists &amp; Settings'!$N$7,'Lists &amp; Settings'!$O$7,'Lists &amp; Settings'!$O$8)),'Lists &amp; Settings'!$O$10))))))</f>
        <v/>
      </c>
      <c r="T1005" s="31"/>
      <c r="U1005" s="31"/>
      <c r="V1005" s="31"/>
    </row>
    <row r="1006" ht="15.75" customHeight="1">
      <c r="B1006" s="31"/>
      <c r="N1006" s="127"/>
      <c r="S1006" s="31" t="str">
        <f>IF($C1006="","",IF(OR($M1006="",$N1006=""),'Lists &amp; Settings'!$O$10,IF($N1006="Fail",'Lists &amp; Settings'!$O$9,IF($N1006="Insufficient Evidence",'Lists &amp; Settings'!$O$10,IF($N1006="Pass",IF($M1006&gt;='Lists &amp; Settings'!$N$2,'Lists &amp; Settings'!$O$2,IF($M1006&gt;='Lists &amp; Settings'!$N$3,'Lists &amp; Settings'!$O$3,'Lists &amp; Settings'!$O$4)),IF($N1006="Partial",IF($M1006&gt;='Lists &amp; Settings'!$N$6,'Lists &amp; Settings'!$O$6,IF($M1006&gt;='Lists &amp; Settings'!$N$7,'Lists &amp; Settings'!$O$7,'Lists &amp; Settings'!$O$8)),'Lists &amp; Settings'!$O$10))))))</f>
        <v/>
      </c>
      <c r="T1006" s="31"/>
      <c r="U1006" s="31"/>
      <c r="V1006" s="31"/>
    </row>
    <row r="1007" ht="15.75" customHeight="1">
      <c r="B1007" s="31"/>
      <c r="N1007" s="127"/>
      <c r="S1007" s="31" t="str">
        <f>IF($C1007="","",IF(OR($M1007="",$N1007=""),'Lists &amp; Settings'!$O$10,IF($N1007="Fail",'Lists &amp; Settings'!$O$9,IF($N1007="Insufficient Evidence",'Lists &amp; Settings'!$O$10,IF($N1007="Pass",IF($M1007&gt;='Lists &amp; Settings'!$N$2,'Lists &amp; Settings'!$O$2,IF($M1007&gt;='Lists &amp; Settings'!$N$3,'Lists &amp; Settings'!$O$3,'Lists &amp; Settings'!$O$4)),IF($N1007="Partial",IF($M1007&gt;='Lists &amp; Settings'!$N$6,'Lists &amp; Settings'!$O$6,IF($M1007&gt;='Lists &amp; Settings'!$N$7,'Lists &amp; Settings'!$O$7,'Lists &amp; Settings'!$O$8)),'Lists &amp; Settings'!$O$10))))))</f>
        <v/>
      </c>
      <c r="T1007" s="31"/>
      <c r="U1007" s="31"/>
      <c r="V1007" s="31"/>
    </row>
    <row r="1008" ht="15.75" customHeight="1">
      <c r="B1008" s="31"/>
      <c r="N1008" s="127"/>
      <c r="S1008" s="31" t="str">
        <f>IF($C1008="","",IF(OR($M1008="",$N1008=""),'Lists &amp; Settings'!$O$10,IF($N1008="Fail",'Lists &amp; Settings'!$O$9,IF($N1008="Insufficient Evidence",'Lists &amp; Settings'!$O$10,IF($N1008="Pass",IF($M1008&gt;='Lists &amp; Settings'!$N$2,'Lists &amp; Settings'!$O$2,IF($M1008&gt;='Lists &amp; Settings'!$N$3,'Lists &amp; Settings'!$O$3,'Lists &amp; Settings'!$O$4)),IF($N1008="Partial",IF($M1008&gt;='Lists &amp; Settings'!$N$6,'Lists &amp; Settings'!$O$6,IF($M1008&gt;='Lists &amp; Settings'!$N$7,'Lists &amp; Settings'!$O$7,'Lists &amp; Settings'!$O$8)),'Lists &amp; Settings'!$O$10))))))</f>
        <v/>
      </c>
      <c r="T1008" s="31"/>
      <c r="U1008" s="31"/>
      <c r="V1008" s="31"/>
    </row>
    <row r="1009" ht="15.75" customHeight="1">
      <c r="B1009" s="31"/>
      <c r="N1009" s="127"/>
      <c r="S1009" s="31" t="str">
        <f>IF($C1009="","",IF(OR($M1009="",$N1009=""),'Lists &amp; Settings'!$O$10,IF($N1009="Fail",'Lists &amp; Settings'!$O$9,IF($N1009="Insufficient Evidence",'Lists &amp; Settings'!$O$10,IF($N1009="Pass",IF($M1009&gt;='Lists &amp; Settings'!$N$2,'Lists &amp; Settings'!$O$2,IF($M1009&gt;='Lists &amp; Settings'!$N$3,'Lists &amp; Settings'!$O$3,'Lists &amp; Settings'!$O$4)),IF($N1009="Partial",IF($M1009&gt;='Lists &amp; Settings'!$N$6,'Lists &amp; Settings'!$O$6,IF($M1009&gt;='Lists &amp; Settings'!$N$7,'Lists &amp; Settings'!$O$7,'Lists &amp; Settings'!$O$8)),'Lists &amp; Settings'!$O$10))))))</f>
        <v/>
      </c>
      <c r="T1009" s="31"/>
      <c r="U1009" s="31"/>
      <c r="V1009" s="31"/>
    </row>
    <row r="1010" ht="15.75" customHeight="1">
      <c r="B1010" s="31"/>
      <c r="N1010" s="127"/>
      <c r="S1010" s="31" t="str">
        <f>IF($C1010="","",IF(OR($M1010="",$N1010=""),'Lists &amp; Settings'!$O$10,IF($N1010="Fail",'Lists &amp; Settings'!$O$9,IF($N1010="Insufficient Evidence",'Lists &amp; Settings'!$O$10,IF($N1010="Pass",IF($M1010&gt;='Lists &amp; Settings'!$N$2,'Lists &amp; Settings'!$O$2,IF($M1010&gt;='Lists &amp; Settings'!$N$3,'Lists &amp; Settings'!$O$3,'Lists &amp; Settings'!$O$4)),IF($N1010="Partial",IF($M1010&gt;='Lists &amp; Settings'!$N$6,'Lists &amp; Settings'!$O$6,IF($M1010&gt;='Lists &amp; Settings'!$N$7,'Lists &amp; Settings'!$O$7,'Lists &amp; Settings'!$O$8)),'Lists &amp; Settings'!$O$10))))))</f>
        <v/>
      </c>
      <c r="T1010" s="31"/>
      <c r="U1010" s="31"/>
      <c r="V1010" s="31"/>
    </row>
    <row r="1011" ht="15.75" customHeight="1">
      <c r="B1011" s="31"/>
      <c r="N1011" s="127"/>
      <c r="S1011" s="31" t="str">
        <f>IF($C1011="","",IF(OR($M1011="",$N1011=""),'Lists &amp; Settings'!$O$10,IF($N1011="Fail",'Lists &amp; Settings'!$O$9,IF($N1011="Insufficient Evidence",'Lists &amp; Settings'!$O$10,IF($N1011="Pass",IF($M1011&gt;='Lists &amp; Settings'!$N$2,'Lists &amp; Settings'!$O$2,IF($M1011&gt;='Lists &amp; Settings'!$N$3,'Lists &amp; Settings'!$O$3,'Lists &amp; Settings'!$O$4)),IF($N1011="Partial",IF($M1011&gt;='Lists &amp; Settings'!$N$6,'Lists &amp; Settings'!$O$6,IF($M1011&gt;='Lists &amp; Settings'!$N$7,'Lists &amp; Settings'!$O$7,'Lists &amp; Settings'!$O$8)),'Lists &amp; Settings'!$O$10))))))</f>
        <v/>
      </c>
      <c r="T1011" s="31"/>
      <c r="U1011" s="31"/>
      <c r="V1011" s="31"/>
    </row>
    <row r="1012" ht="15.75" customHeight="1">
      <c r="B1012" s="31"/>
      <c r="N1012" s="127"/>
      <c r="S1012" s="31" t="str">
        <f>IF($C1012="","",IF(OR($M1012="",$N1012=""),'Lists &amp; Settings'!$O$10,IF($N1012="Fail",'Lists &amp; Settings'!$O$9,IF($N1012="Insufficient Evidence",'Lists &amp; Settings'!$O$10,IF($N1012="Pass",IF($M1012&gt;='Lists &amp; Settings'!$N$2,'Lists &amp; Settings'!$O$2,IF($M1012&gt;='Lists &amp; Settings'!$N$3,'Lists &amp; Settings'!$O$3,'Lists &amp; Settings'!$O$4)),IF($N1012="Partial",IF($M1012&gt;='Lists &amp; Settings'!$N$6,'Lists &amp; Settings'!$O$6,IF($M1012&gt;='Lists &amp; Settings'!$N$7,'Lists &amp; Settings'!$O$7,'Lists &amp; Settings'!$O$8)),'Lists &amp; Settings'!$O$10))))))</f>
        <v/>
      </c>
      <c r="T1012" s="31"/>
      <c r="U1012" s="31"/>
      <c r="V1012" s="31"/>
    </row>
    <row r="1013" ht="15.75" customHeight="1">
      <c r="B1013" s="31"/>
      <c r="N1013" s="127"/>
      <c r="S1013" s="31" t="str">
        <f>IF($C1013="","",IF(OR($M1013="",$N1013=""),'Lists &amp; Settings'!$O$10,IF($N1013="Fail",'Lists &amp; Settings'!$O$9,IF($N1013="Insufficient Evidence",'Lists &amp; Settings'!$O$10,IF($N1013="Pass",IF($M1013&gt;='Lists &amp; Settings'!$N$2,'Lists &amp; Settings'!$O$2,IF($M1013&gt;='Lists &amp; Settings'!$N$3,'Lists &amp; Settings'!$O$3,'Lists &amp; Settings'!$O$4)),IF($N1013="Partial",IF($M1013&gt;='Lists &amp; Settings'!$N$6,'Lists &amp; Settings'!$O$6,IF($M1013&gt;='Lists &amp; Settings'!$N$7,'Lists &amp; Settings'!$O$7,'Lists &amp; Settings'!$O$8)),'Lists &amp; Settings'!$O$10))))))</f>
        <v/>
      </c>
      <c r="T1013" s="31"/>
      <c r="U1013" s="31"/>
      <c r="V1013" s="31"/>
    </row>
    <row r="1014" ht="15.75" customHeight="1">
      <c r="B1014" s="31"/>
      <c r="N1014" s="127"/>
      <c r="S1014" s="31" t="str">
        <f>IF($C1014="","",IF(OR($M1014="",$N1014=""),'Lists &amp; Settings'!$O$10,IF($N1014="Fail",'Lists &amp; Settings'!$O$9,IF($N1014="Insufficient Evidence",'Lists &amp; Settings'!$O$10,IF($N1014="Pass",IF($M1014&gt;='Lists &amp; Settings'!$N$2,'Lists &amp; Settings'!$O$2,IF($M1014&gt;='Lists &amp; Settings'!$N$3,'Lists &amp; Settings'!$O$3,'Lists &amp; Settings'!$O$4)),IF($N1014="Partial",IF($M1014&gt;='Lists &amp; Settings'!$N$6,'Lists &amp; Settings'!$O$6,IF($M1014&gt;='Lists &amp; Settings'!$N$7,'Lists &amp; Settings'!$O$7,'Lists &amp; Settings'!$O$8)),'Lists &amp; Settings'!$O$10))))))</f>
        <v/>
      </c>
      <c r="T1014" s="31"/>
      <c r="U1014" s="31"/>
      <c r="V1014" s="31"/>
    </row>
    <row r="1015" ht="15.75" customHeight="1">
      <c r="B1015" s="31"/>
      <c r="N1015" s="127"/>
      <c r="S1015" s="31" t="str">
        <f>IF($C1015="","",IF(OR($M1015="",$N1015=""),'Lists &amp; Settings'!$O$10,IF($N1015="Fail",'Lists &amp; Settings'!$O$9,IF($N1015="Insufficient Evidence",'Lists &amp; Settings'!$O$10,IF($N1015="Pass",IF($M1015&gt;='Lists &amp; Settings'!$N$2,'Lists &amp; Settings'!$O$2,IF($M1015&gt;='Lists &amp; Settings'!$N$3,'Lists &amp; Settings'!$O$3,'Lists &amp; Settings'!$O$4)),IF($N1015="Partial",IF($M1015&gt;='Lists &amp; Settings'!$N$6,'Lists &amp; Settings'!$O$6,IF($M1015&gt;='Lists &amp; Settings'!$N$7,'Lists &amp; Settings'!$O$7,'Lists &amp; Settings'!$O$8)),'Lists &amp; Settings'!$O$10))))))</f>
        <v/>
      </c>
      <c r="T1015" s="31"/>
      <c r="U1015" s="31"/>
      <c r="V1015" s="31"/>
    </row>
    <row r="1016" ht="15.75" customHeight="1">
      <c r="B1016" s="31"/>
      <c r="N1016" s="127"/>
      <c r="S1016" s="31" t="str">
        <f>IF($C1016="","",IF(OR($M1016="",$N1016=""),'Lists &amp; Settings'!$O$10,IF($N1016="Fail",'Lists &amp; Settings'!$O$9,IF($N1016="Insufficient Evidence",'Lists &amp; Settings'!$O$10,IF($N1016="Pass",IF($M1016&gt;='Lists &amp; Settings'!$N$2,'Lists &amp; Settings'!$O$2,IF($M1016&gt;='Lists &amp; Settings'!$N$3,'Lists &amp; Settings'!$O$3,'Lists &amp; Settings'!$O$4)),IF($N1016="Partial",IF($M1016&gt;='Lists &amp; Settings'!$N$6,'Lists &amp; Settings'!$O$6,IF($M1016&gt;='Lists &amp; Settings'!$N$7,'Lists &amp; Settings'!$O$7,'Lists &amp; Settings'!$O$8)),'Lists &amp; Settings'!$O$10))))))</f>
        <v/>
      </c>
      <c r="T1016" s="31"/>
      <c r="U1016" s="31"/>
      <c r="V1016" s="31"/>
    </row>
    <row r="1017" ht="15.75" customHeight="1">
      <c r="B1017" s="31"/>
      <c r="N1017" s="127"/>
      <c r="S1017" s="31" t="str">
        <f>IF($C1017="","",IF(OR($M1017="",$N1017=""),'Lists &amp; Settings'!$O$10,IF($N1017="Fail",'Lists &amp; Settings'!$O$9,IF($N1017="Insufficient Evidence",'Lists &amp; Settings'!$O$10,IF($N1017="Pass",IF($M1017&gt;='Lists &amp; Settings'!$N$2,'Lists &amp; Settings'!$O$2,IF($M1017&gt;='Lists &amp; Settings'!$N$3,'Lists &amp; Settings'!$O$3,'Lists &amp; Settings'!$O$4)),IF($N1017="Partial",IF($M1017&gt;='Lists &amp; Settings'!$N$6,'Lists &amp; Settings'!$O$6,IF($M1017&gt;='Lists &amp; Settings'!$N$7,'Lists &amp; Settings'!$O$7,'Lists &amp; Settings'!$O$8)),'Lists &amp; Settings'!$O$10))))))</f>
        <v/>
      </c>
      <c r="T1017" s="31"/>
      <c r="U1017" s="31"/>
      <c r="V1017" s="31"/>
    </row>
    <row r="1018" ht="15.75" customHeight="1">
      <c r="B1018" s="31"/>
      <c r="N1018" s="127"/>
      <c r="S1018" s="31" t="str">
        <f>IF($C1018="","",IF(OR($M1018="",$N1018=""),'Lists &amp; Settings'!$O$10,IF($N1018="Fail",'Lists &amp; Settings'!$O$9,IF($N1018="Insufficient Evidence",'Lists &amp; Settings'!$O$10,IF($N1018="Pass",IF($M1018&gt;='Lists &amp; Settings'!$N$2,'Lists &amp; Settings'!$O$2,IF($M1018&gt;='Lists &amp; Settings'!$N$3,'Lists &amp; Settings'!$O$3,'Lists &amp; Settings'!$O$4)),IF($N1018="Partial",IF($M1018&gt;='Lists &amp; Settings'!$N$6,'Lists &amp; Settings'!$O$6,IF($M1018&gt;='Lists &amp; Settings'!$N$7,'Lists &amp; Settings'!$O$7,'Lists &amp; Settings'!$O$8)),'Lists &amp; Settings'!$O$10))))))</f>
        <v/>
      </c>
      <c r="T1018" s="31"/>
      <c r="U1018" s="31"/>
      <c r="V1018" s="31"/>
    </row>
    <row r="1019" ht="15.75" customHeight="1">
      <c r="B1019" s="31"/>
      <c r="N1019" s="127"/>
      <c r="S1019" s="31" t="str">
        <f>IF($C1019="","",IF(OR($M1019="",$N1019=""),'Lists &amp; Settings'!$O$10,IF($N1019="Fail",'Lists &amp; Settings'!$O$9,IF($N1019="Insufficient Evidence",'Lists &amp; Settings'!$O$10,IF($N1019="Pass",IF($M1019&gt;='Lists &amp; Settings'!$N$2,'Lists &amp; Settings'!$O$2,IF($M1019&gt;='Lists &amp; Settings'!$N$3,'Lists &amp; Settings'!$O$3,'Lists &amp; Settings'!$O$4)),IF($N1019="Partial",IF($M1019&gt;='Lists &amp; Settings'!$N$6,'Lists &amp; Settings'!$O$6,IF($M1019&gt;='Lists &amp; Settings'!$N$7,'Lists &amp; Settings'!$O$7,'Lists &amp; Settings'!$O$8)),'Lists &amp; Settings'!$O$10))))))</f>
        <v/>
      </c>
      <c r="T1019" s="31"/>
      <c r="U1019" s="31"/>
      <c r="V1019" s="31"/>
    </row>
    <row r="1020" ht="15.75" customHeight="1">
      <c r="B1020" s="31"/>
      <c r="N1020" s="127"/>
      <c r="S1020" s="31" t="str">
        <f>IF($C1020="","",IF(OR($M1020="",$N1020=""),'Lists &amp; Settings'!$O$10,IF($N1020="Fail",'Lists &amp; Settings'!$O$9,IF($N1020="Insufficient Evidence",'Lists &amp; Settings'!$O$10,IF($N1020="Pass",IF($M1020&gt;='Lists &amp; Settings'!$N$2,'Lists &amp; Settings'!$O$2,IF($M1020&gt;='Lists &amp; Settings'!$N$3,'Lists &amp; Settings'!$O$3,'Lists &amp; Settings'!$O$4)),IF($N1020="Partial",IF($M1020&gt;='Lists &amp; Settings'!$N$6,'Lists &amp; Settings'!$O$6,IF($M1020&gt;='Lists &amp; Settings'!$N$7,'Lists &amp; Settings'!$O$7,'Lists &amp; Settings'!$O$8)),'Lists &amp; Settings'!$O$10))))))</f>
        <v/>
      </c>
      <c r="T1020" s="31"/>
      <c r="U1020" s="31"/>
      <c r="V1020" s="31"/>
    </row>
    <row r="1021" ht="15.75" customHeight="1">
      <c r="B1021" s="31"/>
      <c r="N1021" s="127"/>
      <c r="S1021" s="31" t="str">
        <f>IF($C1021="","",IF(OR($M1021="",$N1021=""),'Lists &amp; Settings'!$O$10,IF($N1021="Fail",'Lists &amp; Settings'!$O$9,IF($N1021="Insufficient Evidence",'Lists &amp; Settings'!$O$10,IF($N1021="Pass",IF($M1021&gt;='Lists &amp; Settings'!$N$2,'Lists &amp; Settings'!$O$2,IF($M1021&gt;='Lists &amp; Settings'!$N$3,'Lists &amp; Settings'!$O$3,'Lists &amp; Settings'!$O$4)),IF($N1021="Partial",IF($M1021&gt;='Lists &amp; Settings'!$N$6,'Lists &amp; Settings'!$O$6,IF($M1021&gt;='Lists &amp; Settings'!$N$7,'Lists &amp; Settings'!$O$7,'Lists &amp; Settings'!$O$8)),'Lists &amp; Settings'!$O$10))))))</f>
        <v/>
      </c>
      <c r="T1021" s="31"/>
      <c r="U1021" s="31"/>
      <c r="V1021" s="31"/>
    </row>
    <row r="1022" ht="15.75" customHeight="1">
      <c r="B1022" s="31"/>
      <c r="N1022" s="127"/>
      <c r="S1022" s="31" t="str">
        <f>IF($C1022="","",IF(OR($M1022="",$N1022=""),'Lists &amp; Settings'!$O$10,IF($N1022="Fail",'Lists &amp; Settings'!$O$9,IF($N1022="Insufficient Evidence",'Lists &amp; Settings'!$O$10,IF($N1022="Pass",IF($M1022&gt;='Lists &amp; Settings'!$N$2,'Lists &amp; Settings'!$O$2,IF($M1022&gt;='Lists &amp; Settings'!$N$3,'Lists &amp; Settings'!$O$3,'Lists &amp; Settings'!$O$4)),IF($N1022="Partial",IF($M1022&gt;='Lists &amp; Settings'!$N$6,'Lists &amp; Settings'!$O$6,IF($M1022&gt;='Lists &amp; Settings'!$N$7,'Lists &amp; Settings'!$O$7,'Lists &amp; Settings'!$O$8)),'Lists &amp; Settings'!$O$10))))))</f>
        <v/>
      </c>
      <c r="T1022" s="31"/>
      <c r="U1022" s="31"/>
      <c r="V1022" s="31"/>
    </row>
    <row r="1023" ht="15.75" customHeight="1">
      <c r="B1023" s="31"/>
      <c r="N1023" s="127"/>
      <c r="S1023" s="31" t="str">
        <f>IF($C1023="","",IF(OR($M1023="",$N1023=""),'Lists &amp; Settings'!$O$10,IF($N1023="Fail",'Lists &amp; Settings'!$O$9,IF($N1023="Insufficient Evidence",'Lists &amp; Settings'!$O$10,IF($N1023="Pass",IF($M1023&gt;='Lists &amp; Settings'!$N$2,'Lists &amp; Settings'!$O$2,IF($M1023&gt;='Lists &amp; Settings'!$N$3,'Lists &amp; Settings'!$O$3,'Lists &amp; Settings'!$O$4)),IF($N1023="Partial",IF($M1023&gt;='Lists &amp; Settings'!$N$6,'Lists &amp; Settings'!$O$6,IF($M1023&gt;='Lists &amp; Settings'!$N$7,'Lists &amp; Settings'!$O$7,'Lists &amp; Settings'!$O$8)),'Lists &amp; Settings'!$O$10))))))</f>
        <v/>
      </c>
      <c r="T1023" s="31"/>
      <c r="U1023" s="31"/>
      <c r="V1023" s="31"/>
    </row>
    <row r="1024" ht="15.75" customHeight="1">
      <c r="B1024" s="31"/>
      <c r="N1024" s="127"/>
      <c r="S1024" s="31" t="str">
        <f>IF($C1024="","",IF(OR($M1024="",$N1024=""),'Lists &amp; Settings'!$O$10,IF($N1024="Fail",'Lists &amp; Settings'!$O$9,IF($N1024="Insufficient Evidence",'Lists &amp; Settings'!$O$10,IF($N1024="Pass",IF($M1024&gt;='Lists &amp; Settings'!$N$2,'Lists &amp; Settings'!$O$2,IF($M1024&gt;='Lists &amp; Settings'!$N$3,'Lists &amp; Settings'!$O$3,'Lists &amp; Settings'!$O$4)),IF($N1024="Partial",IF($M1024&gt;='Lists &amp; Settings'!$N$6,'Lists &amp; Settings'!$O$6,IF($M1024&gt;='Lists &amp; Settings'!$N$7,'Lists &amp; Settings'!$O$7,'Lists &amp; Settings'!$O$8)),'Lists &amp; Settings'!$O$10))))))</f>
        <v/>
      </c>
      <c r="T1024" s="31"/>
      <c r="U1024" s="31"/>
      <c r="V1024" s="31"/>
    </row>
    <row r="1025" ht="15.75" customHeight="1">
      <c r="B1025" s="31"/>
      <c r="N1025" s="127"/>
      <c r="S1025" s="31" t="str">
        <f>IF($C1025="","",IF(OR($M1025="",$N1025=""),'Lists &amp; Settings'!$O$10,IF($N1025="Fail",'Lists &amp; Settings'!$O$9,IF($N1025="Insufficient Evidence",'Lists &amp; Settings'!$O$10,IF($N1025="Pass",IF($M1025&gt;='Lists &amp; Settings'!$N$2,'Lists &amp; Settings'!$O$2,IF($M1025&gt;='Lists &amp; Settings'!$N$3,'Lists &amp; Settings'!$O$3,'Lists &amp; Settings'!$O$4)),IF($N1025="Partial",IF($M1025&gt;='Lists &amp; Settings'!$N$6,'Lists &amp; Settings'!$O$6,IF($M1025&gt;='Lists &amp; Settings'!$N$7,'Lists &amp; Settings'!$O$7,'Lists &amp; Settings'!$O$8)),'Lists &amp; Settings'!$O$10))))))</f>
        <v/>
      </c>
      <c r="T1025" s="31"/>
      <c r="U1025" s="31"/>
      <c r="V1025" s="31"/>
    </row>
    <row r="1026" ht="15.75" customHeight="1">
      <c r="B1026" s="31"/>
      <c r="N1026" s="127"/>
      <c r="S1026" s="31" t="str">
        <f>IF($C1026="","",IF(OR($M1026="",$N1026=""),'Lists &amp; Settings'!$O$10,IF($N1026="Fail",'Lists &amp; Settings'!$O$9,IF($N1026="Insufficient Evidence",'Lists &amp; Settings'!$O$10,IF($N1026="Pass",IF($M1026&gt;='Lists &amp; Settings'!$N$2,'Lists &amp; Settings'!$O$2,IF($M1026&gt;='Lists &amp; Settings'!$N$3,'Lists &amp; Settings'!$O$3,'Lists &amp; Settings'!$O$4)),IF($N1026="Partial",IF($M1026&gt;='Lists &amp; Settings'!$N$6,'Lists &amp; Settings'!$O$6,IF($M1026&gt;='Lists &amp; Settings'!$N$7,'Lists &amp; Settings'!$O$7,'Lists &amp; Settings'!$O$8)),'Lists &amp; Settings'!$O$10))))))</f>
        <v/>
      </c>
      <c r="T1026" s="31"/>
      <c r="U1026" s="31"/>
      <c r="V1026" s="31"/>
    </row>
    <row r="1027" ht="15.75" customHeight="1">
      <c r="B1027" s="31"/>
      <c r="N1027" s="127"/>
      <c r="S1027" s="31" t="str">
        <f>IF($C1027="","",IF(OR($M1027="",$N1027=""),'Lists &amp; Settings'!$O$10,IF($N1027="Fail",'Lists &amp; Settings'!$O$9,IF($N1027="Insufficient Evidence",'Lists &amp; Settings'!$O$10,IF($N1027="Pass",IF($M1027&gt;='Lists &amp; Settings'!$N$2,'Lists &amp; Settings'!$O$2,IF($M1027&gt;='Lists &amp; Settings'!$N$3,'Lists &amp; Settings'!$O$3,'Lists &amp; Settings'!$O$4)),IF($N1027="Partial",IF($M1027&gt;='Lists &amp; Settings'!$N$6,'Lists &amp; Settings'!$O$6,IF($M1027&gt;='Lists &amp; Settings'!$N$7,'Lists &amp; Settings'!$O$7,'Lists &amp; Settings'!$O$8)),'Lists &amp; Settings'!$O$10))))))</f>
        <v/>
      </c>
      <c r="T1027" s="31"/>
      <c r="U1027" s="31"/>
      <c r="V1027" s="31"/>
    </row>
    <row r="1028" ht="15.75" customHeight="1">
      <c r="B1028" s="31"/>
      <c r="N1028" s="127"/>
      <c r="S1028" s="31" t="str">
        <f>IF($C1028="","",IF(OR($M1028="",$N1028=""),'Lists &amp; Settings'!$O$10,IF($N1028="Fail",'Lists &amp; Settings'!$O$9,IF($N1028="Insufficient Evidence",'Lists &amp; Settings'!$O$10,IF($N1028="Pass",IF($M1028&gt;='Lists &amp; Settings'!$N$2,'Lists &amp; Settings'!$O$2,IF($M1028&gt;='Lists &amp; Settings'!$N$3,'Lists &amp; Settings'!$O$3,'Lists &amp; Settings'!$O$4)),IF($N1028="Partial",IF($M1028&gt;='Lists &amp; Settings'!$N$6,'Lists &amp; Settings'!$O$6,IF($M1028&gt;='Lists &amp; Settings'!$N$7,'Lists &amp; Settings'!$O$7,'Lists &amp; Settings'!$O$8)),'Lists &amp; Settings'!$O$10))))))</f>
        <v/>
      </c>
      <c r="T1028" s="31"/>
      <c r="U1028" s="31"/>
      <c r="V1028" s="31"/>
    </row>
    <row r="1029" ht="15.75" customHeight="1">
      <c r="B1029" s="31"/>
      <c r="N1029" s="127"/>
      <c r="S1029" s="31" t="str">
        <f>IF($C1029="","",IF(OR($M1029="",$N1029=""),'Lists &amp; Settings'!$O$10,IF($N1029="Fail",'Lists &amp; Settings'!$O$9,IF($N1029="Insufficient Evidence",'Lists &amp; Settings'!$O$10,IF($N1029="Pass",IF($M1029&gt;='Lists &amp; Settings'!$N$2,'Lists &amp; Settings'!$O$2,IF($M1029&gt;='Lists &amp; Settings'!$N$3,'Lists &amp; Settings'!$O$3,'Lists &amp; Settings'!$O$4)),IF($N1029="Partial",IF($M1029&gt;='Lists &amp; Settings'!$N$6,'Lists &amp; Settings'!$O$6,IF($M1029&gt;='Lists &amp; Settings'!$N$7,'Lists &amp; Settings'!$O$7,'Lists &amp; Settings'!$O$8)),'Lists &amp; Settings'!$O$10))))))</f>
        <v/>
      </c>
      <c r="T1029" s="31"/>
      <c r="U1029" s="31"/>
      <c r="V1029" s="31"/>
    </row>
    <row r="1030" ht="15.75" customHeight="1">
      <c r="B1030" s="31"/>
      <c r="N1030" s="127"/>
      <c r="S1030" s="31" t="str">
        <f>IF($C1030="","",IF(OR($M1030="",$N1030=""),'Lists &amp; Settings'!$O$10,IF($N1030="Fail",'Lists &amp; Settings'!$O$9,IF($N1030="Insufficient Evidence",'Lists &amp; Settings'!$O$10,IF($N1030="Pass",IF($M1030&gt;='Lists &amp; Settings'!$N$2,'Lists &amp; Settings'!$O$2,IF($M1030&gt;='Lists &amp; Settings'!$N$3,'Lists &amp; Settings'!$O$3,'Lists &amp; Settings'!$O$4)),IF($N1030="Partial",IF($M1030&gt;='Lists &amp; Settings'!$N$6,'Lists &amp; Settings'!$O$6,IF($M1030&gt;='Lists &amp; Settings'!$N$7,'Lists &amp; Settings'!$O$7,'Lists &amp; Settings'!$O$8)),'Lists &amp; Settings'!$O$10))))))</f>
        <v/>
      </c>
      <c r="T1030" s="31"/>
      <c r="U1030" s="31"/>
      <c r="V1030" s="31"/>
    </row>
    <row r="1031" ht="15.75" customHeight="1">
      <c r="B1031" s="31"/>
      <c r="N1031" s="127"/>
      <c r="S1031" s="31" t="str">
        <f>IF($C1031="","",IF(OR($M1031="",$N1031=""),'Lists &amp; Settings'!$O$10,IF($N1031="Fail",'Lists &amp; Settings'!$O$9,IF($N1031="Insufficient Evidence",'Lists &amp; Settings'!$O$10,IF($N1031="Pass",IF($M1031&gt;='Lists &amp; Settings'!$N$2,'Lists &amp; Settings'!$O$2,IF($M1031&gt;='Lists &amp; Settings'!$N$3,'Lists &amp; Settings'!$O$3,'Lists &amp; Settings'!$O$4)),IF($N1031="Partial",IF($M1031&gt;='Lists &amp; Settings'!$N$6,'Lists &amp; Settings'!$O$6,IF($M1031&gt;='Lists &amp; Settings'!$N$7,'Lists &amp; Settings'!$O$7,'Lists &amp; Settings'!$O$8)),'Lists &amp; Settings'!$O$10))))))</f>
        <v/>
      </c>
      <c r="T1031" s="31"/>
      <c r="U1031" s="31"/>
      <c r="V1031" s="31"/>
    </row>
    <row r="1032" ht="15.75" customHeight="1">
      <c r="B1032" s="31"/>
      <c r="N1032" s="127"/>
      <c r="S1032" s="31" t="str">
        <f>IF($C1032="","",IF(OR($M1032="",$N1032=""),'Lists &amp; Settings'!$O$10,IF($N1032="Fail",'Lists &amp; Settings'!$O$9,IF($N1032="Insufficient Evidence",'Lists &amp; Settings'!$O$10,IF($N1032="Pass",IF($M1032&gt;='Lists &amp; Settings'!$N$2,'Lists &amp; Settings'!$O$2,IF($M1032&gt;='Lists &amp; Settings'!$N$3,'Lists &amp; Settings'!$O$3,'Lists &amp; Settings'!$O$4)),IF($N1032="Partial",IF($M1032&gt;='Lists &amp; Settings'!$N$6,'Lists &amp; Settings'!$O$6,IF($M1032&gt;='Lists &amp; Settings'!$N$7,'Lists &amp; Settings'!$O$7,'Lists &amp; Settings'!$O$8)),'Lists &amp; Settings'!$O$10))))))</f>
        <v/>
      </c>
      <c r="T1032" s="31"/>
      <c r="U1032" s="31"/>
      <c r="V1032" s="31"/>
    </row>
    <row r="1033" ht="15.75" customHeight="1">
      <c r="B1033" s="31"/>
      <c r="N1033" s="127"/>
      <c r="S1033" s="31" t="str">
        <f>IF($C1033="","",IF(OR($M1033="",$N1033=""),'Lists &amp; Settings'!$O$10,IF($N1033="Fail",'Lists &amp; Settings'!$O$9,IF($N1033="Insufficient Evidence",'Lists &amp; Settings'!$O$10,IF($N1033="Pass",IF($M1033&gt;='Lists &amp; Settings'!$N$2,'Lists &amp; Settings'!$O$2,IF($M1033&gt;='Lists &amp; Settings'!$N$3,'Lists &amp; Settings'!$O$3,'Lists &amp; Settings'!$O$4)),IF($N1033="Partial",IF($M1033&gt;='Lists &amp; Settings'!$N$6,'Lists &amp; Settings'!$O$6,IF($M1033&gt;='Lists &amp; Settings'!$N$7,'Lists &amp; Settings'!$O$7,'Lists &amp; Settings'!$O$8)),'Lists &amp; Settings'!$O$10))))))</f>
        <v/>
      </c>
      <c r="T1033" s="31"/>
      <c r="U1033" s="31"/>
      <c r="V1033" s="31"/>
    </row>
    <row r="1034" ht="15.75" customHeight="1">
      <c r="B1034" s="31"/>
      <c r="N1034" s="127"/>
      <c r="S1034" s="31" t="str">
        <f>IF($C1034="","",IF(OR($M1034="",$N1034=""),'Lists &amp; Settings'!$O$10,IF($N1034="Fail",'Lists &amp; Settings'!$O$9,IF($N1034="Insufficient Evidence",'Lists &amp; Settings'!$O$10,IF($N1034="Pass",IF($M1034&gt;='Lists &amp; Settings'!$N$2,'Lists &amp; Settings'!$O$2,IF($M1034&gt;='Lists &amp; Settings'!$N$3,'Lists &amp; Settings'!$O$3,'Lists &amp; Settings'!$O$4)),IF($N1034="Partial",IF($M1034&gt;='Lists &amp; Settings'!$N$6,'Lists &amp; Settings'!$O$6,IF($M1034&gt;='Lists &amp; Settings'!$N$7,'Lists &amp; Settings'!$O$7,'Lists &amp; Settings'!$O$8)),'Lists &amp; Settings'!$O$10))))))</f>
        <v/>
      </c>
      <c r="T1034" s="31"/>
      <c r="U1034" s="31"/>
      <c r="V1034" s="31"/>
    </row>
    <row r="1035" ht="15.75" customHeight="1">
      <c r="B1035" s="31"/>
      <c r="N1035" s="127"/>
      <c r="S1035" s="31" t="str">
        <f>IF($C1035="","",IF(OR($M1035="",$N1035=""),'Lists &amp; Settings'!$O$10,IF($N1035="Fail",'Lists &amp; Settings'!$O$9,IF($N1035="Insufficient Evidence",'Lists &amp; Settings'!$O$10,IF($N1035="Pass",IF($M1035&gt;='Lists &amp; Settings'!$N$2,'Lists &amp; Settings'!$O$2,IF($M1035&gt;='Lists &amp; Settings'!$N$3,'Lists &amp; Settings'!$O$3,'Lists &amp; Settings'!$O$4)),IF($N1035="Partial",IF($M1035&gt;='Lists &amp; Settings'!$N$6,'Lists &amp; Settings'!$O$6,IF($M1035&gt;='Lists &amp; Settings'!$N$7,'Lists &amp; Settings'!$O$7,'Lists &amp; Settings'!$O$8)),'Lists &amp; Settings'!$O$10))))))</f>
        <v/>
      </c>
      <c r="T1035" s="31"/>
      <c r="U1035" s="31"/>
      <c r="V1035" s="31"/>
    </row>
    <row r="1036" ht="15.75" customHeight="1">
      <c r="B1036" s="31"/>
      <c r="N1036" s="127"/>
      <c r="S1036" s="31" t="str">
        <f>IF($C1036="","",IF(OR($M1036="",$N1036=""),'Lists &amp; Settings'!$O$10,IF($N1036="Fail",'Lists &amp; Settings'!$O$9,IF($N1036="Insufficient Evidence",'Lists &amp; Settings'!$O$10,IF($N1036="Pass",IF($M1036&gt;='Lists &amp; Settings'!$N$2,'Lists &amp; Settings'!$O$2,IF($M1036&gt;='Lists &amp; Settings'!$N$3,'Lists &amp; Settings'!$O$3,'Lists &amp; Settings'!$O$4)),IF($N1036="Partial",IF($M1036&gt;='Lists &amp; Settings'!$N$6,'Lists &amp; Settings'!$O$6,IF($M1036&gt;='Lists &amp; Settings'!$N$7,'Lists &amp; Settings'!$O$7,'Lists &amp; Settings'!$O$8)),'Lists &amp; Settings'!$O$10))))))</f>
        <v/>
      </c>
      <c r="T1036" s="31"/>
      <c r="U1036" s="31"/>
      <c r="V1036" s="31"/>
    </row>
    <row r="1037" ht="15.75" customHeight="1">
      <c r="B1037" s="31"/>
      <c r="N1037" s="127"/>
      <c r="S1037" s="31" t="str">
        <f>IF($C1037="","",IF(OR($M1037="",$N1037=""),'Lists &amp; Settings'!$O$10,IF($N1037="Fail",'Lists &amp; Settings'!$O$9,IF($N1037="Insufficient Evidence",'Lists &amp; Settings'!$O$10,IF($N1037="Pass",IF($M1037&gt;='Lists &amp; Settings'!$N$2,'Lists &amp; Settings'!$O$2,IF($M1037&gt;='Lists &amp; Settings'!$N$3,'Lists &amp; Settings'!$O$3,'Lists &amp; Settings'!$O$4)),IF($N1037="Partial",IF($M1037&gt;='Lists &amp; Settings'!$N$6,'Lists &amp; Settings'!$O$6,IF($M1037&gt;='Lists &amp; Settings'!$N$7,'Lists &amp; Settings'!$O$7,'Lists &amp; Settings'!$O$8)),'Lists &amp; Settings'!$O$10))))))</f>
        <v/>
      </c>
      <c r="T1037" s="31"/>
      <c r="U1037" s="31"/>
      <c r="V1037" s="31"/>
    </row>
    <row r="1038" ht="15.75" customHeight="1">
      <c r="B1038" s="31"/>
      <c r="N1038" s="127"/>
      <c r="S1038" s="31" t="str">
        <f>IF($C1038="","",IF(OR($M1038="",$N1038=""),'Lists &amp; Settings'!$O$10,IF($N1038="Fail",'Lists &amp; Settings'!$O$9,IF($N1038="Insufficient Evidence",'Lists &amp; Settings'!$O$10,IF($N1038="Pass",IF($M1038&gt;='Lists &amp; Settings'!$N$2,'Lists &amp; Settings'!$O$2,IF($M1038&gt;='Lists &amp; Settings'!$N$3,'Lists &amp; Settings'!$O$3,'Lists &amp; Settings'!$O$4)),IF($N1038="Partial",IF($M1038&gt;='Lists &amp; Settings'!$N$6,'Lists &amp; Settings'!$O$6,IF($M1038&gt;='Lists &amp; Settings'!$N$7,'Lists &amp; Settings'!$O$7,'Lists &amp; Settings'!$O$8)),'Lists &amp; Settings'!$O$10))))))</f>
        <v/>
      </c>
      <c r="T1038" s="31"/>
      <c r="U1038" s="31"/>
      <c r="V1038" s="31"/>
    </row>
    <row r="1039" ht="15.75" customHeight="1">
      <c r="B1039" s="31"/>
      <c r="N1039" s="127"/>
      <c r="S1039" s="31" t="str">
        <f>IF($C1039="","",IF(OR($M1039="",$N1039=""),'Lists &amp; Settings'!$O$10,IF($N1039="Fail",'Lists &amp; Settings'!$O$9,IF($N1039="Insufficient Evidence",'Lists &amp; Settings'!$O$10,IF($N1039="Pass",IF($M1039&gt;='Lists &amp; Settings'!$N$2,'Lists &amp; Settings'!$O$2,IF($M1039&gt;='Lists &amp; Settings'!$N$3,'Lists &amp; Settings'!$O$3,'Lists &amp; Settings'!$O$4)),IF($N1039="Partial",IF($M1039&gt;='Lists &amp; Settings'!$N$6,'Lists &amp; Settings'!$O$6,IF($M1039&gt;='Lists &amp; Settings'!$N$7,'Lists &amp; Settings'!$O$7,'Lists &amp; Settings'!$O$8)),'Lists &amp; Settings'!$O$10))))))</f>
        <v/>
      </c>
      <c r="T1039" s="31"/>
      <c r="U1039" s="31"/>
      <c r="V1039" s="31"/>
    </row>
    <row r="1040" ht="15.75" customHeight="1">
      <c r="B1040" s="31"/>
      <c r="N1040" s="127"/>
      <c r="S1040" s="31" t="str">
        <f>IF($C1040="","",IF(OR($M1040="",$N1040=""),'Lists &amp; Settings'!$O$10,IF($N1040="Fail",'Lists &amp; Settings'!$O$9,IF($N1040="Insufficient Evidence",'Lists &amp; Settings'!$O$10,IF($N1040="Pass",IF($M1040&gt;='Lists &amp; Settings'!$N$2,'Lists &amp; Settings'!$O$2,IF($M1040&gt;='Lists &amp; Settings'!$N$3,'Lists &amp; Settings'!$O$3,'Lists &amp; Settings'!$O$4)),IF($N1040="Partial",IF($M1040&gt;='Lists &amp; Settings'!$N$6,'Lists &amp; Settings'!$O$6,IF($M1040&gt;='Lists &amp; Settings'!$N$7,'Lists &amp; Settings'!$O$7,'Lists &amp; Settings'!$O$8)),'Lists &amp; Settings'!$O$10))))))</f>
        <v/>
      </c>
      <c r="T1040" s="31"/>
      <c r="U1040" s="31"/>
      <c r="V1040" s="31"/>
    </row>
    <row r="1041" ht="15.75" customHeight="1">
      <c r="B1041" s="31"/>
      <c r="N1041" s="127"/>
      <c r="S1041" s="31" t="str">
        <f>IF($C1041="","",IF(OR($M1041="",$N1041=""),'Lists &amp; Settings'!$O$10,IF($N1041="Fail",'Lists &amp; Settings'!$O$9,IF($N1041="Insufficient Evidence",'Lists &amp; Settings'!$O$10,IF($N1041="Pass",IF($M1041&gt;='Lists &amp; Settings'!$N$2,'Lists &amp; Settings'!$O$2,IF($M1041&gt;='Lists &amp; Settings'!$N$3,'Lists &amp; Settings'!$O$3,'Lists &amp; Settings'!$O$4)),IF($N1041="Partial",IF($M1041&gt;='Lists &amp; Settings'!$N$6,'Lists &amp; Settings'!$O$6,IF($M1041&gt;='Lists &amp; Settings'!$N$7,'Lists &amp; Settings'!$O$7,'Lists &amp; Settings'!$O$8)),'Lists &amp; Settings'!$O$10))))))</f>
        <v/>
      </c>
      <c r="T1041" s="31"/>
      <c r="U1041" s="31"/>
      <c r="V1041" s="31"/>
    </row>
    <row r="1042" ht="15.75" customHeight="1">
      <c r="B1042" s="31"/>
      <c r="N1042" s="127"/>
      <c r="S1042" s="31" t="str">
        <f>IF($C1042="","",IF(OR($M1042="",$N1042=""),'Lists &amp; Settings'!$O$10,IF($N1042="Fail",'Lists &amp; Settings'!$O$9,IF($N1042="Insufficient Evidence",'Lists &amp; Settings'!$O$10,IF($N1042="Pass",IF($M1042&gt;='Lists &amp; Settings'!$N$2,'Lists &amp; Settings'!$O$2,IF($M1042&gt;='Lists &amp; Settings'!$N$3,'Lists &amp; Settings'!$O$3,'Lists &amp; Settings'!$O$4)),IF($N1042="Partial",IF($M1042&gt;='Lists &amp; Settings'!$N$6,'Lists &amp; Settings'!$O$6,IF($M1042&gt;='Lists &amp; Settings'!$N$7,'Lists &amp; Settings'!$O$7,'Lists &amp; Settings'!$O$8)),'Lists &amp; Settings'!$O$10))))))</f>
        <v/>
      </c>
      <c r="T1042" s="31"/>
      <c r="U1042" s="31"/>
      <c r="V1042" s="31"/>
    </row>
    <row r="1043" ht="15.75" customHeight="1">
      <c r="B1043" s="31"/>
      <c r="N1043" s="127"/>
      <c r="S1043" s="31" t="str">
        <f>IF($C1043="","",IF(OR($M1043="",$N1043=""),'Lists &amp; Settings'!$O$10,IF($N1043="Fail",'Lists &amp; Settings'!$O$9,IF($N1043="Insufficient Evidence",'Lists &amp; Settings'!$O$10,IF($N1043="Pass",IF($M1043&gt;='Lists &amp; Settings'!$N$2,'Lists &amp; Settings'!$O$2,IF($M1043&gt;='Lists &amp; Settings'!$N$3,'Lists &amp; Settings'!$O$3,'Lists &amp; Settings'!$O$4)),IF($N1043="Partial",IF($M1043&gt;='Lists &amp; Settings'!$N$6,'Lists &amp; Settings'!$O$6,IF($M1043&gt;='Lists &amp; Settings'!$N$7,'Lists &amp; Settings'!$O$7,'Lists &amp; Settings'!$O$8)),'Lists &amp; Settings'!$O$10))))))</f>
        <v/>
      </c>
      <c r="T1043" s="31"/>
      <c r="U1043" s="31"/>
      <c r="V1043" s="31"/>
    </row>
    <row r="1044" ht="15.75" customHeight="1">
      <c r="B1044" s="31"/>
      <c r="N1044" s="127"/>
      <c r="S1044" s="31" t="str">
        <f>IF($C1044="","",IF(OR($M1044="",$N1044=""),'Lists &amp; Settings'!$O$10,IF($N1044="Fail",'Lists &amp; Settings'!$O$9,IF($N1044="Insufficient Evidence",'Lists &amp; Settings'!$O$10,IF($N1044="Pass",IF($M1044&gt;='Lists &amp; Settings'!$N$2,'Lists &amp; Settings'!$O$2,IF($M1044&gt;='Lists &amp; Settings'!$N$3,'Lists &amp; Settings'!$O$3,'Lists &amp; Settings'!$O$4)),IF($N1044="Partial",IF($M1044&gt;='Lists &amp; Settings'!$N$6,'Lists &amp; Settings'!$O$6,IF($M1044&gt;='Lists &amp; Settings'!$N$7,'Lists &amp; Settings'!$O$7,'Lists &amp; Settings'!$O$8)),'Lists &amp; Settings'!$O$10))))))</f>
        <v/>
      </c>
      <c r="T1044" s="31"/>
      <c r="U1044" s="31"/>
      <c r="V1044" s="31"/>
    </row>
    <row r="1045" ht="15.75" customHeight="1">
      <c r="B1045" s="31"/>
      <c r="N1045" s="127"/>
      <c r="S1045" s="31" t="str">
        <f>IF($C1045="","",IF(OR($M1045="",$N1045=""),'Lists &amp; Settings'!$O$10,IF($N1045="Fail",'Lists &amp; Settings'!$O$9,IF($N1045="Insufficient Evidence",'Lists &amp; Settings'!$O$10,IF($N1045="Pass",IF($M1045&gt;='Lists &amp; Settings'!$N$2,'Lists &amp; Settings'!$O$2,IF($M1045&gt;='Lists &amp; Settings'!$N$3,'Lists &amp; Settings'!$O$3,'Lists &amp; Settings'!$O$4)),IF($N1045="Partial",IF($M1045&gt;='Lists &amp; Settings'!$N$6,'Lists &amp; Settings'!$O$6,IF($M1045&gt;='Lists &amp; Settings'!$N$7,'Lists &amp; Settings'!$O$7,'Lists &amp; Settings'!$O$8)),'Lists &amp; Settings'!$O$10))))))</f>
        <v/>
      </c>
      <c r="T1045" s="31"/>
      <c r="U1045" s="31"/>
      <c r="V1045" s="31"/>
    </row>
    <row r="1046" ht="15.75" customHeight="1">
      <c r="B1046" s="31"/>
      <c r="N1046" s="127"/>
      <c r="S1046" s="31" t="str">
        <f>IF($C1046="","",IF(OR($M1046="",$N1046=""),'Lists &amp; Settings'!$O$10,IF($N1046="Fail",'Lists &amp; Settings'!$O$9,IF($N1046="Insufficient Evidence",'Lists &amp; Settings'!$O$10,IF($N1046="Pass",IF($M1046&gt;='Lists &amp; Settings'!$N$2,'Lists &amp; Settings'!$O$2,IF($M1046&gt;='Lists &amp; Settings'!$N$3,'Lists &amp; Settings'!$O$3,'Lists &amp; Settings'!$O$4)),IF($N1046="Partial",IF($M1046&gt;='Lists &amp; Settings'!$N$6,'Lists &amp; Settings'!$O$6,IF($M1046&gt;='Lists &amp; Settings'!$N$7,'Lists &amp; Settings'!$O$7,'Lists &amp; Settings'!$O$8)),'Lists &amp; Settings'!$O$10))))))</f>
        <v/>
      </c>
      <c r="T1046" s="31"/>
      <c r="U1046" s="31"/>
      <c r="V1046" s="31"/>
    </row>
    <row r="1047" ht="15.75" customHeight="1">
      <c r="B1047" s="31"/>
      <c r="N1047" s="127"/>
      <c r="S1047" s="31" t="str">
        <f>IF($C1047="","",IF(OR($M1047="",$N1047=""),'Lists &amp; Settings'!$O$10,IF($N1047="Fail",'Lists &amp; Settings'!$O$9,IF($N1047="Insufficient Evidence",'Lists &amp; Settings'!$O$10,IF($N1047="Pass",IF($M1047&gt;='Lists &amp; Settings'!$N$2,'Lists &amp; Settings'!$O$2,IF($M1047&gt;='Lists &amp; Settings'!$N$3,'Lists &amp; Settings'!$O$3,'Lists &amp; Settings'!$O$4)),IF($N1047="Partial",IF($M1047&gt;='Lists &amp; Settings'!$N$6,'Lists &amp; Settings'!$O$6,IF($M1047&gt;='Lists &amp; Settings'!$N$7,'Lists &amp; Settings'!$O$7,'Lists &amp; Settings'!$O$8)),'Lists &amp; Settings'!$O$10))))))</f>
        <v/>
      </c>
      <c r="T1047" s="31"/>
      <c r="U1047" s="31"/>
      <c r="V1047" s="31"/>
    </row>
    <row r="1048" ht="15.75" customHeight="1">
      <c r="B1048" s="31"/>
      <c r="N1048" s="127"/>
      <c r="S1048" s="31" t="str">
        <f>IF($C1048="","",IF(OR($M1048="",$N1048=""),'Lists &amp; Settings'!$O$10,IF($N1048="Fail",'Lists &amp; Settings'!$O$9,IF($N1048="Insufficient Evidence",'Lists &amp; Settings'!$O$10,IF($N1048="Pass",IF($M1048&gt;='Lists &amp; Settings'!$N$2,'Lists &amp; Settings'!$O$2,IF($M1048&gt;='Lists &amp; Settings'!$N$3,'Lists &amp; Settings'!$O$3,'Lists &amp; Settings'!$O$4)),IF($N1048="Partial",IF($M1048&gt;='Lists &amp; Settings'!$N$6,'Lists &amp; Settings'!$O$6,IF($M1048&gt;='Lists &amp; Settings'!$N$7,'Lists &amp; Settings'!$O$7,'Lists &amp; Settings'!$O$8)),'Lists &amp; Settings'!$O$10))))))</f>
        <v/>
      </c>
      <c r="T1048" s="31"/>
      <c r="U1048" s="31"/>
      <c r="V1048" s="31"/>
    </row>
    <row r="1049" ht="15.75" customHeight="1">
      <c r="B1049" s="31"/>
      <c r="N1049" s="127"/>
      <c r="S1049" s="31" t="str">
        <f>IF($C1049="","",IF(OR($M1049="",$N1049=""),'Lists &amp; Settings'!$O$10,IF($N1049="Fail",'Lists &amp; Settings'!$O$9,IF($N1049="Insufficient Evidence",'Lists &amp; Settings'!$O$10,IF($N1049="Pass",IF($M1049&gt;='Lists &amp; Settings'!$N$2,'Lists &amp; Settings'!$O$2,IF($M1049&gt;='Lists &amp; Settings'!$N$3,'Lists &amp; Settings'!$O$3,'Lists &amp; Settings'!$O$4)),IF($N1049="Partial",IF($M1049&gt;='Lists &amp; Settings'!$N$6,'Lists &amp; Settings'!$O$6,IF($M1049&gt;='Lists &amp; Settings'!$N$7,'Lists &amp; Settings'!$O$7,'Lists &amp; Settings'!$O$8)),'Lists &amp; Settings'!$O$10))))))</f>
        <v/>
      </c>
      <c r="T1049" s="31"/>
      <c r="U1049" s="31"/>
      <c r="V1049" s="31"/>
    </row>
    <row r="1050" ht="15.75" customHeight="1">
      <c r="B1050" s="31"/>
      <c r="N1050" s="127"/>
      <c r="S1050" s="31" t="str">
        <f>IF($C1050="","",IF(OR($M1050="",$N1050=""),'Lists &amp; Settings'!$O$10,IF($N1050="Fail",'Lists &amp; Settings'!$O$9,IF($N1050="Insufficient Evidence",'Lists &amp; Settings'!$O$10,IF($N1050="Pass",IF($M1050&gt;='Lists &amp; Settings'!$N$2,'Lists &amp; Settings'!$O$2,IF($M1050&gt;='Lists &amp; Settings'!$N$3,'Lists &amp; Settings'!$O$3,'Lists &amp; Settings'!$O$4)),IF($N1050="Partial",IF($M1050&gt;='Lists &amp; Settings'!$N$6,'Lists &amp; Settings'!$O$6,IF($M1050&gt;='Lists &amp; Settings'!$N$7,'Lists &amp; Settings'!$O$7,'Lists &amp; Settings'!$O$8)),'Lists &amp; Settings'!$O$10))))))</f>
        <v/>
      </c>
      <c r="T1050" s="31"/>
      <c r="U1050" s="31"/>
      <c r="V1050" s="31"/>
    </row>
    <row r="1051" ht="15.75" customHeight="1">
      <c r="B1051" s="31"/>
      <c r="N1051" s="127"/>
      <c r="S1051" s="31" t="str">
        <f>IF($C1051="","",IF(OR($M1051="",$N1051=""),'Lists &amp; Settings'!$O$10,IF($N1051="Fail",'Lists &amp; Settings'!$O$9,IF($N1051="Insufficient Evidence",'Lists &amp; Settings'!$O$10,IF($N1051="Pass",IF($M1051&gt;='Lists &amp; Settings'!$N$2,'Lists &amp; Settings'!$O$2,IF($M1051&gt;='Lists &amp; Settings'!$N$3,'Lists &amp; Settings'!$O$3,'Lists &amp; Settings'!$O$4)),IF($N1051="Partial",IF($M1051&gt;='Lists &amp; Settings'!$N$6,'Lists &amp; Settings'!$O$6,IF($M1051&gt;='Lists &amp; Settings'!$N$7,'Lists &amp; Settings'!$O$7,'Lists &amp; Settings'!$O$8)),'Lists &amp; Settings'!$O$10))))))</f>
        <v/>
      </c>
      <c r="T1051" s="31"/>
      <c r="U1051" s="31"/>
      <c r="V1051" s="31"/>
    </row>
    <row r="1052" ht="15.75" customHeight="1">
      <c r="B1052" s="31"/>
      <c r="N1052" s="127"/>
      <c r="S1052" s="31" t="str">
        <f>IF($C1052="","",IF(OR($M1052="",$N1052=""),'Lists &amp; Settings'!$O$10,IF($N1052="Fail",'Lists &amp; Settings'!$O$9,IF($N1052="Insufficient Evidence",'Lists &amp; Settings'!$O$10,IF($N1052="Pass",IF($M1052&gt;='Lists &amp; Settings'!$N$2,'Lists &amp; Settings'!$O$2,IF($M1052&gt;='Lists &amp; Settings'!$N$3,'Lists &amp; Settings'!$O$3,'Lists &amp; Settings'!$O$4)),IF($N1052="Partial",IF($M1052&gt;='Lists &amp; Settings'!$N$6,'Lists &amp; Settings'!$O$6,IF($M1052&gt;='Lists &amp; Settings'!$N$7,'Lists &amp; Settings'!$O$7,'Lists &amp; Settings'!$O$8)),'Lists &amp; Settings'!$O$10))))))</f>
        <v/>
      </c>
      <c r="T1052" s="31"/>
      <c r="U1052" s="31"/>
      <c r="V1052" s="31"/>
    </row>
    <row r="1053" ht="15.75" customHeight="1">
      <c r="B1053" s="31"/>
      <c r="N1053" s="127"/>
      <c r="S1053" s="31" t="str">
        <f>IF($C1053="","",IF(OR($M1053="",$N1053=""),'Lists &amp; Settings'!$O$10,IF($N1053="Fail",'Lists &amp; Settings'!$O$9,IF($N1053="Insufficient Evidence",'Lists &amp; Settings'!$O$10,IF($N1053="Pass",IF($M1053&gt;='Lists &amp; Settings'!$N$2,'Lists &amp; Settings'!$O$2,IF($M1053&gt;='Lists &amp; Settings'!$N$3,'Lists &amp; Settings'!$O$3,'Lists &amp; Settings'!$O$4)),IF($N1053="Partial",IF($M1053&gt;='Lists &amp; Settings'!$N$6,'Lists &amp; Settings'!$O$6,IF($M1053&gt;='Lists &amp; Settings'!$N$7,'Lists &amp; Settings'!$O$7,'Lists &amp; Settings'!$O$8)),'Lists &amp; Settings'!$O$10))))))</f>
        <v/>
      </c>
      <c r="T1053" s="31"/>
      <c r="U1053" s="31"/>
      <c r="V1053" s="31"/>
    </row>
    <row r="1054" ht="15.75" customHeight="1">
      <c r="B1054" s="31"/>
      <c r="N1054" s="127"/>
      <c r="S1054" s="31" t="str">
        <f>IF($C1054="","",IF(OR($M1054="",$N1054=""),'Lists &amp; Settings'!$O$10,IF($N1054="Fail",'Lists &amp; Settings'!$O$9,IF($N1054="Insufficient Evidence",'Lists &amp; Settings'!$O$10,IF($N1054="Pass",IF($M1054&gt;='Lists &amp; Settings'!$N$2,'Lists &amp; Settings'!$O$2,IF($M1054&gt;='Lists &amp; Settings'!$N$3,'Lists &amp; Settings'!$O$3,'Lists &amp; Settings'!$O$4)),IF($N1054="Partial",IF($M1054&gt;='Lists &amp; Settings'!$N$6,'Lists &amp; Settings'!$O$6,IF($M1054&gt;='Lists &amp; Settings'!$N$7,'Lists &amp; Settings'!$O$7,'Lists &amp; Settings'!$O$8)),'Lists &amp; Settings'!$O$10))))))</f>
        <v/>
      </c>
      <c r="T1054" s="31"/>
      <c r="U1054" s="31"/>
      <c r="V1054" s="31"/>
    </row>
    <row r="1055" ht="15.75" customHeight="1">
      <c r="B1055" s="31"/>
      <c r="N1055" s="127"/>
      <c r="S1055" s="31" t="str">
        <f>IF($C1055="","",IF(OR($M1055="",$N1055=""),'Lists &amp; Settings'!$O$10,IF($N1055="Fail",'Lists &amp; Settings'!$O$9,IF($N1055="Insufficient Evidence",'Lists &amp; Settings'!$O$10,IF($N1055="Pass",IF($M1055&gt;='Lists &amp; Settings'!$N$2,'Lists &amp; Settings'!$O$2,IF($M1055&gt;='Lists &amp; Settings'!$N$3,'Lists &amp; Settings'!$O$3,'Lists &amp; Settings'!$O$4)),IF($N1055="Partial",IF($M1055&gt;='Lists &amp; Settings'!$N$6,'Lists &amp; Settings'!$O$6,IF($M1055&gt;='Lists &amp; Settings'!$N$7,'Lists &amp; Settings'!$O$7,'Lists &amp; Settings'!$O$8)),'Lists &amp; Settings'!$O$10))))))</f>
        <v/>
      </c>
      <c r="T1055" s="31"/>
      <c r="U1055" s="31"/>
      <c r="V1055" s="31"/>
    </row>
    <row r="1056" ht="15.75" customHeight="1">
      <c r="B1056" s="31"/>
      <c r="N1056" s="127"/>
      <c r="S1056" s="31" t="str">
        <f>IF($C1056="","",IF(OR($M1056="",$N1056=""),'Lists &amp; Settings'!$O$10,IF($N1056="Fail",'Lists &amp; Settings'!$O$9,IF($N1056="Insufficient Evidence",'Lists &amp; Settings'!$O$10,IF($N1056="Pass",IF($M1056&gt;='Lists &amp; Settings'!$N$2,'Lists &amp; Settings'!$O$2,IF($M1056&gt;='Lists &amp; Settings'!$N$3,'Lists &amp; Settings'!$O$3,'Lists &amp; Settings'!$O$4)),IF($N1056="Partial",IF($M1056&gt;='Lists &amp; Settings'!$N$6,'Lists &amp; Settings'!$O$6,IF($M1056&gt;='Lists &amp; Settings'!$N$7,'Lists &amp; Settings'!$O$7,'Lists &amp; Settings'!$O$8)),'Lists &amp; Settings'!$O$10))))))</f>
        <v/>
      </c>
      <c r="T1056" s="31"/>
      <c r="U1056" s="31"/>
      <c r="V1056" s="31"/>
    </row>
    <row r="1057" ht="15.75" customHeight="1">
      <c r="B1057" s="31"/>
      <c r="N1057" s="127"/>
      <c r="S1057" s="31" t="str">
        <f>IF($C1057="","",IF(OR($M1057="",$N1057=""),'Lists &amp; Settings'!$O$10,IF($N1057="Fail",'Lists &amp; Settings'!$O$9,IF($N1057="Insufficient Evidence",'Lists &amp; Settings'!$O$10,IF($N1057="Pass",IF($M1057&gt;='Lists &amp; Settings'!$N$2,'Lists &amp; Settings'!$O$2,IF($M1057&gt;='Lists &amp; Settings'!$N$3,'Lists &amp; Settings'!$O$3,'Lists &amp; Settings'!$O$4)),IF($N1057="Partial",IF($M1057&gt;='Lists &amp; Settings'!$N$6,'Lists &amp; Settings'!$O$6,IF($M1057&gt;='Lists &amp; Settings'!$N$7,'Lists &amp; Settings'!$O$7,'Lists &amp; Settings'!$O$8)),'Lists &amp; Settings'!$O$10))))))</f>
        <v/>
      </c>
      <c r="T1057" s="31"/>
      <c r="U1057" s="31"/>
      <c r="V1057" s="31"/>
    </row>
    <row r="1058" ht="15.75" customHeight="1">
      <c r="B1058" s="31"/>
      <c r="N1058" s="127"/>
      <c r="S1058" s="31" t="str">
        <f>IF($C1058="","",IF(OR($M1058="",$N1058=""),'Lists &amp; Settings'!$O$10,IF($N1058="Fail",'Lists &amp; Settings'!$O$9,IF($N1058="Insufficient Evidence",'Lists &amp; Settings'!$O$10,IF($N1058="Pass",IF($M1058&gt;='Lists &amp; Settings'!$N$2,'Lists &amp; Settings'!$O$2,IF($M1058&gt;='Lists &amp; Settings'!$N$3,'Lists &amp; Settings'!$O$3,'Lists &amp; Settings'!$O$4)),IF($N1058="Partial",IF($M1058&gt;='Lists &amp; Settings'!$N$6,'Lists &amp; Settings'!$O$6,IF($M1058&gt;='Lists &amp; Settings'!$N$7,'Lists &amp; Settings'!$O$7,'Lists &amp; Settings'!$O$8)),'Lists &amp; Settings'!$O$10))))))</f>
        <v/>
      </c>
      <c r="T1058" s="31"/>
      <c r="U1058" s="31"/>
      <c r="V1058" s="31"/>
    </row>
    <row r="1059" ht="15.75" customHeight="1">
      <c r="B1059" s="31"/>
      <c r="N1059" s="127"/>
      <c r="S1059" s="31" t="str">
        <f>IF($C1059="","",IF(OR($M1059="",$N1059=""),'Lists &amp; Settings'!$O$10,IF($N1059="Fail",'Lists &amp; Settings'!$O$9,IF($N1059="Insufficient Evidence",'Lists &amp; Settings'!$O$10,IF($N1059="Pass",IF($M1059&gt;='Lists &amp; Settings'!$N$2,'Lists &amp; Settings'!$O$2,IF($M1059&gt;='Lists &amp; Settings'!$N$3,'Lists &amp; Settings'!$O$3,'Lists &amp; Settings'!$O$4)),IF($N1059="Partial",IF($M1059&gt;='Lists &amp; Settings'!$N$6,'Lists &amp; Settings'!$O$6,IF($M1059&gt;='Lists &amp; Settings'!$N$7,'Lists &amp; Settings'!$O$7,'Lists &amp; Settings'!$O$8)),'Lists &amp; Settings'!$O$10))))))</f>
        <v/>
      </c>
      <c r="T1059" s="31"/>
      <c r="U1059" s="31"/>
      <c r="V1059" s="31"/>
    </row>
    <row r="1060" ht="15.75" customHeight="1">
      <c r="B1060" s="31"/>
      <c r="N1060" s="127"/>
      <c r="S1060" s="31" t="str">
        <f>IF($C1060="","",IF(OR($M1060="",$N1060=""),'Lists &amp; Settings'!$O$10,IF($N1060="Fail",'Lists &amp; Settings'!$O$9,IF($N1060="Insufficient Evidence",'Lists &amp; Settings'!$O$10,IF($N1060="Pass",IF($M1060&gt;='Lists &amp; Settings'!$N$2,'Lists &amp; Settings'!$O$2,IF($M1060&gt;='Lists &amp; Settings'!$N$3,'Lists &amp; Settings'!$O$3,'Lists &amp; Settings'!$O$4)),IF($N1060="Partial",IF($M1060&gt;='Lists &amp; Settings'!$N$6,'Lists &amp; Settings'!$O$6,IF($M1060&gt;='Lists &amp; Settings'!$N$7,'Lists &amp; Settings'!$O$7,'Lists &amp; Settings'!$O$8)),'Lists &amp; Settings'!$O$10))))))</f>
        <v/>
      </c>
      <c r="T1060" s="31"/>
      <c r="U1060" s="31"/>
      <c r="V1060" s="31"/>
    </row>
    <row r="1061" ht="15.75" customHeight="1">
      <c r="B1061" s="31"/>
      <c r="N1061" s="127"/>
      <c r="S1061" s="31" t="str">
        <f>IF($C1061="","",IF(OR($M1061="",$N1061=""),'Lists &amp; Settings'!$O$10,IF($N1061="Fail",'Lists &amp; Settings'!$O$9,IF($N1061="Insufficient Evidence",'Lists &amp; Settings'!$O$10,IF($N1061="Pass",IF($M1061&gt;='Lists &amp; Settings'!$N$2,'Lists &amp; Settings'!$O$2,IF($M1061&gt;='Lists &amp; Settings'!$N$3,'Lists &amp; Settings'!$O$3,'Lists &amp; Settings'!$O$4)),IF($N1061="Partial",IF($M1061&gt;='Lists &amp; Settings'!$N$6,'Lists &amp; Settings'!$O$6,IF($M1061&gt;='Lists &amp; Settings'!$N$7,'Lists &amp; Settings'!$O$7,'Lists &amp; Settings'!$O$8)),'Lists &amp; Settings'!$O$10))))))</f>
        <v/>
      </c>
      <c r="T1061" s="31"/>
      <c r="U1061" s="31"/>
      <c r="V1061" s="31"/>
    </row>
    <row r="1062" ht="15.75" customHeight="1">
      <c r="B1062" s="31"/>
      <c r="N1062" s="127"/>
      <c r="S1062" s="31" t="str">
        <f>IF($C1062="","",IF(OR($M1062="",$N1062=""),'Lists &amp; Settings'!$O$10,IF($N1062="Fail",'Lists &amp; Settings'!$O$9,IF($N1062="Insufficient Evidence",'Lists &amp; Settings'!$O$10,IF($N1062="Pass",IF($M1062&gt;='Lists &amp; Settings'!$N$2,'Lists &amp; Settings'!$O$2,IF($M1062&gt;='Lists &amp; Settings'!$N$3,'Lists &amp; Settings'!$O$3,'Lists &amp; Settings'!$O$4)),IF($N1062="Partial",IF($M1062&gt;='Lists &amp; Settings'!$N$6,'Lists &amp; Settings'!$O$6,IF($M1062&gt;='Lists &amp; Settings'!$N$7,'Lists &amp; Settings'!$O$7,'Lists &amp; Settings'!$O$8)),'Lists &amp; Settings'!$O$10))))))</f>
        <v/>
      </c>
      <c r="T1062" s="31"/>
      <c r="U1062" s="31"/>
      <c r="V1062" s="31"/>
    </row>
    <row r="1063" ht="15.75" customHeight="1">
      <c r="B1063" s="31"/>
      <c r="N1063" s="127"/>
      <c r="S1063" s="31" t="str">
        <f>IF($C1063="","",IF(OR($M1063="",$N1063=""),'Lists &amp; Settings'!$O$10,IF($N1063="Fail",'Lists &amp; Settings'!$O$9,IF($N1063="Insufficient Evidence",'Lists &amp; Settings'!$O$10,IF($N1063="Pass",IF($M1063&gt;='Lists &amp; Settings'!$N$2,'Lists &amp; Settings'!$O$2,IF($M1063&gt;='Lists &amp; Settings'!$N$3,'Lists &amp; Settings'!$O$3,'Lists &amp; Settings'!$O$4)),IF($N1063="Partial",IF($M1063&gt;='Lists &amp; Settings'!$N$6,'Lists &amp; Settings'!$O$6,IF($M1063&gt;='Lists &amp; Settings'!$N$7,'Lists &amp; Settings'!$O$7,'Lists &amp; Settings'!$O$8)),'Lists &amp; Settings'!$O$10))))))</f>
        <v/>
      </c>
      <c r="T1063" s="31"/>
      <c r="U1063" s="31"/>
      <c r="V1063" s="31"/>
    </row>
    <row r="1064" ht="15.75" customHeight="1">
      <c r="B1064" s="31"/>
      <c r="N1064" s="127"/>
      <c r="S1064" s="31" t="str">
        <f>IF($C1064="","",IF(OR($M1064="",$N1064=""),'Lists &amp; Settings'!$O$10,IF($N1064="Fail",'Lists &amp; Settings'!$O$9,IF($N1064="Insufficient Evidence",'Lists &amp; Settings'!$O$10,IF($N1064="Pass",IF($M1064&gt;='Lists &amp; Settings'!$N$2,'Lists &amp; Settings'!$O$2,IF($M1064&gt;='Lists &amp; Settings'!$N$3,'Lists &amp; Settings'!$O$3,'Lists &amp; Settings'!$O$4)),IF($N1064="Partial",IF($M1064&gt;='Lists &amp; Settings'!$N$6,'Lists &amp; Settings'!$O$6,IF($M1064&gt;='Lists &amp; Settings'!$N$7,'Lists &amp; Settings'!$O$7,'Lists &amp; Settings'!$O$8)),'Lists &amp; Settings'!$O$10))))))</f>
        <v/>
      </c>
      <c r="T1064" s="31"/>
      <c r="U1064" s="31"/>
      <c r="V1064" s="31"/>
    </row>
    <row r="1065" ht="15.75" customHeight="1">
      <c r="B1065" s="31"/>
      <c r="N1065" s="127"/>
      <c r="S1065" s="31" t="str">
        <f>IF($C1065="","",IF(OR($M1065="",$N1065=""),'Lists &amp; Settings'!$O$10,IF($N1065="Fail",'Lists &amp; Settings'!$O$9,IF($N1065="Insufficient Evidence",'Lists &amp; Settings'!$O$10,IF($N1065="Pass",IF($M1065&gt;='Lists &amp; Settings'!$N$2,'Lists &amp; Settings'!$O$2,IF($M1065&gt;='Lists &amp; Settings'!$N$3,'Lists &amp; Settings'!$O$3,'Lists &amp; Settings'!$O$4)),IF($N1065="Partial",IF($M1065&gt;='Lists &amp; Settings'!$N$6,'Lists &amp; Settings'!$O$6,IF($M1065&gt;='Lists &amp; Settings'!$N$7,'Lists &amp; Settings'!$O$7,'Lists &amp; Settings'!$O$8)),'Lists &amp; Settings'!$O$10))))))</f>
        <v/>
      </c>
      <c r="T1065" s="31"/>
      <c r="U1065" s="31"/>
      <c r="V1065" s="31"/>
    </row>
    <row r="1066" ht="15.75" customHeight="1">
      <c r="B1066" s="31"/>
      <c r="N1066" s="127"/>
      <c r="S1066" s="31" t="str">
        <f>IF($C1066="","",IF(OR($M1066="",$N1066=""),'Lists &amp; Settings'!$O$10,IF($N1066="Fail",'Lists &amp; Settings'!$O$9,IF($N1066="Insufficient Evidence",'Lists &amp; Settings'!$O$10,IF($N1066="Pass",IF($M1066&gt;='Lists &amp; Settings'!$N$2,'Lists &amp; Settings'!$O$2,IF($M1066&gt;='Lists &amp; Settings'!$N$3,'Lists &amp; Settings'!$O$3,'Lists &amp; Settings'!$O$4)),IF($N1066="Partial",IF($M1066&gt;='Lists &amp; Settings'!$N$6,'Lists &amp; Settings'!$O$6,IF($M1066&gt;='Lists &amp; Settings'!$N$7,'Lists &amp; Settings'!$O$7,'Lists &amp; Settings'!$O$8)),'Lists &amp; Settings'!$O$10))))))</f>
        <v/>
      </c>
      <c r="T1066" s="31"/>
      <c r="U1066" s="31"/>
      <c r="V1066" s="31"/>
    </row>
    <row r="1067" ht="15.75" customHeight="1">
      <c r="B1067" s="31"/>
      <c r="N1067" s="127"/>
      <c r="S1067" s="31" t="str">
        <f>IF($C1067="","",IF(OR($M1067="",$N1067=""),'Lists &amp; Settings'!$O$10,IF($N1067="Fail",'Lists &amp; Settings'!$O$9,IF($N1067="Insufficient Evidence",'Lists &amp; Settings'!$O$10,IF($N1067="Pass",IF($M1067&gt;='Lists &amp; Settings'!$N$2,'Lists &amp; Settings'!$O$2,IF($M1067&gt;='Lists &amp; Settings'!$N$3,'Lists &amp; Settings'!$O$3,'Lists &amp; Settings'!$O$4)),IF($N1067="Partial",IF($M1067&gt;='Lists &amp; Settings'!$N$6,'Lists &amp; Settings'!$O$6,IF($M1067&gt;='Lists &amp; Settings'!$N$7,'Lists &amp; Settings'!$O$7,'Lists &amp; Settings'!$O$8)),'Lists &amp; Settings'!$O$10))))))</f>
        <v/>
      </c>
      <c r="T1067" s="31"/>
      <c r="U1067" s="31"/>
      <c r="V1067" s="31"/>
    </row>
    <row r="1068" ht="15.75" customHeight="1">
      <c r="B1068" s="31"/>
      <c r="N1068" s="127"/>
      <c r="S1068" s="31" t="str">
        <f>IF($C1068="","",IF(OR($M1068="",$N1068=""),'Lists &amp; Settings'!$O$10,IF($N1068="Fail",'Lists &amp; Settings'!$O$9,IF($N1068="Insufficient Evidence",'Lists &amp; Settings'!$O$10,IF($N1068="Pass",IF($M1068&gt;='Lists &amp; Settings'!$N$2,'Lists &amp; Settings'!$O$2,IF($M1068&gt;='Lists &amp; Settings'!$N$3,'Lists &amp; Settings'!$O$3,'Lists &amp; Settings'!$O$4)),IF($N1068="Partial",IF($M1068&gt;='Lists &amp; Settings'!$N$6,'Lists &amp; Settings'!$O$6,IF($M1068&gt;='Lists &amp; Settings'!$N$7,'Lists &amp; Settings'!$O$7,'Lists &amp; Settings'!$O$8)),'Lists &amp; Settings'!$O$10))))))</f>
        <v/>
      </c>
      <c r="T1068" s="31"/>
      <c r="U1068" s="31"/>
      <c r="V1068" s="31"/>
    </row>
    <row r="1069" ht="15.75" customHeight="1">
      <c r="B1069" s="31"/>
      <c r="N1069" s="127"/>
      <c r="S1069" s="31" t="str">
        <f>IF($C1069="","",IF(OR($M1069="",$N1069=""),'Lists &amp; Settings'!$O$10,IF($N1069="Fail",'Lists &amp; Settings'!$O$9,IF($N1069="Insufficient Evidence",'Lists &amp; Settings'!$O$10,IF($N1069="Pass",IF($M1069&gt;='Lists &amp; Settings'!$N$2,'Lists &amp; Settings'!$O$2,IF($M1069&gt;='Lists &amp; Settings'!$N$3,'Lists &amp; Settings'!$O$3,'Lists &amp; Settings'!$O$4)),IF($N1069="Partial",IF($M1069&gt;='Lists &amp; Settings'!$N$6,'Lists &amp; Settings'!$O$6,IF($M1069&gt;='Lists &amp; Settings'!$N$7,'Lists &amp; Settings'!$O$7,'Lists &amp; Settings'!$O$8)),'Lists &amp; Settings'!$O$10))))))</f>
        <v/>
      </c>
      <c r="T1069" s="31"/>
      <c r="U1069" s="31"/>
      <c r="V1069" s="31"/>
    </row>
    <row r="1070" ht="15.75" customHeight="1">
      <c r="B1070" s="31"/>
      <c r="N1070" s="127"/>
      <c r="S1070" s="31" t="str">
        <f>IF($C1070="","",IF(OR($M1070="",$N1070=""),'Lists &amp; Settings'!$O$10,IF($N1070="Fail",'Lists &amp; Settings'!$O$9,IF($N1070="Insufficient Evidence",'Lists &amp; Settings'!$O$10,IF($N1070="Pass",IF($M1070&gt;='Lists &amp; Settings'!$N$2,'Lists &amp; Settings'!$O$2,IF($M1070&gt;='Lists &amp; Settings'!$N$3,'Lists &amp; Settings'!$O$3,'Lists &amp; Settings'!$O$4)),IF($N1070="Partial",IF($M1070&gt;='Lists &amp; Settings'!$N$6,'Lists &amp; Settings'!$O$6,IF($M1070&gt;='Lists &amp; Settings'!$N$7,'Lists &amp; Settings'!$O$7,'Lists &amp; Settings'!$O$8)),'Lists &amp; Settings'!$O$10))))))</f>
        <v/>
      </c>
      <c r="T1070" s="31"/>
      <c r="U1070" s="31"/>
      <c r="V1070" s="31"/>
    </row>
    <row r="1071" ht="15.75" customHeight="1">
      <c r="B1071" s="31"/>
      <c r="N1071" s="127"/>
      <c r="S1071" s="31" t="str">
        <f>IF($C1071="","",IF(OR($M1071="",$N1071=""),'Lists &amp; Settings'!$O$10,IF($N1071="Fail",'Lists &amp; Settings'!$O$9,IF($N1071="Insufficient Evidence",'Lists &amp; Settings'!$O$10,IF($N1071="Pass",IF($M1071&gt;='Lists &amp; Settings'!$N$2,'Lists &amp; Settings'!$O$2,IF($M1071&gt;='Lists &amp; Settings'!$N$3,'Lists &amp; Settings'!$O$3,'Lists &amp; Settings'!$O$4)),IF($N1071="Partial",IF($M1071&gt;='Lists &amp; Settings'!$N$6,'Lists &amp; Settings'!$O$6,IF($M1071&gt;='Lists &amp; Settings'!$N$7,'Lists &amp; Settings'!$O$7,'Lists &amp; Settings'!$O$8)),'Lists &amp; Settings'!$O$10))))))</f>
        <v/>
      </c>
      <c r="T1071" s="31"/>
      <c r="U1071" s="31"/>
      <c r="V1071" s="31"/>
    </row>
    <row r="1072" ht="15.75" customHeight="1">
      <c r="B1072" s="31"/>
      <c r="N1072" s="127"/>
      <c r="S1072" s="31" t="str">
        <f>IF($C1072="","",IF(OR($M1072="",$N1072=""),'Lists &amp; Settings'!$O$10,IF($N1072="Fail",'Lists &amp; Settings'!$O$9,IF($N1072="Insufficient Evidence",'Lists &amp; Settings'!$O$10,IF($N1072="Pass",IF($M1072&gt;='Lists &amp; Settings'!$N$2,'Lists &amp; Settings'!$O$2,IF($M1072&gt;='Lists &amp; Settings'!$N$3,'Lists &amp; Settings'!$O$3,'Lists &amp; Settings'!$O$4)),IF($N1072="Partial",IF($M1072&gt;='Lists &amp; Settings'!$N$6,'Lists &amp; Settings'!$O$6,IF($M1072&gt;='Lists &amp; Settings'!$N$7,'Lists &amp; Settings'!$O$7,'Lists &amp; Settings'!$O$8)),'Lists &amp; Settings'!$O$10))))))</f>
        <v/>
      </c>
      <c r="T1072" s="31"/>
      <c r="U1072" s="31"/>
      <c r="V1072" s="31"/>
    </row>
    <row r="1073" ht="15.75" customHeight="1">
      <c r="B1073" s="31"/>
      <c r="N1073" s="127"/>
      <c r="S1073" s="31" t="str">
        <f>IF($C1073="","",IF(OR($M1073="",$N1073=""),'Lists &amp; Settings'!$O$10,IF($N1073="Fail",'Lists &amp; Settings'!$O$9,IF($N1073="Insufficient Evidence",'Lists &amp; Settings'!$O$10,IF($N1073="Pass",IF($M1073&gt;='Lists &amp; Settings'!$N$2,'Lists &amp; Settings'!$O$2,IF($M1073&gt;='Lists &amp; Settings'!$N$3,'Lists &amp; Settings'!$O$3,'Lists &amp; Settings'!$O$4)),IF($N1073="Partial",IF($M1073&gt;='Lists &amp; Settings'!$N$6,'Lists &amp; Settings'!$O$6,IF($M1073&gt;='Lists &amp; Settings'!$N$7,'Lists &amp; Settings'!$O$7,'Lists &amp; Settings'!$O$8)),'Lists &amp; Settings'!$O$10))))))</f>
        <v/>
      </c>
      <c r="T1073" s="31"/>
      <c r="U1073" s="31"/>
      <c r="V1073" s="31"/>
    </row>
    <row r="1074" ht="15.75" customHeight="1">
      <c r="B1074" s="31"/>
      <c r="N1074" s="127"/>
      <c r="S1074" s="31" t="str">
        <f>IF($C1074="","",IF(OR($M1074="",$N1074=""),'Lists &amp; Settings'!$O$10,IF($N1074="Fail",'Lists &amp; Settings'!$O$9,IF($N1074="Insufficient Evidence",'Lists &amp; Settings'!$O$10,IF($N1074="Pass",IF($M1074&gt;='Lists &amp; Settings'!$N$2,'Lists &amp; Settings'!$O$2,IF($M1074&gt;='Lists &amp; Settings'!$N$3,'Lists &amp; Settings'!$O$3,'Lists &amp; Settings'!$O$4)),IF($N1074="Partial",IF($M1074&gt;='Lists &amp; Settings'!$N$6,'Lists &amp; Settings'!$O$6,IF($M1074&gt;='Lists &amp; Settings'!$N$7,'Lists &amp; Settings'!$O$7,'Lists &amp; Settings'!$O$8)),'Lists &amp; Settings'!$O$10))))))</f>
        <v/>
      </c>
      <c r="T1074" s="31"/>
      <c r="U1074" s="31"/>
      <c r="V1074" s="31"/>
    </row>
    <row r="1075" ht="15.75" customHeight="1">
      <c r="B1075" s="31"/>
      <c r="N1075" s="127"/>
      <c r="S1075" s="31" t="str">
        <f>IF($C1075="","",IF(OR($M1075="",$N1075=""),'Lists &amp; Settings'!$O$10,IF($N1075="Fail",'Lists &amp; Settings'!$O$9,IF($N1075="Insufficient Evidence",'Lists &amp; Settings'!$O$10,IF($N1075="Pass",IF($M1075&gt;='Lists &amp; Settings'!$N$2,'Lists &amp; Settings'!$O$2,IF($M1075&gt;='Lists &amp; Settings'!$N$3,'Lists &amp; Settings'!$O$3,'Lists &amp; Settings'!$O$4)),IF($N1075="Partial",IF($M1075&gt;='Lists &amp; Settings'!$N$6,'Lists &amp; Settings'!$O$6,IF($M1075&gt;='Lists &amp; Settings'!$N$7,'Lists &amp; Settings'!$O$7,'Lists &amp; Settings'!$O$8)),'Lists &amp; Settings'!$O$10))))))</f>
        <v/>
      </c>
      <c r="T1075" s="31"/>
      <c r="U1075" s="31"/>
      <c r="V1075" s="31"/>
    </row>
    <row r="1076" ht="15.75" customHeight="1">
      <c r="B1076" s="31"/>
      <c r="N1076" s="127"/>
      <c r="S1076" s="31" t="str">
        <f>IF($C1076="","",IF(OR($M1076="",$N1076=""),'Lists &amp; Settings'!$O$10,IF($N1076="Fail",'Lists &amp; Settings'!$O$9,IF($N1076="Insufficient Evidence",'Lists &amp; Settings'!$O$10,IF($N1076="Pass",IF($M1076&gt;='Lists &amp; Settings'!$N$2,'Lists &amp; Settings'!$O$2,IF($M1076&gt;='Lists &amp; Settings'!$N$3,'Lists &amp; Settings'!$O$3,'Lists &amp; Settings'!$O$4)),IF($N1076="Partial",IF($M1076&gt;='Lists &amp; Settings'!$N$6,'Lists &amp; Settings'!$O$6,IF($M1076&gt;='Lists &amp; Settings'!$N$7,'Lists &amp; Settings'!$O$7,'Lists &amp; Settings'!$O$8)),'Lists &amp; Settings'!$O$10))))))</f>
        <v/>
      </c>
      <c r="T1076" s="31"/>
      <c r="U1076" s="31"/>
      <c r="V1076" s="31"/>
    </row>
    <row r="1077" ht="15.75" customHeight="1">
      <c r="B1077" s="31"/>
      <c r="N1077" s="127"/>
      <c r="S1077" s="31" t="str">
        <f>IF($C1077="","",IF(OR($M1077="",$N1077=""),'Lists &amp; Settings'!$O$10,IF($N1077="Fail",'Lists &amp; Settings'!$O$9,IF($N1077="Insufficient Evidence",'Lists &amp; Settings'!$O$10,IF($N1077="Pass",IF($M1077&gt;='Lists &amp; Settings'!$N$2,'Lists &amp; Settings'!$O$2,IF($M1077&gt;='Lists &amp; Settings'!$N$3,'Lists &amp; Settings'!$O$3,'Lists &amp; Settings'!$O$4)),IF($N1077="Partial",IF($M1077&gt;='Lists &amp; Settings'!$N$6,'Lists &amp; Settings'!$O$6,IF($M1077&gt;='Lists &amp; Settings'!$N$7,'Lists &amp; Settings'!$O$7,'Lists &amp; Settings'!$O$8)),'Lists &amp; Settings'!$O$10))))))</f>
        <v/>
      </c>
      <c r="T1077" s="31"/>
      <c r="U1077" s="31"/>
      <c r="V1077" s="31"/>
    </row>
    <row r="1078" ht="15.75" customHeight="1">
      <c r="B1078" s="31"/>
      <c r="N1078" s="127"/>
      <c r="S1078" s="31" t="str">
        <f>IF($C1078="","",IF(OR($M1078="",$N1078=""),'Lists &amp; Settings'!$O$10,IF($N1078="Fail",'Lists &amp; Settings'!$O$9,IF($N1078="Insufficient Evidence",'Lists &amp; Settings'!$O$10,IF($N1078="Pass",IF($M1078&gt;='Lists &amp; Settings'!$N$2,'Lists &amp; Settings'!$O$2,IF($M1078&gt;='Lists &amp; Settings'!$N$3,'Lists &amp; Settings'!$O$3,'Lists &amp; Settings'!$O$4)),IF($N1078="Partial",IF($M1078&gt;='Lists &amp; Settings'!$N$6,'Lists &amp; Settings'!$O$6,IF($M1078&gt;='Lists &amp; Settings'!$N$7,'Lists &amp; Settings'!$O$7,'Lists &amp; Settings'!$O$8)),'Lists &amp; Settings'!$O$10))))))</f>
        <v/>
      </c>
      <c r="T1078" s="31"/>
      <c r="U1078" s="31"/>
      <c r="V1078" s="31"/>
    </row>
    <row r="1079" ht="15.75" customHeight="1">
      <c r="B1079" s="31"/>
      <c r="N1079" s="127"/>
      <c r="S1079" s="31" t="str">
        <f>IF($C1079="","",IF(OR($M1079="",$N1079=""),'Lists &amp; Settings'!$O$10,IF($N1079="Fail",'Lists &amp; Settings'!$O$9,IF($N1079="Insufficient Evidence",'Lists &amp; Settings'!$O$10,IF($N1079="Pass",IF($M1079&gt;='Lists &amp; Settings'!$N$2,'Lists &amp; Settings'!$O$2,IF($M1079&gt;='Lists &amp; Settings'!$N$3,'Lists &amp; Settings'!$O$3,'Lists &amp; Settings'!$O$4)),IF($N1079="Partial",IF($M1079&gt;='Lists &amp; Settings'!$N$6,'Lists &amp; Settings'!$O$6,IF($M1079&gt;='Lists &amp; Settings'!$N$7,'Lists &amp; Settings'!$O$7,'Lists &amp; Settings'!$O$8)),'Lists &amp; Settings'!$O$10))))))</f>
        <v/>
      </c>
      <c r="T1079" s="31"/>
      <c r="U1079" s="31"/>
      <c r="V1079" s="31"/>
    </row>
    <row r="1080" ht="15.75" customHeight="1">
      <c r="B1080" s="31"/>
      <c r="N1080" s="127"/>
      <c r="S1080" s="31" t="str">
        <f>IF($C1080="","",IF(OR($M1080="",$N1080=""),'Lists &amp; Settings'!$O$10,IF($N1080="Fail",'Lists &amp; Settings'!$O$9,IF($N1080="Insufficient Evidence",'Lists &amp; Settings'!$O$10,IF($N1080="Pass",IF($M1080&gt;='Lists &amp; Settings'!$N$2,'Lists &amp; Settings'!$O$2,IF($M1080&gt;='Lists &amp; Settings'!$N$3,'Lists &amp; Settings'!$O$3,'Lists &amp; Settings'!$O$4)),IF($N1080="Partial",IF($M1080&gt;='Lists &amp; Settings'!$N$6,'Lists &amp; Settings'!$O$6,IF($M1080&gt;='Lists &amp; Settings'!$N$7,'Lists &amp; Settings'!$O$7,'Lists &amp; Settings'!$O$8)),'Lists &amp; Settings'!$O$10))))))</f>
        <v/>
      </c>
      <c r="T1080" s="31"/>
      <c r="U1080" s="31"/>
      <c r="V1080" s="31"/>
    </row>
    <row r="1081" ht="15.75" customHeight="1">
      <c r="B1081" s="31"/>
      <c r="N1081" s="127"/>
      <c r="S1081" s="31" t="str">
        <f>IF($C1081="","",IF(OR($M1081="",$N1081=""),'Lists &amp; Settings'!$O$10,IF($N1081="Fail",'Lists &amp; Settings'!$O$9,IF($N1081="Insufficient Evidence",'Lists &amp; Settings'!$O$10,IF($N1081="Pass",IF($M1081&gt;='Lists &amp; Settings'!$N$2,'Lists &amp; Settings'!$O$2,IF($M1081&gt;='Lists &amp; Settings'!$N$3,'Lists &amp; Settings'!$O$3,'Lists &amp; Settings'!$O$4)),IF($N1081="Partial",IF($M1081&gt;='Lists &amp; Settings'!$N$6,'Lists &amp; Settings'!$O$6,IF($M1081&gt;='Lists &amp; Settings'!$N$7,'Lists &amp; Settings'!$O$7,'Lists &amp; Settings'!$O$8)),'Lists &amp; Settings'!$O$10))))))</f>
        <v/>
      </c>
      <c r="T1081" s="31"/>
      <c r="U1081" s="31"/>
      <c r="V1081" s="31"/>
    </row>
    <row r="1082" ht="15.75" customHeight="1">
      <c r="B1082" s="31"/>
      <c r="N1082" s="127"/>
      <c r="S1082" s="31" t="str">
        <f>IF($C1082="","",IF(OR($M1082="",$N1082=""),'Lists &amp; Settings'!$O$10,IF($N1082="Fail",'Lists &amp; Settings'!$O$9,IF($N1082="Insufficient Evidence",'Lists &amp; Settings'!$O$10,IF($N1082="Pass",IF($M1082&gt;='Lists &amp; Settings'!$N$2,'Lists &amp; Settings'!$O$2,IF($M1082&gt;='Lists &amp; Settings'!$N$3,'Lists &amp; Settings'!$O$3,'Lists &amp; Settings'!$O$4)),IF($N1082="Partial",IF($M1082&gt;='Lists &amp; Settings'!$N$6,'Lists &amp; Settings'!$O$6,IF($M1082&gt;='Lists &amp; Settings'!$N$7,'Lists &amp; Settings'!$O$7,'Lists &amp; Settings'!$O$8)),'Lists &amp; Settings'!$O$10))))))</f>
        <v/>
      </c>
      <c r="T1082" s="31"/>
      <c r="U1082" s="31"/>
      <c r="V1082" s="31"/>
    </row>
    <row r="1083" ht="15.75" customHeight="1">
      <c r="B1083" s="31"/>
      <c r="N1083" s="127"/>
      <c r="S1083" s="31" t="str">
        <f>IF($C1083="","",IF(OR($M1083="",$N1083=""),'Lists &amp; Settings'!$O$10,IF($N1083="Fail",'Lists &amp; Settings'!$O$9,IF($N1083="Insufficient Evidence",'Lists &amp; Settings'!$O$10,IF($N1083="Pass",IF($M1083&gt;='Lists &amp; Settings'!$N$2,'Lists &amp; Settings'!$O$2,IF($M1083&gt;='Lists &amp; Settings'!$N$3,'Lists &amp; Settings'!$O$3,'Lists &amp; Settings'!$O$4)),IF($N1083="Partial",IF($M1083&gt;='Lists &amp; Settings'!$N$6,'Lists &amp; Settings'!$O$6,IF($M1083&gt;='Lists &amp; Settings'!$N$7,'Lists &amp; Settings'!$O$7,'Lists &amp; Settings'!$O$8)),'Lists &amp; Settings'!$O$10))))))</f>
        <v/>
      </c>
      <c r="T1083" s="31"/>
      <c r="U1083" s="31"/>
      <c r="V1083" s="31"/>
    </row>
    <row r="1084" ht="15.75" customHeight="1">
      <c r="B1084" s="31"/>
      <c r="N1084" s="127"/>
      <c r="S1084" s="31" t="str">
        <f>IF($C1084="","",IF(OR($M1084="",$N1084=""),'Lists &amp; Settings'!$O$10,IF($N1084="Fail",'Lists &amp; Settings'!$O$9,IF($N1084="Insufficient Evidence",'Lists &amp; Settings'!$O$10,IF($N1084="Pass",IF($M1084&gt;='Lists &amp; Settings'!$N$2,'Lists &amp; Settings'!$O$2,IF($M1084&gt;='Lists &amp; Settings'!$N$3,'Lists &amp; Settings'!$O$3,'Lists &amp; Settings'!$O$4)),IF($N1084="Partial",IF($M1084&gt;='Lists &amp; Settings'!$N$6,'Lists &amp; Settings'!$O$6,IF($M1084&gt;='Lists &amp; Settings'!$N$7,'Lists &amp; Settings'!$O$7,'Lists &amp; Settings'!$O$8)),'Lists &amp; Settings'!$O$10))))))</f>
        <v/>
      </c>
      <c r="T1084" s="31"/>
      <c r="U1084" s="31"/>
      <c r="V1084" s="31"/>
    </row>
    <row r="1085" ht="15.75" customHeight="1">
      <c r="B1085" s="31"/>
      <c r="N1085" s="127"/>
      <c r="S1085" s="31" t="str">
        <f>IF($C1085="","",IF(OR($M1085="",$N1085=""),'Lists &amp; Settings'!$O$10,IF($N1085="Fail",'Lists &amp; Settings'!$O$9,IF($N1085="Insufficient Evidence",'Lists &amp; Settings'!$O$10,IF($N1085="Pass",IF($M1085&gt;='Lists &amp; Settings'!$N$2,'Lists &amp; Settings'!$O$2,IF($M1085&gt;='Lists &amp; Settings'!$N$3,'Lists &amp; Settings'!$O$3,'Lists &amp; Settings'!$O$4)),IF($N1085="Partial",IF($M1085&gt;='Lists &amp; Settings'!$N$6,'Lists &amp; Settings'!$O$6,IF($M1085&gt;='Lists &amp; Settings'!$N$7,'Lists &amp; Settings'!$O$7,'Lists &amp; Settings'!$O$8)),'Lists &amp; Settings'!$O$10))))))</f>
        <v/>
      </c>
      <c r="T1085" s="31"/>
      <c r="U1085" s="31"/>
      <c r="V1085" s="31"/>
    </row>
    <row r="1086" ht="15.75" customHeight="1">
      <c r="B1086" s="31"/>
      <c r="N1086" s="127"/>
      <c r="S1086" s="31" t="str">
        <f>IF($C1086="","",IF(OR($M1086="",$N1086=""),'Lists &amp; Settings'!$O$10,IF($N1086="Fail",'Lists &amp; Settings'!$O$9,IF($N1086="Insufficient Evidence",'Lists &amp; Settings'!$O$10,IF($N1086="Pass",IF($M1086&gt;='Lists &amp; Settings'!$N$2,'Lists &amp; Settings'!$O$2,IF($M1086&gt;='Lists &amp; Settings'!$N$3,'Lists &amp; Settings'!$O$3,'Lists &amp; Settings'!$O$4)),IF($N1086="Partial",IF($M1086&gt;='Lists &amp; Settings'!$N$6,'Lists &amp; Settings'!$O$6,IF($M1086&gt;='Lists &amp; Settings'!$N$7,'Lists &amp; Settings'!$O$7,'Lists &amp; Settings'!$O$8)),'Lists &amp; Settings'!$O$10))))))</f>
        <v/>
      </c>
      <c r="T1086" s="31"/>
      <c r="U1086" s="31"/>
      <c r="V1086" s="31"/>
    </row>
    <row r="1087" ht="15.75" customHeight="1">
      <c r="B1087" s="31"/>
      <c r="N1087" s="127"/>
      <c r="S1087" s="31" t="str">
        <f>IF($C1087="","",IF(OR($M1087="",$N1087=""),'Lists &amp; Settings'!$O$10,IF($N1087="Fail",'Lists &amp; Settings'!$O$9,IF($N1087="Insufficient Evidence",'Lists &amp; Settings'!$O$10,IF($N1087="Pass",IF($M1087&gt;='Lists &amp; Settings'!$N$2,'Lists &amp; Settings'!$O$2,IF($M1087&gt;='Lists &amp; Settings'!$N$3,'Lists &amp; Settings'!$O$3,'Lists &amp; Settings'!$O$4)),IF($N1087="Partial",IF($M1087&gt;='Lists &amp; Settings'!$N$6,'Lists &amp; Settings'!$O$6,IF($M1087&gt;='Lists &amp; Settings'!$N$7,'Lists &amp; Settings'!$O$7,'Lists &amp; Settings'!$O$8)),'Lists &amp; Settings'!$O$10))))))</f>
        <v/>
      </c>
      <c r="T1087" s="31"/>
      <c r="U1087" s="31"/>
      <c r="V1087" s="31"/>
    </row>
    <row r="1088" ht="15.75" customHeight="1">
      <c r="B1088" s="31"/>
      <c r="N1088" s="127"/>
      <c r="S1088" s="31" t="str">
        <f>IF($C1088="","",IF(OR($M1088="",$N1088=""),'Lists &amp; Settings'!$O$10,IF($N1088="Fail",'Lists &amp; Settings'!$O$9,IF($N1088="Insufficient Evidence",'Lists &amp; Settings'!$O$10,IF($N1088="Pass",IF($M1088&gt;='Lists &amp; Settings'!$N$2,'Lists &amp; Settings'!$O$2,IF($M1088&gt;='Lists &amp; Settings'!$N$3,'Lists &amp; Settings'!$O$3,'Lists &amp; Settings'!$O$4)),IF($N1088="Partial",IF($M1088&gt;='Lists &amp; Settings'!$N$6,'Lists &amp; Settings'!$O$6,IF($M1088&gt;='Lists &amp; Settings'!$N$7,'Lists &amp; Settings'!$O$7,'Lists &amp; Settings'!$O$8)),'Lists &amp; Settings'!$O$10))))))</f>
        <v/>
      </c>
      <c r="T1088" s="31"/>
      <c r="U1088" s="31"/>
      <c r="V1088" s="31"/>
    </row>
    <row r="1089" ht="15.75" customHeight="1">
      <c r="B1089" s="31"/>
      <c r="N1089" s="127"/>
      <c r="S1089" s="31" t="str">
        <f>IF($C1089="","",IF(OR($M1089="",$N1089=""),'Lists &amp; Settings'!$O$10,IF($N1089="Fail",'Lists &amp; Settings'!$O$9,IF($N1089="Insufficient Evidence",'Lists &amp; Settings'!$O$10,IF($N1089="Pass",IF($M1089&gt;='Lists &amp; Settings'!$N$2,'Lists &amp; Settings'!$O$2,IF($M1089&gt;='Lists &amp; Settings'!$N$3,'Lists &amp; Settings'!$O$3,'Lists &amp; Settings'!$O$4)),IF($N1089="Partial",IF($M1089&gt;='Lists &amp; Settings'!$N$6,'Lists &amp; Settings'!$O$6,IF($M1089&gt;='Lists &amp; Settings'!$N$7,'Lists &amp; Settings'!$O$7,'Lists &amp; Settings'!$O$8)),'Lists &amp; Settings'!$O$10))))))</f>
        <v/>
      </c>
      <c r="T1089" s="31"/>
      <c r="U1089" s="31"/>
      <c r="V1089" s="31"/>
    </row>
    <row r="1090" ht="15.75" customHeight="1">
      <c r="B1090" s="31"/>
      <c r="N1090" s="127"/>
      <c r="S1090" s="31" t="str">
        <f>IF($C1090="","",IF(OR($M1090="",$N1090=""),'Lists &amp; Settings'!$O$10,IF($N1090="Fail",'Lists &amp; Settings'!$O$9,IF($N1090="Insufficient Evidence",'Lists &amp; Settings'!$O$10,IF($N1090="Pass",IF($M1090&gt;='Lists &amp; Settings'!$N$2,'Lists &amp; Settings'!$O$2,IF($M1090&gt;='Lists &amp; Settings'!$N$3,'Lists &amp; Settings'!$O$3,'Lists &amp; Settings'!$O$4)),IF($N1090="Partial",IF($M1090&gt;='Lists &amp; Settings'!$N$6,'Lists &amp; Settings'!$O$6,IF($M1090&gt;='Lists &amp; Settings'!$N$7,'Lists &amp; Settings'!$O$7,'Lists &amp; Settings'!$O$8)),'Lists &amp; Settings'!$O$10))))))</f>
        <v/>
      </c>
      <c r="T1090" s="31"/>
      <c r="U1090" s="31"/>
      <c r="V1090" s="31"/>
    </row>
    <row r="1091" ht="15.75" customHeight="1">
      <c r="B1091" s="31"/>
      <c r="N1091" s="127"/>
      <c r="S1091" s="31" t="str">
        <f>IF($C1091="","",IF(OR($M1091="",$N1091=""),'Lists &amp; Settings'!$O$10,IF($N1091="Fail",'Lists &amp; Settings'!$O$9,IF($N1091="Insufficient Evidence",'Lists &amp; Settings'!$O$10,IF($N1091="Pass",IF($M1091&gt;='Lists &amp; Settings'!$N$2,'Lists &amp; Settings'!$O$2,IF($M1091&gt;='Lists &amp; Settings'!$N$3,'Lists &amp; Settings'!$O$3,'Lists &amp; Settings'!$O$4)),IF($N1091="Partial",IF($M1091&gt;='Lists &amp; Settings'!$N$6,'Lists &amp; Settings'!$O$6,IF($M1091&gt;='Lists &amp; Settings'!$N$7,'Lists &amp; Settings'!$O$7,'Lists &amp; Settings'!$O$8)),'Lists &amp; Settings'!$O$10))))))</f>
        <v/>
      </c>
      <c r="T1091" s="31"/>
      <c r="U1091" s="31"/>
      <c r="V1091" s="31"/>
    </row>
    <row r="1092" ht="15.75" customHeight="1">
      <c r="B1092" s="31"/>
      <c r="N1092" s="127"/>
      <c r="S1092" s="31" t="str">
        <f>IF($C1092="","",IF(OR($M1092="",$N1092=""),'Lists &amp; Settings'!$O$10,IF($N1092="Fail",'Lists &amp; Settings'!$O$9,IF($N1092="Insufficient Evidence",'Lists &amp; Settings'!$O$10,IF($N1092="Pass",IF($M1092&gt;='Lists &amp; Settings'!$N$2,'Lists &amp; Settings'!$O$2,IF($M1092&gt;='Lists &amp; Settings'!$N$3,'Lists &amp; Settings'!$O$3,'Lists &amp; Settings'!$O$4)),IF($N1092="Partial",IF($M1092&gt;='Lists &amp; Settings'!$N$6,'Lists &amp; Settings'!$O$6,IF($M1092&gt;='Lists &amp; Settings'!$N$7,'Lists &amp; Settings'!$O$7,'Lists &amp; Settings'!$O$8)),'Lists &amp; Settings'!$O$10))))))</f>
        <v/>
      </c>
      <c r="T1092" s="31"/>
      <c r="U1092" s="31"/>
      <c r="V1092" s="31"/>
    </row>
    <row r="1093" ht="15.75" customHeight="1">
      <c r="B1093" s="31"/>
      <c r="N1093" s="127"/>
      <c r="S1093" s="31" t="str">
        <f>IF($C1093="","",IF(OR($M1093="",$N1093=""),'Lists &amp; Settings'!$O$10,IF($N1093="Fail",'Lists &amp; Settings'!$O$9,IF($N1093="Insufficient Evidence",'Lists &amp; Settings'!$O$10,IF($N1093="Pass",IF($M1093&gt;='Lists &amp; Settings'!$N$2,'Lists &amp; Settings'!$O$2,IF($M1093&gt;='Lists &amp; Settings'!$N$3,'Lists &amp; Settings'!$O$3,'Lists &amp; Settings'!$O$4)),IF($N1093="Partial",IF($M1093&gt;='Lists &amp; Settings'!$N$6,'Lists &amp; Settings'!$O$6,IF($M1093&gt;='Lists &amp; Settings'!$N$7,'Lists &amp; Settings'!$O$7,'Lists &amp; Settings'!$O$8)),'Lists &amp; Settings'!$O$10))))))</f>
        <v/>
      </c>
      <c r="T1093" s="31"/>
      <c r="U1093" s="31"/>
      <c r="V1093" s="31"/>
    </row>
    <row r="1094" ht="15.75" customHeight="1">
      <c r="B1094" s="31"/>
      <c r="N1094" s="127"/>
      <c r="S1094" s="31" t="str">
        <f>IF($C1094="","",IF(OR($M1094="",$N1094=""),'Lists &amp; Settings'!$O$10,IF($N1094="Fail",'Lists &amp; Settings'!$O$9,IF($N1094="Insufficient Evidence",'Lists &amp; Settings'!$O$10,IF($N1094="Pass",IF($M1094&gt;='Lists &amp; Settings'!$N$2,'Lists &amp; Settings'!$O$2,IF($M1094&gt;='Lists &amp; Settings'!$N$3,'Lists &amp; Settings'!$O$3,'Lists &amp; Settings'!$O$4)),IF($N1094="Partial",IF($M1094&gt;='Lists &amp; Settings'!$N$6,'Lists &amp; Settings'!$O$6,IF($M1094&gt;='Lists &amp; Settings'!$N$7,'Lists &amp; Settings'!$O$7,'Lists &amp; Settings'!$O$8)),'Lists &amp; Settings'!$O$10))))))</f>
        <v/>
      </c>
      <c r="T1094" s="31"/>
      <c r="U1094" s="31"/>
      <c r="V1094" s="31"/>
    </row>
    <row r="1095" ht="15.75" customHeight="1">
      <c r="B1095" s="31"/>
      <c r="N1095" s="127"/>
      <c r="S1095" s="31" t="str">
        <f>IF($C1095="","",IF(OR($M1095="",$N1095=""),'Lists &amp; Settings'!$O$10,IF($N1095="Fail",'Lists &amp; Settings'!$O$9,IF($N1095="Insufficient Evidence",'Lists &amp; Settings'!$O$10,IF($N1095="Pass",IF($M1095&gt;='Lists &amp; Settings'!$N$2,'Lists &amp; Settings'!$O$2,IF($M1095&gt;='Lists &amp; Settings'!$N$3,'Lists &amp; Settings'!$O$3,'Lists &amp; Settings'!$O$4)),IF($N1095="Partial",IF($M1095&gt;='Lists &amp; Settings'!$N$6,'Lists &amp; Settings'!$O$6,IF($M1095&gt;='Lists &amp; Settings'!$N$7,'Lists &amp; Settings'!$O$7,'Lists &amp; Settings'!$O$8)),'Lists &amp; Settings'!$O$10))))))</f>
        <v/>
      </c>
      <c r="T1095" s="31"/>
      <c r="U1095" s="31"/>
      <c r="V1095" s="31"/>
    </row>
    <row r="1096" ht="15.75" customHeight="1">
      <c r="B1096" s="31"/>
      <c r="N1096" s="127"/>
      <c r="S1096" s="31" t="str">
        <f>IF($C1096="","",IF(OR($M1096="",$N1096=""),'Lists &amp; Settings'!$O$10,IF($N1096="Fail",'Lists &amp; Settings'!$O$9,IF($N1096="Insufficient Evidence",'Lists &amp; Settings'!$O$10,IF($N1096="Pass",IF($M1096&gt;='Lists &amp; Settings'!$N$2,'Lists &amp; Settings'!$O$2,IF($M1096&gt;='Lists &amp; Settings'!$N$3,'Lists &amp; Settings'!$O$3,'Lists &amp; Settings'!$O$4)),IF($N1096="Partial",IF($M1096&gt;='Lists &amp; Settings'!$N$6,'Lists &amp; Settings'!$O$6,IF($M1096&gt;='Lists &amp; Settings'!$N$7,'Lists &amp; Settings'!$O$7,'Lists &amp; Settings'!$O$8)),'Lists &amp; Settings'!$O$10))))))</f>
        <v/>
      </c>
      <c r="T1096" s="31"/>
      <c r="U1096" s="31"/>
      <c r="V1096" s="31"/>
    </row>
    <row r="1097" ht="15.75" customHeight="1">
      <c r="B1097" s="31"/>
      <c r="N1097" s="127"/>
      <c r="S1097" s="31" t="str">
        <f>IF($C1097="","",IF(OR($M1097="",$N1097=""),'Lists &amp; Settings'!$O$10,IF($N1097="Fail",'Lists &amp; Settings'!$O$9,IF($N1097="Insufficient Evidence",'Lists &amp; Settings'!$O$10,IF($N1097="Pass",IF($M1097&gt;='Lists &amp; Settings'!$N$2,'Lists &amp; Settings'!$O$2,IF($M1097&gt;='Lists &amp; Settings'!$N$3,'Lists &amp; Settings'!$O$3,'Lists &amp; Settings'!$O$4)),IF($N1097="Partial",IF($M1097&gt;='Lists &amp; Settings'!$N$6,'Lists &amp; Settings'!$O$6,IF($M1097&gt;='Lists &amp; Settings'!$N$7,'Lists &amp; Settings'!$O$7,'Lists &amp; Settings'!$O$8)),'Lists &amp; Settings'!$O$10))))))</f>
        <v/>
      </c>
      <c r="T1097" s="31"/>
      <c r="U1097" s="31"/>
      <c r="V1097" s="31"/>
    </row>
    <row r="1098" ht="15.75" customHeight="1">
      <c r="B1098" s="31"/>
      <c r="N1098" s="127"/>
      <c r="S1098" s="31" t="str">
        <f>IF($C1098="","",IF(OR($M1098="",$N1098=""),'Lists &amp; Settings'!$O$10,IF($N1098="Fail",'Lists &amp; Settings'!$O$9,IF($N1098="Insufficient Evidence",'Lists &amp; Settings'!$O$10,IF($N1098="Pass",IF($M1098&gt;='Lists &amp; Settings'!$N$2,'Lists &amp; Settings'!$O$2,IF($M1098&gt;='Lists &amp; Settings'!$N$3,'Lists &amp; Settings'!$O$3,'Lists &amp; Settings'!$O$4)),IF($N1098="Partial",IF($M1098&gt;='Lists &amp; Settings'!$N$6,'Lists &amp; Settings'!$O$6,IF($M1098&gt;='Lists &amp; Settings'!$N$7,'Lists &amp; Settings'!$O$7,'Lists &amp; Settings'!$O$8)),'Lists &amp; Settings'!$O$10))))))</f>
        <v/>
      </c>
      <c r="T1098" s="31"/>
      <c r="U1098" s="31"/>
      <c r="V1098" s="31"/>
    </row>
    <row r="1099" ht="15.75" customHeight="1">
      <c r="B1099" s="31"/>
      <c r="N1099" s="127"/>
      <c r="S1099" s="31" t="str">
        <f>IF($C1099="","",IF(OR($M1099="",$N1099=""),'Lists &amp; Settings'!$O$10,IF($N1099="Fail",'Lists &amp; Settings'!$O$9,IF($N1099="Insufficient Evidence",'Lists &amp; Settings'!$O$10,IF($N1099="Pass",IF($M1099&gt;='Lists &amp; Settings'!$N$2,'Lists &amp; Settings'!$O$2,IF($M1099&gt;='Lists &amp; Settings'!$N$3,'Lists &amp; Settings'!$O$3,'Lists &amp; Settings'!$O$4)),IF($N1099="Partial",IF($M1099&gt;='Lists &amp; Settings'!$N$6,'Lists &amp; Settings'!$O$6,IF($M1099&gt;='Lists &amp; Settings'!$N$7,'Lists &amp; Settings'!$O$7,'Lists &amp; Settings'!$O$8)),'Lists &amp; Settings'!$O$10))))))</f>
        <v/>
      </c>
      <c r="T1099" s="31"/>
      <c r="U1099" s="31"/>
      <c r="V1099" s="31"/>
    </row>
    <row r="1100" ht="15.75" customHeight="1">
      <c r="B1100" s="31"/>
      <c r="N1100" s="127"/>
      <c r="S1100" s="31" t="str">
        <f>IF($C1100="","",IF(OR($M1100="",$N1100=""),'Lists &amp; Settings'!$O$10,IF($N1100="Fail",'Lists &amp; Settings'!$O$9,IF($N1100="Insufficient Evidence",'Lists &amp; Settings'!$O$10,IF($N1100="Pass",IF($M1100&gt;='Lists &amp; Settings'!$N$2,'Lists &amp; Settings'!$O$2,IF($M1100&gt;='Lists &amp; Settings'!$N$3,'Lists &amp; Settings'!$O$3,'Lists &amp; Settings'!$O$4)),IF($N1100="Partial",IF($M1100&gt;='Lists &amp; Settings'!$N$6,'Lists &amp; Settings'!$O$6,IF($M1100&gt;='Lists &amp; Settings'!$N$7,'Lists &amp; Settings'!$O$7,'Lists &amp; Settings'!$O$8)),'Lists &amp; Settings'!$O$10))))))</f>
        <v/>
      </c>
      <c r="T1100" s="31"/>
      <c r="U1100" s="31"/>
      <c r="V1100" s="31"/>
    </row>
    <row r="1101" ht="15.75" customHeight="1">
      <c r="B1101" s="31"/>
      <c r="N1101" s="127"/>
      <c r="S1101" s="31" t="str">
        <f>IF($C1101="","",IF(OR($M1101="",$N1101=""),'Lists &amp; Settings'!$O$10,IF($N1101="Fail",'Lists &amp; Settings'!$O$9,IF($N1101="Insufficient Evidence",'Lists &amp; Settings'!$O$10,IF($N1101="Pass",IF($M1101&gt;='Lists &amp; Settings'!$N$2,'Lists &amp; Settings'!$O$2,IF($M1101&gt;='Lists &amp; Settings'!$N$3,'Lists &amp; Settings'!$O$3,'Lists &amp; Settings'!$O$4)),IF($N1101="Partial",IF($M1101&gt;='Lists &amp; Settings'!$N$6,'Lists &amp; Settings'!$O$6,IF($M1101&gt;='Lists &amp; Settings'!$N$7,'Lists &amp; Settings'!$O$7,'Lists &amp; Settings'!$O$8)),'Lists &amp; Settings'!$O$10))))))</f>
        <v/>
      </c>
      <c r="T1101" s="31"/>
      <c r="U1101" s="31"/>
      <c r="V1101" s="31"/>
    </row>
    <row r="1102" ht="15.75" customHeight="1">
      <c r="B1102" s="31"/>
      <c r="N1102" s="127"/>
      <c r="S1102" s="31" t="str">
        <f>IF($C1102="","",IF(OR($M1102="",$N1102=""),'Lists &amp; Settings'!$O$10,IF($N1102="Fail",'Lists &amp; Settings'!$O$9,IF($N1102="Insufficient Evidence",'Lists &amp; Settings'!$O$10,IF($N1102="Pass",IF($M1102&gt;='Lists &amp; Settings'!$N$2,'Lists &amp; Settings'!$O$2,IF($M1102&gt;='Lists &amp; Settings'!$N$3,'Lists &amp; Settings'!$O$3,'Lists &amp; Settings'!$O$4)),IF($N1102="Partial",IF($M1102&gt;='Lists &amp; Settings'!$N$6,'Lists &amp; Settings'!$O$6,IF($M1102&gt;='Lists &amp; Settings'!$N$7,'Lists &amp; Settings'!$O$7,'Lists &amp; Settings'!$O$8)),'Lists &amp; Settings'!$O$10))))))</f>
        <v/>
      </c>
      <c r="T1102" s="31"/>
      <c r="U1102" s="31"/>
      <c r="V1102" s="31"/>
    </row>
    <row r="1103" ht="15.75" customHeight="1">
      <c r="B1103" s="31"/>
      <c r="N1103" s="127"/>
      <c r="S1103" s="31" t="str">
        <f>IF($C1103="","",IF(OR($M1103="",$N1103=""),'Lists &amp; Settings'!$O$10,IF($N1103="Fail",'Lists &amp; Settings'!$O$9,IF($N1103="Insufficient Evidence",'Lists &amp; Settings'!$O$10,IF($N1103="Pass",IF($M1103&gt;='Lists &amp; Settings'!$N$2,'Lists &amp; Settings'!$O$2,IF($M1103&gt;='Lists &amp; Settings'!$N$3,'Lists &amp; Settings'!$O$3,'Lists &amp; Settings'!$O$4)),IF($N1103="Partial",IF($M1103&gt;='Lists &amp; Settings'!$N$6,'Lists &amp; Settings'!$O$6,IF($M1103&gt;='Lists &amp; Settings'!$N$7,'Lists &amp; Settings'!$O$7,'Lists &amp; Settings'!$O$8)),'Lists &amp; Settings'!$O$10))))))</f>
        <v/>
      </c>
      <c r="T1103" s="31"/>
      <c r="U1103" s="31"/>
      <c r="V1103" s="31"/>
    </row>
    <row r="1104" ht="15.75" customHeight="1">
      <c r="B1104" s="31"/>
      <c r="N1104" s="127"/>
      <c r="S1104" s="31" t="str">
        <f>IF($C1104="","",IF(OR($M1104="",$N1104=""),'Lists &amp; Settings'!$O$10,IF($N1104="Fail",'Lists &amp; Settings'!$O$9,IF($N1104="Insufficient Evidence",'Lists &amp; Settings'!$O$10,IF($N1104="Pass",IF($M1104&gt;='Lists &amp; Settings'!$N$2,'Lists &amp; Settings'!$O$2,IF($M1104&gt;='Lists &amp; Settings'!$N$3,'Lists &amp; Settings'!$O$3,'Lists &amp; Settings'!$O$4)),IF($N1104="Partial",IF($M1104&gt;='Lists &amp; Settings'!$N$6,'Lists &amp; Settings'!$O$6,IF($M1104&gt;='Lists &amp; Settings'!$N$7,'Lists &amp; Settings'!$O$7,'Lists &amp; Settings'!$O$8)),'Lists &amp; Settings'!$O$10))))))</f>
        <v/>
      </c>
      <c r="T1104" s="31"/>
      <c r="U1104" s="31"/>
      <c r="V1104" s="31"/>
    </row>
    <row r="1105" ht="15.75" customHeight="1">
      <c r="B1105" s="31"/>
      <c r="N1105" s="127"/>
      <c r="S1105" s="31" t="str">
        <f>IF($C1105="","",IF(OR($M1105="",$N1105=""),'Lists &amp; Settings'!$O$10,IF($N1105="Fail",'Lists &amp; Settings'!$O$9,IF($N1105="Insufficient Evidence",'Lists &amp; Settings'!$O$10,IF($N1105="Pass",IF($M1105&gt;='Lists &amp; Settings'!$N$2,'Lists &amp; Settings'!$O$2,IF($M1105&gt;='Lists &amp; Settings'!$N$3,'Lists &amp; Settings'!$O$3,'Lists &amp; Settings'!$O$4)),IF($N1105="Partial",IF($M1105&gt;='Lists &amp; Settings'!$N$6,'Lists &amp; Settings'!$O$6,IF($M1105&gt;='Lists &amp; Settings'!$N$7,'Lists &amp; Settings'!$O$7,'Lists &amp; Settings'!$O$8)),'Lists &amp; Settings'!$O$10))))))</f>
        <v/>
      </c>
      <c r="T1105" s="31"/>
      <c r="U1105" s="31"/>
      <c r="V1105" s="31"/>
    </row>
    <row r="1106" ht="15.75" customHeight="1">
      <c r="B1106" s="31"/>
      <c r="N1106" s="127"/>
      <c r="S1106" s="31" t="str">
        <f>IF($C1106="","",IF(OR($M1106="",$N1106=""),'Lists &amp; Settings'!$O$10,IF($N1106="Fail",'Lists &amp; Settings'!$O$9,IF($N1106="Insufficient Evidence",'Lists &amp; Settings'!$O$10,IF($N1106="Pass",IF($M1106&gt;='Lists &amp; Settings'!$N$2,'Lists &amp; Settings'!$O$2,IF($M1106&gt;='Lists &amp; Settings'!$N$3,'Lists &amp; Settings'!$O$3,'Lists &amp; Settings'!$O$4)),IF($N1106="Partial",IF($M1106&gt;='Lists &amp; Settings'!$N$6,'Lists &amp; Settings'!$O$6,IF($M1106&gt;='Lists &amp; Settings'!$N$7,'Lists &amp; Settings'!$O$7,'Lists &amp; Settings'!$O$8)),'Lists &amp; Settings'!$O$10))))))</f>
        <v/>
      </c>
      <c r="T1106" s="31"/>
      <c r="U1106" s="31"/>
      <c r="V1106" s="31"/>
    </row>
    <row r="1107" ht="15.75" customHeight="1">
      <c r="B1107" s="31"/>
      <c r="N1107" s="127"/>
      <c r="S1107" s="31" t="str">
        <f>IF($C1107="","",IF(OR($M1107="",$N1107=""),'Lists &amp; Settings'!$O$10,IF($N1107="Fail",'Lists &amp; Settings'!$O$9,IF($N1107="Insufficient Evidence",'Lists &amp; Settings'!$O$10,IF($N1107="Pass",IF($M1107&gt;='Lists &amp; Settings'!$N$2,'Lists &amp; Settings'!$O$2,IF($M1107&gt;='Lists &amp; Settings'!$N$3,'Lists &amp; Settings'!$O$3,'Lists &amp; Settings'!$O$4)),IF($N1107="Partial",IF($M1107&gt;='Lists &amp; Settings'!$N$6,'Lists &amp; Settings'!$O$6,IF($M1107&gt;='Lists &amp; Settings'!$N$7,'Lists &amp; Settings'!$O$7,'Lists &amp; Settings'!$O$8)),'Lists &amp; Settings'!$O$10))))))</f>
        <v/>
      </c>
      <c r="T1107" s="31"/>
      <c r="U1107" s="31"/>
      <c r="V1107" s="31"/>
    </row>
    <row r="1108" ht="15.75" customHeight="1">
      <c r="B1108" s="31"/>
      <c r="N1108" s="127"/>
      <c r="S1108" s="31" t="str">
        <f>IF($C1108="","",IF(OR($M1108="",$N1108=""),'Lists &amp; Settings'!$O$10,IF($N1108="Fail",'Lists &amp; Settings'!$O$9,IF($N1108="Insufficient Evidence",'Lists &amp; Settings'!$O$10,IF($N1108="Pass",IF($M1108&gt;='Lists &amp; Settings'!$N$2,'Lists &amp; Settings'!$O$2,IF($M1108&gt;='Lists &amp; Settings'!$N$3,'Lists &amp; Settings'!$O$3,'Lists &amp; Settings'!$O$4)),IF($N1108="Partial",IF($M1108&gt;='Lists &amp; Settings'!$N$6,'Lists &amp; Settings'!$O$6,IF($M1108&gt;='Lists &amp; Settings'!$N$7,'Lists &amp; Settings'!$O$7,'Lists &amp; Settings'!$O$8)),'Lists &amp; Settings'!$O$10))))))</f>
        <v/>
      </c>
      <c r="T1108" s="31"/>
      <c r="U1108" s="31"/>
      <c r="V1108" s="31"/>
    </row>
    <row r="1109" ht="15.75" customHeight="1">
      <c r="B1109" s="31"/>
      <c r="N1109" s="127"/>
      <c r="S1109" s="31" t="str">
        <f>IF($C1109="","",IF(OR($M1109="",$N1109=""),'Lists &amp; Settings'!$O$10,IF($N1109="Fail",'Lists &amp; Settings'!$O$9,IF($N1109="Insufficient Evidence",'Lists &amp; Settings'!$O$10,IF($N1109="Pass",IF($M1109&gt;='Lists &amp; Settings'!$N$2,'Lists &amp; Settings'!$O$2,IF($M1109&gt;='Lists &amp; Settings'!$N$3,'Lists &amp; Settings'!$O$3,'Lists &amp; Settings'!$O$4)),IF($N1109="Partial",IF($M1109&gt;='Lists &amp; Settings'!$N$6,'Lists &amp; Settings'!$O$6,IF($M1109&gt;='Lists &amp; Settings'!$N$7,'Lists &amp; Settings'!$O$7,'Lists &amp; Settings'!$O$8)),'Lists &amp; Settings'!$O$10))))))</f>
        <v/>
      </c>
      <c r="T1109" s="31"/>
      <c r="U1109" s="31"/>
      <c r="V1109" s="31"/>
    </row>
    <row r="1110" ht="15.75" customHeight="1">
      <c r="B1110" s="31"/>
      <c r="N1110" s="127"/>
      <c r="S1110" s="31" t="str">
        <f>IF($C1110="","",IF(OR($M1110="",$N1110=""),'Lists &amp; Settings'!$O$10,IF($N1110="Fail",'Lists &amp; Settings'!$O$9,IF($N1110="Insufficient Evidence",'Lists &amp; Settings'!$O$10,IF($N1110="Pass",IF($M1110&gt;='Lists &amp; Settings'!$N$2,'Lists &amp; Settings'!$O$2,IF($M1110&gt;='Lists &amp; Settings'!$N$3,'Lists &amp; Settings'!$O$3,'Lists &amp; Settings'!$O$4)),IF($N1110="Partial",IF($M1110&gt;='Lists &amp; Settings'!$N$6,'Lists &amp; Settings'!$O$6,IF($M1110&gt;='Lists &amp; Settings'!$N$7,'Lists &amp; Settings'!$O$7,'Lists &amp; Settings'!$O$8)),'Lists &amp; Settings'!$O$10))))))</f>
        <v/>
      </c>
      <c r="T1110" s="31"/>
      <c r="U1110" s="31"/>
      <c r="V1110" s="31"/>
    </row>
    <row r="1111" ht="15.75" customHeight="1">
      <c r="B1111" s="31"/>
      <c r="N1111" s="127"/>
      <c r="S1111" s="31" t="str">
        <f>IF($C1111="","",IF(OR($M1111="",$N1111=""),'Lists &amp; Settings'!$O$10,IF($N1111="Fail",'Lists &amp; Settings'!$O$9,IF($N1111="Insufficient Evidence",'Lists &amp; Settings'!$O$10,IF($N1111="Pass",IF($M1111&gt;='Lists &amp; Settings'!$N$2,'Lists &amp; Settings'!$O$2,IF($M1111&gt;='Lists &amp; Settings'!$N$3,'Lists &amp; Settings'!$O$3,'Lists &amp; Settings'!$O$4)),IF($N1111="Partial",IF($M1111&gt;='Lists &amp; Settings'!$N$6,'Lists &amp; Settings'!$O$6,IF($M1111&gt;='Lists &amp; Settings'!$N$7,'Lists &amp; Settings'!$O$7,'Lists &amp; Settings'!$O$8)),'Lists &amp; Settings'!$O$10))))))</f>
        <v/>
      </c>
      <c r="T1111" s="31"/>
      <c r="U1111" s="31"/>
      <c r="V1111" s="31"/>
    </row>
    <row r="1112" ht="15.75" customHeight="1">
      <c r="B1112" s="31"/>
      <c r="N1112" s="127"/>
      <c r="S1112" s="31" t="str">
        <f>IF($C1112="","",IF(OR($M1112="",$N1112=""),'Lists &amp; Settings'!$O$10,IF($N1112="Fail",'Lists &amp; Settings'!$O$9,IF($N1112="Insufficient Evidence",'Lists &amp; Settings'!$O$10,IF($N1112="Pass",IF($M1112&gt;='Lists &amp; Settings'!$N$2,'Lists &amp; Settings'!$O$2,IF($M1112&gt;='Lists &amp; Settings'!$N$3,'Lists &amp; Settings'!$O$3,'Lists &amp; Settings'!$O$4)),IF($N1112="Partial",IF($M1112&gt;='Lists &amp; Settings'!$N$6,'Lists &amp; Settings'!$O$6,IF($M1112&gt;='Lists &amp; Settings'!$N$7,'Lists &amp; Settings'!$O$7,'Lists &amp; Settings'!$O$8)),'Lists &amp; Settings'!$O$10))))))</f>
        <v/>
      </c>
      <c r="T1112" s="31"/>
      <c r="U1112" s="31"/>
      <c r="V1112" s="31"/>
    </row>
    <row r="1113" ht="15.75" customHeight="1">
      <c r="B1113" s="31"/>
      <c r="N1113" s="127"/>
      <c r="S1113" s="31" t="str">
        <f>IF($C1113="","",IF(OR($M1113="",$N1113=""),'Lists &amp; Settings'!$O$10,IF($N1113="Fail",'Lists &amp; Settings'!$O$9,IF($N1113="Insufficient Evidence",'Lists &amp; Settings'!$O$10,IF($N1113="Pass",IF($M1113&gt;='Lists &amp; Settings'!$N$2,'Lists &amp; Settings'!$O$2,IF($M1113&gt;='Lists &amp; Settings'!$N$3,'Lists &amp; Settings'!$O$3,'Lists &amp; Settings'!$O$4)),IF($N1113="Partial",IF($M1113&gt;='Lists &amp; Settings'!$N$6,'Lists &amp; Settings'!$O$6,IF($M1113&gt;='Lists &amp; Settings'!$N$7,'Lists &amp; Settings'!$O$7,'Lists &amp; Settings'!$O$8)),'Lists &amp; Settings'!$O$10))))))</f>
        <v/>
      </c>
      <c r="T1113" s="31"/>
      <c r="U1113" s="31"/>
      <c r="V1113" s="31"/>
    </row>
    <row r="1114" ht="15.75" customHeight="1">
      <c r="B1114" s="31"/>
      <c r="N1114" s="127"/>
      <c r="S1114" s="31" t="str">
        <f>IF($C1114="","",IF(OR($M1114="",$N1114=""),'Lists &amp; Settings'!$O$10,IF($N1114="Fail",'Lists &amp; Settings'!$O$9,IF($N1114="Insufficient Evidence",'Lists &amp; Settings'!$O$10,IF($N1114="Pass",IF($M1114&gt;='Lists &amp; Settings'!$N$2,'Lists &amp; Settings'!$O$2,IF($M1114&gt;='Lists &amp; Settings'!$N$3,'Lists &amp; Settings'!$O$3,'Lists &amp; Settings'!$O$4)),IF($N1114="Partial",IF($M1114&gt;='Lists &amp; Settings'!$N$6,'Lists &amp; Settings'!$O$6,IF($M1114&gt;='Lists &amp; Settings'!$N$7,'Lists &amp; Settings'!$O$7,'Lists &amp; Settings'!$O$8)),'Lists &amp; Settings'!$O$10))))))</f>
        <v/>
      </c>
      <c r="T1114" s="31"/>
      <c r="U1114" s="31"/>
      <c r="V1114" s="31"/>
    </row>
    <row r="1115" ht="15.75" customHeight="1">
      <c r="B1115" s="31"/>
      <c r="N1115" s="127"/>
      <c r="S1115" s="31" t="str">
        <f>IF($C1115="","",IF(OR($M1115="",$N1115=""),'Lists &amp; Settings'!$O$10,IF($N1115="Fail",'Lists &amp; Settings'!$O$9,IF($N1115="Insufficient Evidence",'Lists &amp; Settings'!$O$10,IF($N1115="Pass",IF($M1115&gt;='Lists &amp; Settings'!$N$2,'Lists &amp; Settings'!$O$2,IF($M1115&gt;='Lists &amp; Settings'!$N$3,'Lists &amp; Settings'!$O$3,'Lists &amp; Settings'!$O$4)),IF($N1115="Partial",IF($M1115&gt;='Lists &amp; Settings'!$N$6,'Lists &amp; Settings'!$O$6,IF($M1115&gt;='Lists &amp; Settings'!$N$7,'Lists &amp; Settings'!$O$7,'Lists &amp; Settings'!$O$8)),'Lists &amp; Settings'!$O$10))))))</f>
        <v/>
      </c>
      <c r="T1115" s="31"/>
      <c r="U1115" s="31"/>
      <c r="V1115" s="31"/>
    </row>
    <row r="1116" ht="15.75" customHeight="1">
      <c r="B1116" s="31"/>
      <c r="N1116" s="127"/>
      <c r="S1116" s="31" t="str">
        <f>IF($C1116="","",IF(OR($M1116="",$N1116=""),'Lists &amp; Settings'!$O$10,IF($N1116="Fail",'Lists &amp; Settings'!$O$9,IF($N1116="Insufficient Evidence",'Lists &amp; Settings'!$O$10,IF($N1116="Pass",IF($M1116&gt;='Lists &amp; Settings'!$N$2,'Lists &amp; Settings'!$O$2,IF($M1116&gt;='Lists &amp; Settings'!$N$3,'Lists &amp; Settings'!$O$3,'Lists &amp; Settings'!$O$4)),IF($N1116="Partial",IF($M1116&gt;='Lists &amp; Settings'!$N$6,'Lists &amp; Settings'!$O$6,IF($M1116&gt;='Lists &amp; Settings'!$N$7,'Lists &amp; Settings'!$O$7,'Lists &amp; Settings'!$O$8)),'Lists &amp; Settings'!$O$10))))))</f>
        <v/>
      </c>
      <c r="T1116" s="31"/>
      <c r="U1116" s="31"/>
      <c r="V1116" s="31"/>
    </row>
    <row r="1117" ht="15.75" customHeight="1">
      <c r="B1117" s="31"/>
      <c r="N1117" s="127"/>
      <c r="S1117" s="31" t="str">
        <f>IF($C1117="","",IF(OR($M1117="",$N1117=""),'Lists &amp; Settings'!$O$10,IF($N1117="Fail",'Lists &amp; Settings'!$O$9,IF($N1117="Insufficient Evidence",'Lists &amp; Settings'!$O$10,IF($N1117="Pass",IF($M1117&gt;='Lists &amp; Settings'!$N$2,'Lists &amp; Settings'!$O$2,IF($M1117&gt;='Lists &amp; Settings'!$N$3,'Lists &amp; Settings'!$O$3,'Lists &amp; Settings'!$O$4)),IF($N1117="Partial",IF($M1117&gt;='Lists &amp; Settings'!$N$6,'Lists &amp; Settings'!$O$6,IF($M1117&gt;='Lists &amp; Settings'!$N$7,'Lists &amp; Settings'!$O$7,'Lists &amp; Settings'!$O$8)),'Lists &amp; Settings'!$O$10))))))</f>
        <v/>
      </c>
      <c r="T1117" s="31"/>
      <c r="U1117" s="31"/>
      <c r="V1117" s="31"/>
    </row>
    <row r="1118" ht="15.75" customHeight="1">
      <c r="B1118" s="31"/>
      <c r="N1118" s="127"/>
      <c r="S1118" s="31" t="str">
        <f>IF($C1118="","",IF(OR($M1118="",$N1118=""),'Lists &amp; Settings'!$O$10,IF($N1118="Fail",'Lists &amp; Settings'!$O$9,IF($N1118="Insufficient Evidence",'Lists &amp; Settings'!$O$10,IF($N1118="Pass",IF($M1118&gt;='Lists &amp; Settings'!$N$2,'Lists &amp; Settings'!$O$2,IF($M1118&gt;='Lists &amp; Settings'!$N$3,'Lists &amp; Settings'!$O$3,'Lists &amp; Settings'!$O$4)),IF($N1118="Partial",IF($M1118&gt;='Lists &amp; Settings'!$N$6,'Lists &amp; Settings'!$O$6,IF($M1118&gt;='Lists &amp; Settings'!$N$7,'Lists &amp; Settings'!$O$7,'Lists &amp; Settings'!$O$8)),'Lists &amp; Settings'!$O$10))))))</f>
        <v/>
      </c>
      <c r="T1118" s="31"/>
      <c r="U1118" s="31"/>
      <c r="V1118" s="31"/>
    </row>
    <row r="1119" ht="15.75" customHeight="1">
      <c r="B1119" s="31"/>
      <c r="N1119" s="127"/>
      <c r="S1119" s="31" t="str">
        <f>IF($C1119="","",IF(OR($M1119="",$N1119=""),'Lists &amp; Settings'!$O$10,IF($N1119="Fail",'Lists &amp; Settings'!$O$9,IF($N1119="Insufficient Evidence",'Lists &amp; Settings'!$O$10,IF($N1119="Pass",IF($M1119&gt;='Lists &amp; Settings'!$N$2,'Lists &amp; Settings'!$O$2,IF($M1119&gt;='Lists &amp; Settings'!$N$3,'Lists &amp; Settings'!$O$3,'Lists &amp; Settings'!$O$4)),IF($N1119="Partial",IF($M1119&gt;='Lists &amp; Settings'!$N$6,'Lists &amp; Settings'!$O$6,IF($M1119&gt;='Lists &amp; Settings'!$N$7,'Lists &amp; Settings'!$O$7,'Lists &amp; Settings'!$O$8)),'Lists &amp; Settings'!$O$10))))))</f>
        <v/>
      </c>
      <c r="T1119" s="31"/>
      <c r="U1119" s="31"/>
      <c r="V1119" s="31"/>
    </row>
    <row r="1120" ht="15.75" customHeight="1">
      <c r="B1120" s="31"/>
      <c r="N1120" s="127"/>
      <c r="S1120" s="31" t="str">
        <f>IF($C1120="","",IF(OR($M1120="",$N1120=""),'Lists &amp; Settings'!$O$10,IF($N1120="Fail",'Lists &amp; Settings'!$O$9,IF($N1120="Insufficient Evidence",'Lists &amp; Settings'!$O$10,IF($N1120="Pass",IF($M1120&gt;='Lists &amp; Settings'!$N$2,'Lists &amp; Settings'!$O$2,IF($M1120&gt;='Lists &amp; Settings'!$N$3,'Lists &amp; Settings'!$O$3,'Lists &amp; Settings'!$O$4)),IF($N1120="Partial",IF($M1120&gt;='Lists &amp; Settings'!$N$6,'Lists &amp; Settings'!$O$6,IF($M1120&gt;='Lists &amp; Settings'!$N$7,'Lists &amp; Settings'!$O$7,'Lists &amp; Settings'!$O$8)),'Lists &amp; Settings'!$O$10))))))</f>
        <v/>
      </c>
      <c r="T1120" s="31"/>
      <c r="U1120" s="31"/>
      <c r="V1120" s="31"/>
    </row>
    <row r="1121" ht="15.75" customHeight="1">
      <c r="B1121" s="31"/>
      <c r="N1121" s="127"/>
      <c r="S1121" s="31" t="str">
        <f>IF($C1121="","",IF(OR($M1121="",$N1121=""),'Lists &amp; Settings'!$O$10,IF($N1121="Fail",'Lists &amp; Settings'!$O$9,IF($N1121="Insufficient Evidence",'Lists &amp; Settings'!$O$10,IF($N1121="Pass",IF($M1121&gt;='Lists &amp; Settings'!$N$2,'Lists &amp; Settings'!$O$2,IF($M1121&gt;='Lists &amp; Settings'!$N$3,'Lists &amp; Settings'!$O$3,'Lists &amp; Settings'!$O$4)),IF($N1121="Partial",IF($M1121&gt;='Lists &amp; Settings'!$N$6,'Lists &amp; Settings'!$O$6,IF($M1121&gt;='Lists &amp; Settings'!$N$7,'Lists &amp; Settings'!$O$7,'Lists &amp; Settings'!$O$8)),'Lists &amp; Settings'!$O$10))))))</f>
        <v/>
      </c>
      <c r="T1121" s="31"/>
      <c r="U1121" s="31"/>
      <c r="V1121" s="31"/>
    </row>
    <row r="1122" ht="15.75" customHeight="1">
      <c r="B1122" s="31"/>
      <c r="N1122" s="127"/>
      <c r="S1122" s="31" t="str">
        <f>IF($C1122="","",IF(OR($M1122="",$N1122=""),'Lists &amp; Settings'!$O$10,IF($N1122="Fail",'Lists &amp; Settings'!$O$9,IF($N1122="Insufficient Evidence",'Lists &amp; Settings'!$O$10,IF($N1122="Pass",IF($M1122&gt;='Lists &amp; Settings'!$N$2,'Lists &amp; Settings'!$O$2,IF($M1122&gt;='Lists &amp; Settings'!$N$3,'Lists &amp; Settings'!$O$3,'Lists &amp; Settings'!$O$4)),IF($N1122="Partial",IF($M1122&gt;='Lists &amp; Settings'!$N$6,'Lists &amp; Settings'!$O$6,IF($M1122&gt;='Lists &amp; Settings'!$N$7,'Lists &amp; Settings'!$O$7,'Lists &amp; Settings'!$O$8)),'Lists &amp; Settings'!$O$10))))))</f>
        <v/>
      </c>
      <c r="T1122" s="31"/>
      <c r="U1122" s="31"/>
      <c r="V1122" s="31"/>
    </row>
    <row r="1123" ht="15.75" customHeight="1">
      <c r="B1123" s="31"/>
      <c r="N1123" s="127"/>
      <c r="S1123" s="31" t="str">
        <f>IF($C1123="","",IF(OR($M1123="",$N1123=""),'Lists &amp; Settings'!$O$10,IF($N1123="Fail",'Lists &amp; Settings'!$O$9,IF($N1123="Insufficient Evidence",'Lists &amp; Settings'!$O$10,IF($N1123="Pass",IF($M1123&gt;='Lists &amp; Settings'!$N$2,'Lists &amp; Settings'!$O$2,IF($M1123&gt;='Lists &amp; Settings'!$N$3,'Lists &amp; Settings'!$O$3,'Lists &amp; Settings'!$O$4)),IF($N1123="Partial",IF($M1123&gt;='Lists &amp; Settings'!$N$6,'Lists &amp; Settings'!$O$6,IF($M1123&gt;='Lists &amp; Settings'!$N$7,'Lists &amp; Settings'!$O$7,'Lists &amp; Settings'!$O$8)),'Lists &amp; Settings'!$O$10))))))</f>
        <v/>
      </c>
      <c r="T1123" s="31"/>
      <c r="U1123" s="31"/>
      <c r="V1123" s="31"/>
    </row>
    <row r="1124" ht="15.75" customHeight="1">
      <c r="B1124" s="31"/>
      <c r="N1124" s="127"/>
      <c r="S1124" s="31" t="str">
        <f>IF($C1124="","",IF(OR($M1124="",$N1124=""),'Lists &amp; Settings'!$O$10,IF($N1124="Fail",'Lists &amp; Settings'!$O$9,IF($N1124="Insufficient Evidence",'Lists &amp; Settings'!$O$10,IF($N1124="Pass",IF($M1124&gt;='Lists &amp; Settings'!$N$2,'Lists &amp; Settings'!$O$2,IF($M1124&gt;='Lists &amp; Settings'!$N$3,'Lists &amp; Settings'!$O$3,'Lists &amp; Settings'!$O$4)),IF($N1124="Partial",IF($M1124&gt;='Lists &amp; Settings'!$N$6,'Lists &amp; Settings'!$O$6,IF($M1124&gt;='Lists &amp; Settings'!$N$7,'Lists &amp; Settings'!$O$7,'Lists &amp; Settings'!$O$8)),'Lists &amp; Settings'!$O$10))))))</f>
        <v/>
      </c>
      <c r="T1124" s="31"/>
      <c r="U1124" s="31"/>
      <c r="V1124" s="31"/>
    </row>
    <row r="1125" ht="15.75" customHeight="1">
      <c r="B1125" s="31"/>
      <c r="N1125" s="127"/>
      <c r="S1125" s="31" t="str">
        <f>IF($C1125="","",IF(OR($M1125="",$N1125=""),'Lists &amp; Settings'!$O$10,IF($N1125="Fail",'Lists &amp; Settings'!$O$9,IF($N1125="Insufficient Evidence",'Lists &amp; Settings'!$O$10,IF($N1125="Pass",IF($M1125&gt;='Lists &amp; Settings'!$N$2,'Lists &amp; Settings'!$O$2,IF($M1125&gt;='Lists &amp; Settings'!$N$3,'Lists &amp; Settings'!$O$3,'Lists &amp; Settings'!$O$4)),IF($N1125="Partial",IF($M1125&gt;='Lists &amp; Settings'!$N$6,'Lists &amp; Settings'!$O$6,IF($M1125&gt;='Lists &amp; Settings'!$N$7,'Lists &amp; Settings'!$O$7,'Lists &amp; Settings'!$O$8)),'Lists &amp; Settings'!$O$10))))))</f>
        <v/>
      </c>
      <c r="T1125" s="31"/>
      <c r="U1125" s="31"/>
      <c r="V1125" s="31"/>
    </row>
    <row r="1126" ht="15.75" customHeight="1">
      <c r="B1126" s="31"/>
      <c r="N1126" s="127"/>
      <c r="S1126" s="31" t="str">
        <f>IF($C1126="","",IF(OR($M1126="",$N1126=""),'Lists &amp; Settings'!$O$10,IF($N1126="Fail",'Lists &amp; Settings'!$O$9,IF($N1126="Insufficient Evidence",'Lists &amp; Settings'!$O$10,IF($N1126="Pass",IF($M1126&gt;='Lists &amp; Settings'!$N$2,'Lists &amp; Settings'!$O$2,IF($M1126&gt;='Lists &amp; Settings'!$N$3,'Lists &amp; Settings'!$O$3,'Lists &amp; Settings'!$O$4)),IF($N1126="Partial",IF($M1126&gt;='Lists &amp; Settings'!$N$6,'Lists &amp; Settings'!$O$6,IF($M1126&gt;='Lists &amp; Settings'!$N$7,'Lists &amp; Settings'!$O$7,'Lists &amp; Settings'!$O$8)),'Lists &amp; Settings'!$O$10))))))</f>
        <v/>
      </c>
      <c r="T1126" s="31"/>
      <c r="U1126" s="31"/>
      <c r="V1126" s="31"/>
    </row>
    <row r="1127" ht="15.75" customHeight="1">
      <c r="B1127" s="31"/>
      <c r="N1127" s="127"/>
      <c r="S1127" s="31" t="str">
        <f>IF($C1127="","",IF(OR($M1127="",$N1127=""),'Lists &amp; Settings'!$O$10,IF($N1127="Fail",'Lists &amp; Settings'!$O$9,IF($N1127="Insufficient Evidence",'Lists &amp; Settings'!$O$10,IF($N1127="Pass",IF($M1127&gt;='Lists &amp; Settings'!$N$2,'Lists &amp; Settings'!$O$2,IF($M1127&gt;='Lists &amp; Settings'!$N$3,'Lists &amp; Settings'!$O$3,'Lists &amp; Settings'!$O$4)),IF($N1127="Partial",IF($M1127&gt;='Lists &amp; Settings'!$N$6,'Lists &amp; Settings'!$O$6,IF($M1127&gt;='Lists &amp; Settings'!$N$7,'Lists &amp; Settings'!$O$7,'Lists &amp; Settings'!$O$8)),'Lists &amp; Settings'!$O$10))))))</f>
        <v/>
      </c>
      <c r="T1127" s="31"/>
      <c r="U1127" s="31"/>
      <c r="V1127" s="31"/>
    </row>
    <row r="1128" ht="15.75" customHeight="1">
      <c r="B1128" s="31"/>
      <c r="N1128" s="127"/>
      <c r="S1128" s="31" t="str">
        <f>IF($C1128="","",IF(OR($M1128="",$N1128=""),'Lists &amp; Settings'!$O$10,IF($N1128="Fail",'Lists &amp; Settings'!$O$9,IF($N1128="Insufficient Evidence",'Lists &amp; Settings'!$O$10,IF($N1128="Pass",IF($M1128&gt;='Lists &amp; Settings'!$N$2,'Lists &amp; Settings'!$O$2,IF($M1128&gt;='Lists &amp; Settings'!$N$3,'Lists &amp; Settings'!$O$3,'Lists &amp; Settings'!$O$4)),IF($N1128="Partial",IF($M1128&gt;='Lists &amp; Settings'!$N$6,'Lists &amp; Settings'!$O$6,IF($M1128&gt;='Lists &amp; Settings'!$N$7,'Lists &amp; Settings'!$O$7,'Lists &amp; Settings'!$O$8)),'Lists &amp; Settings'!$O$10))))))</f>
        <v/>
      </c>
      <c r="T1128" s="31"/>
      <c r="U1128" s="31"/>
      <c r="V1128" s="31"/>
    </row>
    <row r="1129" ht="15.75" customHeight="1">
      <c r="B1129" s="31"/>
      <c r="N1129" s="127"/>
      <c r="S1129" s="31" t="str">
        <f>IF($C1129="","",IF(OR($M1129="",$N1129=""),'Lists &amp; Settings'!$O$10,IF($N1129="Fail",'Lists &amp; Settings'!$O$9,IF($N1129="Insufficient Evidence",'Lists &amp; Settings'!$O$10,IF($N1129="Pass",IF($M1129&gt;='Lists &amp; Settings'!$N$2,'Lists &amp; Settings'!$O$2,IF($M1129&gt;='Lists &amp; Settings'!$N$3,'Lists &amp; Settings'!$O$3,'Lists &amp; Settings'!$O$4)),IF($N1129="Partial",IF($M1129&gt;='Lists &amp; Settings'!$N$6,'Lists &amp; Settings'!$O$6,IF($M1129&gt;='Lists &amp; Settings'!$N$7,'Lists &amp; Settings'!$O$7,'Lists &amp; Settings'!$O$8)),'Lists &amp; Settings'!$O$10))))))</f>
        <v/>
      </c>
      <c r="T1129" s="31"/>
      <c r="U1129" s="31"/>
      <c r="V1129" s="31"/>
    </row>
    <row r="1130" ht="15.75" customHeight="1">
      <c r="B1130" s="31"/>
      <c r="N1130" s="127"/>
      <c r="S1130" s="31" t="str">
        <f>IF($C1130="","",IF(OR($M1130="",$N1130=""),'Lists &amp; Settings'!$O$10,IF($N1130="Fail",'Lists &amp; Settings'!$O$9,IF($N1130="Insufficient Evidence",'Lists &amp; Settings'!$O$10,IF($N1130="Pass",IF($M1130&gt;='Lists &amp; Settings'!$N$2,'Lists &amp; Settings'!$O$2,IF($M1130&gt;='Lists &amp; Settings'!$N$3,'Lists &amp; Settings'!$O$3,'Lists &amp; Settings'!$O$4)),IF($N1130="Partial",IF($M1130&gt;='Lists &amp; Settings'!$N$6,'Lists &amp; Settings'!$O$6,IF($M1130&gt;='Lists &amp; Settings'!$N$7,'Lists &amp; Settings'!$O$7,'Lists &amp; Settings'!$O$8)),'Lists &amp; Settings'!$O$10))))))</f>
        <v/>
      </c>
      <c r="T1130" s="31"/>
      <c r="U1130" s="31"/>
      <c r="V1130" s="31"/>
    </row>
    <row r="1131" ht="15.75" customHeight="1">
      <c r="B1131" s="31"/>
      <c r="N1131" s="127"/>
      <c r="S1131" s="31" t="str">
        <f>IF($C1131="","",IF(OR($M1131="",$N1131=""),'Lists &amp; Settings'!$O$10,IF($N1131="Fail",'Lists &amp; Settings'!$O$9,IF($N1131="Insufficient Evidence",'Lists &amp; Settings'!$O$10,IF($N1131="Pass",IF($M1131&gt;='Lists &amp; Settings'!$N$2,'Lists &amp; Settings'!$O$2,IF($M1131&gt;='Lists &amp; Settings'!$N$3,'Lists &amp; Settings'!$O$3,'Lists &amp; Settings'!$O$4)),IF($N1131="Partial",IF($M1131&gt;='Lists &amp; Settings'!$N$6,'Lists &amp; Settings'!$O$6,IF($M1131&gt;='Lists &amp; Settings'!$N$7,'Lists &amp; Settings'!$O$7,'Lists &amp; Settings'!$O$8)),'Lists &amp; Settings'!$O$10))))))</f>
        <v/>
      </c>
      <c r="T1131" s="31"/>
      <c r="U1131" s="31"/>
      <c r="V1131" s="31"/>
    </row>
    <row r="1132" ht="15.75" customHeight="1">
      <c r="B1132" s="31"/>
      <c r="N1132" s="127"/>
      <c r="S1132" s="31" t="str">
        <f>IF($C1132="","",IF(OR($M1132="",$N1132=""),'Lists &amp; Settings'!$O$10,IF($N1132="Fail",'Lists &amp; Settings'!$O$9,IF($N1132="Insufficient Evidence",'Lists &amp; Settings'!$O$10,IF($N1132="Pass",IF($M1132&gt;='Lists &amp; Settings'!$N$2,'Lists &amp; Settings'!$O$2,IF($M1132&gt;='Lists &amp; Settings'!$N$3,'Lists &amp; Settings'!$O$3,'Lists &amp; Settings'!$O$4)),IF($N1132="Partial",IF($M1132&gt;='Lists &amp; Settings'!$N$6,'Lists &amp; Settings'!$O$6,IF($M1132&gt;='Lists &amp; Settings'!$N$7,'Lists &amp; Settings'!$O$7,'Lists &amp; Settings'!$O$8)),'Lists &amp; Settings'!$O$10))))))</f>
        <v/>
      </c>
      <c r="T1132" s="31"/>
      <c r="U1132" s="31"/>
      <c r="V1132" s="31"/>
    </row>
    <row r="1133" ht="15.75" customHeight="1">
      <c r="B1133" s="31"/>
      <c r="N1133" s="127"/>
      <c r="S1133" s="31" t="str">
        <f>IF($C1133="","",IF(OR($M1133="",$N1133=""),'Lists &amp; Settings'!$O$10,IF($N1133="Fail",'Lists &amp; Settings'!$O$9,IF($N1133="Insufficient Evidence",'Lists &amp; Settings'!$O$10,IF($N1133="Pass",IF($M1133&gt;='Lists &amp; Settings'!$N$2,'Lists &amp; Settings'!$O$2,IF($M1133&gt;='Lists &amp; Settings'!$N$3,'Lists &amp; Settings'!$O$3,'Lists &amp; Settings'!$O$4)),IF($N1133="Partial",IF($M1133&gt;='Lists &amp; Settings'!$N$6,'Lists &amp; Settings'!$O$6,IF($M1133&gt;='Lists &amp; Settings'!$N$7,'Lists &amp; Settings'!$O$7,'Lists &amp; Settings'!$O$8)),'Lists &amp; Settings'!$O$10))))))</f>
        <v/>
      </c>
      <c r="T1133" s="31"/>
      <c r="U1133" s="31"/>
      <c r="V1133" s="31"/>
    </row>
    <row r="1134" ht="15.75" customHeight="1">
      <c r="B1134" s="31"/>
      <c r="N1134" s="127"/>
      <c r="S1134" s="31" t="str">
        <f>IF($C1134="","",IF(OR($M1134="",$N1134=""),'Lists &amp; Settings'!$O$10,IF($N1134="Fail",'Lists &amp; Settings'!$O$9,IF($N1134="Insufficient Evidence",'Lists &amp; Settings'!$O$10,IF($N1134="Pass",IF($M1134&gt;='Lists &amp; Settings'!$N$2,'Lists &amp; Settings'!$O$2,IF($M1134&gt;='Lists &amp; Settings'!$N$3,'Lists &amp; Settings'!$O$3,'Lists &amp; Settings'!$O$4)),IF($N1134="Partial",IF($M1134&gt;='Lists &amp; Settings'!$N$6,'Lists &amp; Settings'!$O$6,IF($M1134&gt;='Lists &amp; Settings'!$N$7,'Lists &amp; Settings'!$O$7,'Lists &amp; Settings'!$O$8)),'Lists &amp; Settings'!$O$10))))))</f>
        <v/>
      </c>
      <c r="T1134" s="31"/>
      <c r="U1134" s="31"/>
      <c r="V1134" s="31"/>
    </row>
    <row r="1135" ht="15.75" customHeight="1">
      <c r="B1135" s="31"/>
      <c r="N1135" s="127"/>
      <c r="S1135" s="31" t="str">
        <f>IF($C1135="","",IF(OR($M1135="",$N1135=""),'Lists &amp; Settings'!$O$10,IF($N1135="Fail",'Lists &amp; Settings'!$O$9,IF($N1135="Insufficient Evidence",'Lists &amp; Settings'!$O$10,IF($N1135="Pass",IF($M1135&gt;='Lists &amp; Settings'!$N$2,'Lists &amp; Settings'!$O$2,IF($M1135&gt;='Lists &amp; Settings'!$N$3,'Lists &amp; Settings'!$O$3,'Lists &amp; Settings'!$O$4)),IF($N1135="Partial",IF($M1135&gt;='Lists &amp; Settings'!$N$6,'Lists &amp; Settings'!$O$6,IF($M1135&gt;='Lists &amp; Settings'!$N$7,'Lists &amp; Settings'!$O$7,'Lists &amp; Settings'!$O$8)),'Lists &amp; Settings'!$O$10))))))</f>
        <v/>
      </c>
      <c r="T1135" s="31"/>
      <c r="U1135" s="31"/>
      <c r="V1135" s="31"/>
    </row>
    <row r="1136" ht="15.75" customHeight="1">
      <c r="B1136" s="31"/>
      <c r="N1136" s="127"/>
      <c r="S1136" s="31" t="str">
        <f>IF($C1136="","",IF(OR($M1136="",$N1136=""),'Lists &amp; Settings'!$O$10,IF($N1136="Fail",'Lists &amp; Settings'!$O$9,IF($N1136="Insufficient Evidence",'Lists &amp; Settings'!$O$10,IF($N1136="Pass",IF($M1136&gt;='Lists &amp; Settings'!$N$2,'Lists &amp; Settings'!$O$2,IF($M1136&gt;='Lists &amp; Settings'!$N$3,'Lists &amp; Settings'!$O$3,'Lists &amp; Settings'!$O$4)),IF($N1136="Partial",IF($M1136&gt;='Lists &amp; Settings'!$N$6,'Lists &amp; Settings'!$O$6,IF($M1136&gt;='Lists &amp; Settings'!$N$7,'Lists &amp; Settings'!$O$7,'Lists &amp; Settings'!$O$8)),'Lists &amp; Settings'!$O$10))))))</f>
        <v/>
      </c>
      <c r="T1136" s="31"/>
      <c r="U1136" s="31"/>
      <c r="V1136" s="31"/>
    </row>
    <row r="1137" ht="15.75" customHeight="1">
      <c r="B1137" s="31"/>
      <c r="N1137" s="127"/>
      <c r="S1137" s="31" t="str">
        <f>IF($C1137="","",IF(OR($M1137="",$N1137=""),'Lists &amp; Settings'!$O$10,IF($N1137="Fail",'Lists &amp; Settings'!$O$9,IF($N1137="Insufficient Evidence",'Lists &amp; Settings'!$O$10,IF($N1137="Pass",IF($M1137&gt;='Lists &amp; Settings'!$N$2,'Lists &amp; Settings'!$O$2,IF($M1137&gt;='Lists &amp; Settings'!$N$3,'Lists &amp; Settings'!$O$3,'Lists &amp; Settings'!$O$4)),IF($N1137="Partial",IF($M1137&gt;='Lists &amp; Settings'!$N$6,'Lists &amp; Settings'!$O$6,IF($M1137&gt;='Lists &amp; Settings'!$N$7,'Lists &amp; Settings'!$O$7,'Lists &amp; Settings'!$O$8)),'Lists &amp; Settings'!$O$10))))))</f>
        <v/>
      </c>
      <c r="T1137" s="31"/>
      <c r="U1137" s="31"/>
      <c r="V1137" s="31"/>
    </row>
    <row r="1138" ht="15.75" customHeight="1">
      <c r="B1138" s="31"/>
      <c r="N1138" s="127"/>
      <c r="S1138" s="31" t="str">
        <f>IF($C1138="","",IF(OR($M1138="",$N1138=""),'Lists &amp; Settings'!$O$10,IF($N1138="Fail",'Lists &amp; Settings'!$O$9,IF($N1138="Insufficient Evidence",'Lists &amp; Settings'!$O$10,IF($N1138="Pass",IF($M1138&gt;='Lists &amp; Settings'!$N$2,'Lists &amp; Settings'!$O$2,IF($M1138&gt;='Lists &amp; Settings'!$N$3,'Lists &amp; Settings'!$O$3,'Lists &amp; Settings'!$O$4)),IF($N1138="Partial",IF($M1138&gt;='Lists &amp; Settings'!$N$6,'Lists &amp; Settings'!$O$6,IF($M1138&gt;='Lists &amp; Settings'!$N$7,'Lists &amp; Settings'!$O$7,'Lists &amp; Settings'!$O$8)),'Lists &amp; Settings'!$O$10))))))</f>
        <v/>
      </c>
      <c r="T1138" s="31"/>
      <c r="U1138" s="31"/>
      <c r="V1138" s="31"/>
    </row>
    <row r="1139" ht="15.75" customHeight="1">
      <c r="B1139" s="31"/>
      <c r="N1139" s="127"/>
      <c r="S1139" s="31" t="str">
        <f>IF($C1139="","",IF(OR($M1139="",$N1139=""),'Lists &amp; Settings'!$O$10,IF($N1139="Fail",'Lists &amp; Settings'!$O$9,IF($N1139="Insufficient Evidence",'Lists &amp; Settings'!$O$10,IF($N1139="Pass",IF($M1139&gt;='Lists &amp; Settings'!$N$2,'Lists &amp; Settings'!$O$2,IF($M1139&gt;='Lists &amp; Settings'!$N$3,'Lists &amp; Settings'!$O$3,'Lists &amp; Settings'!$O$4)),IF($N1139="Partial",IF($M1139&gt;='Lists &amp; Settings'!$N$6,'Lists &amp; Settings'!$O$6,IF($M1139&gt;='Lists &amp; Settings'!$N$7,'Lists &amp; Settings'!$O$7,'Lists &amp; Settings'!$O$8)),'Lists &amp; Settings'!$O$10))))))</f>
        <v/>
      </c>
      <c r="T1139" s="31"/>
      <c r="U1139" s="31"/>
      <c r="V1139" s="31"/>
    </row>
    <row r="1140" ht="15.75" customHeight="1">
      <c r="B1140" s="31"/>
      <c r="N1140" s="127"/>
      <c r="S1140" s="31" t="str">
        <f>IF($C1140="","",IF(OR($M1140="",$N1140=""),'Lists &amp; Settings'!$O$10,IF($N1140="Fail",'Lists &amp; Settings'!$O$9,IF($N1140="Insufficient Evidence",'Lists &amp; Settings'!$O$10,IF($N1140="Pass",IF($M1140&gt;='Lists &amp; Settings'!$N$2,'Lists &amp; Settings'!$O$2,IF($M1140&gt;='Lists &amp; Settings'!$N$3,'Lists &amp; Settings'!$O$3,'Lists &amp; Settings'!$O$4)),IF($N1140="Partial",IF($M1140&gt;='Lists &amp; Settings'!$N$6,'Lists &amp; Settings'!$O$6,IF($M1140&gt;='Lists &amp; Settings'!$N$7,'Lists &amp; Settings'!$O$7,'Lists &amp; Settings'!$O$8)),'Lists &amp; Settings'!$O$10))))))</f>
        <v/>
      </c>
      <c r="T1140" s="31"/>
      <c r="U1140" s="31"/>
      <c r="V1140" s="31"/>
    </row>
    <row r="1141" ht="15.75" customHeight="1">
      <c r="B1141" s="31"/>
      <c r="N1141" s="127"/>
      <c r="S1141" s="31" t="str">
        <f>IF($C1141="","",IF(OR($M1141="",$N1141=""),'Lists &amp; Settings'!$O$10,IF($N1141="Fail",'Lists &amp; Settings'!$O$9,IF($N1141="Insufficient Evidence",'Lists &amp; Settings'!$O$10,IF($N1141="Pass",IF($M1141&gt;='Lists &amp; Settings'!$N$2,'Lists &amp; Settings'!$O$2,IF($M1141&gt;='Lists &amp; Settings'!$N$3,'Lists &amp; Settings'!$O$3,'Lists &amp; Settings'!$O$4)),IF($N1141="Partial",IF($M1141&gt;='Lists &amp; Settings'!$N$6,'Lists &amp; Settings'!$O$6,IF($M1141&gt;='Lists &amp; Settings'!$N$7,'Lists &amp; Settings'!$O$7,'Lists &amp; Settings'!$O$8)),'Lists &amp; Settings'!$O$10))))))</f>
        <v/>
      </c>
      <c r="T1141" s="31"/>
      <c r="U1141" s="31"/>
      <c r="V1141" s="31"/>
    </row>
    <row r="1142" ht="15.75" customHeight="1">
      <c r="B1142" s="31"/>
      <c r="N1142" s="127"/>
      <c r="S1142" s="31" t="str">
        <f>IF($C1142="","",IF(OR($M1142="",$N1142=""),'Lists &amp; Settings'!$O$10,IF($N1142="Fail",'Lists &amp; Settings'!$O$9,IF($N1142="Insufficient Evidence",'Lists &amp; Settings'!$O$10,IF($N1142="Pass",IF($M1142&gt;='Lists &amp; Settings'!$N$2,'Lists &amp; Settings'!$O$2,IF($M1142&gt;='Lists &amp; Settings'!$N$3,'Lists &amp; Settings'!$O$3,'Lists &amp; Settings'!$O$4)),IF($N1142="Partial",IF($M1142&gt;='Lists &amp; Settings'!$N$6,'Lists &amp; Settings'!$O$6,IF($M1142&gt;='Lists &amp; Settings'!$N$7,'Lists &amp; Settings'!$O$7,'Lists &amp; Settings'!$O$8)),'Lists &amp; Settings'!$O$10))))))</f>
        <v/>
      </c>
      <c r="T1142" s="31"/>
      <c r="U1142" s="31"/>
      <c r="V1142" s="31"/>
    </row>
    <row r="1143" ht="15.75" customHeight="1">
      <c r="B1143" s="31"/>
      <c r="N1143" s="127"/>
      <c r="S1143" s="31" t="str">
        <f>IF($C1143="","",IF(OR($M1143="",$N1143=""),'Lists &amp; Settings'!$O$10,IF($N1143="Fail",'Lists &amp; Settings'!$O$9,IF($N1143="Insufficient Evidence",'Lists &amp; Settings'!$O$10,IF($N1143="Pass",IF($M1143&gt;='Lists &amp; Settings'!$N$2,'Lists &amp; Settings'!$O$2,IF($M1143&gt;='Lists &amp; Settings'!$N$3,'Lists &amp; Settings'!$O$3,'Lists &amp; Settings'!$O$4)),IF($N1143="Partial",IF($M1143&gt;='Lists &amp; Settings'!$N$6,'Lists &amp; Settings'!$O$6,IF($M1143&gt;='Lists &amp; Settings'!$N$7,'Lists &amp; Settings'!$O$7,'Lists &amp; Settings'!$O$8)),'Lists &amp; Settings'!$O$10))))))</f>
        <v/>
      </c>
      <c r="T1143" s="31"/>
      <c r="U1143" s="31"/>
      <c r="V1143" s="31"/>
    </row>
    <row r="1144" ht="15.75" customHeight="1">
      <c r="B1144" s="31"/>
      <c r="N1144" s="127"/>
      <c r="S1144" s="31" t="str">
        <f>IF($C1144="","",IF(OR($M1144="",$N1144=""),'Lists &amp; Settings'!$O$10,IF($N1144="Fail",'Lists &amp; Settings'!$O$9,IF($N1144="Insufficient Evidence",'Lists &amp; Settings'!$O$10,IF($N1144="Pass",IF($M1144&gt;='Lists &amp; Settings'!$N$2,'Lists &amp; Settings'!$O$2,IF($M1144&gt;='Lists &amp; Settings'!$N$3,'Lists &amp; Settings'!$O$3,'Lists &amp; Settings'!$O$4)),IF($N1144="Partial",IF($M1144&gt;='Lists &amp; Settings'!$N$6,'Lists &amp; Settings'!$O$6,IF($M1144&gt;='Lists &amp; Settings'!$N$7,'Lists &amp; Settings'!$O$7,'Lists &amp; Settings'!$O$8)),'Lists &amp; Settings'!$O$10))))))</f>
        <v/>
      </c>
      <c r="T1144" s="31"/>
      <c r="U1144" s="31"/>
      <c r="V1144" s="31"/>
    </row>
    <row r="1145" ht="15.75" customHeight="1">
      <c r="B1145" s="31"/>
      <c r="N1145" s="127"/>
      <c r="S1145" s="31" t="str">
        <f>IF($C1145="","",IF(OR($M1145="",$N1145=""),'Lists &amp; Settings'!$O$10,IF($N1145="Fail",'Lists &amp; Settings'!$O$9,IF($N1145="Insufficient Evidence",'Lists &amp; Settings'!$O$10,IF($N1145="Pass",IF($M1145&gt;='Lists &amp; Settings'!$N$2,'Lists &amp; Settings'!$O$2,IF($M1145&gt;='Lists &amp; Settings'!$N$3,'Lists &amp; Settings'!$O$3,'Lists &amp; Settings'!$O$4)),IF($N1145="Partial",IF($M1145&gt;='Lists &amp; Settings'!$N$6,'Lists &amp; Settings'!$O$6,IF($M1145&gt;='Lists &amp; Settings'!$N$7,'Lists &amp; Settings'!$O$7,'Lists &amp; Settings'!$O$8)),'Lists &amp; Settings'!$O$10))))))</f>
        <v/>
      </c>
      <c r="T1145" s="31"/>
      <c r="U1145" s="31"/>
      <c r="V1145" s="31"/>
    </row>
    <row r="1146" ht="15.75" customHeight="1">
      <c r="B1146" s="31"/>
      <c r="N1146" s="127"/>
      <c r="S1146" s="31" t="str">
        <f>IF($C1146="","",IF(OR($M1146="",$N1146=""),'Lists &amp; Settings'!$O$10,IF($N1146="Fail",'Lists &amp; Settings'!$O$9,IF($N1146="Insufficient Evidence",'Lists &amp; Settings'!$O$10,IF($N1146="Pass",IF($M1146&gt;='Lists &amp; Settings'!$N$2,'Lists &amp; Settings'!$O$2,IF($M1146&gt;='Lists &amp; Settings'!$N$3,'Lists &amp; Settings'!$O$3,'Lists &amp; Settings'!$O$4)),IF($N1146="Partial",IF($M1146&gt;='Lists &amp; Settings'!$N$6,'Lists &amp; Settings'!$O$6,IF($M1146&gt;='Lists &amp; Settings'!$N$7,'Lists &amp; Settings'!$O$7,'Lists &amp; Settings'!$O$8)),'Lists &amp; Settings'!$O$10))))))</f>
        <v/>
      </c>
      <c r="T1146" s="31"/>
      <c r="U1146" s="31"/>
      <c r="V1146" s="31"/>
    </row>
    <row r="1147" ht="15.75" customHeight="1">
      <c r="B1147" s="31"/>
      <c r="N1147" s="127"/>
      <c r="S1147" s="31" t="str">
        <f>IF($C1147="","",IF(OR($M1147="",$N1147=""),'Lists &amp; Settings'!$O$10,IF($N1147="Fail",'Lists &amp; Settings'!$O$9,IF($N1147="Insufficient Evidence",'Lists &amp; Settings'!$O$10,IF($N1147="Pass",IF($M1147&gt;='Lists &amp; Settings'!$N$2,'Lists &amp; Settings'!$O$2,IF($M1147&gt;='Lists &amp; Settings'!$N$3,'Lists &amp; Settings'!$O$3,'Lists &amp; Settings'!$O$4)),IF($N1147="Partial",IF($M1147&gt;='Lists &amp; Settings'!$N$6,'Lists &amp; Settings'!$O$6,IF($M1147&gt;='Lists &amp; Settings'!$N$7,'Lists &amp; Settings'!$O$7,'Lists &amp; Settings'!$O$8)),'Lists &amp; Settings'!$O$10))))))</f>
        <v/>
      </c>
      <c r="T1147" s="31"/>
      <c r="U1147" s="31"/>
      <c r="V1147" s="31"/>
    </row>
    <row r="1148" ht="15.75" customHeight="1">
      <c r="B1148" s="31"/>
      <c r="N1148" s="127"/>
      <c r="S1148" s="31" t="str">
        <f>IF($C1148="","",IF(OR($M1148="",$N1148=""),'Lists &amp; Settings'!$O$10,IF($N1148="Fail",'Lists &amp; Settings'!$O$9,IF($N1148="Insufficient Evidence",'Lists &amp; Settings'!$O$10,IF($N1148="Pass",IF($M1148&gt;='Lists &amp; Settings'!$N$2,'Lists &amp; Settings'!$O$2,IF($M1148&gt;='Lists &amp; Settings'!$N$3,'Lists &amp; Settings'!$O$3,'Lists &amp; Settings'!$O$4)),IF($N1148="Partial",IF($M1148&gt;='Lists &amp; Settings'!$N$6,'Lists &amp; Settings'!$O$6,IF($M1148&gt;='Lists &amp; Settings'!$N$7,'Lists &amp; Settings'!$O$7,'Lists &amp; Settings'!$O$8)),'Lists &amp; Settings'!$O$10))))))</f>
        <v/>
      </c>
      <c r="T1148" s="31"/>
      <c r="U1148" s="31"/>
      <c r="V1148" s="31"/>
    </row>
    <row r="1149" ht="15.75" customHeight="1">
      <c r="B1149" s="31"/>
      <c r="N1149" s="127"/>
      <c r="S1149" s="31" t="str">
        <f>IF($C1149="","",IF(OR($M1149="",$N1149=""),'Lists &amp; Settings'!$O$10,IF($N1149="Fail",'Lists &amp; Settings'!$O$9,IF($N1149="Insufficient Evidence",'Lists &amp; Settings'!$O$10,IF($N1149="Pass",IF($M1149&gt;='Lists &amp; Settings'!$N$2,'Lists &amp; Settings'!$O$2,IF($M1149&gt;='Lists &amp; Settings'!$N$3,'Lists &amp; Settings'!$O$3,'Lists &amp; Settings'!$O$4)),IF($N1149="Partial",IF($M1149&gt;='Lists &amp; Settings'!$N$6,'Lists &amp; Settings'!$O$6,IF($M1149&gt;='Lists &amp; Settings'!$N$7,'Lists &amp; Settings'!$O$7,'Lists &amp; Settings'!$O$8)),'Lists &amp; Settings'!$O$10))))))</f>
        <v/>
      </c>
      <c r="T1149" s="31"/>
      <c r="U1149" s="31"/>
      <c r="V1149" s="31"/>
    </row>
    <row r="1150" ht="15.75" customHeight="1">
      <c r="B1150" s="31"/>
      <c r="N1150" s="127"/>
      <c r="S1150" s="31" t="str">
        <f>IF($C1150="","",IF(OR($M1150="",$N1150=""),'Lists &amp; Settings'!$O$10,IF($N1150="Fail",'Lists &amp; Settings'!$O$9,IF($N1150="Insufficient Evidence",'Lists &amp; Settings'!$O$10,IF($N1150="Pass",IF($M1150&gt;='Lists &amp; Settings'!$N$2,'Lists &amp; Settings'!$O$2,IF($M1150&gt;='Lists &amp; Settings'!$N$3,'Lists &amp; Settings'!$O$3,'Lists &amp; Settings'!$O$4)),IF($N1150="Partial",IF($M1150&gt;='Lists &amp; Settings'!$N$6,'Lists &amp; Settings'!$O$6,IF($M1150&gt;='Lists &amp; Settings'!$N$7,'Lists &amp; Settings'!$O$7,'Lists &amp; Settings'!$O$8)),'Lists &amp; Settings'!$O$10))))))</f>
        <v/>
      </c>
      <c r="T1150" s="31"/>
      <c r="U1150" s="31"/>
      <c r="V1150" s="31"/>
    </row>
    <row r="1151" ht="15.75" customHeight="1">
      <c r="B1151" s="31"/>
      <c r="N1151" s="127"/>
      <c r="S1151" s="31" t="str">
        <f>IF($C1151="","",IF(OR($M1151="",$N1151=""),'Lists &amp; Settings'!$O$10,IF($N1151="Fail",'Lists &amp; Settings'!$O$9,IF($N1151="Insufficient Evidence",'Lists &amp; Settings'!$O$10,IF($N1151="Pass",IF($M1151&gt;='Lists &amp; Settings'!$N$2,'Lists &amp; Settings'!$O$2,IF($M1151&gt;='Lists &amp; Settings'!$N$3,'Lists &amp; Settings'!$O$3,'Lists &amp; Settings'!$O$4)),IF($N1151="Partial",IF($M1151&gt;='Lists &amp; Settings'!$N$6,'Lists &amp; Settings'!$O$6,IF($M1151&gt;='Lists &amp; Settings'!$N$7,'Lists &amp; Settings'!$O$7,'Lists &amp; Settings'!$O$8)),'Lists &amp; Settings'!$O$10))))))</f>
        <v/>
      </c>
      <c r="T1151" s="31"/>
      <c r="U1151" s="31"/>
      <c r="V1151" s="31"/>
    </row>
    <row r="1152" ht="15.75" customHeight="1">
      <c r="B1152" s="31"/>
      <c r="N1152" s="127"/>
      <c r="S1152" s="31" t="str">
        <f>IF($C1152="","",IF(OR($M1152="",$N1152=""),'Lists &amp; Settings'!$O$10,IF($N1152="Fail",'Lists &amp; Settings'!$O$9,IF($N1152="Insufficient Evidence",'Lists &amp; Settings'!$O$10,IF($N1152="Pass",IF($M1152&gt;='Lists &amp; Settings'!$N$2,'Lists &amp; Settings'!$O$2,IF($M1152&gt;='Lists &amp; Settings'!$N$3,'Lists &amp; Settings'!$O$3,'Lists &amp; Settings'!$O$4)),IF($N1152="Partial",IF($M1152&gt;='Lists &amp; Settings'!$N$6,'Lists &amp; Settings'!$O$6,IF($M1152&gt;='Lists &amp; Settings'!$N$7,'Lists &amp; Settings'!$O$7,'Lists &amp; Settings'!$O$8)),'Lists &amp; Settings'!$O$10))))))</f>
        <v/>
      </c>
      <c r="T1152" s="31"/>
      <c r="U1152" s="31"/>
      <c r="V1152" s="31"/>
    </row>
    <row r="1153" ht="15.75" customHeight="1">
      <c r="B1153" s="31"/>
      <c r="N1153" s="127"/>
      <c r="S1153" s="31" t="str">
        <f>IF($C1153="","",IF(OR($M1153="",$N1153=""),'Lists &amp; Settings'!$O$10,IF($N1153="Fail",'Lists &amp; Settings'!$O$9,IF($N1153="Insufficient Evidence",'Lists &amp; Settings'!$O$10,IF($N1153="Pass",IF($M1153&gt;='Lists &amp; Settings'!$N$2,'Lists &amp; Settings'!$O$2,IF($M1153&gt;='Lists &amp; Settings'!$N$3,'Lists &amp; Settings'!$O$3,'Lists &amp; Settings'!$O$4)),IF($N1153="Partial",IF($M1153&gt;='Lists &amp; Settings'!$N$6,'Lists &amp; Settings'!$O$6,IF($M1153&gt;='Lists &amp; Settings'!$N$7,'Lists &amp; Settings'!$O$7,'Lists &amp; Settings'!$O$8)),'Lists &amp; Settings'!$O$10))))))</f>
        <v/>
      </c>
      <c r="T1153" s="31"/>
      <c r="U1153" s="31"/>
      <c r="V1153" s="31"/>
    </row>
    <row r="1154" ht="15.75" customHeight="1">
      <c r="B1154" s="31"/>
      <c r="N1154" s="127"/>
      <c r="S1154" s="31" t="str">
        <f>IF($C1154="","",IF(OR($M1154="",$N1154=""),'Lists &amp; Settings'!$O$10,IF($N1154="Fail",'Lists &amp; Settings'!$O$9,IF($N1154="Insufficient Evidence",'Lists &amp; Settings'!$O$10,IF($N1154="Pass",IF($M1154&gt;='Lists &amp; Settings'!$N$2,'Lists &amp; Settings'!$O$2,IF($M1154&gt;='Lists &amp; Settings'!$N$3,'Lists &amp; Settings'!$O$3,'Lists &amp; Settings'!$O$4)),IF($N1154="Partial",IF($M1154&gt;='Lists &amp; Settings'!$N$6,'Lists &amp; Settings'!$O$6,IF($M1154&gt;='Lists &amp; Settings'!$N$7,'Lists &amp; Settings'!$O$7,'Lists &amp; Settings'!$O$8)),'Lists &amp; Settings'!$O$10))))))</f>
        <v/>
      </c>
      <c r="T1154" s="31"/>
      <c r="U1154" s="31"/>
      <c r="V1154" s="31"/>
    </row>
    <row r="1155" ht="15.75" customHeight="1">
      <c r="B1155" s="31"/>
      <c r="N1155" s="127"/>
      <c r="S1155" s="31" t="str">
        <f>IF($C1155="","",IF(OR($M1155="",$N1155=""),'Lists &amp; Settings'!$O$10,IF($N1155="Fail",'Lists &amp; Settings'!$O$9,IF($N1155="Insufficient Evidence",'Lists &amp; Settings'!$O$10,IF($N1155="Pass",IF($M1155&gt;='Lists &amp; Settings'!$N$2,'Lists &amp; Settings'!$O$2,IF($M1155&gt;='Lists &amp; Settings'!$N$3,'Lists &amp; Settings'!$O$3,'Lists &amp; Settings'!$O$4)),IF($N1155="Partial",IF($M1155&gt;='Lists &amp; Settings'!$N$6,'Lists &amp; Settings'!$O$6,IF($M1155&gt;='Lists &amp; Settings'!$N$7,'Lists &amp; Settings'!$O$7,'Lists &amp; Settings'!$O$8)),'Lists &amp; Settings'!$O$10))))))</f>
        <v/>
      </c>
      <c r="T1155" s="31"/>
      <c r="U1155" s="31"/>
      <c r="V1155" s="31"/>
    </row>
    <row r="1156" ht="15.75" customHeight="1">
      <c r="B1156" s="31"/>
      <c r="N1156" s="127"/>
      <c r="S1156" s="31" t="str">
        <f>IF($C1156="","",IF(OR($M1156="",$N1156=""),'Lists &amp; Settings'!$O$10,IF($N1156="Fail",'Lists &amp; Settings'!$O$9,IF($N1156="Insufficient Evidence",'Lists &amp; Settings'!$O$10,IF($N1156="Pass",IF($M1156&gt;='Lists &amp; Settings'!$N$2,'Lists &amp; Settings'!$O$2,IF($M1156&gt;='Lists &amp; Settings'!$N$3,'Lists &amp; Settings'!$O$3,'Lists &amp; Settings'!$O$4)),IF($N1156="Partial",IF($M1156&gt;='Lists &amp; Settings'!$N$6,'Lists &amp; Settings'!$O$6,IF($M1156&gt;='Lists &amp; Settings'!$N$7,'Lists &amp; Settings'!$O$7,'Lists &amp; Settings'!$O$8)),'Lists &amp; Settings'!$O$10))))))</f>
        <v/>
      </c>
      <c r="T1156" s="31"/>
      <c r="U1156" s="31"/>
      <c r="V1156" s="31"/>
    </row>
    <row r="1157" ht="15.75" customHeight="1">
      <c r="B1157" s="31"/>
      <c r="N1157" s="127"/>
      <c r="S1157" s="31" t="str">
        <f>IF($C1157="","",IF(OR($M1157="",$N1157=""),'Lists &amp; Settings'!$O$10,IF($N1157="Fail",'Lists &amp; Settings'!$O$9,IF($N1157="Insufficient Evidence",'Lists &amp; Settings'!$O$10,IF($N1157="Pass",IF($M1157&gt;='Lists &amp; Settings'!$N$2,'Lists &amp; Settings'!$O$2,IF($M1157&gt;='Lists &amp; Settings'!$N$3,'Lists &amp; Settings'!$O$3,'Lists &amp; Settings'!$O$4)),IF($N1157="Partial",IF($M1157&gt;='Lists &amp; Settings'!$N$6,'Lists &amp; Settings'!$O$6,IF($M1157&gt;='Lists &amp; Settings'!$N$7,'Lists &amp; Settings'!$O$7,'Lists &amp; Settings'!$O$8)),'Lists &amp; Settings'!$O$10))))))</f>
        <v/>
      </c>
      <c r="T1157" s="31"/>
      <c r="U1157" s="31"/>
      <c r="V1157" s="31"/>
    </row>
    <row r="1158" ht="15.75" customHeight="1">
      <c r="B1158" s="31"/>
      <c r="N1158" s="127"/>
      <c r="S1158" s="31" t="str">
        <f>IF($C1158="","",IF(OR($M1158="",$N1158=""),'Lists &amp; Settings'!$O$10,IF($N1158="Fail",'Lists &amp; Settings'!$O$9,IF($N1158="Insufficient Evidence",'Lists &amp; Settings'!$O$10,IF($N1158="Pass",IF($M1158&gt;='Lists &amp; Settings'!$N$2,'Lists &amp; Settings'!$O$2,IF($M1158&gt;='Lists &amp; Settings'!$N$3,'Lists &amp; Settings'!$O$3,'Lists &amp; Settings'!$O$4)),IF($N1158="Partial",IF($M1158&gt;='Lists &amp; Settings'!$N$6,'Lists &amp; Settings'!$O$6,IF($M1158&gt;='Lists &amp; Settings'!$N$7,'Lists &amp; Settings'!$O$7,'Lists &amp; Settings'!$O$8)),'Lists &amp; Settings'!$O$10))))))</f>
        <v/>
      </c>
      <c r="T1158" s="31"/>
      <c r="U1158" s="31"/>
      <c r="V1158" s="31"/>
    </row>
    <row r="1159" ht="15.75" customHeight="1">
      <c r="B1159" s="31"/>
      <c r="N1159" s="127"/>
      <c r="S1159" s="31" t="str">
        <f>IF($C1159="","",IF(OR($M1159="",$N1159=""),'Lists &amp; Settings'!$O$10,IF($N1159="Fail",'Lists &amp; Settings'!$O$9,IF($N1159="Insufficient Evidence",'Lists &amp; Settings'!$O$10,IF($N1159="Pass",IF($M1159&gt;='Lists &amp; Settings'!$N$2,'Lists &amp; Settings'!$O$2,IF($M1159&gt;='Lists &amp; Settings'!$N$3,'Lists &amp; Settings'!$O$3,'Lists &amp; Settings'!$O$4)),IF($N1159="Partial",IF($M1159&gt;='Lists &amp; Settings'!$N$6,'Lists &amp; Settings'!$O$6,IF($M1159&gt;='Lists &amp; Settings'!$N$7,'Lists &amp; Settings'!$O$7,'Lists &amp; Settings'!$O$8)),'Lists &amp; Settings'!$O$10))))))</f>
        <v/>
      </c>
      <c r="T1159" s="31"/>
      <c r="U1159" s="31"/>
      <c r="V1159" s="31"/>
    </row>
    <row r="1160" ht="15.75" customHeight="1">
      <c r="B1160" s="31"/>
      <c r="N1160" s="127"/>
      <c r="S1160" s="31" t="str">
        <f>IF($C1160="","",IF(OR($M1160="",$N1160=""),'Lists &amp; Settings'!$O$10,IF($N1160="Fail",'Lists &amp; Settings'!$O$9,IF($N1160="Insufficient Evidence",'Lists &amp; Settings'!$O$10,IF($N1160="Pass",IF($M1160&gt;='Lists &amp; Settings'!$N$2,'Lists &amp; Settings'!$O$2,IF($M1160&gt;='Lists &amp; Settings'!$N$3,'Lists &amp; Settings'!$O$3,'Lists &amp; Settings'!$O$4)),IF($N1160="Partial",IF($M1160&gt;='Lists &amp; Settings'!$N$6,'Lists &amp; Settings'!$O$6,IF($M1160&gt;='Lists &amp; Settings'!$N$7,'Lists &amp; Settings'!$O$7,'Lists &amp; Settings'!$O$8)),'Lists &amp; Settings'!$O$10))))))</f>
        <v/>
      </c>
      <c r="T1160" s="31"/>
      <c r="U1160" s="31"/>
      <c r="V1160" s="31"/>
    </row>
    <row r="1161" ht="15.75" customHeight="1">
      <c r="B1161" s="31"/>
      <c r="N1161" s="127"/>
      <c r="S1161" s="31" t="str">
        <f>IF($C1161="","",IF(OR($M1161="",$N1161=""),'Lists &amp; Settings'!$O$10,IF($N1161="Fail",'Lists &amp; Settings'!$O$9,IF($N1161="Insufficient Evidence",'Lists &amp; Settings'!$O$10,IF($N1161="Pass",IF($M1161&gt;='Lists &amp; Settings'!$N$2,'Lists &amp; Settings'!$O$2,IF($M1161&gt;='Lists &amp; Settings'!$N$3,'Lists &amp; Settings'!$O$3,'Lists &amp; Settings'!$O$4)),IF($N1161="Partial",IF($M1161&gt;='Lists &amp; Settings'!$N$6,'Lists &amp; Settings'!$O$6,IF($M1161&gt;='Lists &amp; Settings'!$N$7,'Lists &amp; Settings'!$O$7,'Lists &amp; Settings'!$O$8)),'Lists &amp; Settings'!$O$10))))))</f>
        <v/>
      </c>
      <c r="T1161" s="31"/>
      <c r="U1161" s="31"/>
      <c r="V1161" s="31"/>
    </row>
    <row r="1162" ht="15.75" customHeight="1">
      <c r="B1162" s="31"/>
      <c r="N1162" s="127"/>
      <c r="S1162" s="31" t="str">
        <f>IF($C1162="","",IF(OR($M1162="",$N1162=""),'Lists &amp; Settings'!$O$10,IF($N1162="Fail",'Lists &amp; Settings'!$O$9,IF($N1162="Insufficient Evidence",'Lists &amp; Settings'!$O$10,IF($N1162="Pass",IF($M1162&gt;='Lists &amp; Settings'!$N$2,'Lists &amp; Settings'!$O$2,IF($M1162&gt;='Lists &amp; Settings'!$N$3,'Lists &amp; Settings'!$O$3,'Lists &amp; Settings'!$O$4)),IF($N1162="Partial",IF($M1162&gt;='Lists &amp; Settings'!$N$6,'Lists &amp; Settings'!$O$6,IF($M1162&gt;='Lists &amp; Settings'!$N$7,'Lists &amp; Settings'!$O$7,'Lists &amp; Settings'!$O$8)),'Lists &amp; Settings'!$O$10))))))</f>
        <v/>
      </c>
      <c r="T1162" s="31"/>
      <c r="U1162" s="31"/>
      <c r="V1162" s="31"/>
    </row>
    <row r="1163" ht="15.75" customHeight="1">
      <c r="B1163" s="31"/>
      <c r="N1163" s="127"/>
      <c r="S1163" s="31" t="str">
        <f>IF($C1163="","",IF(OR($M1163="",$N1163=""),'Lists &amp; Settings'!$O$10,IF($N1163="Fail",'Lists &amp; Settings'!$O$9,IF($N1163="Insufficient Evidence",'Lists &amp; Settings'!$O$10,IF($N1163="Pass",IF($M1163&gt;='Lists &amp; Settings'!$N$2,'Lists &amp; Settings'!$O$2,IF($M1163&gt;='Lists &amp; Settings'!$N$3,'Lists &amp; Settings'!$O$3,'Lists &amp; Settings'!$O$4)),IF($N1163="Partial",IF($M1163&gt;='Lists &amp; Settings'!$N$6,'Lists &amp; Settings'!$O$6,IF($M1163&gt;='Lists &amp; Settings'!$N$7,'Lists &amp; Settings'!$O$7,'Lists &amp; Settings'!$O$8)),'Lists &amp; Settings'!$O$10))))))</f>
        <v/>
      </c>
      <c r="T1163" s="31"/>
      <c r="U1163" s="31"/>
      <c r="V1163" s="31"/>
    </row>
    <row r="1164" ht="15.75" customHeight="1">
      <c r="B1164" s="31"/>
      <c r="N1164" s="127"/>
      <c r="S1164" s="31" t="str">
        <f>IF($C1164="","",IF(OR($M1164="",$N1164=""),'Lists &amp; Settings'!$O$10,IF($N1164="Fail",'Lists &amp; Settings'!$O$9,IF($N1164="Insufficient Evidence",'Lists &amp; Settings'!$O$10,IF($N1164="Pass",IF($M1164&gt;='Lists &amp; Settings'!$N$2,'Lists &amp; Settings'!$O$2,IF($M1164&gt;='Lists &amp; Settings'!$N$3,'Lists &amp; Settings'!$O$3,'Lists &amp; Settings'!$O$4)),IF($N1164="Partial",IF($M1164&gt;='Lists &amp; Settings'!$N$6,'Lists &amp; Settings'!$O$6,IF($M1164&gt;='Lists &amp; Settings'!$N$7,'Lists &amp; Settings'!$O$7,'Lists &amp; Settings'!$O$8)),'Lists &amp; Settings'!$O$10))))))</f>
        <v/>
      </c>
      <c r="T1164" s="31"/>
      <c r="U1164" s="31"/>
      <c r="V1164" s="31"/>
    </row>
    <row r="1165" ht="15.75" customHeight="1">
      <c r="B1165" s="31"/>
      <c r="N1165" s="127"/>
      <c r="S1165" s="31" t="str">
        <f>IF($C1165="","",IF(OR($M1165="",$N1165=""),'Lists &amp; Settings'!$O$10,IF($N1165="Fail",'Lists &amp; Settings'!$O$9,IF($N1165="Insufficient Evidence",'Lists &amp; Settings'!$O$10,IF($N1165="Pass",IF($M1165&gt;='Lists &amp; Settings'!$N$2,'Lists &amp; Settings'!$O$2,IF($M1165&gt;='Lists &amp; Settings'!$N$3,'Lists &amp; Settings'!$O$3,'Lists &amp; Settings'!$O$4)),IF($N1165="Partial",IF($M1165&gt;='Lists &amp; Settings'!$N$6,'Lists &amp; Settings'!$O$6,IF($M1165&gt;='Lists &amp; Settings'!$N$7,'Lists &amp; Settings'!$O$7,'Lists &amp; Settings'!$O$8)),'Lists &amp; Settings'!$O$10))))))</f>
        <v/>
      </c>
      <c r="T1165" s="31"/>
      <c r="U1165" s="31"/>
      <c r="V1165" s="31"/>
    </row>
    <row r="1166" ht="15.75" customHeight="1">
      <c r="B1166" s="31"/>
      <c r="N1166" s="127"/>
      <c r="S1166" s="31" t="str">
        <f>IF($C1166="","",IF(OR($M1166="",$N1166=""),'Lists &amp; Settings'!$O$10,IF($N1166="Fail",'Lists &amp; Settings'!$O$9,IF($N1166="Insufficient Evidence",'Lists &amp; Settings'!$O$10,IF($N1166="Pass",IF($M1166&gt;='Lists &amp; Settings'!$N$2,'Lists &amp; Settings'!$O$2,IF($M1166&gt;='Lists &amp; Settings'!$N$3,'Lists &amp; Settings'!$O$3,'Lists &amp; Settings'!$O$4)),IF($N1166="Partial",IF($M1166&gt;='Lists &amp; Settings'!$N$6,'Lists &amp; Settings'!$O$6,IF($M1166&gt;='Lists &amp; Settings'!$N$7,'Lists &amp; Settings'!$O$7,'Lists &amp; Settings'!$O$8)),'Lists &amp; Settings'!$O$10))))))</f>
        <v/>
      </c>
      <c r="T1166" s="31"/>
      <c r="U1166" s="31"/>
      <c r="V1166" s="31"/>
    </row>
    <row r="1167" ht="15.75" customHeight="1">
      <c r="B1167" s="31"/>
      <c r="N1167" s="127"/>
      <c r="S1167" s="31" t="str">
        <f>IF($C1167="","",IF(OR($M1167="",$N1167=""),'Lists &amp; Settings'!$O$10,IF($N1167="Fail",'Lists &amp; Settings'!$O$9,IF($N1167="Insufficient Evidence",'Lists &amp; Settings'!$O$10,IF($N1167="Pass",IF($M1167&gt;='Lists &amp; Settings'!$N$2,'Lists &amp; Settings'!$O$2,IF($M1167&gt;='Lists &amp; Settings'!$N$3,'Lists &amp; Settings'!$O$3,'Lists &amp; Settings'!$O$4)),IF($N1167="Partial",IF($M1167&gt;='Lists &amp; Settings'!$N$6,'Lists &amp; Settings'!$O$6,IF($M1167&gt;='Lists &amp; Settings'!$N$7,'Lists &amp; Settings'!$O$7,'Lists &amp; Settings'!$O$8)),'Lists &amp; Settings'!$O$10))))))</f>
        <v/>
      </c>
      <c r="T1167" s="31"/>
      <c r="U1167" s="31"/>
      <c r="V1167" s="31"/>
    </row>
    <row r="1168" ht="15.75" customHeight="1">
      <c r="B1168" s="31"/>
      <c r="N1168" s="127"/>
      <c r="S1168" s="31" t="str">
        <f>IF($C1168="","",IF(OR($M1168="",$N1168=""),'Lists &amp; Settings'!$O$10,IF($N1168="Fail",'Lists &amp; Settings'!$O$9,IF($N1168="Insufficient Evidence",'Lists &amp; Settings'!$O$10,IF($N1168="Pass",IF($M1168&gt;='Lists &amp; Settings'!$N$2,'Lists &amp; Settings'!$O$2,IF($M1168&gt;='Lists &amp; Settings'!$N$3,'Lists &amp; Settings'!$O$3,'Lists &amp; Settings'!$O$4)),IF($N1168="Partial",IF($M1168&gt;='Lists &amp; Settings'!$N$6,'Lists &amp; Settings'!$O$6,IF($M1168&gt;='Lists &amp; Settings'!$N$7,'Lists &amp; Settings'!$O$7,'Lists &amp; Settings'!$O$8)),'Lists &amp; Settings'!$O$10))))))</f>
        <v/>
      </c>
      <c r="T1168" s="31"/>
      <c r="U1168" s="31"/>
      <c r="V1168" s="31"/>
    </row>
    <row r="1169" ht="15.75" customHeight="1">
      <c r="B1169" s="31"/>
      <c r="N1169" s="127"/>
      <c r="S1169" s="31" t="str">
        <f>IF($C1169="","",IF(OR($M1169="",$N1169=""),'Lists &amp; Settings'!$O$10,IF($N1169="Fail",'Lists &amp; Settings'!$O$9,IF($N1169="Insufficient Evidence",'Lists &amp; Settings'!$O$10,IF($N1169="Pass",IF($M1169&gt;='Lists &amp; Settings'!$N$2,'Lists &amp; Settings'!$O$2,IF($M1169&gt;='Lists &amp; Settings'!$N$3,'Lists &amp; Settings'!$O$3,'Lists &amp; Settings'!$O$4)),IF($N1169="Partial",IF($M1169&gt;='Lists &amp; Settings'!$N$6,'Lists &amp; Settings'!$O$6,IF($M1169&gt;='Lists &amp; Settings'!$N$7,'Lists &amp; Settings'!$O$7,'Lists &amp; Settings'!$O$8)),'Lists &amp; Settings'!$O$10))))))</f>
        <v/>
      </c>
      <c r="T1169" s="31"/>
      <c r="U1169" s="31"/>
      <c r="V1169" s="31"/>
    </row>
    <row r="1170" ht="15.75" customHeight="1">
      <c r="B1170" s="31"/>
      <c r="N1170" s="127"/>
      <c r="S1170" s="31" t="str">
        <f>IF($C1170="","",IF(OR($M1170="",$N1170=""),'Lists &amp; Settings'!$O$10,IF($N1170="Fail",'Lists &amp; Settings'!$O$9,IF($N1170="Insufficient Evidence",'Lists &amp; Settings'!$O$10,IF($N1170="Pass",IF($M1170&gt;='Lists &amp; Settings'!$N$2,'Lists &amp; Settings'!$O$2,IF($M1170&gt;='Lists &amp; Settings'!$N$3,'Lists &amp; Settings'!$O$3,'Lists &amp; Settings'!$O$4)),IF($N1170="Partial",IF($M1170&gt;='Lists &amp; Settings'!$N$6,'Lists &amp; Settings'!$O$6,IF($M1170&gt;='Lists &amp; Settings'!$N$7,'Lists &amp; Settings'!$O$7,'Lists &amp; Settings'!$O$8)),'Lists &amp; Settings'!$O$10))))))</f>
        <v/>
      </c>
      <c r="T1170" s="31"/>
      <c r="U1170" s="31"/>
      <c r="V1170" s="31"/>
    </row>
    <row r="1171" ht="15.75" customHeight="1">
      <c r="B1171" s="31"/>
      <c r="N1171" s="127"/>
      <c r="S1171" s="31" t="str">
        <f>IF($C1171="","",IF(OR($M1171="",$N1171=""),'Lists &amp; Settings'!$O$10,IF($N1171="Fail",'Lists &amp; Settings'!$O$9,IF($N1171="Insufficient Evidence",'Lists &amp; Settings'!$O$10,IF($N1171="Pass",IF($M1171&gt;='Lists &amp; Settings'!$N$2,'Lists &amp; Settings'!$O$2,IF($M1171&gt;='Lists &amp; Settings'!$N$3,'Lists &amp; Settings'!$O$3,'Lists &amp; Settings'!$O$4)),IF($N1171="Partial",IF($M1171&gt;='Lists &amp; Settings'!$N$6,'Lists &amp; Settings'!$O$6,IF($M1171&gt;='Lists &amp; Settings'!$N$7,'Lists &amp; Settings'!$O$7,'Lists &amp; Settings'!$O$8)),'Lists &amp; Settings'!$O$10))))))</f>
        <v/>
      </c>
      <c r="T1171" s="31"/>
      <c r="U1171" s="31"/>
      <c r="V1171" s="31"/>
    </row>
    <row r="1172" ht="15.75" customHeight="1">
      <c r="B1172" s="31"/>
      <c r="N1172" s="127"/>
      <c r="S1172" s="31" t="str">
        <f>IF($C1172="","",IF(OR($M1172="",$N1172=""),'Lists &amp; Settings'!$O$10,IF($N1172="Fail",'Lists &amp; Settings'!$O$9,IF($N1172="Insufficient Evidence",'Lists &amp; Settings'!$O$10,IF($N1172="Pass",IF($M1172&gt;='Lists &amp; Settings'!$N$2,'Lists &amp; Settings'!$O$2,IF($M1172&gt;='Lists &amp; Settings'!$N$3,'Lists &amp; Settings'!$O$3,'Lists &amp; Settings'!$O$4)),IF($N1172="Partial",IF($M1172&gt;='Lists &amp; Settings'!$N$6,'Lists &amp; Settings'!$O$6,IF($M1172&gt;='Lists &amp; Settings'!$N$7,'Lists &amp; Settings'!$O$7,'Lists &amp; Settings'!$O$8)),'Lists &amp; Settings'!$O$10))))))</f>
        <v/>
      </c>
      <c r="T1172" s="31"/>
      <c r="U1172" s="31"/>
      <c r="V1172" s="31"/>
    </row>
    <row r="1173" ht="15.75" customHeight="1">
      <c r="B1173" s="31"/>
      <c r="N1173" s="127"/>
      <c r="S1173" s="31" t="str">
        <f>IF($C1173="","",IF(OR($M1173="",$N1173=""),'Lists &amp; Settings'!$O$10,IF($N1173="Fail",'Lists &amp; Settings'!$O$9,IF($N1173="Insufficient Evidence",'Lists &amp; Settings'!$O$10,IF($N1173="Pass",IF($M1173&gt;='Lists &amp; Settings'!$N$2,'Lists &amp; Settings'!$O$2,IF($M1173&gt;='Lists &amp; Settings'!$N$3,'Lists &amp; Settings'!$O$3,'Lists &amp; Settings'!$O$4)),IF($N1173="Partial",IF($M1173&gt;='Lists &amp; Settings'!$N$6,'Lists &amp; Settings'!$O$6,IF($M1173&gt;='Lists &amp; Settings'!$N$7,'Lists &amp; Settings'!$O$7,'Lists &amp; Settings'!$O$8)),'Lists &amp; Settings'!$O$10))))))</f>
        <v/>
      </c>
      <c r="T1173" s="31"/>
      <c r="U1173" s="31"/>
      <c r="V1173" s="31"/>
    </row>
    <row r="1174" ht="15.75" customHeight="1">
      <c r="B1174" s="31"/>
      <c r="N1174" s="127"/>
      <c r="S1174" s="31" t="str">
        <f>IF($C1174="","",IF(OR($M1174="",$N1174=""),'Lists &amp; Settings'!$O$10,IF($N1174="Fail",'Lists &amp; Settings'!$O$9,IF($N1174="Insufficient Evidence",'Lists &amp; Settings'!$O$10,IF($N1174="Pass",IF($M1174&gt;='Lists &amp; Settings'!$N$2,'Lists &amp; Settings'!$O$2,IF($M1174&gt;='Lists &amp; Settings'!$N$3,'Lists &amp; Settings'!$O$3,'Lists &amp; Settings'!$O$4)),IF($N1174="Partial",IF($M1174&gt;='Lists &amp; Settings'!$N$6,'Lists &amp; Settings'!$O$6,IF($M1174&gt;='Lists &amp; Settings'!$N$7,'Lists &amp; Settings'!$O$7,'Lists &amp; Settings'!$O$8)),'Lists &amp; Settings'!$O$10))))))</f>
        <v/>
      </c>
      <c r="T1174" s="31"/>
      <c r="U1174" s="31"/>
      <c r="V1174" s="31"/>
    </row>
    <row r="1175" ht="15.75" customHeight="1">
      <c r="B1175" s="31"/>
      <c r="N1175" s="127"/>
      <c r="S1175" s="31" t="str">
        <f>IF($C1175="","",IF(OR($M1175="",$N1175=""),'Lists &amp; Settings'!$O$10,IF($N1175="Fail",'Lists &amp; Settings'!$O$9,IF($N1175="Insufficient Evidence",'Lists &amp; Settings'!$O$10,IF($N1175="Pass",IF($M1175&gt;='Lists &amp; Settings'!$N$2,'Lists &amp; Settings'!$O$2,IF($M1175&gt;='Lists &amp; Settings'!$N$3,'Lists &amp; Settings'!$O$3,'Lists &amp; Settings'!$O$4)),IF($N1175="Partial",IF($M1175&gt;='Lists &amp; Settings'!$N$6,'Lists &amp; Settings'!$O$6,IF($M1175&gt;='Lists &amp; Settings'!$N$7,'Lists &amp; Settings'!$O$7,'Lists &amp; Settings'!$O$8)),'Lists &amp; Settings'!$O$10))))))</f>
        <v/>
      </c>
      <c r="T1175" s="31"/>
      <c r="U1175" s="31"/>
      <c r="V1175" s="31"/>
    </row>
    <row r="1176" ht="15.75" customHeight="1">
      <c r="B1176" s="31"/>
      <c r="N1176" s="127"/>
      <c r="S1176" s="31" t="str">
        <f>IF($C1176="","",IF(OR($M1176="",$N1176=""),'Lists &amp; Settings'!$O$10,IF($N1176="Fail",'Lists &amp; Settings'!$O$9,IF($N1176="Insufficient Evidence",'Lists &amp; Settings'!$O$10,IF($N1176="Pass",IF($M1176&gt;='Lists &amp; Settings'!$N$2,'Lists &amp; Settings'!$O$2,IF($M1176&gt;='Lists &amp; Settings'!$N$3,'Lists &amp; Settings'!$O$3,'Lists &amp; Settings'!$O$4)),IF($N1176="Partial",IF($M1176&gt;='Lists &amp; Settings'!$N$6,'Lists &amp; Settings'!$O$6,IF($M1176&gt;='Lists &amp; Settings'!$N$7,'Lists &amp; Settings'!$O$7,'Lists &amp; Settings'!$O$8)),'Lists &amp; Settings'!$O$10))))))</f>
        <v/>
      </c>
      <c r="T1176" s="31"/>
      <c r="U1176" s="31"/>
      <c r="V1176" s="31"/>
    </row>
    <row r="1177" ht="15.75" customHeight="1">
      <c r="B1177" s="31"/>
      <c r="N1177" s="127"/>
      <c r="S1177" s="31" t="str">
        <f>IF($C1177="","",IF(OR($M1177="",$N1177=""),'Lists &amp; Settings'!$O$10,IF($N1177="Fail",'Lists &amp; Settings'!$O$9,IF($N1177="Insufficient Evidence",'Lists &amp; Settings'!$O$10,IF($N1177="Pass",IF($M1177&gt;='Lists &amp; Settings'!$N$2,'Lists &amp; Settings'!$O$2,IF($M1177&gt;='Lists &amp; Settings'!$N$3,'Lists &amp; Settings'!$O$3,'Lists &amp; Settings'!$O$4)),IF($N1177="Partial",IF($M1177&gt;='Lists &amp; Settings'!$N$6,'Lists &amp; Settings'!$O$6,IF($M1177&gt;='Lists &amp; Settings'!$N$7,'Lists &amp; Settings'!$O$7,'Lists &amp; Settings'!$O$8)),'Lists &amp; Settings'!$O$10))))))</f>
        <v/>
      </c>
      <c r="T1177" s="31"/>
      <c r="U1177" s="31"/>
      <c r="V1177" s="31"/>
    </row>
    <row r="1178" ht="15.75" customHeight="1">
      <c r="B1178" s="31"/>
      <c r="N1178" s="127"/>
      <c r="S1178" s="31" t="str">
        <f>IF($C1178="","",IF(OR($M1178="",$N1178=""),'Lists &amp; Settings'!$O$10,IF($N1178="Fail",'Lists &amp; Settings'!$O$9,IF($N1178="Insufficient Evidence",'Lists &amp; Settings'!$O$10,IF($N1178="Pass",IF($M1178&gt;='Lists &amp; Settings'!$N$2,'Lists &amp; Settings'!$O$2,IF($M1178&gt;='Lists &amp; Settings'!$N$3,'Lists &amp; Settings'!$O$3,'Lists &amp; Settings'!$O$4)),IF($N1178="Partial",IF($M1178&gt;='Lists &amp; Settings'!$N$6,'Lists &amp; Settings'!$O$6,IF($M1178&gt;='Lists &amp; Settings'!$N$7,'Lists &amp; Settings'!$O$7,'Lists &amp; Settings'!$O$8)),'Lists &amp; Settings'!$O$10))))))</f>
        <v/>
      </c>
      <c r="T1178" s="31"/>
      <c r="U1178" s="31"/>
      <c r="V1178" s="31"/>
    </row>
    <row r="1179" ht="15.75" customHeight="1">
      <c r="B1179" s="31"/>
      <c r="N1179" s="127"/>
      <c r="S1179" s="31" t="str">
        <f>IF($C1179="","",IF(OR($M1179="",$N1179=""),'Lists &amp; Settings'!$O$10,IF($N1179="Fail",'Lists &amp; Settings'!$O$9,IF($N1179="Insufficient Evidence",'Lists &amp; Settings'!$O$10,IF($N1179="Pass",IF($M1179&gt;='Lists &amp; Settings'!$N$2,'Lists &amp; Settings'!$O$2,IF($M1179&gt;='Lists &amp; Settings'!$N$3,'Lists &amp; Settings'!$O$3,'Lists &amp; Settings'!$O$4)),IF($N1179="Partial",IF($M1179&gt;='Lists &amp; Settings'!$N$6,'Lists &amp; Settings'!$O$6,IF($M1179&gt;='Lists &amp; Settings'!$N$7,'Lists &amp; Settings'!$O$7,'Lists &amp; Settings'!$O$8)),'Lists &amp; Settings'!$O$10))))))</f>
        <v/>
      </c>
      <c r="T1179" s="31"/>
      <c r="U1179" s="31"/>
      <c r="V1179" s="31"/>
    </row>
    <row r="1180" ht="15.75" customHeight="1">
      <c r="B1180" s="31"/>
      <c r="N1180" s="127"/>
      <c r="S1180" s="31" t="str">
        <f>IF($C1180="","",IF(OR($M1180="",$N1180=""),'Lists &amp; Settings'!$O$10,IF($N1180="Fail",'Lists &amp; Settings'!$O$9,IF($N1180="Insufficient Evidence",'Lists &amp; Settings'!$O$10,IF($N1180="Pass",IF($M1180&gt;='Lists &amp; Settings'!$N$2,'Lists &amp; Settings'!$O$2,IF($M1180&gt;='Lists &amp; Settings'!$N$3,'Lists &amp; Settings'!$O$3,'Lists &amp; Settings'!$O$4)),IF($N1180="Partial",IF($M1180&gt;='Lists &amp; Settings'!$N$6,'Lists &amp; Settings'!$O$6,IF($M1180&gt;='Lists &amp; Settings'!$N$7,'Lists &amp; Settings'!$O$7,'Lists &amp; Settings'!$O$8)),'Lists &amp; Settings'!$O$10))))))</f>
        <v/>
      </c>
      <c r="T1180" s="31"/>
      <c r="U1180" s="31"/>
      <c r="V1180" s="31"/>
    </row>
    <row r="1181" ht="15.75" customHeight="1">
      <c r="B1181" s="31"/>
      <c r="N1181" s="127"/>
      <c r="S1181" s="31" t="str">
        <f>IF($C1181="","",IF(OR($M1181="",$N1181=""),'Lists &amp; Settings'!$O$10,IF($N1181="Fail",'Lists &amp; Settings'!$O$9,IF($N1181="Insufficient Evidence",'Lists &amp; Settings'!$O$10,IF($N1181="Pass",IF($M1181&gt;='Lists &amp; Settings'!$N$2,'Lists &amp; Settings'!$O$2,IF($M1181&gt;='Lists &amp; Settings'!$N$3,'Lists &amp; Settings'!$O$3,'Lists &amp; Settings'!$O$4)),IF($N1181="Partial",IF($M1181&gt;='Lists &amp; Settings'!$N$6,'Lists &amp; Settings'!$O$6,IF($M1181&gt;='Lists &amp; Settings'!$N$7,'Lists &amp; Settings'!$O$7,'Lists &amp; Settings'!$O$8)),'Lists &amp; Settings'!$O$10))))))</f>
        <v/>
      </c>
      <c r="T1181" s="31"/>
      <c r="U1181" s="31"/>
      <c r="V1181" s="31"/>
    </row>
    <row r="1182" ht="15.75" customHeight="1">
      <c r="B1182" s="31"/>
      <c r="N1182" s="127"/>
      <c r="S1182" s="31" t="str">
        <f>IF($C1182="","",IF(OR($M1182="",$N1182=""),'Lists &amp; Settings'!$O$10,IF($N1182="Fail",'Lists &amp; Settings'!$O$9,IF($N1182="Insufficient Evidence",'Lists &amp; Settings'!$O$10,IF($N1182="Pass",IF($M1182&gt;='Lists &amp; Settings'!$N$2,'Lists &amp; Settings'!$O$2,IF($M1182&gt;='Lists &amp; Settings'!$N$3,'Lists &amp; Settings'!$O$3,'Lists &amp; Settings'!$O$4)),IF($N1182="Partial",IF($M1182&gt;='Lists &amp; Settings'!$N$6,'Lists &amp; Settings'!$O$6,IF($M1182&gt;='Lists &amp; Settings'!$N$7,'Lists &amp; Settings'!$O$7,'Lists &amp; Settings'!$O$8)),'Lists &amp; Settings'!$O$10))))))</f>
        <v/>
      </c>
      <c r="T1182" s="31"/>
      <c r="U1182" s="31"/>
      <c r="V1182" s="31"/>
    </row>
    <row r="1183" ht="15.75" customHeight="1">
      <c r="B1183" s="31"/>
      <c r="N1183" s="127"/>
      <c r="S1183" s="31" t="str">
        <f>IF($C1183="","",IF(OR($M1183="",$N1183=""),'Lists &amp; Settings'!$O$10,IF($N1183="Fail",'Lists &amp; Settings'!$O$9,IF($N1183="Insufficient Evidence",'Lists &amp; Settings'!$O$10,IF($N1183="Pass",IF($M1183&gt;='Lists &amp; Settings'!$N$2,'Lists &amp; Settings'!$O$2,IF($M1183&gt;='Lists &amp; Settings'!$N$3,'Lists &amp; Settings'!$O$3,'Lists &amp; Settings'!$O$4)),IF($N1183="Partial",IF($M1183&gt;='Lists &amp; Settings'!$N$6,'Lists &amp; Settings'!$O$6,IF($M1183&gt;='Lists &amp; Settings'!$N$7,'Lists &amp; Settings'!$O$7,'Lists &amp; Settings'!$O$8)),'Lists &amp; Settings'!$O$10))))))</f>
        <v/>
      </c>
      <c r="T1183" s="31"/>
      <c r="U1183" s="31"/>
      <c r="V1183" s="31"/>
    </row>
    <row r="1184" ht="15.75" customHeight="1">
      <c r="B1184" s="31"/>
      <c r="N1184" s="127"/>
      <c r="S1184" s="31" t="str">
        <f>IF($C1184="","",IF(OR($M1184="",$N1184=""),'Lists &amp; Settings'!$O$10,IF($N1184="Fail",'Lists &amp; Settings'!$O$9,IF($N1184="Insufficient Evidence",'Lists &amp; Settings'!$O$10,IF($N1184="Pass",IF($M1184&gt;='Lists &amp; Settings'!$N$2,'Lists &amp; Settings'!$O$2,IF($M1184&gt;='Lists &amp; Settings'!$N$3,'Lists &amp; Settings'!$O$3,'Lists &amp; Settings'!$O$4)),IF($N1184="Partial",IF($M1184&gt;='Lists &amp; Settings'!$N$6,'Lists &amp; Settings'!$O$6,IF($M1184&gt;='Lists &amp; Settings'!$N$7,'Lists &amp; Settings'!$O$7,'Lists &amp; Settings'!$O$8)),'Lists &amp; Settings'!$O$10))))))</f>
        <v/>
      </c>
      <c r="T1184" s="31"/>
      <c r="U1184" s="31"/>
      <c r="V1184" s="31"/>
    </row>
    <row r="1185" ht="15.75" customHeight="1">
      <c r="B1185" s="31"/>
      <c r="N1185" s="127"/>
      <c r="S1185" s="31" t="str">
        <f>IF($C1185="","",IF(OR($M1185="",$N1185=""),'Lists &amp; Settings'!$O$10,IF($N1185="Fail",'Lists &amp; Settings'!$O$9,IF($N1185="Insufficient Evidence",'Lists &amp; Settings'!$O$10,IF($N1185="Pass",IF($M1185&gt;='Lists &amp; Settings'!$N$2,'Lists &amp; Settings'!$O$2,IF($M1185&gt;='Lists &amp; Settings'!$N$3,'Lists &amp; Settings'!$O$3,'Lists &amp; Settings'!$O$4)),IF($N1185="Partial",IF($M1185&gt;='Lists &amp; Settings'!$N$6,'Lists &amp; Settings'!$O$6,IF($M1185&gt;='Lists &amp; Settings'!$N$7,'Lists &amp; Settings'!$O$7,'Lists &amp; Settings'!$O$8)),'Lists &amp; Settings'!$O$10))))))</f>
        <v/>
      </c>
      <c r="T1185" s="31"/>
      <c r="U1185" s="31"/>
      <c r="V1185" s="31"/>
    </row>
    <row r="1186" ht="15.75" customHeight="1">
      <c r="B1186" s="31"/>
      <c r="N1186" s="127"/>
      <c r="S1186" s="31" t="str">
        <f>IF($C1186="","",IF(OR($M1186="",$N1186=""),'Lists &amp; Settings'!$O$10,IF($N1186="Fail",'Lists &amp; Settings'!$O$9,IF($N1186="Insufficient Evidence",'Lists &amp; Settings'!$O$10,IF($N1186="Pass",IF($M1186&gt;='Lists &amp; Settings'!$N$2,'Lists &amp; Settings'!$O$2,IF($M1186&gt;='Lists &amp; Settings'!$N$3,'Lists &amp; Settings'!$O$3,'Lists &amp; Settings'!$O$4)),IF($N1186="Partial",IF($M1186&gt;='Lists &amp; Settings'!$N$6,'Lists &amp; Settings'!$O$6,IF($M1186&gt;='Lists &amp; Settings'!$N$7,'Lists &amp; Settings'!$O$7,'Lists &amp; Settings'!$O$8)),'Lists &amp; Settings'!$O$10))))))</f>
        <v/>
      </c>
      <c r="T1186" s="31"/>
      <c r="U1186" s="31"/>
      <c r="V1186" s="31"/>
    </row>
    <row r="1187" ht="15.75" customHeight="1">
      <c r="B1187" s="31"/>
      <c r="N1187" s="127"/>
      <c r="S1187" s="31" t="str">
        <f>IF($C1187="","",IF(OR($M1187="",$N1187=""),'Lists &amp; Settings'!$O$10,IF($N1187="Fail",'Lists &amp; Settings'!$O$9,IF($N1187="Insufficient Evidence",'Lists &amp; Settings'!$O$10,IF($N1187="Pass",IF($M1187&gt;='Lists &amp; Settings'!$N$2,'Lists &amp; Settings'!$O$2,IF($M1187&gt;='Lists &amp; Settings'!$N$3,'Lists &amp; Settings'!$O$3,'Lists &amp; Settings'!$O$4)),IF($N1187="Partial",IF($M1187&gt;='Lists &amp; Settings'!$N$6,'Lists &amp; Settings'!$O$6,IF($M1187&gt;='Lists &amp; Settings'!$N$7,'Lists &amp; Settings'!$O$7,'Lists &amp; Settings'!$O$8)),'Lists &amp; Settings'!$O$10))))))</f>
        <v/>
      </c>
      <c r="T1187" s="31"/>
      <c r="U1187" s="31"/>
      <c r="V1187" s="31"/>
    </row>
    <row r="1188" ht="15.75" customHeight="1">
      <c r="B1188" s="31"/>
      <c r="N1188" s="127"/>
      <c r="S1188" s="31" t="str">
        <f>IF($C1188="","",IF(OR($M1188="",$N1188=""),'Lists &amp; Settings'!$O$10,IF($N1188="Fail",'Lists &amp; Settings'!$O$9,IF($N1188="Insufficient Evidence",'Lists &amp; Settings'!$O$10,IF($N1188="Pass",IF($M1188&gt;='Lists &amp; Settings'!$N$2,'Lists &amp; Settings'!$O$2,IF($M1188&gt;='Lists &amp; Settings'!$N$3,'Lists &amp; Settings'!$O$3,'Lists &amp; Settings'!$O$4)),IF($N1188="Partial",IF($M1188&gt;='Lists &amp; Settings'!$N$6,'Lists &amp; Settings'!$O$6,IF($M1188&gt;='Lists &amp; Settings'!$N$7,'Lists &amp; Settings'!$O$7,'Lists &amp; Settings'!$O$8)),'Lists &amp; Settings'!$O$10))))))</f>
        <v/>
      </c>
      <c r="T1188" s="31"/>
      <c r="U1188" s="31"/>
      <c r="V1188" s="31"/>
    </row>
    <row r="1189" ht="15.75" customHeight="1">
      <c r="B1189" s="31"/>
      <c r="N1189" s="127"/>
      <c r="S1189" s="31" t="str">
        <f>IF($C1189="","",IF(OR($M1189="",$N1189=""),'Lists &amp; Settings'!$O$10,IF($N1189="Fail",'Lists &amp; Settings'!$O$9,IF($N1189="Insufficient Evidence",'Lists &amp; Settings'!$O$10,IF($N1189="Pass",IF($M1189&gt;='Lists &amp; Settings'!$N$2,'Lists &amp; Settings'!$O$2,IF($M1189&gt;='Lists &amp; Settings'!$N$3,'Lists &amp; Settings'!$O$3,'Lists &amp; Settings'!$O$4)),IF($N1189="Partial",IF($M1189&gt;='Lists &amp; Settings'!$N$6,'Lists &amp; Settings'!$O$6,IF($M1189&gt;='Lists &amp; Settings'!$N$7,'Lists &amp; Settings'!$O$7,'Lists &amp; Settings'!$O$8)),'Lists &amp; Settings'!$O$10))))))</f>
        <v/>
      </c>
      <c r="T1189" s="31"/>
      <c r="U1189" s="31"/>
      <c r="V1189" s="31"/>
    </row>
    <row r="1190" ht="15.75" customHeight="1">
      <c r="B1190" s="31"/>
      <c r="N1190" s="127"/>
      <c r="S1190" s="31" t="str">
        <f>IF($C1190="","",IF(OR($M1190="",$N1190=""),'Lists &amp; Settings'!$O$10,IF($N1190="Fail",'Lists &amp; Settings'!$O$9,IF($N1190="Insufficient Evidence",'Lists &amp; Settings'!$O$10,IF($N1190="Pass",IF($M1190&gt;='Lists &amp; Settings'!$N$2,'Lists &amp; Settings'!$O$2,IF($M1190&gt;='Lists &amp; Settings'!$N$3,'Lists &amp; Settings'!$O$3,'Lists &amp; Settings'!$O$4)),IF($N1190="Partial",IF($M1190&gt;='Lists &amp; Settings'!$N$6,'Lists &amp; Settings'!$O$6,IF($M1190&gt;='Lists &amp; Settings'!$N$7,'Lists &amp; Settings'!$O$7,'Lists &amp; Settings'!$O$8)),'Lists &amp; Settings'!$O$10))))))</f>
        <v/>
      </c>
      <c r="T1190" s="31"/>
      <c r="U1190" s="31"/>
      <c r="V1190" s="31"/>
    </row>
    <row r="1191" ht="15.75" customHeight="1">
      <c r="B1191" s="31"/>
      <c r="N1191" s="127"/>
      <c r="S1191" s="31" t="str">
        <f>IF($C1191="","",IF(OR($M1191="",$N1191=""),'Lists &amp; Settings'!$O$10,IF($N1191="Fail",'Lists &amp; Settings'!$O$9,IF($N1191="Insufficient Evidence",'Lists &amp; Settings'!$O$10,IF($N1191="Pass",IF($M1191&gt;='Lists &amp; Settings'!$N$2,'Lists &amp; Settings'!$O$2,IF($M1191&gt;='Lists &amp; Settings'!$N$3,'Lists &amp; Settings'!$O$3,'Lists &amp; Settings'!$O$4)),IF($N1191="Partial",IF($M1191&gt;='Lists &amp; Settings'!$N$6,'Lists &amp; Settings'!$O$6,IF($M1191&gt;='Lists &amp; Settings'!$N$7,'Lists &amp; Settings'!$O$7,'Lists &amp; Settings'!$O$8)),'Lists &amp; Settings'!$O$10))))))</f>
        <v/>
      </c>
      <c r="T1191" s="31"/>
      <c r="U1191" s="31"/>
      <c r="V1191" s="31"/>
    </row>
    <row r="1192" ht="15.75" customHeight="1">
      <c r="B1192" s="31"/>
      <c r="N1192" s="127"/>
      <c r="S1192" s="31" t="str">
        <f>IF($C1192="","",IF(OR($M1192="",$N1192=""),'Lists &amp; Settings'!$O$10,IF($N1192="Fail",'Lists &amp; Settings'!$O$9,IF($N1192="Insufficient Evidence",'Lists &amp; Settings'!$O$10,IF($N1192="Pass",IF($M1192&gt;='Lists &amp; Settings'!$N$2,'Lists &amp; Settings'!$O$2,IF($M1192&gt;='Lists &amp; Settings'!$N$3,'Lists &amp; Settings'!$O$3,'Lists &amp; Settings'!$O$4)),IF($N1192="Partial",IF($M1192&gt;='Lists &amp; Settings'!$N$6,'Lists &amp; Settings'!$O$6,IF($M1192&gt;='Lists &amp; Settings'!$N$7,'Lists &amp; Settings'!$O$7,'Lists &amp; Settings'!$O$8)),'Lists &amp; Settings'!$O$10))))))</f>
        <v/>
      </c>
      <c r="T1192" s="31"/>
      <c r="U1192" s="31"/>
      <c r="V1192" s="31"/>
    </row>
    <row r="1193" ht="15.75" customHeight="1">
      <c r="B1193" s="31"/>
      <c r="N1193" s="127"/>
      <c r="S1193" s="31" t="str">
        <f>IF($C1193="","",IF(OR($M1193="",$N1193=""),'Lists &amp; Settings'!$O$10,IF($N1193="Fail",'Lists &amp; Settings'!$O$9,IF($N1193="Insufficient Evidence",'Lists &amp; Settings'!$O$10,IF($N1193="Pass",IF($M1193&gt;='Lists &amp; Settings'!$N$2,'Lists &amp; Settings'!$O$2,IF($M1193&gt;='Lists &amp; Settings'!$N$3,'Lists &amp; Settings'!$O$3,'Lists &amp; Settings'!$O$4)),IF($N1193="Partial",IF($M1193&gt;='Lists &amp; Settings'!$N$6,'Lists &amp; Settings'!$O$6,IF($M1193&gt;='Lists &amp; Settings'!$N$7,'Lists &amp; Settings'!$O$7,'Lists &amp; Settings'!$O$8)),'Lists &amp; Settings'!$O$10))))))</f>
        <v/>
      </c>
      <c r="T1193" s="31"/>
      <c r="U1193" s="31"/>
      <c r="V1193" s="31"/>
    </row>
    <row r="1194" ht="15.75" customHeight="1">
      <c r="B1194" s="31"/>
      <c r="N1194" s="127"/>
      <c r="S1194" s="31" t="str">
        <f>IF($C1194="","",IF(OR($M1194="",$N1194=""),'Lists &amp; Settings'!$O$10,IF($N1194="Fail",'Lists &amp; Settings'!$O$9,IF($N1194="Insufficient Evidence",'Lists &amp; Settings'!$O$10,IF($N1194="Pass",IF($M1194&gt;='Lists &amp; Settings'!$N$2,'Lists &amp; Settings'!$O$2,IF($M1194&gt;='Lists &amp; Settings'!$N$3,'Lists &amp; Settings'!$O$3,'Lists &amp; Settings'!$O$4)),IF($N1194="Partial",IF($M1194&gt;='Lists &amp; Settings'!$N$6,'Lists &amp; Settings'!$O$6,IF($M1194&gt;='Lists &amp; Settings'!$N$7,'Lists &amp; Settings'!$O$7,'Lists &amp; Settings'!$O$8)),'Lists &amp; Settings'!$O$10))))))</f>
        <v/>
      </c>
      <c r="T1194" s="31"/>
      <c r="U1194" s="31"/>
      <c r="V1194" s="31"/>
    </row>
    <row r="1195" ht="15.75" customHeight="1">
      <c r="B1195" s="31"/>
      <c r="N1195" s="127"/>
      <c r="S1195" s="31" t="str">
        <f>IF($C1195="","",IF(OR($M1195="",$N1195=""),'Lists &amp; Settings'!$O$10,IF($N1195="Fail",'Lists &amp; Settings'!$O$9,IF($N1195="Insufficient Evidence",'Lists &amp; Settings'!$O$10,IF($N1195="Pass",IF($M1195&gt;='Lists &amp; Settings'!$N$2,'Lists &amp; Settings'!$O$2,IF($M1195&gt;='Lists &amp; Settings'!$N$3,'Lists &amp; Settings'!$O$3,'Lists &amp; Settings'!$O$4)),IF($N1195="Partial",IF($M1195&gt;='Lists &amp; Settings'!$N$6,'Lists &amp; Settings'!$O$6,IF($M1195&gt;='Lists &amp; Settings'!$N$7,'Lists &amp; Settings'!$O$7,'Lists &amp; Settings'!$O$8)),'Lists &amp; Settings'!$O$10))))))</f>
        <v/>
      </c>
      <c r="T1195" s="31"/>
      <c r="U1195" s="31"/>
      <c r="V1195" s="31"/>
    </row>
    <row r="1196" ht="15.75" customHeight="1">
      <c r="B1196" s="31"/>
      <c r="N1196" s="127"/>
      <c r="S1196" s="31" t="str">
        <f>IF($C1196="","",IF(OR($M1196="",$N1196=""),'Lists &amp; Settings'!$O$10,IF($N1196="Fail",'Lists &amp; Settings'!$O$9,IF($N1196="Insufficient Evidence",'Lists &amp; Settings'!$O$10,IF($N1196="Pass",IF($M1196&gt;='Lists &amp; Settings'!$N$2,'Lists &amp; Settings'!$O$2,IF($M1196&gt;='Lists &amp; Settings'!$N$3,'Lists &amp; Settings'!$O$3,'Lists &amp; Settings'!$O$4)),IF($N1196="Partial",IF($M1196&gt;='Lists &amp; Settings'!$N$6,'Lists &amp; Settings'!$O$6,IF($M1196&gt;='Lists &amp; Settings'!$N$7,'Lists &amp; Settings'!$O$7,'Lists &amp; Settings'!$O$8)),'Lists &amp; Settings'!$O$10))))))</f>
        <v/>
      </c>
      <c r="T1196" s="31"/>
      <c r="U1196" s="31"/>
      <c r="V1196" s="31"/>
    </row>
    <row r="1197" ht="15.75" customHeight="1">
      <c r="B1197" s="31"/>
      <c r="N1197" s="127"/>
      <c r="S1197" s="31" t="str">
        <f>IF($C1197="","",IF(OR($M1197="",$N1197=""),'Lists &amp; Settings'!$O$10,IF($N1197="Fail",'Lists &amp; Settings'!$O$9,IF($N1197="Insufficient Evidence",'Lists &amp; Settings'!$O$10,IF($N1197="Pass",IF($M1197&gt;='Lists &amp; Settings'!$N$2,'Lists &amp; Settings'!$O$2,IF($M1197&gt;='Lists &amp; Settings'!$N$3,'Lists &amp; Settings'!$O$3,'Lists &amp; Settings'!$O$4)),IF($N1197="Partial",IF($M1197&gt;='Lists &amp; Settings'!$N$6,'Lists &amp; Settings'!$O$6,IF($M1197&gt;='Lists &amp; Settings'!$N$7,'Lists &amp; Settings'!$O$7,'Lists &amp; Settings'!$O$8)),'Lists &amp; Settings'!$O$10))))))</f>
        <v/>
      </c>
      <c r="T1197" s="31"/>
      <c r="U1197" s="31"/>
      <c r="V1197" s="31"/>
    </row>
    <row r="1198" ht="15.75" customHeight="1">
      <c r="B1198" s="31"/>
      <c r="N1198" s="127"/>
      <c r="S1198" s="31" t="str">
        <f>IF($C1198="","",IF(OR($M1198="",$N1198=""),'Lists &amp; Settings'!$O$10,IF($N1198="Fail",'Lists &amp; Settings'!$O$9,IF($N1198="Insufficient Evidence",'Lists &amp; Settings'!$O$10,IF($N1198="Pass",IF($M1198&gt;='Lists &amp; Settings'!$N$2,'Lists &amp; Settings'!$O$2,IF($M1198&gt;='Lists &amp; Settings'!$N$3,'Lists &amp; Settings'!$O$3,'Lists &amp; Settings'!$O$4)),IF($N1198="Partial",IF($M1198&gt;='Lists &amp; Settings'!$N$6,'Lists &amp; Settings'!$O$6,IF($M1198&gt;='Lists &amp; Settings'!$N$7,'Lists &amp; Settings'!$O$7,'Lists &amp; Settings'!$O$8)),'Lists &amp; Settings'!$O$10))))))</f>
        <v/>
      </c>
      <c r="T1198" s="31"/>
      <c r="U1198" s="31"/>
      <c r="V1198" s="31"/>
    </row>
    <row r="1199" ht="15.75" customHeight="1">
      <c r="B1199" s="31"/>
      <c r="N1199" s="127"/>
      <c r="S1199" s="31" t="str">
        <f>IF($C1199="","",IF(OR($M1199="",$N1199=""),'Lists &amp; Settings'!$O$10,IF($N1199="Fail",'Lists &amp; Settings'!$O$9,IF($N1199="Insufficient Evidence",'Lists &amp; Settings'!$O$10,IF($N1199="Pass",IF($M1199&gt;='Lists &amp; Settings'!$N$2,'Lists &amp; Settings'!$O$2,IF($M1199&gt;='Lists &amp; Settings'!$N$3,'Lists &amp; Settings'!$O$3,'Lists &amp; Settings'!$O$4)),IF($N1199="Partial",IF($M1199&gt;='Lists &amp; Settings'!$N$6,'Lists &amp; Settings'!$O$6,IF($M1199&gt;='Lists &amp; Settings'!$N$7,'Lists &amp; Settings'!$O$7,'Lists &amp; Settings'!$O$8)),'Lists &amp; Settings'!$O$10))))))</f>
        <v/>
      </c>
      <c r="T1199" s="31"/>
      <c r="U1199" s="31"/>
      <c r="V1199" s="31"/>
    </row>
    <row r="1200" ht="15.75" customHeight="1">
      <c r="B1200" s="31"/>
      <c r="N1200" s="127"/>
      <c r="S1200" s="31" t="str">
        <f>IF($C1200="","",IF(OR($M1200="",$N1200=""),'Lists &amp; Settings'!$O$10,IF($N1200="Fail",'Lists &amp; Settings'!$O$9,IF($N1200="Insufficient Evidence",'Lists &amp; Settings'!$O$10,IF($N1200="Pass",IF($M1200&gt;='Lists &amp; Settings'!$N$2,'Lists &amp; Settings'!$O$2,IF($M1200&gt;='Lists &amp; Settings'!$N$3,'Lists &amp; Settings'!$O$3,'Lists &amp; Settings'!$O$4)),IF($N1200="Partial",IF($M1200&gt;='Lists &amp; Settings'!$N$6,'Lists &amp; Settings'!$O$6,IF($M1200&gt;='Lists &amp; Settings'!$N$7,'Lists &amp; Settings'!$O$7,'Lists &amp; Settings'!$O$8)),'Lists &amp; Settings'!$O$10))))))</f>
        <v/>
      </c>
      <c r="T1200" s="31"/>
      <c r="U1200" s="31"/>
      <c r="V1200" s="31"/>
    </row>
    <row r="1201" ht="15.75" customHeight="1">
      <c r="B1201" s="31"/>
      <c r="N1201" s="127"/>
      <c r="S1201" s="31" t="str">
        <f>IF($C1201="","",IF(OR($M1201="",$N1201=""),'Lists &amp; Settings'!$O$10,IF($N1201="Fail",'Lists &amp; Settings'!$O$9,IF($N1201="Insufficient Evidence",'Lists &amp; Settings'!$O$10,IF($N1201="Pass",IF($M1201&gt;='Lists &amp; Settings'!$N$2,'Lists &amp; Settings'!$O$2,IF($M1201&gt;='Lists &amp; Settings'!$N$3,'Lists &amp; Settings'!$O$3,'Lists &amp; Settings'!$O$4)),IF($N1201="Partial",IF($M1201&gt;='Lists &amp; Settings'!$N$6,'Lists &amp; Settings'!$O$6,IF($M1201&gt;='Lists &amp; Settings'!$N$7,'Lists &amp; Settings'!$O$7,'Lists &amp; Settings'!$O$8)),'Lists &amp; Settings'!$O$10))))))</f>
        <v/>
      </c>
      <c r="T1201" s="31"/>
      <c r="U1201" s="31"/>
      <c r="V1201" s="31"/>
    </row>
    <row r="1202" ht="15.75" customHeight="1">
      <c r="B1202" s="31"/>
      <c r="N1202" s="127"/>
      <c r="S1202" s="31" t="str">
        <f>IF($C1202="","",IF(OR($M1202="",$N1202=""),'Lists &amp; Settings'!$O$10,IF($N1202="Fail",'Lists &amp; Settings'!$O$9,IF($N1202="Insufficient Evidence",'Lists &amp; Settings'!$O$10,IF($N1202="Pass",IF($M1202&gt;='Lists &amp; Settings'!$N$2,'Lists &amp; Settings'!$O$2,IF($M1202&gt;='Lists &amp; Settings'!$N$3,'Lists &amp; Settings'!$O$3,'Lists &amp; Settings'!$O$4)),IF($N1202="Partial",IF($M1202&gt;='Lists &amp; Settings'!$N$6,'Lists &amp; Settings'!$O$6,IF($M1202&gt;='Lists &amp; Settings'!$N$7,'Lists &amp; Settings'!$O$7,'Lists &amp; Settings'!$O$8)),'Lists &amp; Settings'!$O$10))))))</f>
        <v/>
      </c>
      <c r="T1202" s="31"/>
      <c r="U1202" s="31"/>
      <c r="V1202" s="31"/>
    </row>
    <row r="1203" ht="15.75" customHeight="1">
      <c r="B1203" s="31"/>
      <c r="N1203" s="127"/>
      <c r="S1203" s="31" t="str">
        <f>IF($C1203="","",IF(OR($M1203="",$N1203=""),'Lists &amp; Settings'!$O$10,IF($N1203="Fail",'Lists &amp; Settings'!$O$9,IF($N1203="Insufficient Evidence",'Lists &amp; Settings'!$O$10,IF($N1203="Pass",IF($M1203&gt;='Lists &amp; Settings'!$N$2,'Lists &amp; Settings'!$O$2,IF($M1203&gt;='Lists &amp; Settings'!$N$3,'Lists &amp; Settings'!$O$3,'Lists &amp; Settings'!$O$4)),IF($N1203="Partial",IF($M1203&gt;='Lists &amp; Settings'!$N$6,'Lists &amp; Settings'!$O$6,IF($M1203&gt;='Lists &amp; Settings'!$N$7,'Lists &amp; Settings'!$O$7,'Lists &amp; Settings'!$O$8)),'Lists &amp; Settings'!$O$10))))))</f>
        <v/>
      </c>
      <c r="T1203" s="31"/>
      <c r="U1203" s="31"/>
      <c r="V1203" s="31"/>
    </row>
    <row r="1204" ht="15.75" customHeight="1">
      <c r="B1204" s="31"/>
      <c r="N1204" s="127"/>
      <c r="S1204" s="31" t="str">
        <f>IF($C1204="","",IF(OR($M1204="",$N1204=""),'Lists &amp; Settings'!$O$10,IF($N1204="Fail",'Lists &amp; Settings'!$O$9,IF($N1204="Insufficient Evidence",'Lists &amp; Settings'!$O$10,IF($N1204="Pass",IF($M1204&gt;='Lists &amp; Settings'!$N$2,'Lists &amp; Settings'!$O$2,IF($M1204&gt;='Lists &amp; Settings'!$N$3,'Lists &amp; Settings'!$O$3,'Lists &amp; Settings'!$O$4)),IF($N1204="Partial",IF($M1204&gt;='Lists &amp; Settings'!$N$6,'Lists &amp; Settings'!$O$6,IF($M1204&gt;='Lists &amp; Settings'!$N$7,'Lists &amp; Settings'!$O$7,'Lists &amp; Settings'!$O$8)),'Lists &amp; Settings'!$O$10))))))</f>
        <v/>
      </c>
      <c r="T1204" s="31"/>
      <c r="U1204" s="31"/>
      <c r="V1204" s="31"/>
    </row>
    <row r="1205" ht="15.75" customHeight="1">
      <c r="B1205" s="31"/>
      <c r="N1205" s="127"/>
      <c r="S1205" s="31" t="str">
        <f>IF($C1205="","",IF(OR($M1205="",$N1205=""),'Lists &amp; Settings'!$O$10,IF($N1205="Fail",'Lists &amp; Settings'!$O$9,IF($N1205="Insufficient Evidence",'Lists &amp; Settings'!$O$10,IF($N1205="Pass",IF($M1205&gt;='Lists &amp; Settings'!$N$2,'Lists &amp; Settings'!$O$2,IF($M1205&gt;='Lists &amp; Settings'!$N$3,'Lists &amp; Settings'!$O$3,'Lists &amp; Settings'!$O$4)),IF($N1205="Partial",IF($M1205&gt;='Lists &amp; Settings'!$N$6,'Lists &amp; Settings'!$O$6,IF($M1205&gt;='Lists &amp; Settings'!$N$7,'Lists &amp; Settings'!$O$7,'Lists &amp; Settings'!$O$8)),'Lists &amp; Settings'!$O$10))))))</f>
        <v/>
      </c>
      <c r="T1205" s="31"/>
      <c r="U1205" s="31"/>
      <c r="V1205" s="31"/>
    </row>
    <row r="1206" ht="15.75" customHeight="1">
      <c r="B1206" s="31"/>
      <c r="N1206" s="127"/>
      <c r="S1206" s="31" t="str">
        <f>IF($C1206="","",IF(OR($M1206="",$N1206=""),'Lists &amp; Settings'!$O$10,IF($N1206="Fail",'Lists &amp; Settings'!$O$9,IF($N1206="Insufficient Evidence",'Lists &amp; Settings'!$O$10,IF($N1206="Pass",IF($M1206&gt;='Lists &amp; Settings'!$N$2,'Lists &amp; Settings'!$O$2,IF($M1206&gt;='Lists &amp; Settings'!$N$3,'Lists &amp; Settings'!$O$3,'Lists &amp; Settings'!$O$4)),IF($N1206="Partial",IF($M1206&gt;='Lists &amp; Settings'!$N$6,'Lists &amp; Settings'!$O$6,IF($M1206&gt;='Lists &amp; Settings'!$N$7,'Lists &amp; Settings'!$O$7,'Lists &amp; Settings'!$O$8)),'Lists &amp; Settings'!$O$10))))))</f>
        <v/>
      </c>
      <c r="T1206" s="31"/>
      <c r="U1206" s="31"/>
      <c r="V1206" s="31"/>
    </row>
    <row r="1207" ht="15.75" customHeight="1">
      <c r="B1207" s="31"/>
      <c r="N1207" s="127"/>
      <c r="S1207" s="31" t="str">
        <f>IF($C1207="","",IF(OR($M1207="",$N1207=""),'Lists &amp; Settings'!$O$10,IF($N1207="Fail",'Lists &amp; Settings'!$O$9,IF($N1207="Insufficient Evidence",'Lists &amp; Settings'!$O$10,IF($N1207="Pass",IF($M1207&gt;='Lists &amp; Settings'!$N$2,'Lists &amp; Settings'!$O$2,IF($M1207&gt;='Lists &amp; Settings'!$N$3,'Lists &amp; Settings'!$O$3,'Lists &amp; Settings'!$O$4)),IF($N1207="Partial",IF($M1207&gt;='Lists &amp; Settings'!$N$6,'Lists &amp; Settings'!$O$6,IF($M1207&gt;='Lists &amp; Settings'!$N$7,'Lists &amp; Settings'!$O$7,'Lists &amp; Settings'!$O$8)),'Lists &amp; Settings'!$O$10))))))</f>
        <v/>
      </c>
      <c r="T1207" s="31"/>
      <c r="U1207" s="31"/>
      <c r="V1207" s="31"/>
    </row>
    <row r="1208" ht="15.75" customHeight="1">
      <c r="B1208" s="31"/>
      <c r="N1208" s="127"/>
      <c r="S1208" s="31" t="str">
        <f>IF($C1208="","",IF(OR($M1208="",$N1208=""),'Lists &amp; Settings'!$O$10,IF($N1208="Fail",'Lists &amp; Settings'!$O$9,IF($N1208="Insufficient Evidence",'Lists &amp; Settings'!$O$10,IF($N1208="Pass",IF($M1208&gt;='Lists &amp; Settings'!$N$2,'Lists &amp; Settings'!$O$2,IF($M1208&gt;='Lists &amp; Settings'!$N$3,'Lists &amp; Settings'!$O$3,'Lists &amp; Settings'!$O$4)),IF($N1208="Partial",IF($M1208&gt;='Lists &amp; Settings'!$N$6,'Lists &amp; Settings'!$O$6,IF($M1208&gt;='Lists &amp; Settings'!$N$7,'Lists &amp; Settings'!$O$7,'Lists &amp; Settings'!$O$8)),'Lists &amp; Settings'!$O$10))))))</f>
        <v/>
      </c>
      <c r="T1208" s="31"/>
      <c r="U1208" s="31"/>
      <c r="V1208" s="31"/>
    </row>
    <row r="1209" ht="15.75" customHeight="1">
      <c r="B1209" s="31"/>
      <c r="N1209" s="127"/>
      <c r="S1209" s="31" t="str">
        <f>IF($C1209="","",IF(OR($M1209="",$N1209=""),'Lists &amp; Settings'!$O$10,IF($N1209="Fail",'Lists &amp; Settings'!$O$9,IF($N1209="Insufficient Evidence",'Lists &amp; Settings'!$O$10,IF($N1209="Pass",IF($M1209&gt;='Lists &amp; Settings'!$N$2,'Lists &amp; Settings'!$O$2,IF($M1209&gt;='Lists &amp; Settings'!$N$3,'Lists &amp; Settings'!$O$3,'Lists &amp; Settings'!$O$4)),IF($N1209="Partial",IF($M1209&gt;='Lists &amp; Settings'!$N$6,'Lists &amp; Settings'!$O$6,IF($M1209&gt;='Lists &amp; Settings'!$N$7,'Lists &amp; Settings'!$O$7,'Lists &amp; Settings'!$O$8)),'Lists &amp; Settings'!$O$10))))))</f>
        <v/>
      </c>
      <c r="T1209" s="31"/>
      <c r="U1209" s="31"/>
      <c r="V1209" s="31"/>
    </row>
    <row r="1210" ht="15.75" customHeight="1">
      <c r="B1210" s="31"/>
      <c r="N1210" s="127"/>
      <c r="S1210" s="31" t="str">
        <f>IF($C1210="","",IF(OR($M1210="",$N1210=""),'Lists &amp; Settings'!$O$10,IF($N1210="Fail",'Lists &amp; Settings'!$O$9,IF($N1210="Insufficient Evidence",'Lists &amp; Settings'!$O$10,IF($N1210="Pass",IF($M1210&gt;='Lists &amp; Settings'!$N$2,'Lists &amp; Settings'!$O$2,IF($M1210&gt;='Lists &amp; Settings'!$N$3,'Lists &amp; Settings'!$O$3,'Lists &amp; Settings'!$O$4)),IF($N1210="Partial",IF($M1210&gt;='Lists &amp; Settings'!$N$6,'Lists &amp; Settings'!$O$6,IF($M1210&gt;='Lists &amp; Settings'!$N$7,'Lists &amp; Settings'!$O$7,'Lists &amp; Settings'!$O$8)),'Lists &amp; Settings'!$O$10))))))</f>
        <v/>
      </c>
      <c r="T1210" s="31"/>
      <c r="U1210" s="31"/>
      <c r="V1210" s="31"/>
    </row>
    <row r="1211" ht="15.75" customHeight="1">
      <c r="B1211" s="31"/>
      <c r="N1211" s="127"/>
      <c r="S1211" s="31" t="str">
        <f>IF($C1211="","",IF(OR($M1211="",$N1211=""),'Lists &amp; Settings'!$O$10,IF($N1211="Fail",'Lists &amp; Settings'!$O$9,IF($N1211="Insufficient Evidence",'Lists &amp; Settings'!$O$10,IF($N1211="Pass",IF($M1211&gt;='Lists &amp; Settings'!$N$2,'Lists &amp; Settings'!$O$2,IF($M1211&gt;='Lists &amp; Settings'!$N$3,'Lists &amp; Settings'!$O$3,'Lists &amp; Settings'!$O$4)),IF($N1211="Partial",IF($M1211&gt;='Lists &amp; Settings'!$N$6,'Lists &amp; Settings'!$O$6,IF($M1211&gt;='Lists &amp; Settings'!$N$7,'Lists &amp; Settings'!$O$7,'Lists &amp; Settings'!$O$8)),'Lists &amp; Settings'!$O$10))))))</f>
        <v/>
      </c>
      <c r="T1211" s="31"/>
      <c r="U1211" s="31"/>
      <c r="V1211" s="31"/>
    </row>
    <row r="1212" ht="15.75" customHeight="1">
      <c r="B1212" s="31"/>
      <c r="N1212" s="127"/>
      <c r="S1212" s="31" t="str">
        <f>IF($C1212="","",IF(OR($M1212="",$N1212=""),'Lists &amp; Settings'!$O$10,IF($N1212="Fail",'Lists &amp; Settings'!$O$9,IF($N1212="Insufficient Evidence",'Lists &amp; Settings'!$O$10,IF($N1212="Pass",IF($M1212&gt;='Lists &amp; Settings'!$N$2,'Lists &amp; Settings'!$O$2,IF($M1212&gt;='Lists &amp; Settings'!$N$3,'Lists &amp; Settings'!$O$3,'Lists &amp; Settings'!$O$4)),IF($N1212="Partial",IF($M1212&gt;='Lists &amp; Settings'!$N$6,'Lists &amp; Settings'!$O$6,IF($M1212&gt;='Lists &amp; Settings'!$N$7,'Lists &amp; Settings'!$O$7,'Lists &amp; Settings'!$O$8)),'Lists &amp; Settings'!$O$10))))))</f>
        <v/>
      </c>
      <c r="T1212" s="31"/>
      <c r="U1212" s="31"/>
      <c r="V1212" s="31"/>
    </row>
    <row r="1213" ht="15.75" customHeight="1">
      <c r="B1213" s="31"/>
      <c r="N1213" s="127"/>
      <c r="S1213" s="31" t="str">
        <f>IF($C1213="","",IF(OR($M1213="",$N1213=""),'Lists &amp; Settings'!$O$10,IF($N1213="Fail",'Lists &amp; Settings'!$O$9,IF($N1213="Insufficient Evidence",'Lists &amp; Settings'!$O$10,IF($N1213="Pass",IF($M1213&gt;='Lists &amp; Settings'!$N$2,'Lists &amp; Settings'!$O$2,IF($M1213&gt;='Lists &amp; Settings'!$N$3,'Lists &amp; Settings'!$O$3,'Lists &amp; Settings'!$O$4)),IF($N1213="Partial",IF($M1213&gt;='Lists &amp; Settings'!$N$6,'Lists &amp; Settings'!$O$6,IF($M1213&gt;='Lists &amp; Settings'!$N$7,'Lists &amp; Settings'!$O$7,'Lists &amp; Settings'!$O$8)),'Lists &amp; Settings'!$O$10))))))</f>
        <v/>
      </c>
      <c r="T1213" s="31"/>
      <c r="U1213" s="31"/>
      <c r="V1213" s="31"/>
    </row>
    <row r="1214" ht="15.75" customHeight="1">
      <c r="B1214" s="31"/>
      <c r="N1214" s="127"/>
      <c r="S1214" s="31" t="str">
        <f>IF($C1214="","",IF(OR($M1214="",$N1214=""),'Lists &amp; Settings'!$O$10,IF($N1214="Fail",'Lists &amp; Settings'!$O$9,IF($N1214="Insufficient Evidence",'Lists &amp; Settings'!$O$10,IF($N1214="Pass",IF($M1214&gt;='Lists &amp; Settings'!$N$2,'Lists &amp; Settings'!$O$2,IF($M1214&gt;='Lists &amp; Settings'!$N$3,'Lists &amp; Settings'!$O$3,'Lists &amp; Settings'!$O$4)),IF($N1214="Partial",IF($M1214&gt;='Lists &amp; Settings'!$N$6,'Lists &amp; Settings'!$O$6,IF($M1214&gt;='Lists &amp; Settings'!$N$7,'Lists &amp; Settings'!$O$7,'Lists &amp; Settings'!$O$8)),'Lists &amp; Settings'!$O$10))))))</f>
        <v/>
      </c>
      <c r="T1214" s="31"/>
      <c r="U1214" s="31"/>
      <c r="V1214" s="31"/>
    </row>
    <row r="1215" ht="15.75" customHeight="1">
      <c r="B1215" s="31"/>
      <c r="N1215" s="127"/>
      <c r="S1215" s="31" t="str">
        <f>IF($C1215="","",IF(OR($M1215="",$N1215=""),'Lists &amp; Settings'!$O$10,IF($N1215="Fail",'Lists &amp; Settings'!$O$9,IF($N1215="Insufficient Evidence",'Lists &amp; Settings'!$O$10,IF($N1215="Pass",IF($M1215&gt;='Lists &amp; Settings'!$N$2,'Lists &amp; Settings'!$O$2,IF($M1215&gt;='Lists &amp; Settings'!$N$3,'Lists &amp; Settings'!$O$3,'Lists &amp; Settings'!$O$4)),IF($N1215="Partial",IF($M1215&gt;='Lists &amp; Settings'!$N$6,'Lists &amp; Settings'!$O$6,IF($M1215&gt;='Lists &amp; Settings'!$N$7,'Lists &amp; Settings'!$O$7,'Lists &amp; Settings'!$O$8)),'Lists &amp; Settings'!$O$10))))))</f>
        <v/>
      </c>
      <c r="T1215" s="31"/>
      <c r="U1215" s="31"/>
      <c r="V1215" s="31"/>
    </row>
    <row r="1216" ht="15.75" customHeight="1">
      <c r="B1216" s="31"/>
      <c r="N1216" s="127"/>
      <c r="S1216" s="31" t="str">
        <f>IF($C1216="","",IF(OR($M1216="",$N1216=""),'Lists &amp; Settings'!$O$10,IF($N1216="Fail",'Lists &amp; Settings'!$O$9,IF($N1216="Insufficient Evidence",'Lists &amp; Settings'!$O$10,IF($N1216="Pass",IF($M1216&gt;='Lists &amp; Settings'!$N$2,'Lists &amp; Settings'!$O$2,IF($M1216&gt;='Lists &amp; Settings'!$N$3,'Lists &amp; Settings'!$O$3,'Lists &amp; Settings'!$O$4)),IF($N1216="Partial",IF($M1216&gt;='Lists &amp; Settings'!$N$6,'Lists &amp; Settings'!$O$6,IF($M1216&gt;='Lists &amp; Settings'!$N$7,'Lists &amp; Settings'!$O$7,'Lists &amp; Settings'!$O$8)),'Lists &amp; Settings'!$O$10))))))</f>
        <v/>
      </c>
      <c r="T1216" s="31"/>
      <c r="U1216" s="31"/>
      <c r="V1216" s="31"/>
    </row>
    <row r="1217" ht="15.75" customHeight="1">
      <c r="B1217" s="31"/>
      <c r="N1217" s="127"/>
      <c r="S1217" s="31" t="str">
        <f>IF($C1217="","",IF(OR($M1217="",$N1217=""),'Lists &amp; Settings'!$O$10,IF($N1217="Fail",'Lists &amp; Settings'!$O$9,IF($N1217="Insufficient Evidence",'Lists &amp; Settings'!$O$10,IF($N1217="Pass",IF($M1217&gt;='Lists &amp; Settings'!$N$2,'Lists &amp; Settings'!$O$2,IF($M1217&gt;='Lists &amp; Settings'!$N$3,'Lists &amp; Settings'!$O$3,'Lists &amp; Settings'!$O$4)),IF($N1217="Partial",IF($M1217&gt;='Lists &amp; Settings'!$N$6,'Lists &amp; Settings'!$O$6,IF($M1217&gt;='Lists &amp; Settings'!$N$7,'Lists &amp; Settings'!$O$7,'Lists &amp; Settings'!$O$8)),'Lists &amp; Settings'!$O$10))))))</f>
        <v/>
      </c>
      <c r="T1217" s="31"/>
      <c r="U1217" s="31"/>
      <c r="V1217" s="31"/>
    </row>
    <row r="1218" ht="15.75" customHeight="1">
      <c r="B1218" s="31"/>
      <c r="N1218" s="127"/>
      <c r="S1218" s="31" t="str">
        <f>IF($C1218="","",IF(OR($M1218="",$N1218=""),'Lists &amp; Settings'!$O$10,IF($N1218="Fail",'Lists &amp; Settings'!$O$9,IF($N1218="Insufficient Evidence",'Lists &amp; Settings'!$O$10,IF($N1218="Pass",IF($M1218&gt;='Lists &amp; Settings'!$N$2,'Lists &amp; Settings'!$O$2,IF($M1218&gt;='Lists &amp; Settings'!$N$3,'Lists &amp; Settings'!$O$3,'Lists &amp; Settings'!$O$4)),IF($N1218="Partial",IF($M1218&gt;='Lists &amp; Settings'!$N$6,'Lists &amp; Settings'!$O$6,IF($M1218&gt;='Lists &amp; Settings'!$N$7,'Lists &amp; Settings'!$O$7,'Lists &amp; Settings'!$O$8)),'Lists &amp; Settings'!$O$10))))))</f>
        <v/>
      </c>
      <c r="T1218" s="31"/>
      <c r="U1218" s="31"/>
      <c r="V1218" s="31"/>
    </row>
    <row r="1219" ht="15.75" customHeight="1">
      <c r="B1219" s="31"/>
      <c r="N1219" s="127"/>
      <c r="S1219" s="31" t="str">
        <f>IF($C1219="","",IF(OR($M1219="",$N1219=""),'Lists &amp; Settings'!$O$10,IF($N1219="Fail",'Lists &amp; Settings'!$O$9,IF($N1219="Insufficient Evidence",'Lists &amp; Settings'!$O$10,IF($N1219="Pass",IF($M1219&gt;='Lists &amp; Settings'!$N$2,'Lists &amp; Settings'!$O$2,IF($M1219&gt;='Lists &amp; Settings'!$N$3,'Lists &amp; Settings'!$O$3,'Lists &amp; Settings'!$O$4)),IF($N1219="Partial",IF($M1219&gt;='Lists &amp; Settings'!$N$6,'Lists &amp; Settings'!$O$6,IF($M1219&gt;='Lists &amp; Settings'!$N$7,'Lists &amp; Settings'!$O$7,'Lists &amp; Settings'!$O$8)),'Lists &amp; Settings'!$O$10))))))</f>
        <v/>
      </c>
      <c r="T1219" s="31"/>
      <c r="U1219" s="31"/>
      <c r="V1219" s="31"/>
    </row>
    <row r="1220" ht="15.75" customHeight="1">
      <c r="B1220" s="31"/>
      <c r="N1220" s="127"/>
      <c r="S1220" s="31" t="str">
        <f>IF($C1220="","",IF(OR($M1220="",$N1220=""),'Lists &amp; Settings'!$O$10,IF($N1220="Fail",'Lists &amp; Settings'!$O$9,IF($N1220="Insufficient Evidence",'Lists &amp; Settings'!$O$10,IF($N1220="Pass",IF($M1220&gt;='Lists &amp; Settings'!$N$2,'Lists &amp; Settings'!$O$2,IF($M1220&gt;='Lists &amp; Settings'!$N$3,'Lists &amp; Settings'!$O$3,'Lists &amp; Settings'!$O$4)),IF($N1220="Partial",IF($M1220&gt;='Lists &amp; Settings'!$N$6,'Lists &amp; Settings'!$O$6,IF($M1220&gt;='Lists &amp; Settings'!$N$7,'Lists &amp; Settings'!$O$7,'Lists &amp; Settings'!$O$8)),'Lists &amp; Settings'!$O$10))))))</f>
        <v/>
      </c>
      <c r="T1220" s="31"/>
      <c r="U1220" s="31"/>
      <c r="V1220" s="31"/>
    </row>
    <row r="1221" ht="15.75" customHeight="1">
      <c r="B1221" s="31"/>
      <c r="N1221" s="127"/>
      <c r="S1221" s="31" t="str">
        <f>IF($C1221="","",IF(OR($M1221="",$N1221=""),'Lists &amp; Settings'!$O$10,IF($N1221="Fail",'Lists &amp; Settings'!$O$9,IF($N1221="Insufficient Evidence",'Lists &amp; Settings'!$O$10,IF($N1221="Pass",IF($M1221&gt;='Lists &amp; Settings'!$N$2,'Lists &amp; Settings'!$O$2,IF($M1221&gt;='Lists &amp; Settings'!$N$3,'Lists &amp; Settings'!$O$3,'Lists &amp; Settings'!$O$4)),IF($N1221="Partial",IF($M1221&gt;='Lists &amp; Settings'!$N$6,'Lists &amp; Settings'!$O$6,IF($M1221&gt;='Lists &amp; Settings'!$N$7,'Lists &amp; Settings'!$O$7,'Lists &amp; Settings'!$O$8)),'Lists &amp; Settings'!$O$10))))))</f>
        <v/>
      </c>
      <c r="T1221" s="31"/>
      <c r="U1221" s="31"/>
      <c r="V1221" s="31"/>
    </row>
    <row r="1222" ht="15.75" customHeight="1">
      <c r="B1222" s="31"/>
      <c r="N1222" s="127"/>
      <c r="S1222" s="31" t="str">
        <f>IF($C1222="","",IF(OR($M1222="",$N1222=""),'Lists &amp; Settings'!$O$10,IF($N1222="Fail",'Lists &amp; Settings'!$O$9,IF($N1222="Insufficient Evidence",'Lists &amp; Settings'!$O$10,IF($N1222="Pass",IF($M1222&gt;='Lists &amp; Settings'!$N$2,'Lists &amp; Settings'!$O$2,IF($M1222&gt;='Lists &amp; Settings'!$N$3,'Lists &amp; Settings'!$O$3,'Lists &amp; Settings'!$O$4)),IF($N1222="Partial",IF($M1222&gt;='Lists &amp; Settings'!$N$6,'Lists &amp; Settings'!$O$6,IF($M1222&gt;='Lists &amp; Settings'!$N$7,'Lists &amp; Settings'!$O$7,'Lists &amp; Settings'!$O$8)),'Lists &amp; Settings'!$O$10))))))</f>
        <v/>
      </c>
      <c r="T1222" s="31"/>
      <c r="U1222" s="31"/>
      <c r="V1222" s="31"/>
    </row>
    <row r="1223" ht="15.75" customHeight="1">
      <c r="B1223" s="31"/>
      <c r="N1223" s="127"/>
      <c r="S1223" s="31" t="str">
        <f>IF($C1223="","",IF(OR($M1223="",$N1223=""),'Lists &amp; Settings'!$O$10,IF($N1223="Fail",'Lists &amp; Settings'!$O$9,IF($N1223="Insufficient Evidence",'Lists &amp; Settings'!$O$10,IF($N1223="Pass",IF($M1223&gt;='Lists &amp; Settings'!$N$2,'Lists &amp; Settings'!$O$2,IF($M1223&gt;='Lists &amp; Settings'!$N$3,'Lists &amp; Settings'!$O$3,'Lists &amp; Settings'!$O$4)),IF($N1223="Partial",IF($M1223&gt;='Lists &amp; Settings'!$N$6,'Lists &amp; Settings'!$O$6,IF($M1223&gt;='Lists &amp; Settings'!$N$7,'Lists &amp; Settings'!$O$7,'Lists &amp; Settings'!$O$8)),'Lists &amp; Settings'!$O$10))))))</f>
        <v/>
      </c>
      <c r="T1223" s="31"/>
      <c r="U1223" s="31"/>
      <c r="V1223" s="31"/>
    </row>
    <row r="1224" ht="15.75" customHeight="1">
      <c r="B1224" s="31"/>
      <c r="N1224" s="127"/>
      <c r="S1224" s="31" t="str">
        <f>IF($C1224="","",IF(OR($M1224="",$N1224=""),'Lists &amp; Settings'!$O$10,IF($N1224="Fail",'Lists &amp; Settings'!$O$9,IF($N1224="Insufficient Evidence",'Lists &amp; Settings'!$O$10,IF($N1224="Pass",IF($M1224&gt;='Lists &amp; Settings'!$N$2,'Lists &amp; Settings'!$O$2,IF($M1224&gt;='Lists &amp; Settings'!$N$3,'Lists &amp; Settings'!$O$3,'Lists &amp; Settings'!$O$4)),IF($N1224="Partial",IF($M1224&gt;='Lists &amp; Settings'!$N$6,'Lists &amp; Settings'!$O$6,IF($M1224&gt;='Lists &amp; Settings'!$N$7,'Lists &amp; Settings'!$O$7,'Lists &amp; Settings'!$O$8)),'Lists &amp; Settings'!$O$10))))))</f>
        <v/>
      </c>
      <c r="T1224" s="31"/>
      <c r="U1224" s="31"/>
      <c r="V1224" s="31"/>
    </row>
    <row r="1225" ht="15.75" customHeight="1">
      <c r="B1225" s="31"/>
      <c r="N1225" s="127"/>
      <c r="S1225" s="31" t="str">
        <f>IF($C1225="","",IF(OR($M1225="",$N1225=""),'Lists &amp; Settings'!$O$10,IF($N1225="Fail",'Lists &amp; Settings'!$O$9,IF($N1225="Insufficient Evidence",'Lists &amp; Settings'!$O$10,IF($N1225="Pass",IF($M1225&gt;='Lists &amp; Settings'!$N$2,'Lists &amp; Settings'!$O$2,IF($M1225&gt;='Lists &amp; Settings'!$N$3,'Lists &amp; Settings'!$O$3,'Lists &amp; Settings'!$O$4)),IF($N1225="Partial",IF($M1225&gt;='Lists &amp; Settings'!$N$6,'Lists &amp; Settings'!$O$6,IF($M1225&gt;='Lists &amp; Settings'!$N$7,'Lists &amp; Settings'!$O$7,'Lists &amp; Settings'!$O$8)),'Lists &amp; Settings'!$O$10))))))</f>
        <v/>
      </c>
      <c r="T1225" s="31"/>
      <c r="U1225" s="31"/>
      <c r="V1225" s="31"/>
    </row>
    <row r="1226" ht="15.75" customHeight="1">
      <c r="B1226" s="31"/>
      <c r="N1226" s="127"/>
      <c r="S1226" s="31" t="str">
        <f>IF($C1226="","",IF(OR($M1226="",$N1226=""),'Lists &amp; Settings'!$O$10,IF($N1226="Fail",'Lists &amp; Settings'!$O$9,IF($N1226="Insufficient Evidence",'Lists &amp; Settings'!$O$10,IF($N1226="Pass",IF($M1226&gt;='Lists &amp; Settings'!$N$2,'Lists &amp; Settings'!$O$2,IF($M1226&gt;='Lists &amp; Settings'!$N$3,'Lists &amp; Settings'!$O$3,'Lists &amp; Settings'!$O$4)),IF($N1226="Partial",IF($M1226&gt;='Lists &amp; Settings'!$N$6,'Lists &amp; Settings'!$O$6,IF($M1226&gt;='Lists &amp; Settings'!$N$7,'Lists &amp; Settings'!$O$7,'Lists &amp; Settings'!$O$8)),'Lists &amp; Settings'!$O$10))))))</f>
        <v/>
      </c>
      <c r="T1226" s="31"/>
      <c r="U1226" s="31"/>
      <c r="V1226" s="31"/>
    </row>
    <row r="1227" ht="15.75" customHeight="1">
      <c r="B1227" s="31"/>
      <c r="N1227" s="127"/>
      <c r="S1227" s="31" t="str">
        <f>IF($C1227="","",IF(OR($M1227="",$N1227=""),'Lists &amp; Settings'!$O$10,IF($N1227="Fail",'Lists &amp; Settings'!$O$9,IF($N1227="Insufficient Evidence",'Lists &amp; Settings'!$O$10,IF($N1227="Pass",IF($M1227&gt;='Lists &amp; Settings'!$N$2,'Lists &amp; Settings'!$O$2,IF($M1227&gt;='Lists &amp; Settings'!$N$3,'Lists &amp; Settings'!$O$3,'Lists &amp; Settings'!$O$4)),IF($N1227="Partial",IF($M1227&gt;='Lists &amp; Settings'!$N$6,'Lists &amp; Settings'!$O$6,IF($M1227&gt;='Lists &amp; Settings'!$N$7,'Lists &amp; Settings'!$O$7,'Lists &amp; Settings'!$O$8)),'Lists &amp; Settings'!$O$10))))))</f>
        <v/>
      </c>
      <c r="T1227" s="31"/>
      <c r="U1227" s="31"/>
      <c r="V1227" s="31"/>
    </row>
    <row r="1228" ht="15.75" customHeight="1">
      <c r="B1228" s="31"/>
      <c r="N1228" s="127"/>
      <c r="S1228" s="31" t="str">
        <f>IF($C1228="","",IF(OR($M1228="",$N1228=""),'Lists &amp; Settings'!$O$10,IF($N1228="Fail",'Lists &amp; Settings'!$O$9,IF($N1228="Insufficient Evidence",'Lists &amp; Settings'!$O$10,IF($N1228="Pass",IF($M1228&gt;='Lists &amp; Settings'!$N$2,'Lists &amp; Settings'!$O$2,IF($M1228&gt;='Lists &amp; Settings'!$N$3,'Lists &amp; Settings'!$O$3,'Lists &amp; Settings'!$O$4)),IF($N1228="Partial",IF($M1228&gt;='Lists &amp; Settings'!$N$6,'Lists &amp; Settings'!$O$6,IF($M1228&gt;='Lists &amp; Settings'!$N$7,'Lists &amp; Settings'!$O$7,'Lists &amp; Settings'!$O$8)),'Lists &amp; Settings'!$O$10))))))</f>
        <v/>
      </c>
      <c r="T1228" s="31"/>
      <c r="U1228" s="31"/>
      <c r="V1228" s="31"/>
    </row>
    <row r="1229" ht="15.75" customHeight="1">
      <c r="B1229" s="31"/>
      <c r="N1229" s="127"/>
      <c r="S1229" s="31" t="str">
        <f>IF($C1229="","",IF(OR($M1229="",$N1229=""),'Lists &amp; Settings'!$O$10,IF($N1229="Fail",'Lists &amp; Settings'!$O$9,IF($N1229="Insufficient Evidence",'Lists &amp; Settings'!$O$10,IF($N1229="Pass",IF($M1229&gt;='Lists &amp; Settings'!$N$2,'Lists &amp; Settings'!$O$2,IF($M1229&gt;='Lists &amp; Settings'!$N$3,'Lists &amp; Settings'!$O$3,'Lists &amp; Settings'!$O$4)),IF($N1229="Partial",IF($M1229&gt;='Lists &amp; Settings'!$N$6,'Lists &amp; Settings'!$O$6,IF($M1229&gt;='Lists &amp; Settings'!$N$7,'Lists &amp; Settings'!$O$7,'Lists &amp; Settings'!$O$8)),'Lists &amp; Settings'!$O$10))))))</f>
        <v/>
      </c>
      <c r="T1229" s="31"/>
      <c r="U1229" s="31"/>
      <c r="V1229" s="31"/>
    </row>
    <row r="1230" ht="15.75" customHeight="1">
      <c r="B1230" s="31"/>
      <c r="N1230" s="127"/>
      <c r="S1230" s="31" t="str">
        <f>IF($C1230="","",IF(OR($M1230="",$N1230=""),'Lists &amp; Settings'!$O$10,IF($N1230="Fail",'Lists &amp; Settings'!$O$9,IF($N1230="Insufficient Evidence",'Lists &amp; Settings'!$O$10,IF($N1230="Pass",IF($M1230&gt;='Lists &amp; Settings'!$N$2,'Lists &amp; Settings'!$O$2,IF($M1230&gt;='Lists &amp; Settings'!$N$3,'Lists &amp; Settings'!$O$3,'Lists &amp; Settings'!$O$4)),IF($N1230="Partial",IF($M1230&gt;='Lists &amp; Settings'!$N$6,'Lists &amp; Settings'!$O$6,IF($M1230&gt;='Lists &amp; Settings'!$N$7,'Lists &amp; Settings'!$O$7,'Lists &amp; Settings'!$O$8)),'Lists &amp; Settings'!$O$10))))))</f>
        <v/>
      </c>
      <c r="T1230" s="31"/>
      <c r="U1230" s="31"/>
      <c r="V1230" s="31"/>
    </row>
    <row r="1231" ht="15.75" customHeight="1">
      <c r="B1231" s="31"/>
      <c r="N1231" s="127"/>
      <c r="S1231" s="31" t="str">
        <f>IF($C1231="","",IF(OR($M1231="",$N1231=""),'Lists &amp; Settings'!$O$10,IF($N1231="Fail",'Lists &amp; Settings'!$O$9,IF($N1231="Insufficient Evidence",'Lists &amp; Settings'!$O$10,IF($N1231="Pass",IF($M1231&gt;='Lists &amp; Settings'!$N$2,'Lists &amp; Settings'!$O$2,IF($M1231&gt;='Lists &amp; Settings'!$N$3,'Lists &amp; Settings'!$O$3,'Lists &amp; Settings'!$O$4)),IF($N1231="Partial",IF($M1231&gt;='Lists &amp; Settings'!$N$6,'Lists &amp; Settings'!$O$6,IF($M1231&gt;='Lists &amp; Settings'!$N$7,'Lists &amp; Settings'!$O$7,'Lists &amp; Settings'!$O$8)),'Lists &amp; Settings'!$O$10))))))</f>
        <v/>
      </c>
      <c r="T1231" s="31"/>
      <c r="U1231" s="31"/>
      <c r="V1231" s="31"/>
    </row>
    <row r="1232" ht="15.75" customHeight="1">
      <c r="B1232" s="31"/>
      <c r="N1232" s="127"/>
      <c r="S1232" s="31" t="str">
        <f>IF($C1232="","",IF(OR($M1232="",$N1232=""),'Lists &amp; Settings'!$O$10,IF($N1232="Fail",'Lists &amp; Settings'!$O$9,IF($N1232="Insufficient Evidence",'Lists &amp; Settings'!$O$10,IF($N1232="Pass",IF($M1232&gt;='Lists &amp; Settings'!$N$2,'Lists &amp; Settings'!$O$2,IF($M1232&gt;='Lists &amp; Settings'!$N$3,'Lists &amp; Settings'!$O$3,'Lists &amp; Settings'!$O$4)),IF($N1232="Partial",IF($M1232&gt;='Lists &amp; Settings'!$N$6,'Lists &amp; Settings'!$O$6,IF($M1232&gt;='Lists &amp; Settings'!$N$7,'Lists &amp; Settings'!$O$7,'Lists &amp; Settings'!$O$8)),'Lists &amp; Settings'!$O$10))))))</f>
        <v/>
      </c>
      <c r="T1232" s="31"/>
      <c r="U1232" s="31"/>
      <c r="V1232" s="31"/>
    </row>
    <row r="1233" ht="15.75" customHeight="1">
      <c r="B1233" s="31"/>
      <c r="N1233" s="127"/>
      <c r="S1233" s="31" t="str">
        <f>IF($C1233="","",IF(OR($M1233="",$N1233=""),'Lists &amp; Settings'!$O$10,IF($N1233="Fail",'Lists &amp; Settings'!$O$9,IF($N1233="Insufficient Evidence",'Lists &amp; Settings'!$O$10,IF($N1233="Pass",IF($M1233&gt;='Lists &amp; Settings'!$N$2,'Lists &amp; Settings'!$O$2,IF($M1233&gt;='Lists &amp; Settings'!$N$3,'Lists &amp; Settings'!$O$3,'Lists &amp; Settings'!$O$4)),IF($N1233="Partial",IF($M1233&gt;='Lists &amp; Settings'!$N$6,'Lists &amp; Settings'!$O$6,IF($M1233&gt;='Lists &amp; Settings'!$N$7,'Lists &amp; Settings'!$O$7,'Lists &amp; Settings'!$O$8)),'Lists &amp; Settings'!$O$10))))))</f>
        <v/>
      </c>
      <c r="T1233" s="31"/>
      <c r="U1233" s="31"/>
      <c r="V1233" s="31"/>
    </row>
    <row r="1234" ht="15.75" customHeight="1">
      <c r="B1234" s="31"/>
      <c r="N1234" s="127"/>
      <c r="S1234" s="31" t="str">
        <f>IF($C1234="","",IF(OR($M1234="",$N1234=""),'Lists &amp; Settings'!$O$10,IF($N1234="Fail",'Lists &amp; Settings'!$O$9,IF($N1234="Insufficient Evidence",'Lists &amp; Settings'!$O$10,IF($N1234="Pass",IF($M1234&gt;='Lists &amp; Settings'!$N$2,'Lists &amp; Settings'!$O$2,IF($M1234&gt;='Lists &amp; Settings'!$N$3,'Lists &amp; Settings'!$O$3,'Lists &amp; Settings'!$O$4)),IF($N1234="Partial",IF($M1234&gt;='Lists &amp; Settings'!$N$6,'Lists &amp; Settings'!$O$6,IF($M1234&gt;='Lists &amp; Settings'!$N$7,'Lists &amp; Settings'!$O$7,'Lists &amp; Settings'!$O$8)),'Lists &amp; Settings'!$O$10))))))</f>
        <v/>
      </c>
      <c r="T1234" s="31"/>
      <c r="U1234" s="31"/>
      <c r="V1234" s="31"/>
    </row>
    <row r="1235" ht="15.75" customHeight="1">
      <c r="B1235" s="31"/>
      <c r="N1235" s="127"/>
      <c r="S1235" s="31" t="str">
        <f>IF($C1235="","",IF(OR($M1235="",$N1235=""),'Lists &amp; Settings'!$O$10,IF($N1235="Fail",'Lists &amp; Settings'!$O$9,IF($N1235="Insufficient Evidence",'Lists &amp; Settings'!$O$10,IF($N1235="Pass",IF($M1235&gt;='Lists &amp; Settings'!$N$2,'Lists &amp; Settings'!$O$2,IF($M1235&gt;='Lists &amp; Settings'!$N$3,'Lists &amp; Settings'!$O$3,'Lists &amp; Settings'!$O$4)),IF($N1235="Partial",IF($M1235&gt;='Lists &amp; Settings'!$N$6,'Lists &amp; Settings'!$O$6,IF($M1235&gt;='Lists &amp; Settings'!$N$7,'Lists &amp; Settings'!$O$7,'Lists &amp; Settings'!$O$8)),'Lists &amp; Settings'!$O$10))))))</f>
        <v/>
      </c>
      <c r="T1235" s="31"/>
      <c r="U1235" s="31"/>
      <c r="V1235" s="31"/>
    </row>
    <row r="1236" ht="15.75" customHeight="1">
      <c r="B1236" s="31"/>
      <c r="N1236" s="127"/>
      <c r="S1236" s="31" t="str">
        <f>IF($C1236="","",IF(OR($M1236="",$N1236=""),'Lists &amp; Settings'!$O$10,IF($N1236="Fail",'Lists &amp; Settings'!$O$9,IF($N1236="Insufficient Evidence",'Lists &amp; Settings'!$O$10,IF($N1236="Pass",IF($M1236&gt;='Lists &amp; Settings'!$N$2,'Lists &amp; Settings'!$O$2,IF($M1236&gt;='Lists &amp; Settings'!$N$3,'Lists &amp; Settings'!$O$3,'Lists &amp; Settings'!$O$4)),IF($N1236="Partial",IF($M1236&gt;='Lists &amp; Settings'!$N$6,'Lists &amp; Settings'!$O$6,IF($M1236&gt;='Lists &amp; Settings'!$N$7,'Lists &amp; Settings'!$O$7,'Lists &amp; Settings'!$O$8)),'Lists &amp; Settings'!$O$10))))))</f>
        <v/>
      </c>
      <c r="T1236" s="31"/>
      <c r="U1236" s="31"/>
      <c r="V1236" s="31"/>
    </row>
    <row r="1237" ht="15.75" customHeight="1">
      <c r="B1237" s="31"/>
      <c r="N1237" s="127"/>
      <c r="S1237" s="31" t="str">
        <f>IF($C1237="","",IF(OR($M1237="",$N1237=""),'Lists &amp; Settings'!$O$10,IF($N1237="Fail",'Lists &amp; Settings'!$O$9,IF($N1237="Insufficient Evidence",'Lists &amp; Settings'!$O$10,IF($N1237="Pass",IF($M1237&gt;='Lists &amp; Settings'!$N$2,'Lists &amp; Settings'!$O$2,IF($M1237&gt;='Lists &amp; Settings'!$N$3,'Lists &amp; Settings'!$O$3,'Lists &amp; Settings'!$O$4)),IF($N1237="Partial",IF($M1237&gt;='Lists &amp; Settings'!$N$6,'Lists &amp; Settings'!$O$6,IF($M1237&gt;='Lists &amp; Settings'!$N$7,'Lists &amp; Settings'!$O$7,'Lists &amp; Settings'!$O$8)),'Lists &amp; Settings'!$O$10))))))</f>
        <v/>
      </c>
      <c r="T1237" s="31"/>
      <c r="U1237" s="31"/>
      <c r="V1237" s="31"/>
    </row>
    <row r="1238" ht="15.75" customHeight="1">
      <c r="B1238" s="31"/>
      <c r="N1238" s="127"/>
      <c r="S1238" s="31" t="str">
        <f>IF($C1238="","",IF(OR($M1238="",$N1238=""),'Lists &amp; Settings'!$O$10,IF($N1238="Fail",'Lists &amp; Settings'!$O$9,IF($N1238="Insufficient Evidence",'Lists &amp; Settings'!$O$10,IF($N1238="Pass",IF($M1238&gt;='Lists &amp; Settings'!$N$2,'Lists &amp; Settings'!$O$2,IF($M1238&gt;='Lists &amp; Settings'!$N$3,'Lists &amp; Settings'!$O$3,'Lists &amp; Settings'!$O$4)),IF($N1238="Partial",IF($M1238&gt;='Lists &amp; Settings'!$N$6,'Lists &amp; Settings'!$O$6,IF($M1238&gt;='Lists &amp; Settings'!$N$7,'Lists &amp; Settings'!$O$7,'Lists &amp; Settings'!$O$8)),'Lists &amp; Settings'!$O$10))))))</f>
        <v/>
      </c>
      <c r="T1238" s="31"/>
      <c r="U1238" s="31"/>
      <c r="V1238" s="31"/>
    </row>
    <row r="1239" ht="15.75" customHeight="1">
      <c r="B1239" s="31"/>
      <c r="N1239" s="127"/>
      <c r="S1239" s="31" t="str">
        <f>IF($C1239="","",IF(OR($M1239="",$N1239=""),'Lists &amp; Settings'!$O$10,IF($N1239="Fail",'Lists &amp; Settings'!$O$9,IF($N1239="Insufficient Evidence",'Lists &amp; Settings'!$O$10,IF($N1239="Pass",IF($M1239&gt;='Lists &amp; Settings'!$N$2,'Lists &amp; Settings'!$O$2,IF($M1239&gt;='Lists &amp; Settings'!$N$3,'Lists &amp; Settings'!$O$3,'Lists &amp; Settings'!$O$4)),IF($N1239="Partial",IF($M1239&gt;='Lists &amp; Settings'!$N$6,'Lists &amp; Settings'!$O$6,IF($M1239&gt;='Lists &amp; Settings'!$N$7,'Lists &amp; Settings'!$O$7,'Lists &amp; Settings'!$O$8)),'Lists &amp; Settings'!$O$10))))))</f>
        <v/>
      </c>
      <c r="T1239" s="31"/>
      <c r="U1239" s="31"/>
      <c r="V1239" s="31"/>
    </row>
    <row r="1240" ht="15.75" customHeight="1">
      <c r="B1240" s="31"/>
      <c r="N1240" s="127"/>
      <c r="S1240" s="31" t="str">
        <f>IF($C1240="","",IF(OR($M1240="",$N1240=""),'Lists &amp; Settings'!$O$10,IF($N1240="Fail",'Lists &amp; Settings'!$O$9,IF($N1240="Insufficient Evidence",'Lists &amp; Settings'!$O$10,IF($N1240="Pass",IF($M1240&gt;='Lists &amp; Settings'!$N$2,'Lists &amp; Settings'!$O$2,IF($M1240&gt;='Lists &amp; Settings'!$N$3,'Lists &amp; Settings'!$O$3,'Lists &amp; Settings'!$O$4)),IF($N1240="Partial",IF($M1240&gt;='Lists &amp; Settings'!$N$6,'Lists &amp; Settings'!$O$6,IF($M1240&gt;='Lists &amp; Settings'!$N$7,'Lists &amp; Settings'!$O$7,'Lists &amp; Settings'!$O$8)),'Lists &amp; Settings'!$O$10))))))</f>
        <v/>
      </c>
      <c r="T1240" s="31"/>
      <c r="U1240" s="31"/>
      <c r="V1240" s="31"/>
    </row>
    <row r="1241" ht="15.75" customHeight="1">
      <c r="B1241" s="31"/>
      <c r="N1241" s="127"/>
      <c r="S1241" s="31" t="str">
        <f>IF($C1241="","",IF(OR($M1241="",$N1241=""),'Lists &amp; Settings'!$O$10,IF($N1241="Fail",'Lists &amp; Settings'!$O$9,IF($N1241="Insufficient Evidence",'Lists &amp; Settings'!$O$10,IF($N1241="Pass",IF($M1241&gt;='Lists &amp; Settings'!$N$2,'Lists &amp; Settings'!$O$2,IF($M1241&gt;='Lists &amp; Settings'!$N$3,'Lists &amp; Settings'!$O$3,'Lists &amp; Settings'!$O$4)),IF($N1241="Partial",IF($M1241&gt;='Lists &amp; Settings'!$N$6,'Lists &amp; Settings'!$O$6,IF($M1241&gt;='Lists &amp; Settings'!$N$7,'Lists &amp; Settings'!$O$7,'Lists &amp; Settings'!$O$8)),'Lists &amp; Settings'!$O$10))))))</f>
        <v/>
      </c>
      <c r="T1241" s="31"/>
      <c r="U1241" s="31"/>
      <c r="V1241" s="31"/>
    </row>
    <row r="1242" ht="15.75" customHeight="1">
      <c r="B1242" s="31"/>
      <c r="N1242" s="127"/>
      <c r="S1242" s="31" t="str">
        <f>IF($C1242="","",IF(OR($M1242="",$N1242=""),'Lists &amp; Settings'!$O$10,IF($N1242="Fail",'Lists &amp; Settings'!$O$9,IF($N1242="Insufficient Evidence",'Lists &amp; Settings'!$O$10,IF($N1242="Pass",IF($M1242&gt;='Lists &amp; Settings'!$N$2,'Lists &amp; Settings'!$O$2,IF($M1242&gt;='Lists &amp; Settings'!$N$3,'Lists &amp; Settings'!$O$3,'Lists &amp; Settings'!$O$4)),IF($N1242="Partial",IF($M1242&gt;='Lists &amp; Settings'!$N$6,'Lists &amp; Settings'!$O$6,IF($M1242&gt;='Lists &amp; Settings'!$N$7,'Lists &amp; Settings'!$O$7,'Lists &amp; Settings'!$O$8)),'Lists &amp; Settings'!$O$10))))))</f>
        <v/>
      </c>
      <c r="T1242" s="31"/>
      <c r="U1242" s="31"/>
      <c r="V1242" s="31"/>
    </row>
    <row r="1243" ht="15.75" customHeight="1">
      <c r="B1243" s="31"/>
      <c r="N1243" s="127"/>
      <c r="S1243" s="31" t="str">
        <f>IF($C1243="","",IF(OR($M1243="",$N1243=""),'Lists &amp; Settings'!$O$10,IF($N1243="Fail",'Lists &amp; Settings'!$O$9,IF($N1243="Insufficient Evidence",'Lists &amp; Settings'!$O$10,IF($N1243="Pass",IF($M1243&gt;='Lists &amp; Settings'!$N$2,'Lists &amp; Settings'!$O$2,IF($M1243&gt;='Lists &amp; Settings'!$N$3,'Lists &amp; Settings'!$O$3,'Lists &amp; Settings'!$O$4)),IF($N1243="Partial",IF($M1243&gt;='Lists &amp; Settings'!$N$6,'Lists &amp; Settings'!$O$6,IF($M1243&gt;='Lists &amp; Settings'!$N$7,'Lists &amp; Settings'!$O$7,'Lists &amp; Settings'!$O$8)),'Lists &amp; Settings'!$O$10))))))</f>
        <v/>
      </c>
      <c r="T1243" s="31"/>
      <c r="U1243" s="31"/>
      <c r="V1243" s="31"/>
    </row>
    <row r="1244" ht="15.75" customHeight="1">
      <c r="B1244" s="31"/>
      <c r="N1244" s="127"/>
      <c r="S1244" s="31" t="str">
        <f>IF($C1244="","",IF(OR($M1244="",$N1244=""),'Lists &amp; Settings'!$O$10,IF($N1244="Fail",'Lists &amp; Settings'!$O$9,IF($N1244="Insufficient Evidence",'Lists &amp; Settings'!$O$10,IF($N1244="Pass",IF($M1244&gt;='Lists &amp; Settings'!$N$2,'Lists &amp; Settings'!$O$2,IF($M1244&gt;='Lists &amp; Settings'!$N$3,'Lists &amp; Settings'!$O$3,'Lists &amp; Settings'!$O$4)),IF($N1244="Partial",IF($M1244&gt;='Lists &amp; Settings'!$N$6,'Lists &amp; Settings'!$O$6,IF($M1244&gt;='Lists &amp; Settings'!$N$7,'Lists &amp; Settings'!$O$7,'Lists &amp; Settings'!$O$8)),'Lists &amp; Settings'!$O$10))))))</f>
        <v/>
      </c>
      <c r="T1244" s="31"/>
      <c r="U1244" s="31"/>
      <c r="V1244" s="31"/>
    </row>
    <row r="1245" ht="15.75" customHeight="1">
      <c r="B1245" s="31"/>
      <c r="N1245" s="127"/>
      <c r="S1245" s="31" t="str">
        <f>IF($C1245="","",IF(OR($M1245="",$N1245=""),'Lists &amp; Settings'!$O$10,IF($N1245="Fail",'Lists &amp; Settings'!$O$9,IF($N1245="Insufficient Evidence",'Lists &amp; Settings'!$O$10,IF($N1245="Pass",IF($M1245&gt;='Lists &amp; Settings'!$N$2,'Lists &amp; Settings'!$O$2,IF($M1245&gt;='Lists &amp; Settings'!$N$3,'Lists &amp; Settings'!$O$3,'Lists &amp; Settings'!$O$4)),IF($N1245="Partial",IF($M1245&gt;='Lists &amp; Settings'!$N$6,'Lists &amp; Settings'!$O$6,IF($M1245&gt;='Lists &amp; Settings'!$N$7,'Lists &amp; Settings'!$O$7,'Lists &amp; Settings'!$O$8)),'Lists &amp; Settings'!$O$10))))))</f>
        <v/>
      </c>
      <c r="T1245" s="31"/>
      <c r="U1245" s="31"/>
      <c r="V1245" s="31"/>
    </row>
    <row r="1246" ht="15.75" customHeight="1">
      <c r="B1246" s="31"/>
      <c r="N1246" s="127"/>
      <c r="S1246" s="31" t="str">
        <f>IF($C1246="","",IF(OR($M1246="",$N1246=""),'Lists &amp; Settings'!$O$10,IF($N1246="Fail",'Lists &amp; Settings'!$O$9,IF($N1246="Insufficient Evidence",'Lists &amp; Settings'!$O$10,IF($N1246="Pass",IF($M1246&gt;='Lists &amp; Settings'!$N$2,'Lists &amp; Settings'!$O$2,IF($M1246&gt;='Lists &amp; Settings'!$N$3,'Lists &amp; Settings'!$O$3,'Lists &amp; Settings'!$O$4)),IF($N1246="Partial",IF($M1246&gt;='Lists &amp; Settings'!$N$6,'Lists &amp; Settings'!$O$6,IF($M1246&gt;='Lists &amp; Settings'!$N$7,'Lists &amp; Settings'!$O$7,'Lists &amp; Settings'!$O$8)),'Lists &amp; Settings'!$O$10))))))</f>
        <v/>
      </c>
      <c r="T1246" s="31"/>
      <c r="U1246" s="31"/>
      <c r="V1246" s="31"/>
    </row>
    <row r="1247" ht="15.75" customHeight="1">
      <c r="B1247" s="31"/>
      <c r="N1247" s="127"/>
      <c r="S1247" s="31" t="str">
        <f>IF($C1247="","",IF(OR($M1247="",$N1247=""),'Lists &amp; Settings'!$O$10,IF($N1247="Fail",'Lists &amp; Settings'!$O$9,IF($N1247="Insufficient Evidence",'Lists &amp; Settings'!$O$10,IF($N1247="Pass",IF($M1247&gt;='Lists &amp; Settings'!$N$2,'Lists &amp; Settings'!$O$2,IF($M1247&gt;='Lists &amp; Settings'!$N$3,'Lists &amp; Settings'!$O$3,'Lists &amp; Settings'!$O$4)),IF($N1247="Partial",IF($M1247&gt;='Lists &amp; Settings'!$N$6,'Lists &amp; Settings'!$O$6,IF($M1247&gt;='Lists &amp; Settings'!$N$7,'Lists &amp; Settings'!$O$7,'Lists &amp; Settings'!$O$8)),'Lists &amp; Settings'!$O$10))))))</f>
        <v/>
      </c>
      <c r="T1247" s="31"/>
      <c r="U1247" s="31"/>
      <c r="V1247" s="31"/>
    </row>
    <row r="1248" ht="15.75" customHeight="1">
      <c r="B1248" s="31"/>
      <c r="N1248" s="127"/>
      <c r="S1248" s="31" t="str">
        <f>IF($C1248="","",IF(OR($M1248="",$N1248=""),'Lists &amp; Settings'!$O$10,IF($N1248="Fail",'Lists &amp; Settings'!$O$9,IF($N1248="Insufficient Evidence",'Lists &amp; Settings'!$O$10,IF($N1248="Pass",IF($M1248&gt;='Lists &amp; Settings'!$N$2,'Lists &amp; Settings'!$O$2,IF($M1248&gt;='Lists &amp; Settings'!$N$3,'Lists &amp; Settings'!$O$3,'Lists &amp; Settings'!$O$4)),IF($N1248="Partial",IF($M1248&gt;='Lists &amp; Settings'!$N$6,'Lists &amp; Settings'!$O$6,IF($M1248&gt;='Lists &amp; Settings'!$N$7,'Lists &amp; Settings'!$O$7,'Lists &amp; Settings'!$O$8)),'Lists &amp; Settings'!$O$10))))))</f>
        <v/>
      </c>
      <c r="T1248" s="31"/>
      <c r="U1248" s="31"/>
      <c r="V1248" s="31"/>
    </row>
    <row r="1249" ht="15.75" customHeight="1">
      <c r="B1249" s="31"/>
      <c r="N1249" s="127"/>
      <c r="S1249" s="31" t="str">
        <f>IF($C1249="","",IF(OR($M1249="",$N1249=""),'Lists &amp; Settings'!$O$10,IF($N1249="Fail",'Lists &amp; Settings'!$O$9,IF($N1249="Insufficient Evidence",'Lists &amp; Settings'!$O$10,IF($N1249="Pass",IF($M1249&gt;='Lists &amp; Settings'!$N$2,'Lists &amp; Settings'!$O$2,IF($M1249&gt;='Lists &amp; Settings'!$N$3,'Lists &amp; Settings'!$O$3,'Lists &amp; Settings'!$O$4)),IF($N1249="Partial",IF($M1249&gt;='Lists &amp; Settings'!$N$6,'Lists &amp; Settings'!$O$6,IF($M1249&gt;='Lists &amp; Settings'!$N$7,'Lists &amp; Settings'!$O$7,'Lists &amp; Settings'!$O$8)),'Lists &amp; Settings'!$O$10))))))</f>
        <v/>
      </c>
      <c r="T1249" s="31"/>
      <c r="U1249" s="31"/>
      <c r="V1249" s="31"/>
    </row>
    <row r="1250" ht="15.75" customHeight="1">
      <c r="B1250" s="31"/>
      <c r="N1250" s="127"/>
      <c r="S1250" s="31" t="str">
        <f>IF($C1250="","",IF(OR($M1250="",$N1250=""),'Lists &amp; Settings'!$O$10,IF($N1250="Fail",'Lists &amp; Settings'!$O$9,IF($N1250="Insufficient Evidence",'Lists &amp; Settings'!$O$10,IF($N1250="Pass",IF($M1250&gt;='Lists &amp; Settings'!$N$2,'Lists &amp; Settings'!$O$2,IF($M1250&gt;='Lists &amp; Settings'!$N$3,'Lists &amp; Settings'!$O$3,'Lists &amp; Settings'!$O$4)),IF($N1250="Partial",IF($M1250&gt;='Lists &amp; Settings'!$N$6,'Lists &amp; Settings'!$O$6,IF($M1250&gt;='Lists &amp; Settings'!$N$7,'Lists &amp; Settings'!$O$7,'Lists &amp; Settings'!$O$8)),'Lists &amp; Settings'!$O$10))))))</f>
        <v/>
      </c>
      <c r="T1250" s="31"/>
      <c r="U1250" s="31"/>
      <c r="V1250" s="31"/>
    </row>
    <row r="1251" ht="15.75" customHeight="1">
      <c r="B1251" s="31"/>
      <c r="N1251" s="127"/>
      <c r="S1251" s="31" t="str">
        <f>IF($C1251="","",IF(OR($M1251="",$N1251=""),'Lists &amp; Settings'!$O$10,IF($N1251="Fail",'Lists &amp; Settings'!$O$9,IF($N1251="Insufficient Evidence",'Lists &amp; Settings'!$O$10,IF($N1251="Pass",IF($M1251&gt;='Lists &amp; Settings'!$N$2,'Lists &amp; Settings'!$O$2,IF($M1251&gt;='Lists &amp; Settings'!$N$3,'Lists &amp; Settings'!$O$3,'Lists &amp; Settings'!$O$4)),IF($N1251="Partial",IF($M1251&gt;='Lists &amp; Settings'!$N$6,'Lists &amp; Settings'!$O$6,IF($M1251&gt;='Lists &amp; Settings'!$N$7,'Lists &amp; Settings'!$O$7,'Lists &amp; Settings'!$O$8)),'Lists &amp; Settings'!$O$10))))))</f>
        <v/>
      </c>
      <c r="T1251" s="31"/>
      <c r="U1251" s="31"/>
      <c r="V1251" s="31"/>
    </row>
    <row r="1252" ht="15.75" customHeight="1">
      <c r="B1252" s="31"/>
      <c r="N1252" s="127"/>
      <c r="S1252" s="31" t="str">
        <f>IF($C1252="","",IF(OR($M1252="",$N1252=""),'Lists &amp; Settings'!$O$10,IF($N1252="Fail",'Lists &amp; Settings'!$O$9,IF($N1252="Insufficient Evidence",'Lists &amp; Settings'!$O$10,IF($N1252="Pass",IF($M1252&gt;='Lists &amp; Settings'!$N$2,'Lists &amp; Settings'!$O$2,IF($M1252&gt;='Lists &amp; Settings'!$N$3,'Lists &amp; Settings'!$O$3,'Lists &amp; Settings'!$O$4)),IF($N1252="Partial",IF($M1252&gt;='Lists &amp; Settings'!$N$6,'Lists &amp; Settings'!$O$6,IF($M1252&gt;='Lists &amp; Settings'!$N$7,'Lists &amp; Settings'!$O$7,'Lists &amp; Settings'!$O$8)),'Lists &amp; Settings'!$O$10))))))</f>
        <v/>
      </c>
      <c r="T1252" s="31"/>
      <c r="U1252" s="31"/>
      <c r="V1252" s="31"/>
    </row>
    <row r="1253" ht="15.75" customHeight="1">
      <c r="B1253" s="31"/>
      <c r="N1253" s="127"/>
      <c r="S1253" s="31" t="str">
        <f>IF($C1253="","",IF(OR($M1253="",$N1253=""),'Lists &amp; Settings'!$O$10,IF($N1253="Fail",'Lists &amp; Settings'!$O$9,IF($N1253="Insufficient Evidence",'Lists &amp; Settings'!$O$10,IF($N1253="Pass",IF($M1253&gt;='Lists &amp; Settings'!$N$2,'Lists &amp; Settings'!$O$2,IF($M1253&gt;='Lists &amp; Settings'!$N$3,'Lists &amp; Settings'!$O$3,'Lists &amp; Settings'!$O$4)),IF($N1253="Partial",IF($M1253&gt;='Lists &amp; Settings'!$N$6,'Lists &amp; Settings'!$O$6,IF($M1253&gt;='Lists &amp; Settings'!$N$7,'Lists &amp; Settings'!$O$7,'Lists &amp; Settings'!$O$8)),'Lists &amp; Settings'!$O$10))))))</f>
        <v/>
      </c>
      <c r="T1253" s="31"/>
      <c r="U1253" s="31"/>
      <c r="V1253" s="31"/>
    </row>
    <row r="1254" ht="15.75" customHeight="1">
      <c r="B1254" s="31"/>
      <c r="N1254" s="127"/>
      <c r="S1254" s="31" t="str">
        <f>IF($C1254="","",IF(OR($M1254="",$N1254=""),'Lists &amp; Settings'!$O$10,IF($N1254="Fail",'Lists &amp; Settings'!$O$9,IF($N1254="Insufficient Evidence",'Lists &amp; Settings'!$O$10,IF($N1254="Pass",IF($M1254&gt;='Lists &amp; Settings'!$N$2,'Lists &amp; Settings'!$O$2,IF($M1254&gt;='Lists &amp; Settings'!$N$3,'Lists &amp; Settings'!$O$3,'Lists &amp; Settings'!$O$4)),IF($N1254="Partial",IF($M1254&gt;='Lists &amp; Settings'!$N$6,'Lists &amp; Settings'!$O$6,IF($M1254&gt;='Lists &amp; Settings'!$N$7,'Lists &amp; Settings'!$O$7,'Lists &amp; Settings'!$O$8)),'Lists &amp; Settings'!$O$10))))))</f>
        <v/>
      </c>
      <c r="T1254" s="31"/>
      <c r="U1254" s="31"/>
      <c r="V1254" s="31"/>
    </row>
    <row r="1255" ht="15.75" customHeight="1">
      <c r="B1255" s="31"/>
      <c r="N1255" s="127"/>
      <c r="S1255" s="31" t="str">
        <f>IF($C1255="","",IF(OR($M1255="",$N1255=""),'Lists &amp; Settings'!$O$10,IF($N1255="Fail",'Lists &amp; Settings'!$O$9,IF($N1255="Insufficient Evidence",'Lists &amp; Settings'!$O$10,IF($N1255="Pass",IF($M1255&gt;='Lists &amp; Settings'!$N$2,'Lists &amp; Settings'!$O$2,IF($M1255&gt;='Lists &amp; Settings'!$N$3,'Lists &amp; Settings'!$O$3,'Lists &amp; Settings'!$O$4)),IF($N1255="Partial",IF($M1255&gt;='Lists &amp; Settings'!$N$6,'Lists &amp; Settings'!$O$6,IF($M1255&gt;='Lists &amp; Settings'!$N$7,'Lists &amp; Settings'!$O$7,'Lists &amp; Settings'!$O$8)),'Lists &amp; Settings'!$O$10))))))</f>
        <v/>
      </c>
      <c r="T1255" s="31"/>
      <c r="U1255" s="31"/>
      <c r="V1255" s="31"/>
    </row>
    <row r="1256" ht="15.75" customHeight="1">
      <c r="B1256" s="31"/>
      <c r="N1256" s="127"/>
      <c r="S1256" s="31" t="str">
        <f>IF($C1256="","",IF(OR($M1256="",$N1256=""),'Lists &amp; Settings'!$O$10,IF($N1256="Fail",'Lists &amp; Settings'!$O$9,IF($N1256="Insufficient Evidence",'Lists &amp; Settings'!$O$10,IF($N1256="Pass",IF($M1256&gt;='Lists &amp; Settings'!$N$2,'Lists &amp; Settings'!$O$2,IF($M1256&gt;='Lists &amp; Settings'!$N$3,'Lists &amp; Settings'!$O$3,'Lists &amp; Settings'!$O$4)),IF($N1256="Partial",IF($M1256&gt;='Lists &amp; Settings'!$N$6,'Lists &amp; Settings'!$O$6,IF($M1256&gt;='Lists &amp; Settings'!$N$7,'Lists &amp; Settings'!$O$7,'Lists &amp; Settings'!$O$8)),'Lists &amp; Settings'!$O$10))))))</f>
        <v/>
      </c>
      <c r="T1256" s="31"/>
      <c r="U1256" s="31"/>
      <c r="V1256" s="31"/>
    </row>
    <row r="1257" ht="15.75" customHeight="1">
      <c r="B1257" s="31"/>
      <c r="N1257" s="127"/>
      <c r="S1257" s="31" t="str">
        <f>IF($C1257="","",IF(OR($M1257="",$N1257=""),'Lists &amp; Settings'!$O$10,IF($N1257="Fail",'Lists &amp; Settings'!$O$9,IF($N1257="Insufficient Evidence",'Lists &amp; Settings'!$O$10,IF($N1257="Pass",IF($M1257&gt;='Lists &amp; Settings'!$N$2,'Lists &amp; Settings'!$O$2,IF($M1257&gt;='Lists &amp; Settings'!$N$3,'Lists &amp; Settings'!$O$3,'Lists &amp; Settings'!$O$4)),IF($N1257="Partial",IF($M1257&gt;='Lists &amp; Settings'!$N$6,'Lists &amp; Settings'!$O$6,IF($M1257&gt;='Lists &amp; Settings'!$N$7,'Lists &amp; Settings'!$O$7,'Lists &amp; Settings'!$O$8)),'Lists &amp; Settings'!$O$10))))))</f>
        <v/>
      </c>
      <c r="T1257" s="31"/>
      <c r="U1257" s="31"/>
      <c r="V1257" s="31"/>
    </row>
    <row r="1258" ht="15.75" customHeight="1">
      <c r="B1258" s="31"/>
      <c r="N1258" s="127"/>
      <c r="S1258" s="31" t="str">
        <f>IF($C1258="","",IF(OR($M1258="",$N1258=""),'Lists &amp; Settings'!$O$10,IF($N1258="Fail",'Lists &amp; Settings'!$O$9,IF($N1258="Insufficient Evidence",'Lists &amp; Settings'!$O$10,IF($N1258="Pass",IF($M1258&gt;='Lists &amp; Settings'!$N$2,'Lists &amp; Settings'!$O$2,IF($M1258&gt;='Lists &amp; Settings'!$N$3,'Lists &amp; Settings'!$O$3,'Lists &amp; Settings'!$O$4)),IF($N1258="Partial",IF($M1258&gt;='Lists &amp; Settings'!$N$6,'Lists &amp; Settings'!$O$6,IF($M1258&gt;='Lists &amp; Settings'!$N$7,'Lists &amp; Settings'!$O$7,'Lists &amp; Settings'!$O$8)),'Lists &amp; Settings'!$O$10))))))</f>
        <v/>
      </c>
      <c r="T1258" s="31"/>
      <c r="U1258" s="31"/>
      <c r="V1258" s="31"/>
    </row>
    <row r="1259" ht="15.75" customHeight="1">
      <c r="B1259" s="31"/>
      <c r="N1259" s="127"/>
      <c r="S1259" s="31" t="str">
        <f>IF($C1259="","",IF(OR($M1259="",$N1259=""),'Lists &amp; Settings'!$O$10,IF($N1259="Fail",'Lists &amp; Settings'!$O$9,IF($N1259="Insufficient Evidence",'Lists &amp; Settings'!$O$10,IF($N1259="Pass",IF($M1259&gt;='Lists &amp; Settings'!$N$2,'Lists &amp; Settings'!$O$2,IF($M1259&gt;='Lists &amp; Settings'!$N$3,'Lists &amp; Settings'!$O$3,'Lists &amp; Settings'!$O$4)),IF($N1259="Partial",IF($M1259&gt;='Lists &amp; Settings'!$N$6,'Lists &amp; Settings'!$O$6,IF($M1259&gt;='Lists &amp; Settings'!$N$7,'Lists &amp; Settings'!$O$7,'Lists &amp; Settings'!$O$8)),'Lists &amp; Settings'!$O$10))))))</f>
        <v/>
      </c>
      <c r="T1259" s="31"/>
      <c r="U1259" s="31"/>
      <c r="V1259" s="31"/>
    </row>
    <row r="1260" ht="15.75" customHeight="1">
      <c r="B1260" s="31"/>
      <c r="N1260" s="127"/>
      <c r="S1260" s="31" t="str">
        <f>IF($C1260="","",IF(OR($M1260="",$N1260=""),'Lists &amp; Settings'!$O$10,IF($N1260="Fail",'Lists &amp; Settings'!$O$9,IF($N1260="Insufficient Evidence",'Lists &amp; Settings'!$O$10,IF($N1260="Pass",IF($M1260&gt;='Lists &amp; Settings'!$N$2,'Lists &amp; Settings'!$O$2,IF($M1260&gt;='Lists &amp; Settings'!$N$3,'Lists &amp; Settings'!$O$3,'Lists &amp; Settings'!$O$4)),IF($N1260="Partial",IF($M1260&gt;='Lists &amp; Settings'!$N$6,'Lists &amp; Settings'!$O$6,IF($M1260&gt;='Lists &amp; Settings'!$N$7,'Lists &amp; Settings'!$O$7,'Lists &amp; Settings'!$O$8)),'Lists &amp; Settings'!$O$10))))))</f>
        <v/>
      </c>
      <c r="T1260" s="31"/>
      <c r="U1260" s="31"/>
      <c r="V1260" s="31"/>
    </row>
    <row r="1261" ht="15.75" customHeight="1">
      <c r="B1261" s="31"/>
      <c r="N1261" s="127"/>
      <c r="S1261" s="31" t="str">
        <f>IF($C1261="","",IF(OR($M1261="",$N1261=""),'Lists &amp; Settings'!$O$10,IF($N1261="Fail",'Lists &amp; Settings'!$O$9,IF($N1261="Insufficient Evidence",'Lists &amp; Settings'!$O$10,IF($N1261="Pass",IF($M1261&gt;='Lists &amp; Settings'!$N$2,'Lists &amp; Settings'!$O$2,IF($M1261&gt;='Lists &amp; Settings'!$N$3,'Lists &amp; Settings'!$O$3,'Lists &amp; Settings'!$O$4)),IF($N1261="Partial",IF($M1261&gt;='Lists &amp; Settings'!$N$6,'Lists &amp; Settings'!$O$6,IF($M1261&gt;='Lists &amp; Settings'!$N$7,'Lists &amp; Settings'!$O$7,'Lists &amp; Settings'!$O$8)),'Lists &amp; Settings'!$O$10))))))</f>
        <v/>
      </c>
      <c r="T1261" s="31"/>
      <c r="U1261" s="31"/>
      <c r="V1261" s="31"/>
    </row>
    <row r="1262" ht="15.75" customHeight="1">
      <c r="B1262" s="31"/>
      <c r="N1262" s="127"/>
      <c r="S1262" s="31" t="str">
        <f>IF($C1262="","",IF(OR($M1262="",$N1262=""),'Lists &amp; Settings'!$O$10,IF($N1262="Fail",'Lists &amp; Settings'!$O$9,IF($N1262="Insufficient Evidence",'Lists &amp; Settings'!$O$10,IF($N1262="Pass",IF($M1262&gt;='Lists &amp; Settings'!$N$2,'Lists &amp; Settings'!$O$2,IF($M1262&gt;='Lists &amp; Settings'!$N$3,'Lists &amp; Settings'!$O$3,'Lists &amp; Settings'!$O$4)),IF($N1262="Partial",IF($M1262&gt;='Lists &amp; Settings'!$N$6,'Lists &amp; Settings'!$O$6,IF($M1262&gt;='Lists &amp; Settings'!$N$7,'Lists &amp; Settings'!$O$7,'Lists &amp; Settings'!$O$8)),'Lists &amp; Settings'!$O$10))))))</f>
        <v/>
      </c>
      <c r="T1262" s="31"/>
      <c r="U1262" s="31"/>
      <c r="V1262" s="31"/>
    </row>
    <row r="1263" ht="15.75" customHeight="1">
      <c r="B1263" s="31"/>
      <c r="N1263" s="127"/>
      <c r="S1263" s="31" t="str">
        <f>IF($C1263="","",IF(OR($M1263="",$N1263=""),'Lists &amp; Settings'!$O$10,IF($N1263="Fail",'Lists &amp; Settings'!$O$9,IF($N1263="Insufficient Evidence",'Lists &amp; Settings'!$O$10,IF($N1263="Pass",IF($M1263&gt;='Lists &amp; Settings'!$N$2,'Lists &amp; Settings'!$O$2,IF($M1263&gt;='Lists &amp; Settings'!$N$3,'Lists &amp; Settings'!$O$3,'Lists &amp; Settings'!$O$4)),IF($N1263="Partial",IF($M1263&gt;='Lists &amp; Settings'!$N$6,'Lists &amp; Settings'!$O$6,IF($M1263&gt;='Lists &amp; Settings'!$N$7,'Lists &amp; Settings'!$O$7,'Lists &amp; Settings'!$O$8)),'Lists &amp; Settings'!$O$10))))))</f>
        <v/>
      </c>
      <c r="T1263" s="31"/>
      <c r="U1263" s="31"/>
      <c r="V1263" s="31"/>
    </row>
    <row r="1264" ht="15.75" customHeight="1">
      <c r="B1264" s="31"/>
      <c r="N1264" s="127"/>
      <c r="S1264" s="31" t="str">
        <f>IF($C1264="","",IF(OR($M1264="",$N1264=""),'Lists &amp; Settings'!$O$10,IF($N1264="Fail",'Lists &amp; Settings'!$O$9,IF($N1264="Insufficient Evidence",'Lists &amp; Settings'!$O$10,IF($N1264="Pass",IF($M1264&gt;='Lists &amp; Settings'!$N$2,'Lists &amp; Settings'!$O$2,IF($M1264&gt;='Lists &amp; Settings'!$N$3,'Lists &amp; Settings'!$O$3,'Lists &amp; Settings'!$O$4)),IF($N1264="Partial",IF($M1264&gt;='Lists &amp; Settings'!$N$6,'Lists &amp; Settings'!$O$6,IF($M1264&gt;='Lists &amp; Settings'!$N$7,'Lists &amp; Settings'!$O$7,'Lists &amp; Settings'!$O$8)),'Lists &amp; Settings'!$O$10))))))</f>
        <v/>
      </c>
      <c r="T1264" s="31"/>
      <c r="U1264" s="31"/>
      <c r="V1264" s="31"/>
    </row>
    <row r="1265" ht="15.75" customHeight="1">
      <c r="B1265" s="31"/>
      <c r="N1265" s="127"/>
      <c r="S1265" s="31" t="str">
        <f>IF($C1265="","",IF(OR($M1265="",$N1265=""),'Lists &amp; Settings'!$O$10,IF($N1265="Fail",'Lists &amp; Settings'!$O$9,IF($N1265="Insufficient Evidence",'Lists &amp; Settings'!$O$10,IF($N1265="Pass",IF($M1265&gt;='Lists &amp; Settings'!$N$2,'Lists &amp; Settings'!$O$2,IF($M1265&gt;='Lists &amp; Settings'!$N$3,'Lists &amp; Settings'!$O$3,'Lists &amp; Settings'!$O$4)),IF($N1265="Partial",IF($M1265&gt;='Lists &amp; Settings'!$N$6,'Lists &amp; Settings'!$O$6,IF($M1265&gt;='Lists &amp; Settings'!$N$7,'Lists &amp; Settings'!$O$7,'Lists &amp; Settings'!$O$8)),'Lists &amp; Settings'!$O$10))))))</f>
        <v/>
      </c>
      <c r="T1265" s="31"/>
      <c r="U1265" s="31"/>
      <c r="V1265" s="31"/>
    </row>
    <row r="1266" ht="15.75" customHeight="1">
      <c r="B1266" s="31"/>
      <c r="N1266" s="127"/>
      <c r="S1266" s="31" t="str">
        <f>IF($C1266="","",IF(OR($M1266="",$N1266=""),'Lists &amp; Settings'!$O$10,IF($N1266="Fail",'Lists &amp; Settings'!$O$9,IF($N1266="Insufficient Evidence",'Lists &amp; Settings'!$O$10,IF($N1266="Pass",IF($M1266&gt;='Lists &amp; Settings'!$N$2,'Lists &amp; Settings'!$O$2,IF($M1266&gt;='Lists &amp; Settings'!$N$3,'Lists &amp; Settings'!$O$3,'Lists &amp; Settings'!$O$4)),IF($N1266="Partial",IF($M1266&gt;='Lists &amp; Settings'!$N$6,'Lists &amp; Settings'!$O$6,IF($M1266&gt;='Lists &amp; Settings'!$N$7,'Lists &amp; Settings'!$O$7,'Lists &amp; Settings'!$O$8)),'Lists &amp; Settings'!$O$10))))))</f>
        <v/>
      </c>
      <c r="T1266" s="31"/>
      <c r="U1266" s="31"/>
      <c r="V1266" s="31"/>
    </row>
    <row r="1267" ht="15.75" customHeight="1">
      <c r="B1267" s="31"/>
      <c r="N1267" s="127"/>
      <c r="S1267" s="31" t="str">
        <f>IF($C1267="","",IF(OR($M1267="",$N1267=""),'Lists &amp; Settings'!$O$10,IF($N1267="Fail",'Lists &amp; Settings'!$O$9,IF($N1267="Insufficient Evidence",'Lists &amp; Settings'!$O$10,IF($N1267="Pass",IF($M1267&gt;='Lists &amp; Settings'!$N$2,'Lists &amp; Settings'!$O$2,IF($M1267&gt;='Lists &amp; Settings'!$N$3,'Lists &amp; Settings'!$O$3,'Lists &amp; Settings'!$O$4)),IF($N1267="Partial",IF($M1267&gt;='Lists &amp; Settings'!$N$6,'Lists &amp; Settings'!$O$6,IF($M1267&gt;='Lists &amp; Settings'!$N$7,'Lists &amp; Settings'!$O$7,'Lists &amp; Settings'!$O$8)),'Lists &amp; Settings'!$O$10))))))</f>
        <v/>
      </c>
      <c r="T1267" s="31"/>
      <c r="U1267" s="31"/>
      <c r="V1267" s="31"/>
    </row>
    <row r="1268" ht="15.75" customHeight="1">
      <c r="B1268" s="31"/>
      <c r="N1268" s="127"/>
      <c r="S1268" s="31" t="str">
        <f>IF($C1268="","",IF(OR($M1268="",$N1268=""),'Lists &amp; Settings'!$O$10,IF($N1268="Fail",'Lists &amp; Settings'!$O$9,IF($N1268="Insufficient Evidence",'Lists &amp; Settings'!$O$10,IF($N1268="Pass",IF($M1268&gt;='Lists &amp; Settings'!$N$2,'Lists &amp; Settings'!$O$2,IF($M1268&gt;='Lists &amp; Settings'!$N$3,'Lists &amp; Settings'!$O$3,'Lists &amp; Settings'!$O$4)),IF($N1268="Partial",IF($M1268&gt;='Lists &amp; Settings'!$N$6,'Lists &amp; Settings'!$O$6,IF($M1268&gt;='Lists &amp; Settings'!$N$7,'Lists &amp; Settings'!$O$7,'Lists &amp; Settings'!$O$8)),'Lists &amp; Settings'!$O$10))))))</f>
        <v/>
      </c>
      <c r="T1268" s="31"/>
      <c r="U1268" s="31"/>
      <c r="V1268" s="31"/>
    </row>
    <row r="1269" ht="15.75" customHeight="1">
      <c r="B1269" s="31"/>
      <c r="N1269" s="127"/>
      <c r="S1269" s="31" t="str">
        <f>IF($C1269="","",IF(OR($M1269="",$N1269=""),'Lists &amp; Settings'!$O$10,IF($N1269="Fail",'Lists &amp; Settings'!$O$9,IF($N1269="Insufficient Evidence",'Lists &amp; Settings'!$O$10,IF($N1269="Pass",IF($M1269&gt;='Lists &amp; Settings'!$N$2,'Lists &amp; Settings'!$O$2,IF($M1269&gt;='Lists &amp; Settings'!$N$3,'Lists &amp; Settings'!$O$3,'Lists &amp; Settings'!$O$4)),IF($N1269="Partial",IF($M1269&gt;='Lists &amp; Settings'!$N$6,'Lists &amp; Settings'!$O$6,IF($M1269&gt;='Lists &amp; Settings'!$N$7,'Lists &amp; Settings'!$O$7,'Lists &amp; Settings'!$O$8)),'Lists &amp; Settings'!$O$10))))))</f>
        <v/>
      </c>
      <c r="T1269" s="31"/>
      <c r="U1269" s="31"/>
      <c r="V1269" s="31"/>
    </row>
    <row r="1270" ht="15.75" customHeight="1">
      <c r="B1270" s="31"/>
      <c r="N1270" s="127"/>
      <c r="S1270" s="31" t="str">
        <f>IF($C1270="","",IF(OR($M1270="",$N1270=""),'Lists &amp; Settings'!$O$10,IF($N1270="Fail",'Lists &amp; Settings'!$O$9,IF($N1270="Insufficient Evidence",'Lists &amp; Settings'!$O$10,IF($N1270="Pass",IF($M1270&gt;='Lists &amp; Settings'!$N$2,'Lists &amp; Settings'!$O$2,IF($M1270&gt;='Lists &amp; Settings'!$N$3,'Lists &amp; Settings'!$O$3,'Lists &amp; Settings'!$O$4)),IF($N1270="Partial",IF($M1270&gt;='Lists &amp; Settings'!$N$6,'Lists &amp; Settings'!$O$6,IF($M1270&gt;='Lists &amp; Settings'!$N$7,'Lists &amp; Settings'!$O$7,'Lists &amp; Settings'!$O$8)),'Lists &amp; Settings'!$O$10))))))</f>
        <v/>
      </c>
      <c r="T1270" s="31"/>
      <c r="U1270" s="31"/>
      <c r="V1270" s="31"/>
    </row>
    <row r="1271" ht="15.75" customHeight="1">
      <c r="B1271" s="31"/>
      <c r="N1271" s="127"/>
      <c r="S1271" s="31" t="str">
        <f>IF($C1271="","",IF(OR($M1271="",$N1271=""),'Lists &amp; Settings'!$O$10,IF($N1271="Fail",'Lists &amp; Settings'!$O$9,IF($N1271="Insufficient Evidence",'Lists &amp; Settings'!$O$10,IF($N1271="Pass",IF($M1271&gt;='Lists &amp; Settings'!$N$2,'Lists &amp; Settings'!$O$2,IF($M1271&gt;='Lists &amp; Settings'!$N$3,'Lists &amp; Settings'!$O$3,'Lists &amp; Settings'!$O$4)),IF($N1271="Partial",IF($M1271&gt;='Lists &amp; Settings'!$N$6,'Lists &amp; Settings'!$O$6,IF($M1271&gt;='Lists &amp; Settings'!$N$7,'Lists &amp; Settings'!$O$7,'Lists &amp; Settings'!$O$8)),'Lists &amp; Settings'!$O$10))))))</f>
        <v/>
      </c>
      <c r="T1271" s="31"/>
      <c r="U1271" s="31"/>
      <c r="V1271" s="31"/>
    </row>
    <row r="1272" ht="15.75" customHeight="1">
      <c r="B1272" s="31"/>
      <c r="N1272" s="127"/>
      <c r="S1272" s="31" t="str">
        <f>IF($C1272="","",IF(OR($M1272="",$N1272=""),'Lists &amp; Settings'!$O$10,IF($N1272="Fail",'Lists &amp; Settings'!$O$9,IF($N1272="Insufficient Evidence",'Lists &amp; Settings'!$O$10,IF($N1272="Pass",IF($M1272&gt;='Lists &amp; Settings'!$N$2,'Lists &amp; Settings'!$O$2,IF($M1272&gt;='Lists &amp; Settings'!$N$3,'Lists &amp; Settings'!$O$3,'Lists &amp; Settings'!$O$4)),IF($N1272="Partial",IF($M1272&gt;='Lists &amp; Settings'!$N$6,'Lists &amp; Settings'!$O$6,IF($M1272&gt;='Lists &amp; Settings'!$N$7,'Lists &amp; Settings'!$O$7,'Lists &amp; Settings'!$O$8)),'Lists &amp; Settings'!$O$10))))))</f>
        <v/>
      </c>
      <c r="T1272" s="31"/>
      <c r="U1272" s="31"/>
      <c r="V1272" s="31"/>
    </row>
    <row r="1273" ht="15.75" customHeight="1">
      <c r="B1273" s="31"/>
      <c r="N1273" s="127"/>
      <c r="S1273" s="31" t="str">
        <f>IF($C1273="","",IF(OR($M1273="",$N1273=""),'Lists &amp; Settings'!$O$10,IF($N1273="Fail",'Lists &amp; Settings'!$O$9,IF($N1273="Insufficient Evidence",'Lists &amp; Settings'!$O$10,IF($N1273="Pass",IF($M1273&gt;='Lists &amp; Settings'!$N$2,'Lists &amp; Settings'!$O$2,IF($M1273&gt;='Lists &amp; Settings'!$N$3,'Lists &amp; Settings'!$O$3,'Lists &amp; Settings'!$O$4)),IF($N1273="Partial",IF($M1273&gt;='Lists &amp; Settings'!$N$6,'Lists &amp; Settings'!$O$6,IF($M1273&gt;='Lists &amp; Settings'!$N$7,'Lists &amp; Settings'!$O$7,'Lists &amp; Settings'!$O$8)),'Lists &amp; Settings'!$O$10))))))</f>
        <v/>
      </c>
      <c r="T1273" s="31"/>
      <c r="U1273" s="31"/>
      <c r="V1273" s="31"/>
    </row>
    <row r="1274" ht="15.75" customHeight="1">
      <c r="B1274" s="31"/>
      <c r="N1274" s="127"/>
      <c r="S1274" s="31" t="str">
        <f>IF($C1274="","",IF(OR($M1274="",$N1274=""),'Lists &amp; Settings'!$O$10,IF($N1274="Fail",'Lists &amp; Settings'!$O$9,IF($N1274="Insufficient Evidence",'Lists &amp; Settings'!$O$10,IF($N1274="Pass",IF($M1274&gt;='Lists &amp; Settings'!$N$2,'Lists &amp; Settings'!$O$2,IF($M1274&gt;='Lists &amp; Settings'!$N$3,'Lists &amp; Settings'!$O$3,'Lists &amp; Settings'!$O$4)),IF($N1274="Partial",IF($M1274&gt;='Lists &amp; Settings'!$N$6,'Lists &amp; Settings'!$O$6,IF($M1274&gt;='Lists &amp; Settings'!$N$7,'Lists &amp; Settings'!$O$7,'Lists &amp; Settings'!$O$8)),'Lists &amp; Settings'!$O$10))))))</f>
        <v/>
      </c>
      <c r="T1274" s="31"/>
      <c r="U1274" s="31"/>
      <c r="V1274" s="31"/>
    </row>
    <row r="1275" ht="15.75" customHeight="1">
      <c r="B1275" s="31"/>
      <c r="N1275" s="127"/>
      <c r="S1275" s="31" t="str">
        <f>IF($C1275="","",IF(OR($M1275="",$N1275=""),'Lists &amp; Settings'!$O$10,IF($N1275="Fail",'Lists &amp; Settings'!$O$9,IF($N1275="Insufficient Evidence",'Lists &amp; Settings'!$O$10,IF($N1275="Pass",IF($M1275&gt;='Lists &amp; Settings'!$N$2,'Lists &amp; Settings'!$O$2,IF($M1275&gt;='Lists &amp; Settings'!$N$3,'Lists &amp; Settings'!$O$3,'Lists &amp; Settings'!$O$4)),IF($N1275="Partial",IF($M1275&gt;='Lists &amp; Settings'!$N$6,'Lists &amp; Settings'!$O$6,IF($M1275&gt;='Lists &amp; Settings'!$N$7,'Lists &amp; Settings'!$O$7,'Lists &amp; Settings'!$O$8)),'Lists &amp; Settings'!$O$10))))))</f>
        <v/>
      </c>
      <c r="T1275" s="31"/>
      <c r="U1275" s="31"/>
      <c r="V1275" s="31"/>
    </row>
    <row r="1276" ht="15.75" customHeight="1">
      <c r="B1276" s="31"/>
      <c r="N1276" s="127"/>
      <c r="S1276" s="31" t="str">
        <f>IF($C1276="","",IF(OR($M1276="",$N1276=""),'Lists &amp; Settings'!$O$10,IF($N1276="Fail",'Lists &amp; Settings'!$O$9,IF($N1276="Insufficient Evidence",'Lists &amp; Settings'!$O$10,IF($N1276="Pass",IF($M1276&gt;='Lists &amp; Settings'!$N$2,'Lists &amp; Settings'!$O$2,IF($M1276&gt;='Lists &amp; Settings'!$N$3,'Lists &amp; Settings'!$O$3,'Lists &amp; Settings'!$O$4)),IF($N1276="Partial",IF($M1276&gt;='Lists &amp; Settings'!$N$6,'Lists &amp; Settings'!$O$6,IF($M1276&gt;='Lists &amp; Settings'!$N$7,'Lists &amp; Settings'!$O$7,'Lists &amp; Settings'!$O$8)),'Lists &amp; Settings'!$O$10))))))</f>
        <v/>
      </c>
      <c r="T1276" s="31"/>
      <c r="U1276" s="31"/>
      <c r="V1276" s="31"/>
    </row>
    <row r="1277" ht="15.75" customHeight="1">
      <c r="B1277" s="31"/>
      <c r="N1277" s="127"/>
      <c r="S1277" s="31" t="str">
        <f>IF($C1277="","",IF(OR($M1277="",$N1277=""),'Lists &amp; Settings'!$O$10,IF($N1277="Fail",'Lists &amp; Settings'!$O$9,IF($N1277="Insufficient Evidence",'Lists &amp; Settings'!$O$10,IF($N1277="Pass",IF($M1277&gt;='Lists &amp; Settings'!$N$2,'Lists &amp; Settings'!$O$2,IF($M1277&gt;='Lists &amp; Settings'!$N$3,'Lists &amp; Settings'!$O$3,'Lists &amp; Settings'!$O$4)),IF($N1277="Partial",IF($M1277&gt;='Lists &amp; Settings'!$N$6,'Lists &amp; Settings'!$O$6,IF($M1277&gt;='Lists &amp; Settings'!$N$7,'Lists &amp; Settings'!$O$7,'Lists &amp; Settings'!$O$8)),'Lists &amp; Settings'!$O$10))))))</f>
        <v/>
      </c>
      <c r="T1277" s="31"/>
      <c r="U1277" s="31"/>
      <c r="V1277" s="31"/>
    </row>
    <row r="1278" ht="15.75" customHeight="1">
      <c r="B1278" s="31"/>
      <c r="N1278" s="127"/>
      <c r="S1278" s="31" t="str">
        <f>IF($C1278="","",IF(OR($M1278="",$N1278=""),'Lists &amp; Settings'!$O$10,IF($N1278="Fail",'Lists &amp; Settings'!$O$9,IF($N1278="Insufficient Evidence",'Lists &amp; Settings'!$O$10,IF($N1278="Pass",IF($M1278&gt;='Lists &amp; Settings'!$N$2,'Lists &amp; Settings'!$O$2,IF($M1278&gt;='Lists &amp; Settings'!$N$3,'Lists &amp; Settings'!$O$3,'Lists &amp; Settings'!$O$4)),IF($N1278="Partial",IF($M1278&gt;='Lists &amp; Settings'!$N$6,'Lists &amp; Settings'!$O$6,IF($M1278&gt;='Lists &amp; Settings'!$N$7,'Lists &amp; Settings'!$O$7,'Lists &amp; Settings'!$O$8)),'Lists &amp; Settings'!$O$10))))))</f>
        <v/>
      </c>
      <c r="T1278" s="31"/>
      <c r="U1278" s="31"/>
      <c r="V1278" s="31"/>
    </row>
    <row r="1279" ht="15.75" customHeight="1">
      <c r="B1279" s="31"/>
      <c r="N1279" s="127"/>
      <c r="S1279" s="31" t="str">
        <f>IF($C1279="","",IF(OR($M1279="",$N1279=""),'Lists &amp; Settings'!$O$10,IF($N1279="Fail",'Lists &amp; Settings'!$O$9,IF($N1279="Insufficient Evidence",'Lists &amp; Settings'!$O$10,IF($N1279="Pass",IF($M1279&gt;='Lists &amp; Settings'!$N$2,'Lists &amp; Settings'!$O$2,IF($M1279&gt;='Lists &amp; Settings'!$N$3,'Lists &amp; Settings'!$O$3,'Lists &amp; Settings'!$O$4)),IF($N1279="Partial",IF($M1279&gt;='Lists &amp; Settings'!$N$6,'Lists &amp; Settings'!$O$6,IF($M1279&gt;='Lists &amp; Settings'!$N$7,'Lists &amp; Settings'!$O$7,'Lists &amp; Settings'!$O$8)),'Lists &amp; Settings'!$O$10))))))</f>
        <v/>
      </c>
      <c r="T1279" s="31"/>
      <c r="U1279" s="31"/>
      <c r="V1279" s="31"/>
    </row>
    <row r="1280" ht="15.75" customHeight="1">
      <c r="B1280" s="31"/>
      <c r="N1280" s="127"/>
      <c r="S1280" s="31" t="str">
        <f>IF($C1280="","",IF(OR($M1280="",$N1280=""),'Lists &amp; Settings'!$O$10,IF($N1280="Fail",'Lists &amp; Settings'!$O$9,IF($N1280="Insufficient Evidence",'Lists &amp; Settings'!$O$10,IF($N1280="Pass",IF($M1280&gt;='Lists &amp; Settings'!$N$2,'Lists &amp; Settings'!$O$2,IF($M1280&gt;='Lists &amp; Settings'!$N$3,'Lists &amp; Settings'!$O$3,'Lists &amp; Settings'!$O$4)),IF($N1280="Partial",IF($M1280&gt;='Lists &amp; Settings'!$N$6,'Lists &amp; Settings'!$O$6,IF($M1280&gt;='Lists &amp; Settings'!$N$7,'Lists &amp; Settings'!$O$7,'Lists &amp; Settings'!$O$8)),'Lists &amp; Settings'!$O$10))))))</f>
        <v/>
      </c>
      <c r="T1280" s="31"/>
      <c r="U1280" s="31"/>
      <c r="V1280" s="31"/>
    </row>
    <row r="1281" ht="15.75" customHeight="1">
      <c r="B1281" s="31"/>
      <c r="N1281" s="127"/>
      <c r="S1281" s="31" t="str">
        <f>IF($C1281="","",IF(OR($M1281="",$N1281=""),'Lists &amp; Settings'!$O$10,IF($N1281="Fail",'Lists &amp; Settings'!$O$9,IF($N1281="Insufficient Evidence",'Lists &amp; Settings'!$O$10,IF($N1281="Pass",IF($M1281&gt;='Lists &amp; Settings'!$N$2,'Lists &amp; Settings'!$O$2,IF($M1281&gt;='Lists &amp; Settings'!$N$3,'Lists &amp; Settings'!$O$3,'Lists &amp; Settings'!$O$4)),IF($N1281="Partial",IF($M1281&gt;='Lists &amp; Settings'!$N$6,'Lists &amp; Settings'!$O$6,IF($M1281&gt;='Lists &amp; Settings'!$N$7,'Lists &amp; Settings'!$O$7,'Lists &amp; Settings'!$O$8)),'Lists &amp; Settings'!$O$10))))))</f>
        <v/>
      </c>
      <c r="T1281" s="31"/>
      <c r="U1281" s="31"/>
      <c r="V1281" s="31"/>
    </row>
    <row r="1282" ht="15.75" customHeight="1">
      <c r="B1282" s="31"/>
      <c r="N1282" s="127"/>
      <c r="S1282" s="31" t="str">
        <f>IF($C1282="","",IF(OR($M1282="",$N1282=""),'Lists &amp; Settings'!$O$10,IF($N1282="Fail",'Lists &amp; Settings'!$O$9,IF($N1282="Insufficient Evidence",'Lists &amp; Settings'!$O$10,IF($N1282="Pass",IF($M1282&gt;='Lists &amp; Settings'!$N$2,'Lists &amp; Settings'!$O$2,IF($M1282&gt;='Lists &amp; Settings'!$N$3,'Lists &amp; Settings'!$O$3,'Lists &amp; Settings'!$O$4)),IF($N1282="Partial",IF($M1282&gt;='Lists &amp; Settings'!$N$6,'Lists &amp; Settings'!$O$6,IF($M1282&gt;='Lists &amp; Settings'!$N$7,'Lists &amp; Settings'!$O$7,'Lists &amp; Settings'!$O$8)),'Lists &amp; Settings'!$O$10))))))</f>
        <v/>
      </c>
      <c r="T1282" s="31"/>
      <c r="U1282" s="31"/>
      <c r="V1282" s="31"/>
    </row>
    <row r="1283" ht="15.75" customHeight="1">
      <c r="B1283" s="31"/>
      <c r="N1283" s="127"/>
      <c r="S1283" s="31" t="str">
        <f>IF($C1283="","",IF(OR($M1283="",$N1283=""),'Lists &amp; Settings'!$O$10,IF($N1283="Fail",'Lists &amp; Settings'!$O$9,IF($N1283="Insufficient Evidence",'Lists &amp; Settings'!$O$10,IF($N1283="Pass",IF($M1283&gt;='Lists &amp; Settings'!$N$2,'Lists &amp; Settings'!$O$2,IF($M1283&gt;='Lists &amp; Settings'!$N$3,'Lists &amp; Settings'!$O$3,'Lists &amp; Settings'!$O$4)),IF($N1283="Partial",IF($M1283&gt;='Lists &amp; Settings'!$N$6,'Lists &amp; Settings'!$O$6,IF($M1283&gt;='Lists &amp; Settings'!$N$7,'Lists &amp; Settings'!$O$7,'Lists &amp; Settings'!$O$8)),'Lists &amp; Settings'!$O$10))))))</f>
        <v/>
      </c>
      <c r="T1283" s="31"/>
      <c r="U1283" s="31"/>
      <c r="V1283" s="31"/>
    </row>
    <row r="1284" ht="15.75" customHeight="1">
      <c r="B1284" s="31"/>
      <c r="N1284" s="127"/>
      <c r="S1284" s="31" t="str">
        <f>IF($C1284="","",IF(OR($M1284="",$N1284=""),'Lists &amp; Settings'!$O$10,IF($N1284="Fail",'Lists &amp; Settings'!$O$9,IF($N1284="Insufficient Evidence",'Lists &amp; Settings'!$O$10,IF($N1284="Pass",IF($M1284&gt;='Lists &amp; Settings'!$N$2,'Lists &amp; Settings'!$O$2,IF($M1284&gt;='Lists &amp; Settings'!$N$3,'Lists &amp; Settings'!$O$3,'Lists &amp; Settings'!$O$4)),IF($N1284="Partial",IF($M1284&gt;='Lists &amp; Settings'!$N$6,'Lists &amp; Settings'!$O$6,IF($M1284&gt;='Lists &amp; Settings'!$N$7,'Lists &amp; Settings'!$O$7,'Lists &amp; Settings'!$O$8)),'Lists &amp; Settings'!$O$10))))))</f>
        <v/>
      </c>
      <c r="T1284" s="31"/>
      <c r="U1284" s="31"/>
      <c r="V1284" s="31"/>
    </row>
    <row r="1285" ht="15.75" customHeight="1">
      <c r="B1285" s="31"/>
      <c r="N1285" s="127"/>
      <c r="S1285" s="31" t="str">
        <f>IF($C1285="","",IF(OR($M1285="",$N1285=""),'Lists &amp; Settings'!$O$10,IF($N1285="Fail",'Lists &amp; Settings'!$O$9,IF($N1285="Insufficient Evidence",'Lists &amp; Settings'!$O$10,IF($N1285="Pass",IF($M1285&gt;='Lists &amp; Settings'!$N$2,'Lists &amp; Settings'!$O$2,IF($M1285&gt;='Lists &amp; Settings'!$N$3,'Lists &amp; Settings'!$O$3,'Lists &amp; Settings'!$O$4)),IF($N1285="Partial",IF($M1285&gt;='Lists &amp; Settings'!$N$6,'Lists &amp; Settings'!$O$6,IF($M1285&gt;='Lists &amp; Settings'!$N$7,'Lists &amp; Settings'!$O$7,'Lists &amp; Settings'!$O$8)),'Lists &amp; Settings'!$O$10))))))</f>
        <v/>
      </c>
      <c r="T1285" s="31"/>
      <c r="U1285" s="31"/>
      <c r="V1285" s="31"/>
    </row>
    <row r="1286" ht="15.75" customHeight="1">
      <c r="B1286" s="31"/>
      <c r="N1286" s="127"/>
      <c r="S1286" s="31" t="str">
        <f>IF($C1286="","",IF(OR($M1286="",$N1286=""),'Lists &amp; Settings'!$O$10,IF($N1286="Fail",'Lists &amp; Settings'!$O$9,IF($N1286="Insufficient Evidence",'Lists &amp; Settings'!$O$10,IF($N1286="Pass",IF($M1286&gt;='Lists &amp; Settings'!$N$2,'Lists &amp; Settings'!$O$2,IF($M1286&gt;='Lists &amp; Settings'!$N$3,'Lists &amp; Settings'!$O$3,'Lists &amp; Settings'!$O$4)),IF($N1286="Partial",IF($M1286&gt;='Lists &amp; Settings'!$N$6,'Lists &amp; Settings'!$O$6,IF($M1286&gt;='Lists &amp; Settings'!$N$7,'Lists &amp; Settings'!$O$7,'Lists &amp; Settings'!$O$8)),'Lists &amp; Settings'!$O$10))))))</f>
        <v/>
      </c>
      <c r="T1286" s="31"/>
      <c r="U1286" s="31"/>
      <c r="V1286" s="31"/>
    </row>
    <row r="1287" ht="15.75" customHeight="1">
      <c r="B1287" s="31"/>
      <c r="N1287" s="127"/>
      <c r="S1287" s="31" t="str">
        <f>IF($C1287="","",IF(OR($M1287="",$N1287=""),'Lists &amp; Settings'!$O$10,IF($N1287="Fail",'Lists &amp; Settings'!$O$9,IF($N1287="Insufficient Evidence",'Lists &amp; Settings'!$O$10,IF($N1287="Pass",IF($M1287&gt;='Lists &amp; Settings'!$N$2,'Lists &amp; Settings'!$O$2,IF($M1287&gt;='Lists &amp; Settings'!$N$3,'Lists &amp; Settings'!$O$3,'Lists &amp; Settings'!$O$4)),IF($N1287="Partial",IF($M1287&gt;='Lists &amp; Settings'!$N$6,'Lists &amp; Settings'!$O$6,IF($M1287&gt;='Lists &amp; Settings'!$N$7,'Lists &amp; Settings'!$O$7,'Lists &amp; Settings'!$O$8)),'Lists &amp; Settings'!$O$10))))))</f>
        <v/>
      </c>
      <c r="T1287" s="31"/>
      <c r="U1287" s="31"/>
      <c r="V1287" s="31"/>
    </row>
    <row r="1288" ht="15.75" customHeight="1">
      <c r="B1288" s="31"/>
      <c r="N1288" s="127"/>
      <c r="S1288" s="31" t="str">
        <f>IF($C1288="","",IF(OR($M1288="",$N1288=""),'Lists &amp; Settings'!$O$10,IF($N1288="Fail",'Lists &amp; Settings'!$O$9,IF($N1288="Insufficient Evidence",'Lists &amp; Settings'!$O$10,IF($N1288="Pass",IF($M1288&gt;='Lists &amp; Settings'!$N$2,'Lists &amp; Settings'!$O$2,IF($M1288&gt;='Lists &amp; Settings'!$N$3,'Lists &amp; Settings'!$O$3,'Lists &amp; Settings'!$O$4)),IF($N1288="Partial",IF($M1288&gt;='Lists &amp; Settings'!$N$6,'Lists &amp; Settings'!$O$6,IF($M1288&gt;='Lists &amp; Settings'!$N$7,'Lists &amp; Settings'!$O$7,'Lists &amp; Settings'!$O$8)),'Lists &amp; Settings'!$O$10))))))</f>
        <v/>
      </c>
      <c r="T1288" s="31"/>
      <c r="U1288" s="31"/>
      <c r="V1288" s="31"/>
    </row>
    <row r="1289" ht="15.75" customHeight="1">
      <c r="B1289" s="31"/>
      <c r="N1289" s="127"/>
      <c r="S1289" s="31" t="str">
        <f>IF($C1289="","",IF(OR($M1289="",$N1289=""),'Lists &amp; Settings'!$O$10,IF($N1289="Fail",'Lists &amp; Settings'!$O$9,IF($N1289="Insufficient Evidence",'Lists &amp; Settings'!$O$10,IF($N1289="Pass",IF($M1289&gt;='Lists &amp; Settings'!$N$2,'Lists &amp; Settings'!$O$2,IF($M1289&gt;='Lists &amp; Settings'!$N$3,'Lists &amp; Settings'!$O$3,'Lists &amp; Settings'!$O$4)),IF($N1289="Partial",IF($M1289&gt;='Lists &amp; Settings'!$N$6,'Lists &amp; Settings'!$O$6,IF($M1289&gt;='Lists &amp; Settings'!$N$7,'Lists &amp; Settings'!$O$7,'Lists &amp; Settings'!$O$8)),'Lists &amp; Settings'!$O$10))))))</f>
        <v/>
      </c>
      <c r="T1289" s="31"/>
      <c r="U1289" s="31"/>
      <c r="V1289" s="31"/>
    </row>
    <row r="1290" ht="15.75" customHeight="1">
      <c r="B1290" s="31"/>
      <c r="N1290" s="127"/>
      <c r="S1290" s="31" t="str">
        <f>IF($C1290="","",IF(OR($M1290="",$N1290=""),'Lists &amp; Settings'!$O$10,IF($N1290="Fail",'Lists &amp; Settings'!$O$9,IF($N1290="Insufficient Evidence",'Lists &amp; Settings'!$O$10,IF($N1290="Pass",IF($M1290&gt;='Lists &amp; Settings'!$N$2,'Lists &amp; Settings'!$O$2,IF($M1290&gt;='Lists &amp; Settings'!$N$3,'Lists &amp; Settings'!$O$3,'Lists &amp; Settings'!$O$4)),IF($N1290="Partial",IF($M1290&gt;='Lists &amp; Settings'!$N$6,'Lists &amp; Settings'!$O$6,IF($M1290&gt;='Lists &amp; Settings'!$N$7,'Lists &amp; Settings'!$O$7,'Lists &amp; Settings'!$O$8)),'Lists &amp; Settings'!$O$10))))))</f>
        <v/>
      </c>
      <c r="T1290" s="31"/>
      <c r="U1290" s="31"/>
      <c r="V1290" s="31"/>
    </row>
    <row r="1291" ht="15.75" customHeight="1">
      <c r="B1291" s="31"/>
      <c r="N1291" s="127"/>
      <c r="S1291" s="31" t="str">
        <f>IF($C1291="","",IF(OR($M1291="",$N1291=""),'Lists &amp; Settings'!$O$10,IF($N1291="Fail",'Lists &amp; Settings'!$O$9,IF($N1291="Insufficient Evidence",'Lists &amp; Settings'!$O$10,IF($N1291="Pass",IF($M1291&gt;='Lists &amp; Settings'!$N$2,'Lists &amp; Settings'!$O$2,IF($M1291&gt;='Lists &amp; Settings'!$N$3,'Lists &amp; Settings'!$O$3,'Lists &amp; Settings'!$O$4)),IF($N1291="Partial",IF($M1291&gt;='Lists &amp; Settings'!$N$6,'Lists &amp; Settings'!$O$6,IF($M1291&gt;='Lists &amp; Settings'!$N$7,'Lists &amp; Settings'!$O$7,'Lists &amp; Settings'!$O$8)),'Lists &amp; Settings'!$O$10))))))</f>
        <v/>
      </c>
      <c r="T1291" s="31"/>
      <c r="U1291" s="31"/>
      <c r="V1291" s="31"/>
    </row>
    <row r="1292" ht="15.75" customHeight="1">
      <c r="B1292" s="31"/>
      <c r="N1292" s="127"/>
      <c r="S1292" s="31" t="str">
        <f>IF($C1292="","",IF(OR($M1292="",$N1292=""),'Lists &amp; Settings'!$O$10,IF($N1292="Fail",'Lists &amp; Settings'!$O$9,IF($N1292="Insufficient Evidence",'Lists &amp; Settings'!$O$10,IF($N1292="Pass",IF($M1292&gt;='Lists &amp; Settings'!$N$2,'Lists &amp; Settings'!$O$2,IF($M1292&gt;='Lists &amp; Settings'!$N$3,'Lists &amp; Settings'!$O$3,'Lists &amp; Settings'!$O$4)),IF($N1292="Partial",IF($M1292&gt;='Lists &amp; Settings'!$N$6,'Lists &amp; Settings'!$O$6,IF($M1292&gt;='Lists &amp; Settings'!$N$7,'Lists &amp; Settings'!$O$7,'Lists &amp; Settings'!$O$8)),'Lists &amp; Settings'!$O$10))))))</f>
        <v/>
      </c>
      <c r="T1292" s="31"/>
      <c r="U1292" s="31"/>
      <c r="V1292" s="31"/>
    </row>
    <row r="1293" ht="15.75" customHeight="1">
      <c r="B1293" s="31"/>
      <c r="N1293" s="127"/>
      <c r="S1293" s="31" t="str">
        <f>IF($C1293="","",IF(OR($M1293="",$N1293=""),'Lists &amp; Settings'!$O$10,IF($N1293="Fail",'Lists &amp; Settings'!$O$9,IF($N1293="Insufficient Evidence",'Lists &amp; Settings'!$O$10,IF($N1293="Pass",IF($M1293&gt;='Lists &amp; Settings'!$N$2,'Lists &amp; Settings'!$O$2,IF($M1293&gt;='Lists &amp; Settings'!$N$3,'Lists &amp; Settings'!$O$3,'Lists &amp; Settings'!$O$4)),IF($N1293="Partial",IF($M1293&gt;='Lists &amp; Settings'!$N$6,'Lists &amp; Settings'!$O$6,IF($M1293&gt;='Lists &amp; Settings'!$N$7,'Lists &amp; Settings'!$O$7,'Lists &amp; Settings'!$O$8)),'Lists &amp; Settings'!$O$10))))))</f>
        <v/>
      </c>
      <c r="T1293" s="31"/>
      <c r="U1293" s="31"/>
      <c r="V1293" s="31"/>
    </row>
    <row r="1294" ht="15.75" customHeight="1">
      <c r="B1294" s="31"/>
      <c r="N1294" s="127"/>
      <c r="S1294" s="31" t="str">
        <f>IF($C1294="","",IF(OR($M1294="",$N1294=""),'Lists &amp; Settings'!$O$10,IF($N1294="Fail",'Lists &amp; Settings'!$O$9,IF($N1294="Insufficient Evidence",'Lists &amp; Settings'!$O$10,IF($N1294="Pass",IF($M1294&gt;='Lists &amp; Settings'!$N$2,'Lists &amp; Settings'!$O$2,IF($M1294&gt;='Lists &amp; Settings'!$N$3,'Lists &amp; Settings'!$O$3,'Lists &amp; Settings'!$O$4)),IF($N1294="Partial",IF($M1294&gt;='Lists &amp; Settings'!$N$6,'Lists &amp; Settings'!$O$6,IF($M1294&gt;='Lists &amp; Settings'!$N$7,'Lists &amp; Settings'!$O$7,'Lists &amp; Settings'!$O$8)),'Lists &amp; Settings'!$O$10))))))</f>
        <v/>
      </c>
      <c r="T1294" s="31"/>
      <c r="U1294" s="31"/>
      <c r="V1294" s="31"/>
    </row>
    <row r="1295" ht="15.75" customHeight="1">
      <c r="B1295" s="31"/>
      <c r="N1295" s="127"/>
      <c r="S1295" s="31" t="str">
        <f>IF($C1295="","",IF(OR($M1295="",$N1295=""),'Lists &amp; Settings'!$O$10,IF($N1295="Fail",'Lists &amp; Settings'!$O$9,IF($N1295="Insufficient Evidence",'Lists &amp; Settings'!$O$10,IF($N1295="Pass",IF($M1295&gt;='Lists &amp; Settings'!$N$2,'Lists &amp; Settings'!$O$2,IF($M1295&gt;='Lists &amp; Settings'!$N$3,'Lists &amp; Settings'!$O$3,'Lists &amp; Settings'!$O$4)),IF($N1295="Partial",IF($M1295&gt;='Lists &amp; Settings'!$N$6,'Lists &amp; Settings'!$O$6,IF($M1295&gt;='Lists &amp; Settings'!$N$7,'Lists &amp; Settings'!$O$7,'Lists &amp; Settings'!$O$8)),'Lists &amp; Settings'!$O$10))))))</f>
        <v/>
      </c>
      <c r="T1295" s="31"/>
      <c r="U1295" s="31"/>
      <c r="V1295" s="31"/>
    </row>
    <row r="1296" ht="15.75" customHeight="1">
      <c r="B1296" s="31"/>
      <c r="N1296" s="127"/>
      <c r="S1296" s="31" t="str">
        <f>IF($C1296="","",IF(OR($M1296="",$N1296=""),'Lists &amp; Settings'!$O$10,IF($N1296="Fail",'Lists &amp; Settings'!$O$9,IF($N1296="Insufficient Evidence",'Lists &amp; Settings'!$O$10,IF($N1296="Pass",IF($M1296&gt;='Lists &amp; Settings'!$N$2,'Lists &amp; Settings'!$O$2,IF($M1296&gt;='Lists &amp; Settings'!$N$3,'Lists &amp; Settings'!$O$3,'Lists &amp; Settings'!$O$4)),IF($N1296="Partial",IF($M1296&gt;='Lists &amp; Settings'!$N$6,'Lists &amp; Settings'!$O$6,IF($M1296&gt;='Lists &amp; Settings'!$N$7,'Lists &amp; Settings'!$O$7,'Lists &amp; Settings'!$O$8)),'Lists &amp; Settings'!$O$10))))))</f>
        <v/>
      </c>
      <c r="T1296" s="31"/>
      <c r="U1296" s="31"/>
      <c r="V1296" s="31"/>
    </row>
    <row r="1297" ht="15.75" customHeight="1">
      <c r="B1297" s="31"/>
      <c r="N1297" s="127"/>
      <c r="S1297" s="31" t="str">
        <f>IF($C1297="","",IF(OR($M1297="",$N1297=""),'Lists &amp; Settings'!$O$10,IF($N1297="Fail",'Lists &amp; Settings'!$O$9,IF($N1297="Insufficient Evidence",'Lists &amp; Settings'!$O$10,IF($N1297="Pass",IF($M1297&gt;='Lists &amp; Settings'!$N$2,'Lists &amp; Settings'!$O$2,IF($M1297&gt;='Lists &amp; Settings'!$N$3,'Lists &amp; Settings'!$O$3,'Lists &amp; Settings'!$O$4)),IF($N1297="Partial",IF($M1297&gt;='Lists &amp; Settings'!$N$6,'Lists &amp; Settings'!$O$6,IF($M1297&gt;='Lists &amp; Settings'!$N$7,'Lists &amp; Settings'!$O$7,'Lists &amp; Settings'!$O$8)),'Lists &amp; Settings'!$O$10))))))</f>
        <v/>
      </c>
      <c r="T1297" s="31"/>
      <c r="U1297" s="31"/>
      <c r="V1297" s="31"/>
    </row>
    <row r="1298" ht="15.75" customHeight="1">
      <c r="B1298" s="31"/>
      <c r="N1298" s="127"/>
      <c r="S1298" s="31" t="str">
        <f>IF($C1298="","",IF(OR($M1298="",$N1298=""),'Lists &amp; Settings'!$O$10,IF($N1298="Fail",'Lists &amp; Settings'!$O$9,IF($N1298="Insufficient Evidence",'Lists &amp; Settings'!$O$10,IF($N1298="Pass",IF($M1298&gt;='Lists &amp; Settings'!$N$2,'Lists &amp; Settings'!$O$2,IF($M1298&gt;='Lists &amp; Settings'!$N$3,'Lists &amp; Settings'!$O$3,'Lists &amp; Settings'!$O$4)),IF($N1298="Partial",IF($M1298&gt;='Lists &amp; Settings'!$N$6,'Lists &amp; Settings'!$O$6,IF($M1298&gt;='Lists &amp; Settings'!$N$7,'Lists &amp; Settings'!$O$7,'Lists &amp; Settings'!$O$8)),'Lists &amp; Settings'!$O$10))))))</f>
        <v/>
      </c>
      <c r="T1298" s="31"/>
      <c r="U1298" s="31"/>
      <c r="V1298" s="31"/>
    </row>
    <row r="1299" ht="15.75" customHeight="1">
      <c r="B1299" s="31"/>
      <c r="N1299" s="127"/>
      <c r="S1299" s="31" t="str">
        <f>IF($C1299="","",IF(OR($M1299="",$N1299=""),'Lists &amp; Settings'!$O$10,IF($N1299="Fail",'Lists &amp; Settings'!$O$9,IF($N1299="Insufficient Evidence",'Lists &amp; Settings'!$O$10,IF($N1299="Pass",IF($M1299&gt;='Lists &amp; Settings'!$N$2,'Lists &amp; Settings'!$O$2,IF($M1299&gt;='Lists &amp; Settings'!$N$3,'Lists &amp; Settings'!$O$3,'Lists &amp; Settings'!$O$4)),IF($N1299="Partial",IF($M1299&gt;='Lists &amp; Settings'!$N$6,'Lists &amp; Settings'!$O$6,IF($M1299&gt;='Lists &amp; Settings'!$N$7,'Lists &amp; Settings'!$O$7,'Lists &amp; Settings'!$O$8)),'Lists &amp; Settings'!$O$10))))))</f>
        <v/>
      </c>
      <c r="T1299" s="31"/>
      <c r="U1299" s="31"/>
      <c r="V1299" s="31"/>
    </row>
    <row r="1300" ht="15.75" customHeight="1">
      <c r="B1300" s="31"/>
      <c r="N1300" s="127"/>
      <c r="S1300" s="31" t="str">
        <f>IF($C1300="","",IF(OR($M1300="",$N1300=""),'Lists &amp; Settings'!$O$10,IF($N1300="Fail",'Lists &amp; Settings'!$O$9,IF($N1300="Insufficient Evidence",'Lists &amp; Settings'!$O$10,IF($N1300="Pass",IF($M1300&gt;='Lists &amp; Settings'!$N$2,'Lists &amp; Settings'!$O$2,IF($M1300&gt;='Lists &amp; Settings'!$N$3,'Lists &amp; Settings'!$O$3,'Lists &amp; Settings'!$O$4)),IF($N1300="Partial",IF($M1300&gt;='Lists &amp; Settings'!$N$6,'Lists &amp; Settings'!$O$6,IF($M1300&gt;='Lists &amp; Settings'!$N$7,'Lists &amp; Settings'!$O$7,'Lists &amp; Settings'!$O$8)),'Lists &amp; Settings'!$O$10))))))</f>
        <v/>
      </c>
      <c r="T1300" s="31"/>
      <c r="U1300" s="31"/>
      <c r="V1300" s="31"/>
    </row>
    <row r="1301" ht="15.75" customHeight="1">
      <c r="B1301" s="31"/>
      <c r="N1301" s="127"/>
      <c r="S1301" s="31" t="str">
        <f>IF($C1301="","",IF(OR($M1301="",$N1301=""),'Lists &amp; Settings'!$O$10,IF($N1301="Fail",'Lists &amp; Settings'!$O$9,IF($N1301="Insufficient Evidence",'Lists &amp; Settings'!$O$10,IF($N1301="Pass",IF($M1301&gt;='Lists &amp; Settings'!$N$2,'Lists &amp; Settings'!$O$2,IF($M1301&gt;='Lists &amp; Settings'!$N$3,'Lists &amp; Settings'!$O$3,'Lists &amp; Settings'!$O$4)),IF($N1301="Partial",IF($M1301&gt;='Lists &amp; Settings'!$N$6,'Lists &amp; Settings'!$O$6,IF($M1301&gt;='Lists &amp; Settings'!$N$7,'Lists &amp; Settings'!$O$7,'Lists &amp; Settings'!$O$8)),'Lists &amp; Settings'!$O$10))))))</f>
        <v/>
      </c>
      <c r="T1301" s="31"/>
      <c r="U1301" s="31"/>
      <c r="V1301" s="31"/>
    </row>
    <row r="1302" ht="15.75" customHeight="1">
      <c r="B1302" s="31"/>
      <c r="N1302" s="127"/>
      <c r="S1302" s="31" t="str">
        <f>IF($C1302="","",IF(OR($M1302="",$N1302=""),'Lists &amp; Settings'!$O$10,IF($N1302="Fail",'Lists &amp; Settings'!$O$9,IF($N1302="Insufficient Evidence",'Lists &amp; Settings'!$O$10,IF($N1302="Pass",IF($M1302&gt;='Lists &amp; Settings'!$N$2,'Lists &amp; Settings'!$O$2,IF($M1302&gt;='Lists &amp; Settings'!$N$3,'Lists &amp; Settings'!$O$3,'Lists &amp; Settings'!$O$4)),IF($N1302="Partial",IF($M1302&gt;='Lists &amp; Settings'!$N$6,'Lists &amp; Settings'!$O$6,IF($M1302&gt;='Lists &amp; Settings'!$N$7,'Lists &amp; Settings'!$O$7,'Lists &amp; Settings'!$O$8)),'Lists &amp; Settings'!$O$10))))))</f>
        <v/>
      </c>
      <c r="T1302" s="31"/>
      <c r="U1302" s="31"/>
      <c r="V1302" s="31"/>
    </row>
    <row r="1303" ht="15.75" customHeight="1">
      <c r="B1303" s="31"/>
      <c r="N1303" s="127"/>
      <c r="S1303" s="31" t="str">
        <f>IF($C1303="","",IF(OR($M1303="",$N1303=""),'Lists &amp; Settings'!$O$10,IF($N1303="Fail",'Lists &amp; Settings'!$O$9,IF($N1303="Insufficient Evidence",'Lists &amp; Settings'!$O$10,IF($N1303="Pass",IF($M1303&gt;='Lists &amp; Settings'!$N$2,'Lists &amp; Settings'!$O$2,IF($M1303&gt;='Lists &amp; Settings'!$N$3,'Lists &amp; Settings'!$O$3,'Lists &amp; Settings'!$O$4)),IF($N1303="Partial",IF($M1303&gt;='Lists &amp; Settings'!$N$6,'Lists &amp; Settings'!$O$6,IF($M1303&gt;='Lists &amp; Settings'!$N$7,'Lists &amp; Settings'!$O$7,'Lists &amp; Settings'!$O$8)),'Lists &amp; Settings'!$O$10))))))</f>
        <v/>
      </c>
      <c r="T1303" s="31"/>
      <c r="U1303" s="31"/>
      <c r="V1303" s="31"/>
    </row>
    <row r="1304" ht="15.75" customHeight="1">
      <c r="B1304" s="31"/>
      <c r="N1304" s="127"/>
      <c r="S1304" s="31" t="str">
        <f>IF($C1304="","",IF(OR($M1304="",$N1304=""),'Lists &amp; Settings'!$O$10,IF($N1304="Fail",'Lists &amp; Settings'!$O$9,IF($N1304="Insufficient Evidence",'Lists &amp; Settings'!$O$10,IF($N1304="Pass",IF($M1304&gt;='Lists &amp; Settings'!$N$2,'Lists &amp; Settings'!$O$2,IF($M1304&gt;='Lists &amp; Settings'!$N$3,'Lists &amp; Settings'!$O$3,'Lists &amp; Settings'!$O$4)),IF($N1304="Partial",IF($M1304&gt;='Lists &amp; Settings'!$N$6,'Lists &amp; Settings'!$O$6,IF($M1304&gt;='Lists &amp; Settings'!$N$7,'Lists &amp; Settings'!$O$7,'Lists &amp; Settings'!$O$8)),'Lists &amp; Settings'!$O$10))))))</f>
        <v/>
      </c>
      <c r="T1304" s="31"/>
      <c r="U1304" s="31"/>
      <c r="V1304" s="31"/>
    </row>
    <row r="1305" ht="15.75" customHeight="1">
      <c r="B1305" s="31"/>
      <c r="N1305" s="127"/>
      <c r="S1305" s="31" t="str">
        <f>IF($C1305="","",IF(OR($M1305="",$N1305=""),'Lists &amp; Settings'!$O$10,IF($N1305="Fail",'Lists &amp; Settings'!$O$9,IF($N1305="Insufficient Evidence",'Lists &amp; Settings'!$O$10,IF($N1305="Pass",IF($M1305&gt;='Lists &amp; Settings'!$N$2,'Lists &amp; Settings'!$O$2,IF($M1305&gt;='Lists &amp; Settings'!$N$3,'Lists &amp; Settings'!$O$3,'Lists &amp; Settings'!$O$4)),IF($N1305="Partial",IF($M1305&gt;='Lists &amp; Settings'!$N$6,'Lists &amp; Settings'!$O$6,IF($M1305&gt;='Lists &amp; Settings'!$N$7,'Lists &amp; Settings'!$O$7,'Lists &amp; Settings'!$O$8)),'Lists &amp; Settings'!$O$10))))))</f>
        <v/>
      </c>
      <c r="T1305" s="31"/>
      <c r="U1305" s="31"/>
      <c r="V1305" s="31"/>
    </row>
    <row r="1306" ht="15.75" customHeight="1">
      <c r="B1306" s="31"/>
      <c r="N1306" s="127"/>
      <c r="S1306" s="31" t="str">
        <f>IF($C1306="","",IF(OR($M1306="",$N1306=""),'Lists &amp; Settings'!$O$10,IF($N1306="Fail",'Lists &amp; Settings'!$O$9,IF($N1306="Insufficient Evidence",'Lists &amp; Settings'!$O$10,IF($N1306="Pass",IF($M1306&gt;='Lists &amp; Settings'!$N$2,'Lists &amp; Settings'!$O$2,IF($M1306&gt;='Lists &amp; Settings'!$N$3,'Lists &amp; Settings'!$O$3,'Lists &amp; Settings'!$O$4)),IF($N1306="Partial",IF($M1306&gt;='Lists &amp; Settings'!$N$6,'Lists &amp; Settings'!$O$6,IF($M1306&gt;='Lists &amp; Settings'!$N$7,'Lists &amp; Settings'!$O$7,'Lists &amp; Settings'!$O$8)),'Lists &amp; Settings'!$O$10))))))</f>
        <v/>
      </c>
      <c r="T1306" s="31"/>
      <c r="U1306" s="31"/>
      <c r="V1306" s="31"/>
    </row>
    <row r="1307" ht="15.75" customHeight="1">
      <c r="B1307" s="31"/>
      <c r="N1307" s="127"/>
      <c r="S1307" s="31" t="str">
        <f>IF($C1307="","",IF(OR($M1307="",$N1307=""),'Lists &amp; Settings'!$O$10,IF($N1307="Fail",'Lists &amp; Settings'!$O$9,IF($N1307="Insufficient Evidence",'Lists &amp; Settings'!$O$10,IF($N1307="Pass",IF($M1307&gt;='Lists &amp; Settings'!$N$2,'Lists &amp; Settings'!$O$2,IF($M1307&gt;='Lists &amp; Settings'!$N$3,'Lists &amp; Settings'!$O$3,'Lists &amp; Settings'!$O$4)),IF($N1307="Partial",IF($M1307&gt;='Lists &amp; Settings'!$N$6,'Lists &amp; Settings'!$O$6,IF($M1307&gt;='Lists &amp; Settings'!$N$7,'Lists &amp; Settings'!$O$7,'Lists &amp; Settings'!$O$8)),'Lists &amp; Settings'!$O$10))))))</f>
        <v/>
      </c>
      <c r="T1307" s="31"/>
      <c r="U1307" s="31"/>
      <c r="V1307" s="31"/>
    </row>
    <row r="1308" ht="15.75" customHeight="1">
      <c r="B1308" s="31"/>
      <c r="N1308" s="127"/>
      <c r="S1308" s="31" t="str">
        <f>IF($C1308="","",IF(OR($M1308="",$N1308=""),'Lists &amp; Settings'!$O$10,IF($N1308="Fail",'Lists &amp; Settings'!$O$9,IF($N1308="Insufficient Evidence",'Lists &amp; Settings'!$O$10,IF($N1308="Pass",IF($M1308&gt;='Lists &amp; Settings'!$N$2,'Lists &amp; Settings'!$O$2,IF($M1308&gt;='Lists &amp; Settings'!$N$3,'Lists &amp; Settings'!$O$3,'Lists &amp; Settings'!$O$4)),IF($N1308="Partial",IF($M1308&gt;='Lists &amp; Settings'!$N$6,'Lists &amp; Settings'!$O$6,IF($M1308&gt;='Lists &amp; Settings'!$N$7,'Lists &amp; Settings'!$O$7,'Lists &amp; Settings'!$O$8)),'Lists &amp; Settings'!$O$10))))))</f>
        <v/>
      </c>
      <c r="T1308" s="31"/>
      <c r="U1308" s="31"/>
      <c r="V1308" s="31"/>
    </row>
    <row r="1309" ht="15.75" customHeight="1">
      <c r="B1309" s="31"/>
      <c r="N1309" s="127"/>
      <c r="S1309" s="31" t="str">
        <f>IF($C1309="","",IF(OR($M1309="",$N1309=""),'Lists &amp; Settings'!$O$10,IF($N1309="Fail",'Lists &amp; Settings'!$O$9,IF($N1309="Insufficient Evidence",'Lists &amp; Settings'!$O$10,IF($N1309="Pass",IF($M1309&gt;='Lists &amp; Settings'!$N$2,'Lists &amp; Settings'!$O$2,IF($M1309&gt;='Lists &amp; Settings'!$N$3,'Lists &amp; Settings'!$O$3,'Lists &amp; Settings'!$O$4)),IF($N1309="Partial",IF($M1309&gt;='Lists &amp; Settings'!$N$6,'Lists &amp; Settings'!$O$6,IF($M1309&gt;='Lists &amp; Settings'!$N$7,'Lists &amp; Settings'!$O$7,'Lists &amp; Settings'!$O$8)),'Lists &amp; Settings'!$O$10))))))</f>
        <v/>
      </c>
      <c r="T1309" s="31"/>
      <c r="U1309" s="31"/>
      <c r="V1309" s="31"/>
    </row>
    <row r="1310" ht="15.75" customHeight="1">
      <c r="B1310" s="31"/>
      <c r="N1310" s="127"/>
      <c r="S1310" s="31" t="str">
        <f>IF($C1310="","",IF(OR($M1310="",$N1310=""),'Lists &amp; Settings'!$O$10,IF($N1310="Fail",'Lists &amp; Settings'!$O$9,IF($N1310="Insufficient Evidence",'Lists &amp; Settings'!$O$10,IF($N1310="Pass",IF($M1310&gt;='Lists &amp; Settings'!$N$2,'Lists &amp; Settings'!$O$2,IF($M1310&gt;='Lists &amp; Settings'!$N$3,'Lists &amp; Settings'!$O$3,'Lists &amp; Settings'!$O$4)),IF($N1310="Partial",IF($M1310&gt;='Lists &amp; Settings'!$N$6,'Lists &amp; Settings'!$O$6,IF($M1310&gt;='Lists &amp; Settings'!$N$7,'Lists &amp; Settings'!$O$7,'Lists &amp; Settings'!$O$8)),'Lists &amp; Settings'!$O$10))))))</f>
        <v/>
      </c>
      <c r="T1310" s="31"/>
      <c r="U1310" s="31"/>
      <c r="V1310" s="31"/>
    </row>
    <row r="1311" ht="15.75" customHeight="1">
      <c r="B1311" s="31"/>
      <c r="N1311" s="127"/>
      <c r="S1311" s="31" t="str">
        <f>IF($C1311="","",IF(OR($M1311="",$N1311=""),'Lists &amp; Settings'!$O$10,IF($N1311="Fail",'Lists &amp; Settings'!$O$9,IF($N1311="Insufficient Evidence",'Lists &amp; Settings'!$O$10,IF($N1311="Pass",IF($M1311&gt;='Lists &amp; Settings'!$N$2,'Lists &amp; Settings'!$O$2,IF($M1311&gt;='Lists &amp; Settings'!$N$3,'Lists &amp; Settings'!$O$3,'Lists &amp; Settings'!$O$4)),IF($N1311="Partial",IF($M1311&gt;='Lists &amp; Settings'!$N$6,'Lists &amp; Settings'!$O$6,IF($M1311&gt;='Lists &amp; Settings'!$N$7,'Lists &amp; Settings'!$O$7,'Lists &amp; Settings'!$O$8)),'Lists &amp; Settings'!$O$10))))))</f>
        <v/>
      </c>
      <c r="T1311" s="31"/>
      <c r="U1311" s="31"/>
      <c r="V1311" s="31"/>
    </row>
    <row r="1312" ht="15.75" customHeight="1">
      <c r="B1312" s="31"/>
      <c r="N1312" s="127"/>
      <c r="S1312" s="31" t="str">
        <f>IF($C1312="","",IF(OR($M1312="",$N1312=""),'Lists &amp; Settings'!$O$10,IF($N1312="Fail",'Lists &amp; Settings'!$O$9,IF($N1312="Insufficient Evidence",'Lists &amp; Settings'!$O$10,IF($N1312="Pass",IF($M1312&gt;='Lists &amp; Settings'!$N$2,'Lists &amp; Settings'!$O$2,IF($M1312&gt;='Lists &amp; Settings'!$N$3,'Lists &amp; Settings'!$O$3,'Lists &amp; Settings'!$O$4)),IF($N1312="Partial",IF($M1312&gt;='Lists &amp; Settings'!$N$6,'Lists &amp; Settings'!$O$6,IF($M1312&gt;='Lists &amp; Settings'!$N$7,'Lists &amp; Settings'!$O$7,'Lists &amp; Settings'!$O$8)),'Lists &amp; Settings'!$O$10))))))</f>
        <v/>
      </c>
      <c r="T1312" s="31"/>
      <c r="U1312" s="31"/>
      <c r="V1312" s="31"/>
    </row>
    <row r="1313" ht="15.75" customHeight="1">
      <c r="B1313" s="31"/>
      <c r="N1313" s="127"/>
      <c r="S1313" s="31" t="str">
        <f>IF($C1313="","",IF(OR($M1313="",$N1313=""),'Lists &amp; Settings'!$O$10,IF($N1313="Fail",'Lists &amp; Settings'!$O$9,IF($N1313="Insufficient Evidence",'Lists &amp; Settings'!$O$10,IF($N1313="Pass",IF($M1313&gt;='Lists &amp; Settings'!$N$2,'Lists &amp; Settings'!$O$2,IF($M1313&gt;='Lists &amp; Settings'!$N$3,'Lists &amp; Settings'!$O$3,'Lists &amp; Settings'!$O$4)),IF($N1313="Partial",IF($M1313&gt;='Lists &amp; Settings'!$N$6,'Lists &amp; Settings'!$O$6,IF($M1313&gt;='Lists &amp; Settings'!$N$7,'Lists &amp; Settings'!$O$7,'Lists &amp; Settings'!$O$8)),'Lists &amp; Settings'!$O$10))))))</f>
        <v/>
      </c>
      <c r="T1313" s="31"/>
      <c r="U1313" s="31"/>
      <c r="V1313" s="31"/>
    </row>
    <row r="1314" ht="15.75" customHeight="1">
      <c r="B1314" s="31"/>
      <c r="N1314" s="127"/>
      <c r="S1314" s="31" t="str">
        <f>IF($C1314="","",IF(OR($M1314="",$N1314=""),'Lists &amp; Settings'!$O$10,IF($N1314="Fail",'Lists &amp; Settings'!$O$9,IF($N1314="Insufficient Evidence",'Lists &amp; Settings'!$O$10,IF($N1314="Pass",IF($M1314&gt;='Lists &amp; Settings'!$N$2,'Lists &amp; Settings'!$O$2,IF($M1314&gt;='Lists &amp; Settings'!$N$3,'Lists &amp; Settings'!$O$3,'Lists &amp; Settings'!$O$4)),IF($N1314="Partial",IF($M1314&gt;='Lists &amp; Settings'!$N$6,'Lists &amp; Settings'!$O$6,IF($M1314&gt;='Lists &amp; Settings'!$N$7,'Lists &amp; Settings'!$O$7,'Lists &amp; Settings'!$O$8)),'Lists &amp; Settings'!$O$10))))))</f>
        <v/>
      </c>
      <c r="T1314" s="31"/>
      <c r="U1314" s="31"/>
      <c r="V1314" s="31"/>
    </row>
    <row r="1315" ht="15.75" customHeight="1">
      <c r="B1315" s="31"/>
      <c r="N1315" s="127"/>
      <c r="S1315" s="31" t="str">
        <f>IF($C1315="","",IF(OR($M1315="",$N1315=""),'Lists &amp; Settings'!$O$10,IF($N1315="Fail",'Lists &amp; Settings'!$O$9,IF($N1315="Insufficient Evidence",'Lists &amp; Settings'!$O$10,IF($N1315="Pass",IF($M1315&gt;='Lists &amp; Settings'!$N$2,'Lists &amp; Settings'!$O$2,IF($M1315&gt;='Lists &amp; Settings'!$N$3,'Lists &amp; Settings'!$O$3,'Lists &amp; Settings'!$O$4)),IF($N1315="Partial",IF($M1315&gt;='Lists &amp; Settings'!$N$6,'Lists &amp; Settings'!$O$6,IF($M1315&gt;='Lists &amp; Settings'!$N$7,'Lists &amp; Settings'!$O$7,'Lists &amp; Settings'!$O$8)),'Lists &amp; Settings'!$O$10))))))</f>
        <v/>
      </c>
      <c r="T1315" s="31"/>
      <c r="U1315" s="31"/>
      <c r="V1315" s="31"/>
    </row>
    <row r="1316" ht="15.75" customHeight="1">
      <c r="B1316" s="31"/>
      <c r="N1316" s="127"/>
      <c r="S1316" s="31" t="str">
        <f>IF($C1316="","",IF(OR($M1316="",$N1316=""),'Lists &amp; Settings'!$O$10,IF($N1316="Fail",'Lists &amp; Settings'!$O$9,IF($N1316="Insufficient Evidence",'Lists &amp; Settings'!$O$10,IF($N1316="Pass",IF($M1316&gt;='Lists &amp; Settings'!$N$2,'Lists &amp; Settings'!$O$2,IF($M1316&gt;='Lists &amp; Settings'!$N$3,'Lists &amp; Settings'!$O$3,'Lists &amp; Settings'!$O$4)),IF($N1316="Partial",IF($M1316&gt;='Lists &amp; Settings'!$N$6,'Lists &amp; Settings'!$O$6,IF($M1316&gt;='Lists &amp; Settings'!$N$7,'Lists &amp; Settings'!$O$7,'Lists &amp; Settings'!$O$8)),'Lists &amp; Settings'!$O$10))))))</f>
        <v/>
      </c>
      <c r="T1316" s="31"/>
      <c r="U1316" s="31"/>
      <c r="V1316" s="31"/>
    </row>
    <row r="1317" ht="15.75" customHeight="1">
      <c r="B1317" s="31"/>
      <c r="N1317" s="127"/>
      <c r="S1317" s="31" t="str">
        <f>IF($C1317="","",IF(OR($M1317="",$N1317=""),'Lists &amp; Settings'!$O$10,IF($N1317="Fail",'Lists &amp; Settings'!$O$9,IF($N1317="Insufficient Evidence",'Lists &amp; Settings'!$O$10,IF($N1317="Pass",IF($M1317&gt;='Lists &amp; Settings'!$N$2,'Lists &amp; Settings'!$O$2,IF($M1317&gt;='Lists &amp; Settings'!$N$3,'Lists &amp; Settings'!$O$3,'Lists &amp; Settings'!$O$4)),IF($N1317="Partial",IF($M1317&gt;='Lists &amp; Settings'!$N$6,'Lists &amp; Settings'!$O$6,IF($M1317&gt;='Lists &amp; Settings'!$N$7,'Lists &amp; Settings'!$O$7,'Lists &amp; Settings'!$O$8)),'Lists &amp; Settings'!$O$10))))))</f>
        <v/>
      </c>
      <c r="T1317" s="31"/>
      <c r="U1317" s="31"/>
      <c r="V1317" s="31"/>
    </row>
    <row r="1318" ht="15.75" customHeight="1">
      <c r="B1318" s="31"/>
      <c r="N1318" s="127"/>
      <c r="S1318" s="31" t="str">
        <f>IF($C1318="","",IF(OR($M1318="",$N1318=""),'Lists &amp; Settings'!$O$10,IF($N1318="Fail",'Lists &amp; Settings'!$O$9,IF($N1318="Insufficient Evidence",'Lists &amp; Settings'!$O$10,IF($N1318="Pass",IF($M1318&gt;='Lists &amp; Settings'!$N$2,'Lists &amp; Settings'!$O$2,IF($M1318&gt;='Lists &amp; Settings'!$N$3,'Lists &amp; Settings'!$O$3,'Lists &amp; Settings'!$O$4)),IF($N1318="Partial",IF($M1318&gt;='Lists &amp; Settings'!$N$6,'Lists &amp; Settings'!$O$6,IF($M1318&gt;='Lists &amp; Settings'!$N$7,'Lists &amp; Settings'!$O$7,'Lists &amp; Settings'!$O$8)),'Lists &amp; Settings'!$O$10))))))</f>
        <v/>
      </c>
      <c r="T1318" s="31"/>
      <c r="U1318" s="31"/>
      <c r="V1318" s="31"/>
    </row>
    <row r="1319" ht="15.75" customHeight="1">
      <c r="B1319" s="31"/>
      <c r="N1319" s="127"/>
      <c r="S1319" s="31" t="str">
        <f>IF($C1319="","",IF(OR($M1319="",$N1319=""),'Lists &amp; Settings'!$O$10,IF($N1319="Fail",'Lists &amp; Settings'!$O$9,IF($N1319="Insufficient Evidence",'Lists &amp; Settings'!$O$10,IF($N1319="Pass",IF($M1319&gt;='Lists &amp; Settings'!$N$2,'Lists &amp; Settings'!$O$2,IF($M1319&gt;='Lists &amp; Settings'!$N$3,'Lists &amp; Settings'!$O$3,'Lists &amp; Settings'!$O$4)),IF($N1319="Partial",IF($M1319&gt;='Lists &amp; Settings'!$N$6,'Lists &amp; Settings'!$O$6,IF($M1319&gt;='Lists &amp; Settings'!$N$7,'Lists &amp; Settings'!$O$7,'Lists &amp; Settings'!$O$8)),'Lists &amp; Settings'!$O$10))))))</f>
        <v/>
      </c>
      <c r="T1319" s="31"/>
      <c r="U1319" s="31"/>
      <c r="V1319" s="31"/>
    </row>
    <row r="1320" ht="15.75" customHeight="1">
      <c r="B1320" s="31"/>
      <c r="N1320" s="127"/>
      <c r="S1320" s="31" t="str">
        <f>IF($C1320="","",IF(OR($M1320="",$N1320=""),'Lists &amp; Settings'!$O$10,IF($N1320="Fail",'Lists &amp; Settings'!$O$9,IF($N1320="Insufficient Evidence",'Lists &amp; Settings'!$O$10,IF($N1320="Pass",IF($M1320&gt;='Lists &amp; Settings'!$N$2,'Lists &amp; Settings'!$O$2,IF($M1320&gt;='Lists &amp; Settings'!$N$3,'Lists &amp; Settings'!$O$3,'Lists &amp; Settings'!$O$4)),IF($N1320="Partial",IF($M1320&gt;='Lists &amp; Settings'!$N$6,'Lists &amp; Settings'!$O$6,IF($M1320&gt;='Lists &amp; Settings'!$N$7,'Lists &amp; Settings'!$O$7,'Lists &amp; Settings'!$O$8)),'Lists &amp; Settings'!$O$10))))))</f>
        <v/>
      </c>
      <c r="T1320" s="31"/>
      <c r="U1320" s="31"/>
      <c r="V1320" s="31"/>
    </row>
    <row r="1321" ht="15.75" customHeight="1">
      <c r="B1321" s="31"/>
      <c r="N1321" s="127"/>
      <c r="S1321" s="31" t="str">
        <f>IF($C1321="","",IF(OR($M1321="",$N1321=""),'Lists &amp; Settings'!$O$10,IF($N1321="Fail",'Lists &amp; Settings'!$O$9,IF($N1321="Insufficient Evidence",'Lists &amp; Settings'!$O$10,IF($N1321="Pass",IF($M1321&gt;='Lists &amp; Settings'!$N$2,'Lists &amp; Settings'!$O$2,IF($M1321&gt;='Lists &amp; Settings'!$N$3,'Lists &amp; Settings'!$O$3,'Lists &amp; Settings'!$O$4)),IF($N1321="Partial",IF($M1321&gt;='Lists &amp; Settings'!$N$6,'Lists &amp; Settings'!$O$6,IF($M1321&gt;='Lists &amp; Settings'!$N$7,'Lists &amp; Settings'!$O$7,'Lists &amp; Settings'!$O$8)),'Lists &amp; Settings'!$O$10))))))</f>
        <v/>
      </c>
      <c r="T1321" s="31"/>
      <c r="U1321" s="31"/>
      <c r="V1321" s="31"/>
    </row>
    <row r="1322" ht="15.75" customHeight="1">
      <c r="B1322" s="31"/>
      <c r="N1322" s="127"/>
      <c r="S1322" s="31" t="str">
        <f>IF($C1322="","",IF(OR($M1322="",$N1322=""),'Lists &amp; Settings'!$O$10,IF($N1322="Fail",'Lists &amp; Settings'!$O$9,IF($N1322="Insufficient Evidence",'Lists &amp; Settings'!$O$10,IF($N1322="Pass",IF($M1322&gt;='Lists &amp; Settings'!$N$2,'Lists &amp; Settings'!$O$2,IF($M1322&gt;='Lists &amp; Settings'!$N$3,'Lists &amp; Settings'!$O$3,'Lists &amp; Settings'!$O$4)),IF($N1322="Partial",IF($M1322&gt;='Lists &amp; Settings'!$N$6,'Lists &amp; Settings'!$O$6,IF($M1322&gt;='Lists &amp; Settings'!$N$7,'Lists &amp; Settings'!$O$7,'Lists &amp; Settings'!$O$8)),'Lists &amp; Settings'!$O$10))))))</f>
        <v/>
      </c>
      <c r="T1322" s="31"/>
      <c r="U1322" s="31"/>
      <c r="V1322" s="31"/>
    </row>
    <row r="1323" ht="15.75" customHeight="1">
      <c r="B1323" s="31"/>
      <c r="N1323" s="127"/>
      <c r="S1323" s="31" t="str">
        <f>IF($C1323="","",IF(OR($M1323="",$N1323=""),'Lists &amp; Settings'!$O$10,IF($N1323="Fail",'Lists &amp; Settings'!$O$9,IF($N1323="Insufficient Evidence",'Lists &amp; Settings'!$O$10,IF($N1323="Pass",IF($M1323&gt;='Lists &amp; Settings'!$N$2,'Lists &amp; Settings'!$O$2,IF($M1323&gt;='Lists &amp; Settings'!$N$3,'Lists &amp; Settings'!$O$3,'Lists &amp; Settings'!$O$4)),IF($N1323="Partial",IF($M1323&gt;='Lists &amp; Settings'!$N$6,'Lists &amp; Settings'!$O$6,IF($M1323&gt;='Lists &amp; Settings'!$N$7,'Lists &amp; Settings'!$O$7,'Lists &amp; Settings'!$O$8)),'Lists &amp; Settings'!$O$10))))))</f>
        <v/>
      </c>
      <c r="T1323" s="31"/>
      <c r="U1323" s="31"/>
      <c r="V1323" s="31"/>
    </row>
    <row r="1324" ht="15.75" customHeight="1">
      <c r="B1324" s="31"/>
      <c r="N1324" s="127"/>
      <c r="S1324" s="31" t="str">
        <f>IF($C1324="","",IF(OR($M1324="",$N1324=""),'Lists &amp; Settings'!$O$10,IF($N1324="Fail",'Lists &amp; Settings'!$O$9,IF($N1324="Insufficient Evidence",'Lists &amp; Settings'!$O$10,IF($N1324="Pass",IF($M1324&gt;='Lists &amp; Settings'!$N$2,'Lists &amp; Settings'!$O$2,IF($M1324&gt;='Lists &amp; Settings'!$N$3,'Lists &amp; Settings'!$O$3,'Lists &amp; Settings'!$O$4)),IF($N1324="Partial",IF($M1324&gt;='Lists &amp; Settings'!$N$6,'Lists &amp; Settings'!$O$6,IF($M1324&gt;='Lists &amp; Settings'!$N$7,'Lists &amp; Settings'!$O$7,'Lists &amp; Settings'!$O$8)),'Lists &amp; Settings'!$O$10))))))</f>
        <v/>
      </c>
      <c r="T1324" s="31"/>
      <c r="U1324" s="31"/>
      <c r="V1324" s="31"/>
    </row>
    <row r="1325" ht="15.75" customHeight="1">
      <c r="B1325" s="31"/>
      <c r="N1325" s="127"/>
      <c r="S1325" s="31" t="str">
        <f>IF($C1325="","",IF(OR($M1325="",$N1325=""),'Lists &amp; Settings'!$O$10,IF($N1325="Fail",'Lists &amp; Settings'!$O$9,IF($N1325="Insufficient Evidence",'Lists &amp; Settings'!$O$10,IF($N1325="Pass",IF($M1325&gt;='Lists &amp; Settings'!$N$2,'Lists &amp; Settings'!$O$2,IF($M1325&gt;='Lists &amp; Settings'!$N$3,'Lists &amp; Settings'!$O$3,'Lists &amp; Settings'!$O$4)),IF($N1325="Partial",IF($M1325&gt;='Lists &amp; Settings'!$N$6,'Lists &amp; Settings'!$O$6,IF($M1325&gt;='Lists &amp; Settings'!$N$7,'Lists &amp; Settings'!$O$7,'Lists &amp; Settings'!$O$8)),'Lists &amp; Settings'!$O$10))))))</f>
        <v/>
      </c>
      <c r="T1325" s="31"/>
      <c r="U1325" s="31"/>
      <c r="V1325" s="31"/>
    </row>
    <row r="1326" ht="15.75" customHeight="1">
      <c r="B1326" s="31"/>
      <c r="N1326" s="127"/>
      <c r="S1326" s="31" t="str">
        <f>IF($C1326="","",IF(OR($M1326="",$N1326=""),'Lists &amp; Settings'!$O$10,IF($N1326="Fail",'Lists &amp; Settings'!$O$9,IF($N1326="Insufficient Evidence",'Lists &amp; Settings'!$O$10,IF($N1326="Pass",IF($M1326&gt;='Lists &amp; Settings'!$N$2,'Lists &amp; Settings'!$O$2,IF($M1326&gt;='Lists &amp; Settings'!$N$3,'Lists &amp; Settings'!$O$3,'Lists &amp; Settings'!$O$4)),IF($N1326="Partial",IF($M1326&gt;='Lists &amp; Settings'!$N$6,'Lists &amp; Settings'!$O$6,IF($M1326&gt;='Lists &amp; Settings'!$N$7,'Lists &amp; Settings'!$O$7,'Lists &amp; Settings'!$O$8)),'Lists &amp; Settings'!$O$10))))))</f>
        <v/>
      </c>
      <c r="T1326" s="31"/>
      <c r="U1326" s="31"/>
      <c r="V1326" s="31"/>
    </row>
    <row r="1327" ht="15.75" customHeight="1">
      <c r="B1327" s="31"/>
      <c r="N1327" s="127"/>
      <c r="S1327" s="31" t="str">
        <f>IF($C1327="","",IF(OR($M1327="",$N1327=""),'Lists &amp; Settings'!$O$10,IF($N1327="Fail",'Lists &amp; Settings'!$O$9,IF($N1327="Insufficient Evidence",'Lists &amp; Settings'!$O$10,IF($N1327="Pass",IF($M1327&gt;='Lists &amp; Settings'!$N$2,'Lists &amp; Settings'!$O$2,IF($M1327&gt;='Lists &amp; Settings'!$N$3,'Lists &amp; Settings'!$O$3,'Lists &amp; Settings'!$O$4)),IF($N1327="Partial",IF($M1327&gt;='Lists &amp; Settings'!$N$6,'Lists &amp; Settings'!$O$6,IF($M1327&gt;='Lists &amp; Settings'!$N$7,'Lists &amp; Settings'!$O$7,'Lists &amp; Settings'!$O$8)),'Lists &amp; Settings'!$O$10))))))</f>
        <v/>
      </c>
      <c r="T1327" s="31"/>
      <c r="U1327" s="31"/>
      <c r="V1327" s="31"/>
    </row>
    <row r="1328" ht="15.75" customHeight="1">
      <c r="B1328" s="31"/>
      <c r="N1328" s="127"/>
      <c r="S1328" s="31" t="str">
        <f>IF($C1328="","",IF(OR($M1328="",$N1328=""),'Lists &amp; Settings'!$O$10,IF($N1328="Fail",'Lists &amp; Settings'!$O$9,IF($N1328="Insufficient Evidence",'Lists &amp; Settings'!$O$10,IF($N1328="Pass",IF($M1328&gt;='Lists &amp; Settings'!$N$2,'Lists &amp; Settings'!$O$2,IF($M1328&gt;='Lists &amp; Settings'!$N$3,'Lists &amp; Settings'!$O$3,'Lists &amp; Settings'!$O$4)),IF($N1328="Partial",IF($M1328&gt;='Lists &amp; Settings'!$N$6,'Lists &amp; Settings'!$O$6,IF($M1328&gt;='Lists &amp; Settings'!$N$7,'Lists &amp; Settings'!$O$7,'Lists &amp; Settings'!$O$8)),'Lists &amp; Settings'!$O$10))))))</f>
        <v/>
      </c>
      <c r="T1328" s="31"/>
      <c r="U1328" s="31"/>
      <c r="V1328" s="31"/>
    </row>
    <row r="1329" ht="15.75" customHeight="1">
      <c r="B1329" s="31"/>
      <c r="N1329" s="127"/>
      <c r="S1329" s="31" t="str">
        <f>IF($C1329="","",IF(OR($M1329="",$N1329=""),'Lists &amp; Settings'!$O$10,IF($N1329="Fail",'Lists &amp; Settings'!$O$9,IF($N1329="Insufficient Evidence",'Lists &amp; Settings'!$O$10,IF($N1329="Pass",IF($M1329&gt;='Lists &amp; Settings'!$N$2,'Lists &amp; Settings'!$O$2,IF($M1329&gt;='Lists &amp; Settings'!$N$3,'Lists &amp; Settings'!$O$3,'Lists &amp; Settings'!$O$4)),IF($N1329="Partial",IF($M1329&gt;='Lists &amp; Settings'!$N$6,'Lists &amp; Settings'!$O$6,IF($M1329&gt;='Lists &amp; Settings'!$N$7,'Lists &amp; Settings'!$O$7,'Lists &amp; Settings'!$O$8)),'Lists &amp; Settings'!$O$10))))))</f>
        <v/>
      </c>
      <c r="T1329" s="31"/>
      <c r="U1329" s="31"/>
      <c r="V1329" s="31"/>
    </row>
    <row r="1330" ht="15.75" customHeight="1">
      <c r="B1330" s="31"/>
      <c r="N1330" s="127"/>
      <c r="S1330" s="31" t="str">
        <f>IF($C1330="","",IF(OR($M1330="",$N1330=""),'Lists &amp; Settings'!$O$10,IF($N1330="Fail",'Lists &amp; Settings'!$O$9,IF($N1330="Insufficient Evidence",'Lists &amp; Settings'!$O$10,IF($N1330="Pass",IF($M1330&gt;='Lists &amp; Settings'!$N$2,'Lists &amp; Settings'!$O$2,IF($M1330&gt;='Lists &amp; Settings'!$N$3,'Lists &amp; Settings'!$O$3,'Lists &amp; Settings'!$O$4)),IF($N1330="Partial",IF($M1330&gt;='Lists &amp; Settings'!$N$6,'Lists &amp; Settings'!$O$6,IF($M1330&gt;='Lists &amp; Settings'!$N$7,'Lists &amp; Settings'!$O$7,'Lists &amp; Settings'!$O$8)),'Lists &amp; Settings'!$O$10))))))</f>
        <v/>
      </c>
      <c r="T1330" s="31"/>
      <c r="U1330" s="31"/>
      <c r="V1330" s="31"/>
    </row>
    <row r="1331" ht="15.75" customHeight="1">
      <c r="B1331" s="31"/>
      <c r="N1331" s="127"/>
      <c r="S1331" s="31" t="str">
        <f>IF($C1331="","",IF(OR($M1331="",$N1331=""),'Lists &amp; Settings'!$O$10,IF($N1331="Fail",'Lists &amp; Settings'!$O$9,IF($N1331="Insufficient Evidence",'Lists &amp; Settings'!$O$10,IF($N1331="Pass",IF($M1331&gt;='Lists &amp; Settings'!$N$2,'Lists &amp; Settings'!$O$2,IF($M1331&gt;='Lists &amp; Settings'!$N$3,'Lists &amp; Settings'!$O$3,'Lists &amp; Settings'!$O$4)),IF($N1331="Partial",IF($M1331&gt;='Lists &amp; Settings'!$N$6,'Lists &amp; Settings'!$O$6,IF($M1331&gt;='Lists &amp; Settings'!$N$7,'Lists &amp; Settings'!$O$7,'Lists &amp; Settings'!$O$8)),'Lists &amp; Settings'!$O$10))))))</f>
        <v/>
      </c>
      <c r="T1331" s="31"/>
      <c r="U1331" s="31"/>
      <c r="V1331" s="31"/>
    </row>
    <row r="1332" ht="15.75" customHeight="1">
      <c r="B1332" s="31"/>
      <c r="N1332" s="127"/>
      <c r="S1332" s="31" t="str">
        <f>IF($C1332="","",IF(OR($M1332="",$N1332=""),'Lists &amp; Settings'!$O$10,IF($N1332="Fail",'Lists &amp; Settings'!$O$9,IF($N1332="Insufficient Evidence",'Lists &amp; Settings'!$O$10,IF($N1332="Pass",IF($M1332&gt;='Lists &amp; Settings'!$N$2,'Lists &amp; Settings'!$O$2,IF($M1332&gt;='Lists &amp; Settings'!$N$3,'Lists &amp; Settings'!$O$3,'Lists &amp; Settings'!$O$4)),IF($N1332="Partial",IF($M1332&gt;='Lists &amp; Settings'!$N$6,'Lists &amp; Settings'!$O$6,IF($M1332&gt;='Lists &amp; Settings'!$N$7,'Lists &amp; Settings'!$O$7,'Lists &amp; Settings'!$O$8)),'Lists &amp; Settings'!$O$10))))))</f>
        <v/>
      </c>
      <c r="T1332" s="31"/>
      <c r="U1332" s="31"/>
      <c r="V1332" s="31"/>
    </row>
    <row r="1333" ht="15.75" customHeight="1">
      <c r="B1333" s="31"/>
      <c r="N1333" s="127"/>
      <c r="S1333" s="31" t="str">
        <f>IF($C1333="","",IF(OR($M1333="",$N1333=""),'Lists &amp; Settings'!$O$10,IF($N1333="Fail",'Lists &amp; Settings'!$O$9,IF($N1333="Insufficient Evidence",'Lists &amp; Settings'!$O$10,IF($N1333="Pass",IF($M1333&gt;='Lists &amp; Settings'!$N$2,'Lists &amp; Settings'!$O$2,IF($M1333&gt;='Lists &amp; Settings'!$N$3,'Lists &amp; Settings'!$O$3,'Lists &amp; Settings'!$O$4)),IF($N1333="Partial",IF($M1333&gt;='Lists &amp; Settings'!$N$6,'Lists &amp; Settings'!$O$6,IF($M1333&gt;='Lists &amp; Settings'!$N$7,'Lists &amp; Settings'!$O$7,'Lists &amp; Settings'!$O$8)),'Lists &amp; Settings'!$O$10))))))</f>
        <v/>
      </c>
      <c r="T1333" s="31"/>
      <c r="U1333" s="31"/>
      <c r="V1333" s="31"/>
    </row>
    <row r="1334" ht="15.75" customHeight="1">
      <c r="B1334" s="31"/>
      <c r="N1334" s="127"/>
      <c r="S1334" s="31" t="str">
        <f>IF($C1334="","",IF(OR($M1334="",$N1334=""),'Lists &amp; Settings'!$O$10,IF($N1334="Fail",'Lists &amp; Settings'!$O$9,IF($N1334="Insufficient Evidence",'Lists &amp; Settings'!$O$10,IF($N1334="Pass",IF($M1334&gt;='Lists &amp; Settings'!$N$2,'Lists &amp; Settings'!$O$2,IF($M1334&gt;='Lists &amp; Settings'!$N$3,'Lists &amp; Settings'!$O$3,'Lists &amp; Settings'!$O$4)),IF($N1334="Partial",IF($M1334&gt;='Lists &amp; Settings'!$N$6,'Lists &amp; Settings'!$O$6,IF($M1334&gt;='Lists &amp; Settings'!$N$7,'Lists &amp; Settings'!$O$7,'Lists &amp; Settings'!$O$8)),'Lists &amp; Settings'!$O$10))))))</f>
        <v/>
      </c>
      <c r="T1334" s="31"/>
      <c r="U1334" s="31"/>
      <c r="V1334" s="31"/>
    </row>
    <row r="1335" ht="15.75" customHeight="1">
      <c r="B1335" s="31"/>
      <c r="N1335" s="127"/>
      <c r="S1335" s="31" t="str">
        <f>IF($C1335="","",IF(OR($M1335="",$N1335=""),'Lists &amp; Settings'!$O$10,IF($N1335="Fail",'Lists &amp; Settings'!$O$9,IF($N1335="Insufficient Evidence",'Lists &amp; Settings'!$O$10,IF($N1335="Pass",IF($M1335&gt;='Lists &amp; Settings'!$N$2,'Lists &amp; Settings'!$O$2,IF($M1335&gt;='Lists &amp; Settings'!$N$3,'Lists &amp; Settings'!$O$3,'Lists &amp; Settings'!$O$4)),IF($N1335="Partial",IF($M1335&gt;='Lists &amp; Settings'!$N$6,'Lists &amp; Settings'!$O$6,IF($M1335&gt;='Lists &amp; Settings'!$N$7,'Lists &amp; Settings'!$O$7,'Lists &amp; Settings'!$O$8)),'Lists &amp; Settings'!$O$10))))))</f>
        <v/>
      </c>
      <c r="T1335" s="31"/>
      <c r="U1335" s="31"/>
      <c r="V1335" s="31"/>
    </row>
    <row r="1336" ht="15.75" customHeight="1">
      <c r="B1336" s="31"/>
      <c r="N1336" s="127"/>
      <c r="S1336" s="31" t="str">
        <f>IF($C1336="","",IF(OR($M1336="",$N1336=""),'Lists &amp; Settings'!$O$10,IF($N1336="Fail",'Lists &amp; Settings'!$O$9,IF($N1336="Insufficient Evidence",'Lists &amp; Settings'!$O$10,IF($N1336="Pass",IF($M1336&gt;='Lists &amp; Settings'!$N$2,'Lists &amp; Settings'!$O$2,IF($M1336&gt;='Lists &amp; Settings'!$N$3,'Lists &amp; Settings'!$O$3,'Lists &amp; Settings'!$O$4)),IF($N1336="Partial",IF($M1336&gt;='Lists &amp; Settings'!$N$6,'Lists &amp; Settings'!$O$6,IF($M1336&gt;='Lists &amp; Settings'!$N$7,'Lists &amp; Settings'!$O$7,'Lists &amp; Settings'!$O$8)),'Lists &amp; Settings'!$O$10))))))</f>
        <v/>
      </c>
      <c r="T1336" s="31"/>
      <c r="U1336" s="31"/>
      <c r="V1336" s="31"/>
    </row>
    <row r="1337" ht="15.75" customHeight="1">
      <c r="B1337" s="31"/>
      <c r="N1337" s="127"/>
      <c r="S1337" s="31" t="str">
        <f>IF($C1337="","",IF(OR($M1337="",$N1337=""),'Lists &amp; Settings'!$O$10,IF($N1337="Fail",'Lists &amp; Settings'!$O$9,IF($N1337="Insufficient Evidence",'Lists &amp; Settings'!$O$10,IF($N1337="Pass",IF($M1337&gt;='Lists &amp; Settings'!$N$2,'Lists &amp; Settings'!$O$2,IF($M1337&gt;='Lists &amp; Settings'!$N$3,'Lists &amp; Settings'!$O$3,'Lists &amp; Settings'!$O$4)),IF($N1337="Partial",IF($M1337&gt;='Lists &amp; Settings'!$N$6,'Lists &amp; Settings'!$O$6,IF($M1337&gt;='Lists &amp; Settings'!$N$7,'Lists &amp; Settings'!$O$7,'Lists &amp; Settings'!$O$8)),'Lists &amp; Settings'!$O$10))))))</f>
        <v/>
      </c>
      <c r="T1337" s="31"/>
      <c r="U1337" s="31"/>
      <c r="V1337" s="31"/>
    </row>
    <row r="1338" ht="15.75" customHeight="1">
      <c r="B1338" s="31"/>
      <c r="N1338" s="127"/>
      <c r="S1338" s="31" t="str">
        <f>IF($C1338="","",IF(OR($M1338="",$N1338=""),'Lists &amp; Settings'!$O$10,IF($N1338="Fail",'Lists &amp; Settings'!$O$9,IF($N1338="Insufficient Evidence",'Lists &amp; Settings'!$O$10,IF($N1338="Pass",IF($M1338&gt;='Lists &amp; Settings'!$N$2,'Lists &amp; Settings'!$O$2,IF($M1338&gt;='Lists &amp; Settings'!$N$3,'Lists &amp; Settings'!$O$3,'Lists &amp; Settings'!$O$4)),IF($N1338="Partial",IF($M1338&gt;='Lists &amp; Settings'!$N$6,'Lists &amp; Settings'!$O$6,IF($M1338&gt;='Lists &amp; Settings'!$N$7,'Lists &amp; Settings'!$O$7,'Lists &amp; Settings'!$O$8)),'Lists &amp; Settings'!$O$10))))))</f>
        <v/>
      </c>
      <c r="T1338" s="31"/>
      <c r="U1338" s="31"/>
      <c r="V1338" s="31"/>
    </row>
    <row r="1339" ht="15.75" customHeight="1">
      <c r="B1339" s="31"/>
      <c r="N1339" s="127"/>
      <c r="S1339" s="31" t="str">
        <f>IF($C1339="","",IF(OR($M1339="",$N1339=""),'Lists &amp; Settings'!$O$10,IF($N1339="Fail",'Lists &amp; Settings'!$O$9,IF($N1339="Insufficient Evidence",'Lists &amp; Settings'!$O$10,IF($N1339="Pass",IF($M1339&gt;='Lists &amp; Settings'!$N$2,'Lists &amp; Settings'!$O$2,IF($M1339&gt;='Lists &amp; Settings'!$N$3,'Lists &amp; Settings'!$O$3,'Lists &amp; Settings'!$O$4)),IF($N1339="Partial",IF($M1339&gt;='Lists &amp; Settings'!$N$6,'Lists &amp; Settings'!$O$6,IF($M1339&gt;='Lists &amp; Settings'!$N$7,'Lists &amp; Settings'!$O$7,'Lists &amp; Settings'!$O$8)),'Lists &amp; Settings'!$O$10))))))</f>
        <v/>
      </c>
      <c r="T1339" s="31"/>
      <c r="U1339" s="31"/>
      <c r="V1339" s="31"/>
    </row>
    <row r="1340" ht="15.75" customHeight="1">
      <c r="B1340" s="31"/>
      <c r="N1340" s="127"/>
      <c r="S1340" s="31" t="str">
        <f>IF($C1340="","",IF(OR($M1340="",$N1340=""),'Lists &amp; Settings'!$O$10,IF($N1340="Fail",'Lists &amp; Settings'!$O$9,IF($N1340="Insufficient Evidence",'Lists &amp; Settings'!$O$10,IF($N1340="Pass",IF($M1340&gt;='Lists &amp; Settings'!$N$2,'Lists &amp; Settings'!$O$2,IF($M1340&gt;='Lists &amp; Settings'!$N$3,'Lists &amp; Settings'!$O$3,'Lists &amp; Settings'!$O$4)),IF($N1340="Partial",IF($M1340&gt;='Lists &amp; Settings'!$N$6,'Lists &amp; Settings'!$O$6,IF($M1340&gt;='Lists &amp; Settings'!$N$7,'Lists &amp; Settings'!$O$7,'Lists &amp; Settings'!$O$8)),'Lists &amp; Settings'!$O$10))))))</f>
        <v/>
      </c>
      <c r="T1340" s="31"/>
      <c r="U1340" s="31"/>
      <c r="V1340" s="31"/>
    </row>
    <row r="1341" ht="15.75" customHeight="1">
      <c r="B1341" s="31"/>
      <c r="N1341" s="127"/>
      <c r="S1341" s="31" t="str">
        <f>IF($C1341="","",IF(OR($M1341="",$N1341=""),'Lists &amp; Settings'!$O$10,IF($N1341="Fail",'Lists &amp; Settings'!$O$9,IF($N1341="Insufficient Evidence",'Lists &amp; Settings'!$O$10,IF($N1341="Pass",IF($M1341&gt;='Lists &amp; Settings'!$N$2,'Lists &amp; Settings'!$O$2,IF($M1341&gt;='Lists &amp; Settings'!$N$3,'Lists &amp; Settings'!$O$3,'Lists &amp; Settings'!$O$4)),IF($N1341="Partial",IF($M1341&gt;='Lists &amp; Settings'!$N$6,'Lists &amp; Settings'!$O$6,IF($M1341&gt;='Lists &amp; Settings'!$N$7,'Lists &amp; Settings'!$O$7,'Lists &amp; Settings'!$O$8)),'Lists &amp; Settings'!$O$10))))))</f>
        <v/>
      </c>
      <c r="T1341" s="31"/>
      <c r="U1341" s="31"/>
      <c r="V1341" s="31"/>
    </row>
    <row r="1342" ht="15.75" customHeight="1">
      <c r="B1342" s="31"/>
      <c r="N1342" s="127"/>
      <c r="S1342" s="31" t="str">
        <f>IF($C1342="","",IF(OR($M1342="",$N1342=""),'Lists &amp; Settings'!$O$10,IF($N1342="Fail",'Lists &amp; Settings'!$O$9,IF($N1342="Insufficient Evidence",'Lists &amp; Settings'!$O$10,IF($N1342="Pass",IF($M1342&gt;='Lists &amp; Settings'!$N$2,'Lists &amp; Settings'!$O$2,IF($M1342&gt;='Lists &amp; Settings'!$N$3,'Lists &amp; Settings'!$O$3,'Lists &amp; Settings'!$O$4)),IF($N1342="Partial",IF($M1342&gt;='Lists &amp; Settings'!$N$6,'Lists &amp; Settings'!$O$6,IF($M1342&gt;='Lists &amp; Settings'!$N$7,'Lists &amp; Settings'!$O$7,'Lists &amp; Settings'!$O$8)),'Lists &amp; Settings'!$O$10))))))</f>
        <v/>
      </c>
      <c r="T1342" s="31"/>
      <c r="U1342" s="31"/>
      <c r="V1342" s="31"/>
    </row>
    <row r="1343" ht="15.75" customHeight="1">
      <c r="B1343" s="31"/>
      <c r="N1343" s="127"/>
      <c r="S1343" s="31" t="str">
        <f>IF($C1343="","",IF(OR($M1343="",$N1343=""),'Lists &amp; Settings'!$O$10,IF($N1343="Fail",'Lists &amp; Settings'!$O$9,IF($N1343="Insufficient Evidence",'Lists &amp; Settings'!$O$10,IF($N1343="Pass",IF($M1343&gt;='Lists &amp; Settings'!$N$2,'Lists &amp; Settings'!$O$2,IF($M1343&gt;='Lists &amp; Settings'!$N$3,'Lists &amp; Settings'!$O$3,'Lists &amp; Settings'!$O$4)),IF($N1343="Partial",IF($M1343&gt;='Lists &amp; Settings'!$N$6,'Lists &amp; Settings'!$O$6,IF($M1343&gt;='Lists &amp; Settings'!$N$7,'Lists &amp; Settings'!$O$7,'Lists &amp; Settings'!$O$8)),'Lists &amp; Settings'!$O$10))))))</f>
        <v/>
      </c>
      <c r="T1343" s="31"/>
      <c r="U1343" s="31"/>
      <c r="V1343" s="31"/>
    </row>
    <row r="1344" ht="15.75" customHeight="1">
      <c r="B1344" s="31"/>
      <c r="N1344" s="127"/>
      <c r="S1344" s="31" t="str">
        <f>IF($C1344="","",IF(OR($M1344="",$N1344=""),'Lists &amp; Settings'!$O$10,IF($N1344="Fail",'Lists &amp; Settings'!$O$9,IF($N1344="Insufficient Evidence",'Lists &amp; Settings'!$O$10,IF($N1344="Pass",IF($M1344&gt;='Lists &amp; Settings'!$N$2,'Lists &amp; Settings'!$O$2,IF($M1344&gt;='Lists &amp; Settings'!$N$3,'Lists &amp; Settings'!$O$3,'Lists &amp; Settings'!$O$4)),IF($N1344="Partial",IF($M1344&gt;='Lists &amp; Settings'!$N$6,'Lists &amp; Settings'!$O$6,IF($M1344&gt;='Lists &amp; Settings'!$N$7,'Lists &amp; Settings'!$O$7,'Lists &amp; Settings'!$O$8)),'Lists &amp; Settings'!$O$10))))))</f>
        <v/>
      </c>
      <c r="T1344" s="31"/>
      <c r="U1344" s="31"/>
      <c r="V1344" s="31"/>
    </row>
    <row r="1345" ht="15.75" customHeight="1">
      <c r="B1345" s="31"/>
      <c r="N1345" s="127"/>
      <c r="S1345" s="31" t="str">
        <f>IF($C1345="","",IF(OR($M1345="",$N1345=""),'Lists &amp; Settings'!$O$10,IF($N1345="Fail",'Lists &amp; Settings'!$O$9,IF($N1345="Insufficient Evidence",'Lists &amp; Settings'!$O$10,IF($N1345="Pass",IF($M1345&gt;='Lists &amp; Settings'!$N$2,'Lists &amp; Settings'!$O$2,IF($M1345&gt;='Lists &amp; Settings'!$N$3,'Lists &amp; Settings'!$O$3,'Lists &amp; Settings'!$O$4)),IF($N1345="Partial",IF($M1345&gt;='Lists &amp; Settings'!$N$6,'Lists &amp; Settings'!$O$6,IF($M1345&gt;='Lists &amp; Settings'!$N$7,'Lists &amp; Settings'!$O$7,'Lists &amp; Settings'!$O$8)),'Lists &amp; Settings'!$O$10))))))</f>
        <v/>
      </c>
      <c r="T1345" s="31"/>
      <c r="U1345" s="31"/>
      <c r="V1345" s="31"/>
    </row>
    <row r="1346" ht="15.75" customHeight="1">
      <c r="B1346" s="31"/>
      <c r="N1346" s="127"/>
      <c r="S1346" s="31" t="str">
        <f>IF($C1346="","",IF(OR($M1346="",$N1346=""),'Lists &amp; Settings'!$O$10,IF($N1346="Fail",'Lists &amp; Settings'!$O$9,IF($N1346="Insufficient Evidence",'Lists &amp; Settings'!$O$10,IF($N1346="Pass",IF($M1346&gt;='Lists &amp; Settings'!$N$2,'Lists &amp; Settings'!$O$2,IF($M1346&gt;='Lists &amp; Settings'!$N$3,'Lists &amp; Settings'!$O$3,'Lists &amp; Settings'!$O$4)),IF($N1346="Partial",IF($M1346&gt;='Lists &amp; Settings'!$N$6,'Lists &amp; Settings'!$O$6,IF($M1346&gt;='Lists &amp; Settings'!$N$7,'Lists &amp; Settings'!$O$7,'Lists &amp; Settings'!$O$8)),'Lists &amp; Settings'!$O$10))))))</f>
        <v/>
      </c>
      <c r="T1346" s="31"/>
      <c r="U1346" s="31"/>
      <c r="V1346" s="31"/>
    </row>
    <row r="1347" ht="15.75" customHeight="1">
      <c r="B1347" s="31"/>
      <c r="N1347" s="127"/>
      <c r="S1347" s="31" t="str">
        <f>IF($C1347="","",IF(OR($M1347="",$N1347=""),'Lists &amp; Settings'!$O$10,IF($N1347="Fail",'Lists &amp; Settings'!$O$9,IF($N1347="Insufficient Evidence",'Lists &amp; Settings'!$O$10,IF($N1347="Pass",IF($M1347&gt;='Lists &amp; Settings'!$N$2,'Lists &amp; Settings'!$O$2,IF($M1347&gt;='Lists &amp; Settings'!$N$3,'Lists &amp; Settings'!$O$3,'Lists &amp; Settings'!$O$4)),IF($N1347="Partial",IF($M1347&gt;='Lists &amp; Settings'!$N$6,'Lists &amp; Settings'!$O$6,IF($M1347&gt;='Lists &amp; Settings'!$N$7,'Lists &amp; Settings'!$O$7,'Lists &amp; Settings'!$O$8)),'Lists &amp; Settings'!$O$10))))))</f>
        <v/>
      </c>
      <c r="T1347" s="31"/>
      <c r="U1347" s="31"/>
      <c r="V1347" s="31"/>
    </row>
    <row r="1348" ht="15.75" customHeight="1">
      <c r="B1348" s="31"/>
      <c r="N1348" s="127"/>
      <c r="S1348" s="31" t="str">
        <f>IF($C1348="","",IF(OR($M1348="",$N1348=""),'Lists &amp; Settings'!$O$10,IF($N1348="Fail",'Lists &amp; Settings'!$O$9,IF($N1348="Insufficient Evidence",'Lists &amp; Settings'!$O$10,IF($N1348="Pass",IF($M1348&gt;='Lists &amp; Settings'!$N$2,'Lists &amp; Settings'!$O$2,IF($M1348&gt;='Lists &amp; Settings'!$N$3,'Lists &amp; Settings'!$O$3,'Lists &amp; Settings'!$O$4)),IF($N1348="Partial",IF($M1348&gt;='Lists &amp; Settings'!$N$6,'Lists &amp; Settings'!$O$6,IF($M1348&gt;='Lists &amp; Settings'!$N$7,'Lists &amp; Settings'!$O$7,'Lists &amp; Settings'!$O$8)),'Lists &amp; Settings'!$O$10))))))</f>
        <v/>
      </c>
      <c r="T1348" s="31"/>
      <c r="U1348" s="31"/>
      <c r="V1348" s="31"/>
    </row>
    <row r="1349" ht="15.75" customHeight="1">
      <c r="B1349" s="31"/>
      <c r="N1349" s="127"/>
      <c r="S1349" s="31" t="str">
        <f>IF($C1349="","",IF(OR($M1349="",$N1349=""),'Lists &amp; Settings'!$O$10,IF($N1349="Fail",'Lists &amp; Settings'!$O$9,IF($N1349="Insufficient Evidence",'Lists &amp; Settings'!$O$10,IF($N1349="Pass",IF($M1349&gt;='Lists &amp; Settings'!$N$2,'Lists &amp; Settings'!$O$2,IF($M1349&gt;='Lists &amp; Settings'!$N$3,'Lists &amp; Settings'!$O$3,'Lists &amp; Settings'!$O$4)),IF($N1349="Partial",IF($M1349&gt;='Lists &amp; Settings'!$N$6,'Lists &amp; Settings'!$O$6,IF($M1349&gt;='Lists &amp; Settings'!$N$7,'Lists &amp; Settings'!$O$7,'Lists &amp; Settings'!$O$8)),'Lists &amp; Settings'!$O$10))))))</f>
        <v/>
      </c>
      <c r="T1349" s="31"/>
      <c r="U1349" s="31"/>
      <c r="V1349" s="31"/>
    </row>
    <row r="1350" ht="15.75" customHeight="1">
      <c r="B1350" s="31"/>
      <c r="N1350" s="127"/>
      <c r="S1350" s="31" t="str">
        <f>IF($C1350="","",IF(OR($M1350="",$N1350=""),'Lists &amp; Settings'!$O$10,IF($N1350="Fail",'Lists &amp; Settings'!$O$9,IF($N1350="Insufficient Evidence",'Lists &amp; Settings'!$O$10,IF($N1350="Pass",IF($M1350&gt;='Lists &amp; Settings'!$N$2,'Lists &amp; Settings'!$O$2,IF($M1350&gt;='Lists &amp; Settings'!$N$3,'Lists &amp; Settings'!$O$3,'Lists &amp; Settings'!$O$4)),IF($N1350="Partial",IF($M1350&gt;='Lists &amp; Settings'!$N$6,'Lists &amp; Settings'!$O$6,IF($M1350&gt;='Lists &amp; Settings'!$N$7,'Lists &amp; Settings'!$O$7,'Lists &amp; Settings'!$O$8)),'Lists &amp; Settings'!$O$10))))))</f>
        <v/>
      </c>
      <c r="T1350" s="31"/>
      <c r="U1350" s="31"/>
      <c r="V1350" s="31"/>
    </row>
    <row r="1351" ht="15.75" customHeight="1">
      <c r="B1351" s="31"/>
      <c r="N1351" s="127"/>
      <c r="S1351" s="31" t="str">
        <f>IF($C1351="","",IF(OR($M1351="",$N1351=""),'Lists &amp; Settings'!$O$10,IF($N1351="Fail",'Lists &amp; Settings'!$O$9,IF($N1351="Insufficient Evidence",'Lists &amp; Settings'!$O$10,IF($N1351="Pass",IF($M1351&gt;='Lists &amp; Settings'!$N$2,'Lists &amp; Settings'!$O$2,IF($M1351&gt;='Lists &amp; Settings'!$N$3,'Lists &amp; Settings'!$O$3,'Lists &amp; Settings'!$O$4)),IF($N1351="Partial",IF($M1351&gt;='Lists &amp; Settings'!$N$6,'Lists &amp; Settings'!$O$6,IF($M1351&gt;='Lists &amp; Settings'!$N$7,'Lists &amp; Settings'!$O$7,'Lists &amp; Settings'!$O$8)),'Lists &amp; Settings'!$O$10))))))</f>
        <v/>
      </c>
      <c r="T1351" s="31"/>
      <c r="U1351" s="31"/>
      <c r="V1351" s="31"/>
    </row>
    <row r="1352" ht="15.75" customHeight="1">
      <c r="B1352" s="31"/>
      <c r="N1352" s="127"/>
      <c r="S1352" s="31" t="str">
        <f>IF($C1352="","",IF(OR($M1352="",$N1352=""),'Lists &amp; Settings'!$O$10,IF($N1352="Fail",'Lists &amp; Settings'!$O$9,IF($N1352="Insufficient Evidence",'Lists &amp; Settings'!$O$10,IF($N1352="Pass",IF($M1352&gt;='Lists &amp; Settings'!$N$2,'Lists &amp; Settings'!$O$2,IF($M1352&gt;='Lists &amp; Settings'!$N$3,'Lists &amp; Settings'!$O$3,'Lists &amp; Settings'!$O$4)),IF($N1352="Partial",IF($M1352&gt;='Lists &amp; Settings'!$N$6,'Lists &amp; Settings'!$O$6,IF($M1352&gt;='Lists &amp; Settings'!$N$7,'Lists &amp; Settings'!$O$7,'Lists &amp; Settings'!$O$8)),'Lists &amp; Settings'!$O$10))))))</f>
        <v/>
      </c>
      <c r="T1352" s="31"/>
      <c r="U1352" s="31"/>
      <c r="V1352" s="31"/>
    </row>
    <row r="1353" ht="15.75" customHeight="1">
      <c r="B1353" s="31"/>
      <c r="N1353" s="127"/>
      <c r="S1353" s="31" t="str">
        <f>IF($C1353="","",IF(OR($M1353="",$N1353=""),'Lists &amp; Settings'!$O$10,IF($N1353="Fail",'Lists &amp; Settings'!$O$9,IF($N1353="Insufficient Evidence",'Lists &amp; Settings'!$O$10,IF($N1353="Pass",IF($M1353&gt;='Lists &amp; Settings'!$N$2,'Lists &amp; Settings'!$O$2,IF($M1353&gt;='Lists &amp; Settings'!$N$3,'Lists &amp; Settings'!$O$3,'Lists &amp; Settings'!$O$4)),IF($N1353="Partial",IF($M1353&gt;='Lists &amp; Settings'!$N$6,'Lists &amp; Settings'!$O$6,IF($M1353&gt;='Lists &amp; Settings'!$N$7,'Lists &amp; Settings'!$O$7,'Lists &amp; Settings'!$O$8)),'Lists &amp; Settings'!$O$10))))))</f>
        <v/>
      </c>
      <c r="T1353" s="31"/>
      <c r="U1353" s="31"/>
      <c r="V1353" s="31"/>
    </row>
    <row r="1354" ht="15.75" customHeight="1">
      <c r="B1354" s="31"/>
      <c r="N1354" s="127"/>
      <c r="S1354" s="31" t="str">
        <f>IF($C1354="","",IF(OR($M1354="",$N1354=""),'Lists &amp; Settings'!$O$10,IF($N1354="Fail",'Lists &amp; Settings'!$O$9,IF($N1354="Insufficient Evidence",'Lists &amp; Settings'!$O$10,IF($N1354="Pass",IF($M1354&gt;='Lists &amp; Settings'!$N$2,'Lists &amp; Settings'!$O$2,IF($M1354&gt;='Lists &amp; Settings'!$N$3,'Lists &amp; Settings'!$O$3,'Lists &amp; Settings'!$O$4)),IF($N1354="Partial",IF($M1354&gt;='Lists &amp; Settings'!$N$6,'Lists &amp; Settings'!$O$6,IF($M1354&gt;='Lists &amp; Settings'!$N$7,'Lists &amp; Settings'!$O$7,'Lists &amp; Settings'!$O$8)),'Lists &amp; Settings'!$O$10))))))</f>
        <v/>
      </c>
      <c r="T1354" s="31"/>
      <c r="U1354" s="31"/>
      <c r="V1354" s="31"/>
    </row>
    <row r="1355" ht="15.75" customHeight="1">
      <c r="B1355" s="31"/>
      <c r="N1355" s="127"/>
      <c r="S1355" s="31" t="str">
        <f>IF($C1355="","",IF(OR($M1355="",$N1355=""),'Lists &amp; Settings'!$O$10,IF($N1355="Fail",'Lists &amp; Settings'!$O$9,IF($N1355="Insufficient Evidence",'Lists &amp; Settings'!$O$10,IF($N1355="Pass",IF($M1355&gt;='Lists &amp; Settings'!$N$2,'Lists &amp; Settings'!$O$2,IF($M1355&gt;='Lists &amp; Settings'!$N$3,'Lists &amp; Settings'!$O$3,'Lists &amp; Settings'!$O$4)),IF($N1355="Partial",IF($M1355&gt;='Lists &amp; Settings'!$N$6,'Lists &amp; Settings'!$O$6,IF($M1355&gt;='Lists &amp; Settings'!$N$7,'Lists &amp; Settings'!$O$7,'Lists &amp; Settings'!$O$8)),'Lists &amp; Settings'!$O$10))))))</f>
        <v/>
      </c>
      <c r="T1355" s="31"/>
      <c r="U1355" s="31"/>
      <c r="V1355" s="31"/>
    </row>
    <row r="1356" ht="15.75" customHeight="1">
      <c r="B1356" s="31"/>
      <c r="N1356" s="127"/>
      <c r="S1356" s="31" t="str">
        <f>IF($C1356="","",IF(OR($M1356="",$N1356=""),'Lists &amp; Settings'!$O$10,IF($N1356="Fail",'Lists &amp; Settings'!$O$9,IF($N1356="Insufficient Evidence",'Lists &amp; Settings'!$O$10,IF($N1356="Pass",IF($M1356&gt;='Lists &amp; Settings'!$N$2,'Lists &amp; Settings'!$O$2,IF($M1356&gt;='Lists &amp; Settings'!$N$3,'Lists &amp; Settings'!$O$3,'Lists &amp; Settings'!$O$4)),IF($N1356="Partial",IF($M1356&gt;='Lists &amp; Settings'!$N$6,'Lists &amp; Settings'!$O$6,IF($M1356&gt;='Lists &amp; Settings'!$N$7,'Lists &amp; Settings'!$O$7,'Lists &amp; Settings'!$O$8)),'Lists &amp; Settings'!$O$10))))))</f>
        <v/>
      </c>
      <c r="T1356" s="31"/>
      <c r="U1356" s="31"/>
      <c r="V1356" s="31"/>
    </row>
    <row r="1357" ht="15.75" customHeight="1">
      <c r="B1357" s="31"/>
      <c r="N1357" s="127"/>
      <c r="S1357" s="31" t="str">
        <f>IF($C1357="","",IF(OR($M1357="",$N1357=""),'Lists &amp; Settings'!$O$10,IF($N1357="Fail",'Lists &amp; Settings'!$O$9,IF($N1357="Insufficient Evidence",'Lists &amp; Settings'!$O$10,IF($N1357="Pass",IF($M1357&gt;='Lists &amp; Settings'!$N$2,'Lists &amp; Settings'!$O$2,IF($M1357&gt;='Lists &amp; Settings'!$N$3,'Lists &amp; Settings'!$O$3,'Lists &amp; Settings'!$O$4)),IF($N1357="Partial",IF($M1357&gt;='Lists &amp; Settings'!$N$6,'Lists &amp; Settings'!$O$6,IF($M1357&gt;='Lists &amp; Settings'!$N$7,'Lists &amp; Settings'!$O$7,'Lists &amp; Settings'!$O$8)),'Lists &amp; Settings'!$O$10))))))</f>
        <v/>
      </c>
      <c r="T1357" s="31"/>
      <c r="U1357" s="31"/>
      <c r="V1357" s="31"/>
    </row>
    <row r="1358" ht="15.75" customHeight="1">
      <c r="B1358" s="31"/>
      <c r="N1358" s="127"/>
      <c r="S1358" s="31" t="str">
        <f>IF($C1358="","",IF(OR($M1358="",$N1358=""),'Lists &amp; Settings'!$O$10,IF($N1358="Fail",'Lists &amp; Settings'!$O$9,IF($N1358="Insufficient Evidence",'Lists &amp; Settings'!$O$10,IF($N1358="Pass",IF($M1358&gt;='Lists &amp; Settings'!$N$2,'Lists &amp; Settings'!$O$2,IF($M1358&gt;='Lists &amp; Settings'!$N$3,'Lists &amp; Settings'!$O$3,'Lists &amp; Settings'!$O$4)),IF($N1358="Partial",IF($M1358&gt;='Lists &amp; Settings'!$N$6,'Lists &amp; Settings'!$O$6,IF($M1358&gt;='Lists &amp; Settings'!$N$7,'Lists &amp; Settings'!$O$7,'Lists &amp; Settings'!$O$8)),'Lists &amp; Settings'!$O$10))))))</f>
        <v/>
      </c>
      <c r="T1358" s="31"/>
      <c r="U1358" s="31"/>
      <c r="V1358" s="31"/>
    </row>
    <row r="1359" ht="15.75" customHeight="1">
      <c r="B1359" s="31"/>
      <c r="N1359" s="127"/>
      <c r="S1359" s="31" t="str">
        <f>IF($C1359="","",IF(OR($M1359="",$N1359=""),'Lists &amp; Settings'!$O$10,IF($N1359="Fail",'Lists &amp; Settings'!$O$9,IF($N1359="Insufficient Evidence",'Lists &amp; Settings'!$O$10,IF($N1359="Pass",IF($M1359&gt;='Lists &amp; Settings'!$N$2,'Lists &amp; Settings'!$O$2,IF($M1359&gt;='Lists &amp; Settings'!$N$3,'Lists &amp; Settings'!$O$3,'Lists &amp; Settings'!$O$4)),IF($N1359="Partial",IF($M1359&gt;='Lists &amp; Settings'!$N$6,'Lists &amp; Settings'!$O$6,IF($M1359&gt;='Lists &amp; Settings'!$N$7,'Lists &amp; Settings'!$O$7,'Lists &amp; Settings'!$O$8)),'Lists &amp; Settings'!$O$10))))))</f>
        <v/>
      </c>
      <c r="T1359" s="31"/>
      <c r="U1359" s="31"/>
      <c r="V1359" s="31"/>
    </row>
    <row r="1360" ht="15.75" customHeight="1">
      <c r="B1360" s="31"/>
      <c r="N1360" s="127"/>
      <c r="S1360" s="31" t="str">
        <f>IF($C1360="","",IF(OR($M1360="",$N1360=""),'Lists &amp; Settings'!$O$10,IF($N1360="Fail",'Lists &amp; Settings'!$O$9,IF($N1360="Insufficient Evidence",'Lists &amp; Settings'!$O$10,IF($N1360="Pass",IF($M1360&gt;='Lists &amp; Settings'!$N$2,'Lists &amp; Settings'!$O$2,IF($M1360&gt;='Lists &amp; Settings'!$N$3,'Lists &amp; Settings'!$O$3,'Lists &amp; Settings'!$O$4)),IF($N1360="Partial",IF($M1360&gt;='Lists &amp; Settings'!$N$6,'Lists &amp; Settings'!$O$6,IF($M1360&gt;='Lists &amp; Settings'!$N$7,'Lists &amp; Settings'!$O$7,'Lists &amp; Settings'!$O$8)),'Lists &amp; Settings'!$O$10))))))</f>
        <v/>
      </c>
      <c r="T1360" s="31"/>
      <c r="U1360" s="31"/>
      <c r="V1360" s="31"/>
    </row>
    <row r="1361" ht="15.75" customHeight="1">
      <c r="B1361" s="31"/>
      <c r="N1361" s="127"/>
      <c r="S1361" s="31" t="str">
        <f>IF($C1361="","",IF(OR($M1361="",$N1361=""),'Lists &amp; Settings'!$O$10,IF($N1361="Fail",'Lists &amp; Settings'!$O$9,IF($N1361="Insufficient Evidence",'Lists &amp; Settings'!$O$10,IF($N1361="Pass",IF($M1361&gt;='Lists &amp; Settings'!$N$2,'Lists &amp; Settings'!$O$2,IF($M1361&gt;='Lists &amp; Settings'!$N$3,'Lists &amp; Settings'!$O$3,'Lists &amp; Settings'!$O$4)),IF($N1361="Partial",IF($M1361&gt;='Lists &amp; Settings'!$N$6,'Lists &amp; Settings'!$O$6,IF($M1361&gt;='Lists &amp; Settings'!$N$7,'Lists &amp; Settings'!$O$7,'Lists &amp; Settings'!$O$8)),'Lists &amp; Settings'!$O$10))))))</f>
        <v/>
      </c>
      <c r="T1361" s="31"/>
      <c r="U1361" s="31"/>
      <c r="V1361" s="31"/>
    </row>
    <row r="1362" ht="15.75" customHeight="1">
      <c r="B1362" s="31"/>
      <c r="N1362" s="127"/>
      <c r="S1362" s="31" t="str">
        <f>IF($C1362="","",IF(OR($M1362="",$N1362=""),'Lists &amp; Settings'!$O$10,IF($N1362="Fail",'Lists &amp; Settings'!$O$9,IF($N1362="Insufficient Evidence",'Lists &amp; Settings'!$O$10,IF($N1362="Pass",IF($M1362&gt;='Lists &amp; Settings'!$N$2,'Lists &amp; Settings'!$O$2,IF($M1362&gt;='Lists &amp; Settings'!$N$3,'Lists &amp; Settings'!$O$3,'Lists &amp; Settings'!$O$4)),IF($N1362="Partial",IF($M1362&gt;='Lists &amp; Settings'!$N$6,'Lists &amp; Settings'!$O$6,IF($M1362&gt;='Lists &amp; Settings'!$N$7,'Lists &amp; Settings'!$O$7,'Lists &amp; Settings'!$O$8)),'Lists &amp; Settings'!$O$10))))))</f>
        <v/>
      </c>
      <c r="T1362" s="31"/>
      <c r="U1362" s="31"/>
      <c r="V1362" s="31"/>
    </row>
    <row r="1363" ht="15.75" customHeight="1">
      <c r="B1363" s="31"/>
      <c r="N1363" s="127"/>
      <c r="S1363" s="31" t="str">
        <f>IF($C1363="","",IF(OR($M1363="",$N1363=""),'Lists &amp; Settings'!$O$10,IF($N1363="Fail",'Lists &amp; Settings'!$O$9,IF($N1363="Insufficient Evidence",'Lists &amp; Settings'!$O$10,IF($N1363="Pass",IF($M1363&gt;='Lists &amp; Settings'!$N$2,'Lists &amp; Settings'!$O$2,IF($M1363&gt;='Lists &amp; Settings'!$N$3,'Lists &amp; Settings'!$O$3,'Lists &amp; Settings'!$O$4)),IF($N1363="Partial",IF($M1363&gt;='Lists &amp; Settings'!$N$6,'Lists &amp; Settings'!$O$6,IF($M1363&gt;='Lists &amp; Settings'!$N$7,'Lists &amp; Settings'!$O$7,'Lists &amp; Settings'!$O$8)),'Lists &amp; Settings'!$O$10))))))</f>
        <v/>
      </c>
      <c r="T1363" s="31"/>
      <c r="U1363" s="31"/>
      <c r="V1363" s="31"/>
    </row>
    <row r="1364" ht="15.75" customHeight="1">
      <c r="B1364" s="31"/>
      <c r="N1364" s="127"/>
      <c r="S1364" s="31" t="str">
        <f>IF($C1364="","",IF(OR($M1364="",$N1364=""),'Lists &amp; Settings'!$O$10,IF($N1364="Fail",'Lists &amp; Settings'!$O$9,IF($N1364="Insufficient Evidence",'Lists &amp; Settings'!$O$10,IF($N1364="Pass",IF($M1364&gt;='Lists &amp; Settings'!$N$2,'Lists &amp; Settings'!$O$2,IF($M1364&gt;='Lists &amp; Settings'!$N$3,'Lists &amp; Settings'!$O$3,'Lists &amp; Settings'!$O$4)),IF($N1364="Partial",IF($M1364&gt;='Lists &amp; Settings'!$N$6,'Lists &amp; Settings'!$O$6,IF($M1364&gt;='Lists &amp; Settings'!$N$7,'Lists &amp; Settings'!$O$7,'Lists &amp; Settings'!$O$8)),'Lists &amp; Settings'!$O$10))))))</f>
        <v/>
      </c>
      <c r="T1364" s="31"/>
      <c r="U1364" s="31"/>
      <c r="V1364" s="31"/>
    </row>
    <row r="1365" ht="15.75" customHeight="1">
      <c r="B1365" s="31"/>
      <c r="N1365" s="127"/>
      <c r="S1365" s="31" t="str">
        <f>IF($C1365="","",IF(OR($M1365="",$N1365=""),'Lists &amp; Settings'!$O$10,IF($N1365="Fail",'Lists &amp; Settings'!$O$9,IF($N1365="Insufficient Evidence",'Lists &amp; Settings'!$O$10,IF($N1365="Pass",IF($M1365&gt;='Lists &amp; Settings'!$N$2,'Lists &amp; Settings'!$O$2,IF($M1365&gt;='Lists &amp; Settings'!$N$3,'Lists &amp; Settings'!$O$3,'Lists &amp; Settings'!$O$4)),IF($N1365="Partial",IF($M1365&gt;='Lists &amp; Settings'!$N$6,'Lists &amp; Settings'!$O$6,IF($M1365&gt;='Lists &amp; Settings'!$N$7,'Lists &amp; Settings'!$O$7,'Lists &amp; Settings'!$O$8)),'Lists &amp; Settings'!$O$10))))))</f>
        <v/>
      </c>
      <c r="T1365" s="31"/>
      <c r="U1365" s="31"/>
      <c r="V1365" s="31"/>
    </row>
    <row r="1366" ht="15.75" customHeight="1">
      <c r="B1366" s="31"/>
      <c r="N1366" s="127"/>
      <c r="S1366" s="31" t="str">
        <f>IF($C1366="","",IF(OR($M1366="",$N1366=""),'Lists &amp; Settings'!$O$10,IF($N1366="Fail",'Lists &amp; Settings'!$O$9,IF($N1366="Insufficient Evidence",'Lists &amp; Settings'!$O$10,IF($N1366="Pass",IF($M1366&gt;='Lists &amp; Settings'!$N$2,'Lists &amp; Settings'!$O$2,IF($M1366&gt;='Lists &amp; Settings'!$N$3,'Lists &amp; Settings'!$O$3,'Lists &amp; Settings'!$O$4)),IF($N1366="Partial",IF($M1366&gt;='Lists &amp; Settings'!$N$6,'Lists &amp; Settings'!$O$6,IF($M1366&gt;='Lists &amp; Settings'!$N$7,'Lists &amp; Settings'!$O$7,'Lists &amp; Settings'!$O$8)),'Lists &amp; Settings'!$O$10))))))</f>
        <v/>
      </c>
      <c r="T1366" s="31"/>
      <c r="U1366" s="31"/>
      <c r="V1366" s="31"/>
    </row>
    <row r="1367" ht="15.75" customHeight="1">
      <c r="B1367" s="31"/>
      <c r="N1367" s="127"/>
      <c r="S1367" s="31" t="str">
        <f>IF($C1367="","",IF(OR($M1367="",$N1367=""),'Lists &amp; Settings'!$O$10,IF($N1367="Fail",'Lists &amp; Settings'!$O$9,IF($N1367="Insufficient Evidence",'Lists &amp; Settings'!$O$10,IF($N1367="Pass",IF($M1367&gt;='Lists &amp; Settings'!$N$2,'Lists &amp; Settings'!$O$2,IF($M1367&gt;='Lists &amp; Settings'!$N$3,'Lists &amp; Settings'!$O$3,'Lists &amp; Settings'!$O$4)),IF($N1367="Partial",IF($M1367&gt;='Lists &amp; Settings'!$N$6,'Lists &amp; Settings'!$O$6,IF($M1367&gt;='Lists &amp; Settings'!$N$7,'Lists &amp; Settings'!$O$7,'Lists &amp; Settings'!$O$8)),'Lists &amp; Settings'!$O$10))))))</f>
        <v/>
      </c>
      <c r="T1367" s="31"/>
      <c r="U1367" s="31"/>
      <c r="V1367" s="31"/>
    </row>
    <row r="1368" ht="15.75" customHeight="1">
      <c r="B1368" s="31"/>
      <c r="N1368" s="127"/>
      <c r="S1368" s="31" t="str">
        <f>IF($C1368="","",IF(OR($M1368="",$N1368=""),'Lists &amp; Settings'!$O$10,IF($N1368="Fail",'Lists &amp; Settings'!$O$9,IF($N1368="Insufficient Evidence",'Lists &amp; Settings'!$O$10,IF($N1368="Pass",IF($M1368&gt;='Lists &amp; Settings'!$N$2,'Lists &amp; Settings'!$O$2,IF($M1368&gt;='Lists &amp; Settings'!$N$3,'Lists &amp; Settings'!$O$3,'Lists &amp; Settings'!$O$4)),IF($N1368="Partial",IF($M1368&gt;='Lists &amp; Settings'!$N$6,'Lists &amp; Settings'!$O$6,IF($M1368&gt;='Lists &amp; Settings'!$N$7,'Lists &amp; Settings'!$O$7,'Lists &amp; Settings'!$O$8)),'Lists &amp; Settings'!$O$10))))))</f>
        <v/>
      </c>
      <c r="T1368" s="31"/>
      <c r="U1368" s="31"/>
      <c r="V1368" s="31"/>
    </row>
    <row r="1369" ht="15.75" customHeight="1">
      <c r="B1369" s="31"/>
      <c r="N1369" s="127"/>
      <c r="S1369" s="31" t="str">
        <f>IF($C1369="","",IF(OR($M1369="",$N1369=""),'Lists &amp; Settings'!$O$10,IF($N1369="Fail",'Lists &amp; Settings'!$O$9,IF($N1369="Insufficient Evidence",'Lists &amp; Settings'!$O$10,IF($N1369="Pass",IF($M1369&gt;='Lists &amp; Settings'!$N$2,'Lists &amp; Settings'!$O$2,IF($M1369&gt;='Lists &amp; Settings'!$N$3,'Lists &amp; Settings'!$O$3,'Lists &amp; Settings'!$O$4)),IF($N1369="Partial",IF($M1369&gt;='Lists &amp; Settings'!$N$6,'Lists &amp; Settings'!$O$6,IF($M1369&gt;='Lists &amp; Settings'!$N$7,'Lists &amp; Settings'!$O$7,'Lists &amp; Settings'!$O$8)),'Lists &amp; Settings'!$O$10))))))</f>
        <v/>
      </c>
      <c r="T1369" s="31"/>
      <c r="U1369" s="31"/>
      <c r="V1369" s="31"/>
    </row>
    <row r="1370" ht="15.75" customHeight="1">
      <c r="B1370" s="31"/>
      <c r="N1370" s="127"/>
      <c r="S1370" s="31" t="str">
        <f>IF($C1370="","",IF(OR($M1370="",$N1370=""),'Lists &amp; Settings'!$O$10,IF($N1370="Fail",'Lists &amp; Settings'!$O$9,IF($N1370="Insufficient Evidence",'Lists &amp; Settings'!$O$10,IF($N1370="Pass",IF($M1370&gt;='Lists &amp; Settings'!$N$2,'Lists &amp; Settings'!$O$2,IF($M1370&gt;='Lists &amp; Settings'!$N$3,'Lists &amp; Settings'!$O$3,'Lists &amp; Settings'!$O$4)),IF($N1370="Partial",IF($M1370&gt;='Lists &amp; Settings'!$N$6,'Lists &amp; Settings'!$O$6,IF($M1370&gt;='Lists &amp; Settings'!$N$7,'Lists &amp; Settings'!$O$7,'Lists &amp; Settings'!$O$8)),'Lists &amp; Settings'!$O$10))))))</f>
        <v/>
      </c>
      <c r="T1370" s="31"/>
      <c r="U1370" s="31"/>
      <c r="V1370" s="31"/>
    </row>
    <row r="1371" ht="15.75" customHeight="1">
      <c r="B1371" s="31"/>
      <c r="N1371" s="127"/>
      <c r="S1371" s="31" t="str">
        <f>IF($C1371="","",IF(OR($M1371="",$N1371=""),'Lists &amp; Settings'!$O$10,IF($N1371="Fail",'Lists &amp; Settings'!$O$9,IF($N1371="Insufficient Evidence",'Lists &amp; Settings'!$O$10,IF($N1371="Pass",IF($M1371&gt;='Lists &amp; Settings'!$N$2,'Lists &amp; Settings'!$O$2,IF($M1371&gt;='Lists &amp; Settings'!$N$3,'Lists &amp; Settings'!$O$3,'Lists &amp; Settings'!$O$4)),IF($N1371="Partial",IF($M1371&gt;='Lists &amp; Settings'!$N$6,'Lists &amp; Settings'!$O$6,IF($M1371&gt;='Lists &amp; Settings'!$N$7,'Lists &amp; Settings'!$O$7,'Lists &amp; Settings'!$O$8)),'Lists &amp; Settings'!$O$10))))))</f>
        <v/>
      </c>
      <c r="T1371" s="31"/>
      <c r="U1371" s="31"/>
      <c r="V1371" s="31"/>
    </row>
    <row r="1372" ht="15.75" customHeight="1">
      <c r="B1372" s="31"/>
      <c r="N1372" s="127"/>
      <c r="S1372" s="31" t="str">
        <f>IF($C1372="","",IF(OR($M1372="",$N1372=""),'Lists &amp; Settings'!$O$10,IF($N1372="Fail",'Lists &amp; Settings'!$O$9,IF($N1372="Insufficient Evidence",'Lists &amp; Settings'!$O$10,IF($N1372="Pass",IF($M1372&gt;='Lists &amp; Settings'!$N$2,'Lists &amp; Settings'!$O$2,IF($M1372&gt;='Lists &amp; Settings'!$N$3,'Lists &amp; Settings'!$O$3,'Lists &amp; Settings'!$O$4)),IF($N1372="Partial",IF($M1372&gt;='Lists &amp; Settings'!$N$6,'Lists &amp; Settings'!$O$6,IF($M1372&gt;='Lists &amp; Settings'!$N$7,'Lists &amp; Settings'!$O$7,'Lists &amp; Settings'!$O$8)),'Lists &amp; Settings'!$O$10))))))</f>
        <v/>
      </c>
      <c r="T1372" s="31"/>
      <c r="U1372" s="31"/>
      <c r="V1372" s="31"/>
    </row>
    <row r="1373" ht="15.75" customHeight="1">
      <c r="B1373" s="31"/>
      <c r="N1373" s="127"/>
      <c r="S1373" s="31" t="str">
        <f>IF($C1373="","",IF(OR($M1373="",$N1373=""),'Lists &amp; Settings'!$O$10,IF($N1373="Fail",'Lists &amp; Settings'!$O$9,IF($N1373="Insufficient Evidence",'Lists &amp; Settings'!$O$10,IF($N1373="Pass",IF($M1373&gt;='Lists &amp; Settings'!$N$2,'Lists &amp; Settings'!$O$2,IF($M1373&gt;='Lists &amp; Settings'!$N$3,'Lists &amp; Settings'!$O$3,'Lists &amp; Settings'!$O$4)),IF($N1373="Partial",IF($M1373&gt;='Lists &amp; Settings'!$N$6,'Lists &amp; Settings'!$O$6,IF($M1373&gt;='Lists &amp; Settings'!$N$7,'Lists &amp; Settings'!$O$7,'Lists &amp; Settings'!$O$8)),'Lists &amp; Settings'!$O$10))))))</f>
        <v/>
      </c>
      <c r="T1373" s="31"/>
      <c r="U1373" s="31"/>
      <c r="V1373" s="31"/>
    </row>
    <row r="1374" ht="15.75" customHeight="1">
      <c r="B1374" s="31"/>
      <c r="N1374" s="127"/>
      <c r="S1374" s="31" t="str">
        <f>IF($C1374="","",IF(OR($M1374="",$N1374=""),'Lists &amp; Settings'!$O$10,IF($N1374="Fail",'Lists &amp; Settings'!$O$9,IF($N1374="Insufficient Evidence",'Lists &amp; Settings'!$O$10,IF($N1374="Pass",IF($M1374&gt;='Lists &amp; Settings'!$N$2,'Lists &amp; Settings'!$O$2,IF($M1374&gt;='Lists &amp; Settings'!$N$3,'Lists &amp; Settings'!$O$3,'Lists &amp; Settings'!$O$4)),IF($N1374="Partial",IF($M1374&gt;='Lists &amp; Settings'!$N$6,'Lists &amp; Settings'!$O$6,IF($M1374&gt;='Lists &amp; Settings'!$N$7,'Lists &amp; Settings'!$O$7,'Lists &amp; Settings'!$O$8)),'Lists &amp; Settings'!$O$10))))))</f>
        <v/>
      </c>
      <c r="T1374" s="31"/>
      <c r="U1374" s="31"/>
      <c r="V1374" s="31"/>
    </row>
    <row r="1375" ht="15.75" customHeight="1">
      <c r="B1375" s="31"/>
      <c r="N1375" s="127"/>
      <c r="S1375" s="31" t="str">
        <f>IF($C1375="","",IF(OR($M1375="",$N1375=""),'Lists &amp; Settings'!$O$10,IF($N1375="Fail",'Lists &amp; Settings'!$O$9,IF($N1375="Insufficient Evidence",'Lists &amp; Settings'!$O$10,IF($N1375="Pass",IF($M1375&gt;='Lists &amp; Settings'!$N$2,'Lists &amp; Settings'!$O$2,IF($M1375&gt;='Lists &amp; Settings'!$N$3,'Lists &amp; Settings'!$O$3,'Lists &amp; Settings'!$O$4)),IF($N1375="Partial",IF($M1375&gt;='Lists &amp; Settings'!$N$6,'Lists &amp; Settings'!$O$6,IF($M1375&gt;='Lists &amp; Settings'!$N$7,'Lists &amp; Settings'!$O$7,'Lists &amp; Settings'!$O$8)),'Lists &amp; Settings'!$O$10))))))</f>
        <v/>
      </c>
      <c r="T1375" s="31"/>
      <c r="U1375" s="31"/>
      <c r="V1375" s="31"/>
    </row>
    <row r="1376" ht="15.75" customHeight="1">
      <c r="B1376" s="31"/>
      <c r="N1376" s="127"/>
      <c r="S1376" s="31" t="str">
        <f>IF($C1376="","",IF(OR($M1376="",$N1376=""),'Lists &amp; Settings'!$O$10,IF($N1376="Fail",'Lists &amp; Settings'!$O$9,IF($N1376="Insufficient Evidence",'Lists &amp; Settings'!$O$10,IF($N1376="Pass",IF($M1376&gt;='Lists &amp; Settings'!$N$2,'Lists &amp; Settings'!$O$2,IF($M1376&gt;='Lists &amp; Settings'!$N$3,'Lists &amp; Settings'!$O$3,'Lists &amp; Settings'!$O$4)),IF($N1376="Partial",IF($M1376&gt;='Lists &amp; Settings'!$N$6,'Lists &amp; Settings'!$O$6,IF($M1376&gt;='Lists &amp; Settings'!$N$7,'Lists &amp; Settings'!$O$7,'Lists &amp; Settings'!$O$8)),'Lists &amp; Settings'!$O$10))))))</f>
        <v/>
      </c>
      <c r="T1376" s="31"/>
      <c r="U1376" s="31"/>
      <c r="V1376" s="31"/>
    </row>
    <row r="1377" ht="15.75" customHeight="1">
      <c r="B1377" s="31"/>
      <c r="N1377" s="127"/>
      <c r="S1377" s="31" t="str">
        <f>IF($C1377="","",IF(OR($M1377="",$N1377=""),'Lists &amp; Settings'!$O$10,IF($N1377="Fail",'Lists &amp; Settings'!$O$9,IF($N1377="Insufficient Evidence",'Lists &amp; Settings'!$O$10,IF($N1377="Pass",IF($M1377&gt;='Lists &amp; Settings'!$N$2,'Lists &amp; Settings'!$O$2,IF($M1377&gt;='Lists &amp; Settings'!$N$3,'Lists &amp; Settings'!$O$3,'Lists &amp; Settings'!$O$4)),IF($N1377="Partial",IF($M1377&gt;='Lists &amp; Settings'!$N$6,'Lists &amp; Settings'!$O$6,IF($M1377&gt;='Lists &amp; Settings'!$N$7,'Lists &amp; Settings'!$O$7,'Lists &amp; Settings'!$O$8)),'Lists &amp; Settings'!$O$10))))))</f>
        <v/>
      </c>
      <c r="T1377" s="31"/>
      <c r="U1377" s="31"/>
      <c r="V1377" s="31"/>
    </row>
    <row r="1378" ht="15.75" customHeight="1">
      <c r="B1378" s="31"/>
      <c r="N1378" s="127"/>
      <c r="S1378" s="31" t="str">
        <f>IF($C1378="","",IF(OR($M1378="",$N1378=""),'Lists &amp; Settings'!$O$10,IF($N1378="Fail",'Lists &amp; Settings'!$O$9,IF($N1378="Insufficient Evidence",'Lists &amp; Settings'!$O$10,IF($N1378="Pass",IF($M1378&gt;='Lists &amp; Settings'!$N$2,'Lists &amp; Settings'!$O$2,IF($M1378&gt;='Lists &amp; Settings'!$N$3,'Lists &amp; Settings'!$O$3,'Lists &amp; Settings'!$O$4)),IF($N1378="Partial",IF($M1378&gt;='Lists &amp; Settings'!$N$6,'Lists &amp; Settings'!$O$6,IF($M1378&gt;='Lists &amp; Settings'!$N$7,'Lists &amp; Settings'!$O$7,'Lists &amp; Settings'!$O$8)),'Lists &amp; Settings'!$O$10))))))</f>
        <v/>
      </c>
      <c r="T1378" s="31"/>
      <c r="U1378" s="31"/>
      <c r="V1378" s="31"/>
    </row>
    <row r="1379" ht="15.75" customHeight="1">
      <c r="B1379" s="31"/>
      <c r="N1379" s="127"/>
      <c r="S1379" s="31" t="str">
        <f>IF($C1379="","",IF(OR($M1379="",$N1379=""),'Lists &amp; Settings'!$O$10,IF($N1379="Fail",'Lists &amp; Settings'!$O$9,IF($N1379="Insufficient Evidence",'Lists &amp; Settings'!$O$10,IF($N1379="Pass",IF($M1379&gt;='Lists &amp; Settings'!$N$2,'Lists &amp; Settings'!$O$2,IF($M1379&gt;='Lists &amp; Settings'!$N$3,'Lists &amp; Settings'!$O$3,'Lists &amp; Settings'!$O$4)),IF($N1379="Partial",IF($M1379&gt;='Lists &amp; Settings'!$N$6,'Lists &amp; Settings'!$O$6,IF($M1379&gt;='Lists &amp; Settings'!$N$7,'Lists &amp; Settings'!$O$7,'Lists &amp; Settings'!$O$8)),'Lists &amp; Settings'!$O$10))))))</f>
        <v/>
      </c>
      <c r="T1379" s="31"/>
      <c r="U1379" s="31"/>
      <c r="V1379" s="31"/>
    </row>
    <row r="1380" ht="15.75" customHeight="1">
      <c r="B1380" s="31"/>
      <c r="N1380" s="127"/>
      <c r="S1380" s="31" t="str">
        <f>IF($C1380="","",IF(OR($M1380="",$N1380=""),'Lists &amp; Settings'!$O$10,IF($N1380="Fail",'Lists &amp; Settings'!$O$9,IF($N1380="Insufficient Evidence",'Lists &amp; Settings'!$O$10,IF($N1380="Pass",IF($M1380&gt;='Lists &amp; Settings'!$N$2,'Lists &amp; Settings'!$O$2,IF($M1380&gt;='Lists &amp; Settings'!$N$3,'Lists &amp; Settings'!$O$3,'Lists &amp; Settings'!$O$4)),IF($N1380="Partial",IF($M1380&gt;='Lists &amp; Settings'!$N$6,'Lists &amp; Settings'!$O$6,IF($M1380&gt;='Lists &amp; Settings'!$N$7,'Lists &amp; Settings'!$O$7,'Lists &amp; Settings'!$O$8)),'Lists &amp; Settings'!$O$10))))))</f>
        <v/>
      </c>
      <c r="T1380" s="31"/>
      <c r="U1380" s="31"/>
      <c r="V1380" s="31"/>
    </row>
    <row r="1381" ht="15.75" customHeight="1">
      <c r="B1381" s="31"/>
      <c r="N1381" s="127"/>
      <c r="S1381" s="31" t="str">
        <f>IF($C1381="","",IF(OR($M1381="",$N1381=""),'Lists &amp; Settings'!$O$10,IF($N1381="Fail",'Lists &amp; Settings'!$O$9,IF($N1381="Insufficient Evidence",'Lists &amp; Settings'!$O$10,IF($N1381="Pass",IF($M1381&gt;='Lists &amp; Settings'!$N$2,'Lists &amp; Settings'!$O$2,IF($M1381&gt;='Lists &amp; Settings'!$N$3,'Lists &amp; Settings'!$O$3,'Lists &amp; Settings'!$O$4)),IF($N1381="Partial",IF($M1381&gt;='Lists &amp; Settings'!$N$6,'Lists &amp; Settings'!$O$6,IF($M1381&gt;='Lists &amp; Settings'!$N$7,'Lists &amp; Settings'!$O$7,'Lists &amp; Settings'!$O$8)),'Lists &amp; Settings'!$O$10))))))</f>
        <v/>
      </c>
      <c r="T1381" s="31"/>
      <c r="U1381" s="31"/>
      <c r="V1381" s="31"/>
    </row>
    <row r="1382" ht="15.75" customHeight="1">
      <c r="B1382" s="31"/>
      <c r="N1382" s="127"/>
      <c r="S1382" s="31" t="str">
        <f>IF($C1382="","",IF(OR($M1382="",$N1382=""),'Lists &amp; Settings'!$O$10,IF($N1382="Fail",'Lists &amp; Settings'!$O$9,IF($N1382="Insufficient Evidence",'Lists &amp; Settings'!$O$10,IF($N1382="Pass",IF($M1382&gt;='Lists &amp; Settings'!$N$2,'Lists &amp; Settings'!$O$2,IF($M1382&gt;='Lists &amp; Settings'!$N$3,'Lists &amp; Settings'!$O$3,'Lists &amp; Settings'!$O$4)),IF($N1382="Partial",IF($M1382&gt;='Lists &amp; Settings'!$N$6,'Lists &amp; Settings'!$O$6,IF($M1382&gt;='Lists &amp; Settings'!$N$7,'Lists &amp; Settings'!$O$7,'Lists &amp; Settings'!$O$8)),'Lists &amp; Settings'!$O$10))))))</f>
        <v/>
      </c>
      <c r="T1382" s="31"/>
      <c r="U1382" s="31"/>
      <c r="V1382" s="31"/>
    </row>
    <row r="1383" ht="15.75" customHeight="1">
      <c r="B1383" s="31"/>
      <c r="N1383" s="127"/>
      <c r="S1383" s="31" t="str">
        <f>IF($C1383="","",IF(OR($M1383="",$N1383=""),'Lists &amp; Settings'!$O$10,IF($N1383="Fail",'Lists &amp; Settings'!$O$9,IF($N1383="Insufficient Evidence",'Lists &amp; Settings'!$O$10,IF($N1383="Pass",IF($M1383&gt;='Lists &amp; Settings'!$N$2,'Lists &amp; Settings'!$O$2,IF($M1383&gt;='Lists &amp; Settings'!$N$3,'Lists &amp; Settings'!$O$3,'Lists &amp; Settings'!$O$4)),IF($N1383="Partial",IF($M1383&gt;='Lists &amp; Settings'!$N$6,'Lists &amp; Settings'!$O$6,IF($M1383&gt;='Lists &amp; Settings'!$N$7,'Lists &amp; Settings'!$O$7,'Lists &amp; Settings'!$O$8)),'Lists &amp; Settings'!$O$10))))))</f>
        <v/>
      </c>
      <c r="T1383" s="31"/>
      <c r="U1383" s="31"/>
      <c r="V1383" s="31"/>
    </row>
    <row r="1384" ht="15.75" customHeight="1">
      <c r="B1384" s="31"/>
      <c r="N1384" s="127"/>
      <c r="S1384" s="31" t="str">
        <f>IF($C1384="","",IF(OR($M1384="",$N1384=""),'Lists &amp; Settings'!$O$10,IF($N1384="Fail",'Lists &amp; Settings'!$O$9,IF($N1384="Insufficient Evidence",'Lists &amp; Settings'!$O$10,IF($N1384="Pass",IF($M1384&gt;='Lists &amp; Settings'!$N$2,'Lists &amp; Settings'!$O$2,IF($M1384&gt;='Lists &amp; Settings'!$N$3,'Lists &amp; Settings'!$O$3,'Lists &amp; Settings'!$O$4)),IF($N1384="Partial",IF($M1384&gt;='Lists &amp; Settings'!$N$6,'Lists &amp; Settings'!$O$6,IF($M1384&gt;='Lists &amp; Settings'!$N$7,'Lists &amp; Settings'!$O$7,'Lists &amp; Settings'!$O$8)),'Lists &amp; Settings'!$O$10))))))</f>
        <v/>
      </c>
      <c r="T1384" s="31"/>
      <c r="U1384" s="31"/>
      <c r="V1384" s="31"/>
    </row>
    <row r="1385" ht="15.75" customHeight="1">
      <c r="B1385" s="31"/>
      <c r="N1385" s="127"/>
      <c r="S1385" s="31" t="str">
        <f>IF($C1385="","",IF(OR($M1385="",$N1385=""),'Lists &amp; Settings'!$O$10,IF($N1385="Fail",'Lists &amp; Settings'!$O$9,IF($N1385="Insufficient Evidence",'Lists &amp; Settings'!$O$10,IF($N1385="Pass",IF($M1385&gt;='Lists &amp; Settings'!$N$2,'Lists &amp; Settings'!$O$2,IF($M1385&gt;='Lists &amp; Settings'!$N$3,'Lists &amp; Settings'!$O$3,'Lists &amp; Settings'!$O$4)),IF($N1385="Partial",IF($M1385&gt;='Lists &amp; Settings'!$N$6,'Lists &amp; Settings'!$O$6,IF($M1385&gt;='Lists &amp; Settings'!$N$7,'Lists &amp; Settings'!$O$7,'Lists &amp; Settings'!$O$8)),'Lists &amp; Settings'!$O$10))))))</f>
        <v/>
      </c>
      <c r="T1385" s="31"/>
      <c r="U1385" s="31"/>
      <c r="V1385" s="31"/>
    </row>
    <row r="1386" ht="15.75" customHeight="1">
      <c r="B1386" s="31"/>
      <c r="N1386" s="127"/>
      <c r="S1386" s="31" t="str">
        <f>IF($C1386="","",IF(OR($M1386="",$N1386=""),'Lists &amp; Settings'!$O$10,IF($N1386="Fail",'Lists &amp; Settings'!$O$9,IF($N1386="Insufficient Evidence",'Lists &amp; Settings'!$O$10,IF($N1386="Pass",IF($M1386&gt;='Lists &amp; Settings'!$N$2,'Lists &amp; Settings'!$O$2,IF($M1386&gt;='Lists &amp; Settings'!$N$3,'Lists &amp; Settings'!$O$3,'Lists &amp; Settings'!$O$4)),IF($N1386="Partial",IF($M1386&gt;='Lists &amp; Settings'!$N$6,'Lists &amp; Settings'!$O$6,IF($M1386&gt;='Lists &amp; Settings'!$N$7,'Lists &amp; Settings'!$O$7,'Lists &amp; Settings'!$O$8)),'Lists &amp; Settings'!$O$10))))))</f>
        <v/>
      </c>
      <c r="T1386" s="31"/>
      <c r="U1386" s="31"/>
      <c r="V1386" s="31"/>
    </row>
    <row r="1387" ht="15.75" customHeight="1">
      <c r="B1387" s="31"/>
      <c r="N1387" s="127"/>
      <c r="S1387" s="31" t="str">
        <f>IF($C1387="","",IF(OR($M1387="",$N1387=""),'Lists &amp; Settings'!$O$10,IF($N1387="Fail",'Lists &amp; Settings'!$O$9,IF($N1387="Insufficient Evidence",'Lists &amp; Settings'!$O$10,IF($N1387="Pass",IF($M1387&gt;='Lists &amp; Settings'!$N$2,'Lists &amp; Settings'!$O$2,IF($M1387&gt;='Lists &amp; Settings'!$N$3,'Lists &amp; Settings'!$O$3,'Lists &amp; Settings'!$O$4)),IF($N1387="Partial",IF($M1387&gt;='Lists &amp; Settings'!$N$6,'Lists &amp; Settings'!$O$6,IF($M1387&gt;='Lists &amp; Settings'!$N$7,'Lists &amp; Settings'!$O$7,'Lists &amp; Settings'!$O$8)),'Lists &amp; Settings'!$O$10))))))</f>
        <v/>
      </c>
      <c r="T1387" s="31"/>
      <c r="U1387" s="31"/>
      <c r="V1387" s="31"/>
    </row>
    <row r="1388" ht="15.75" customHeight="1">
      <c r="B1388" s="31"/>
      <c r="N1388" s="127"/>
      <c r="S1388" s="31" t="str">
        <f>IF($C1388="","",IF(OR($M1388="",$N1388=""),'Lists &amp; Settings'!$O$10,IF($N1388="Fail",'Lists &amp; Settings'!$O$9,IF($N1388="Insufficient Evidence",'Lists &amp; Settings'!$O$10,IF($N1388="Pass",IF($M1388&gt;='Lists &amp; Settings'!$N$2,'Lists &amp; Settings'!$O$2,IF($M1388&gt;='Lists &amp; Settings'!$N$3,'Lists &amp; Settings'!$O$3,'Lists &amp; Settings'!$O$4)),IF($N1388="Partial",IF($M1388&gt;='Lists &amp; Settings'!$N$6,'Lists &amp; Settings'!$O$6,IF($M1388&gt;='Lists &amp; Settings'!$N$7,'Lists &amp; Settings'!$O$7,'Lists &amp; Settings'!$O$8)),'Lists &amp; Settings'!$O$10))))))</f>
        <v/>
      </c>
      <c r="T1388" s="31"/>
      <c r="U1388" s="31"/>
      <c r="V1388" s="31"/>
    </row>
    <row r="1389" ht="15.75" customHeight="1">
      <c r="B1389" s="31"/>
      <c r="N1389" s="127"/>
      <c r="S1389" s="31" t="str">
        <f>IF($C1389="","",IF(OR($M1389="",$N1389=""),'Lists &amp; Settings'!$O$10,IF($N1389="Fail",'Lists &amp; Settings'!$O$9,IF($N1389="Insufficient Evidence",'Lists &amp; Settings'!$O$10,IF($N1389="Pass",IF($M1389&gt;='Lists &amp; Settings'!$N$2,'Lists &amp; Settings'!$O$2,IF($M1389&gt;='Lists &amp; Settings'!$N$3,'Lists &amp; Settings'!$O$3,'Lists &amp; Settings'!$O$4)),IF($N1389="Partial",IF($M1389&gt;='Lists &amp; Settings'!$N$6,'Lists &amp; Settings'!$O$6,IF($M1389&gt;='Lists &amp; Settings'!$N$7,'Lists &amp; Settings'!$O$7,'Lists &amp; Settings'!$O$8)),'Lists &amp; Settings'!$O$10))))))</f>
        <v/>
      </c>
      <c r="T1389" s="31"/>
      <c r="U1389" s="31"/>
      <c r="V1389" s="31"/>
    </row>
    <row r="1390" ht="15.75" customHeight="1">
      <c r="B1390" s="31"/>
      <c r="N1390" s="127"/>
      <c r="S1390" s="31" t="str">
        <f>IF($C1390="","",IF(OR($M1390="",$N1390=""),'Lists &amp; Settings'!$O$10,IF($N1390="Fail",'Lists &amp; Settings'!$O$9,IF($N1390="Insufficient Evidence",'Lists &amp; Settings'!$O$10,IF($N1390="Pass",IF($M1390&gt;='Lists &amp; Settings'!$N$2,'Lists &amp; Settings'!$O$2,IF($M1390&gt;='Lists &amp; Settings'!$N$3,'Lists &amp; Settings'!$O$3,'Lists &amp; Settings'!$O$4)),IF($N1390="Partial",IF($M1390&gt;='Lists &amp; Settings'!$N$6,'Lists &amp; Settings'!$O$6,IF($M1390&gt;='Lists &amp; Settings'!$N$7,'Lists &amp; Settings'!$O$7,'Lists &amp; Settings'!$O$8)),'Lists &amp; Settings'!$O$10))))))</f>
        <v/>
      </c>
      <c r="T1390" s="31"/>
      <c r="U1390" s="31"/>
      <c r="V1390" s="31"/>
    </row>
    <row r="1391" ht="15.75" customHeight="1">
      <c r="B1391" s="31"/>
      <c r="N1391" s="127"/>
      <c r="S1391" s="31" t="str">
        <f>IF($C1391="","",IF(OR($M1391="",$N1391=""),'Lists &amp; Settings'!$O$10,IF($N1391="Fail",'Lists &amp; Settings'!$O$9,IF($N1391="Insufficient Evidence",'Lists &amp; Settings'!$O$10,IF($N1391="Pass",IF($M1391&gt;='Lists &amp; Settings'!$N$2,'Lists &amp; Settings'!$O$2,IF($M1391&gt;='Lists &amp; Settings'!$N$3,'Lists &amp; Settings'!$O$3,'Lists &amp; Settings'!$O$4)),IF($N1391="Partial",IF($M1391&gt;='Lists &amp; Settings'!$N$6,'Lists &amp; Settings'!$O$6,IF($M1391&gt;='Lists &amp; Settings'!$N$7,'Lists &amp; Settings'!$O$7,'Lists &amp; Settings'!$O$8)),'Lists &amp; Settings'!$O$10))))))</f>
        <v/>
      </c>
      <c r="T1391" s="31"/>
      <c r="U1391" s="31"/>
      <c r="V1391" s="31"/>
    </row>
    <row r="1392" ht="15.75" customHeight="1">
      <c r="B1392" s="31"/>
      <c r="N1392" s="127"/>
      <c r="S1392" s="31" t="str">
        <f>IF($C1392="","",IF(OR($M1392="",$N1392=""),'Lists &amp; Settings'!$O$10,IF($N1392="Fail",'Lists &amp; Settings'!$O$9,IF($N1392="Insufficient Evidence",'Lists &amp; Settings'!$O$10,IF($N1392="Pass",IF($M1392&gt;='Lists &amp; Settings'!$N$2,'Lists &amp; Settings'!$O$2,IF($M1392&gt;='Lists &amp; Settings'!$N$3,'Lists &amp; Settings'!$O$3,'Lists &amp; Settings'!$O$4)),IF($N1392="Partial",IF($M1392&gt;='Lists &amp; Settings'!$N$6,'Lists &amp; Settings'!$O$6,IF($M1392&gt;='Lists &amp; Settings'!$N$7,'Lists &amp; Settings'!$O$7,'Lists &amp; Settings'!$O$8)),'Lists &amp; Settings'!$O$10))))))</f>
        <v/>
      </c>
      <c r="T1392" s="31"/>
      <c r="U1392" s="31"/>
      <c r="V1392" s="31"/>
    </row>
    <row r="1393" ht="15.75" customHeight="1">
      <c r="B1393" s="31"/>
      <c r="N1393" s="127"/>
      <c r="S1393" s="31" t="str">
        <f>IF($C1393="","",IF(OR($M1393="",$N1393=""),'Lists &amp; Settings'!$O$10,IF($N1393="Fail",'Lists &amp; Settings'!$O$9,IF($N1393="Insufficient Evidence",'Lists &amp; Settings'!$O$10,IF($N1393="Pass",IF($M1393&gt;='Lists &amp; Settings'!$N$2,'Lists &amp; Settings'!$O$2,IF($M1393&gt;='Lists &amp; Settings'!$N$3,'Lists &amp; Settings'!$O$3,'Lists &amp; Settings'!$O$4)),IF($N1393="Partial",IF($M1393&gt;='Lists &amp; Settings'!$N$6,'Lists &amp; Settings'!$O$6,IF($M1393&gt;='Lists &amp; Settings'!$N$7,'Lists &amp; Settings'!$O$7,'Lists &amp; Settings'!$O$8)),'Lists &amp; Settings'!$O$10))))))</f>
        <v/>
      </c>
      <c r="T1393" s="31"/>
      <c r="U1393" s="31"/>
      <c r="V1393" s="31"/>
    </row>
    <row r="1394" ht="15.75" customHeight="1">
      <c r="B1394" s="31"/>
      <c r="N1394" s="127"/>
      <c r="S1394" s="31" t="str">
        <f>IF($C1394="","",IF(OR($M1394="",$N1394=""),'Lists &amp; Settings'!$O$10,IF($N1394="Fail",'Lists &amp; Settings'!$O$9,IF($N1394="Insufficient Evidence",'Lists &amp; Settings'!$O$10,IF($N1394="Pass",IF($M1394&gt;='Lists &amp; Settings'!$N$2,'Lists &amp; Settings'!$O$2,IF($M1394&gt;='Lists &amp; Settings'!$N$3,'Lists &amp; Settings'!$O$3,'Lists &amp; Settings'!$O$4)),IF($N1394="Partial",IF($M1394&gt;='Lists &amp; Settings'!$N$6,'Lists &amp; Settings'!$O$6,IF($M1394&gt;='Lists &amp; Settings'!$N$7,'Lists &amp; Settings'!$O$7,'Lists &amp; Settings'!$O$8)),'Lists &amp; Settings'!$O$10))))))</f>
        <v/>
      </c>
      <c r="T1394" s="31"/>
      <c r="U1394" s="31"/>
      <c r="V1394" s="31"/>
    </row>
    <row r="1395" ht="15.75" customHeight="1">
      <c r="B1395" s="31"/>
      <c r="N1395" s="127"/>
      <c r="S1395" s="31" t="str">
        <f>IF($C1395="","",IF(OR($M1395="",$N1395=""),'Lists &amp; Settings'!$O$10,IF($N1395="Fail",'Lists &amp; Settings'!$O$9,IF($N1395="Insufficient Evidence",'Lists &amp; Settings'!$O$10,IF($N1395="Pass",IF($M1395&gt;='Lists &amp; Settings'!$N$2,'Lists &amp; Settings'!$O$2,IF($M1395&gt;='Lists &amp; Settings'!$N$3,'Lists &amp; Settings'!$O$3,'Lists &amp; Settings'!$O$4)),IF($N1395="Partial",IF($M1395&gt;='Lists &amp; Settings'!$N$6,'Lists &amp; Settings'!$O$6,IF($M1395&gt;='Lists &amp; Settings'!$N$7,'Lists &amp; Settings'!$O$7,'Lists &amp; Settings'!$O$8)),'Lists &amp; Settings'!$O$10))))))</f>
        <v/>
      </c>
      <c r="T1395" s="31"/>
      <c r="U1395" s="31"/>
      <c r="V1395" s="31"/>
    </row>
    <row r="1396" ht="15.75" customHeight="1">
      <c r="B1396" s="31"/>
      <c r="N1396" s="127"/>
      <c r="S1396" s="31" t="str">
        <f>IF($C1396="","",IF(OR($M1396="",$N1396=""),'Lists &amp; Settings'!$O$10,IF($N1396="Fail",'Lists &amp; Settings'!$O$9,IF($N1396="Insufficient Evidence",'Lists &amp; Settings'!$O$10,IF($N1396="Pass",IF($M1396&gt;='Lists &amp; Settings'!$N$2,'Lists &amp; Settings'!$O$2,IF($M1396&gt;='Lists &amp; Settings'!$N$3,'Lists &amp; Settings'!$O$3,'Lists &amp; Settings'!$O$4)),IF($N1396="Partial",IF($M1396&gt;='Lists &amp; Settings'!$N$6,'Lists &amp; Settings'!$O$6,IF($M1396&gt;='Lists &amp; Settings'!$N$7,'Lists &amp; Settings'!$O$7,'Lists &amp; Settings'!$O$8)),'Lists &amp; Settings'!$O$10))))))</f>
        <v/>
      </c>
      <c r="T1396" s="31"/>
      <c r="U1396" s="31"/>
      <c r="V1396" s="31"/>
    </row>
    <row r="1397" ht="15.75" customHeight="1">
      <c r="B1397" s="31"/>
      <c r="N1397" s="127"/>
      <c r="S1397" s="31" t="str">
        <f>IF($C1397="","",IF(OR($M1397="",$N1397=""),'Lists &amp; Settings'!$O$10,IF($N1397="Fail",'Lists &amp; Settings'!$O$9,IF($N1397="Insufficient Evidence",'Lists &amp; Settings'!$O$10,IF($N1397="Pass",IF($M1397&gt;='Lists &amp; Settings'!$N$2,'Lists &amp; Settings'!$O$2,IF($M1397&gt;='Lists &amp; Settings'!$N$3,'Lists &amp; Settings'!$O$3,'Lists &amp; Settings'!$O$4)),IF($N1397="Partial",IF($M1397&gt;='Lists &amp; Settings'!$N$6,'Lists &amp; Settings'!$O$6,IF($M1397&gt;='Lists &amp; Settings'!$N$7,'Lists &amp; Settings'!$O$7,'Lists &amp; Settings'!$O$8)),'Lists &amp; Settings'!$O$10))))))</f>
        <v/>
      </c>
      <c r="T1397" s="31"/>
      <c r="U1397" s="31"/>
      <c r="V1397" s="31"/>
    </row>
    <row r="1398" ht="15.75" customHeight="1">
      <c r="B1398" s="31"/>
      <c r="N1398" s="127"/>
      <c r="S1398" s="31" t="str">
        <f>IF($C1398="","",IF(OR($M1398="",$N1398=""),'Lists &amp; Settings'!$O$10,IF($N1398="Fail",'Lists &amp; Settings'!$O$9,IF($N1398="Insufficient Evidence",'Lists &amp; Settings'!$O$10,IF($N1398="Pass",IF($M1398&gt;='Lists &amp; Settings'!$N$2,'Lists &amp; Settings'!$O$2,IF($M1398&gt;='Lists &amp; Settings'!$N$3,'Lists &amp; Settings'!$O$3,'Lists &amp; Settings'!$O$4)),IF($N1398="Partial",IF($M1398&gt;='Lists &amp; Settings'!$N$6,'Lists &amp; Settings'!$O$6,IF($M1398&gt;='Lists &amp; Settings'!$N$7,'Lists &amp; Settings'!$O$7,'Lists &amp; Settings'!$O$8)),'Lists &amp; Settings'!$O$10))))))</f>
        <v/>
      </c>
      <c r="T1398" s="31"/>
      <c r="U1398" s="31"/>
      <c r="V1398" s="31"/>
    </row>
    <row r="1399" ht="15.75" customHeight="1">
      <c r="B1399" s="31"/>
      <c r="N1399" s="127"/>
      <c r="S1399" s="31" t="str">
        <f>IF($C1399="","",IF(OR($M1399="",$N1399=""),'Lists &amp; Settings'!$O$10,IF($N1399="Fail",'Lists &amp; Settings'!$O$9,IF($N1399="Insufficient Evidence",'Lists &amp; Settings'!$O$10,IF($N1399="Pass",IF($M1399&gt;='Lists &amp; Settings'!$N$2,'Lists &amp; Settings'!$O$2,IF($M1399&gt;='Lists &amp; Settings'!$N$3,'Lists &amp; Settings'!$O$3,'Lists &amp; Settings'!$O$4)),IF($N1399="Partial",IF($M1399&gt;='Lists &amp; Settings'!$N$6,'Lists &amp; Settings'!$O$6,IF($M1399&gt;='Lists &amp; Settings'!$N$7,'Lists &amp; Settings'!$O$7,'Lists &amp; Settings'!$O$8)),'Lists &amp; Settings'!$O$10))))))</f>
        <v/>
      </c>
      <c r="T1399" s="31"/>
      <c r="U1399" s="31"/>
      <c r="V1399" s="31"/>
    </row>
    <row r="1400" ht="15.75" customHeight="1">
      <c r="B1400" s="31"/>
      <c r="N1400" s="127"/>
      <c r="S1400" s="31" t="str">
        <f>IF($C1400="","",IF(OR($M1400="",$N1400=""),'Lists &amp; Settings'!$O$10,IF($N1400="Fail",'Lists &amp; Settings'!$O$9,IF($N1400="Insufficient Evidence",'Lists &amp; Settings'!$O$10,IF($N1400="Pass",IF($M1400&gt;='Lists &amp; Settings'!$N$2,'Lists &amp; Settings'!$O$2,IF($M1400&gt;='Lists &amp; Settings'!$N$3,'Lists &amp; Settings'!$O$3,'Lists &amp; Settings'!$O$4)),IF($N1400="Partial",IF($M1400&gt;='Lists &amp; Settings'!$N$6,'Lists &amp; Settings'!$O$6,IF($M1400&gt;='Lists &amp; Settings'!$N$7,'Lists &amp; Settings'!$O$7,'Lists &amp; Settings'!$O$8)),'Lists &amp; Settings'!$O$10))))))</f>
        <v/>
      </c>
      <c r="T1400" s="31"/>
      <c r="U1400" s="31"/>
      <c r="V1400" s="31"/>
    </row>
    <row r="1401" ht="15.75" customHeight="1">
      <c r="B1401" s="31"/>
      <c r="N1401" s="127"/>
      <c r="S1401" s="31" t="str">
        <f>IF($C1401="","",IF(OR($M1401="",$N1401=""),'Lists &amp; Settings'!$O$10,IF($N1401="Fail",'Lists &amp; Settings'!$O$9,IF($N1401="Insufficient Evidence",'Lists &amp; Settings'!$O$10,IF($N1401="Pass",IF($M1401&gt;='Lists &amp; Settings'!$N$2,'Lists &amp; Settings'!$O$2,IF($M1401&gt;='Lists &amp; Settings'!$N$3,'Lists &amp; Settings'!$O$3,'Lists &amp; Settings'!$O$4)),IF($N1401="Partial",IF($M1401&gt;='Lists &amp; Settings'!$N$6,'Lists &amp; Settings'!$O$6,IF($M1401&gt;='Lists &amp; Settings'!$N$7,'Lists &amp; Settings'!$O$7,'Lists &amp; Settings'!$O$8)),'Lists &amp; Settings'!$O$10))))))</f>
        <v/>
      </c>
      <c r="T1401" s="31"/>
      <c r="U1401" s="31"/>
      <c r="V1401" s="31"/>
    </row>
    <row r="1402" ht="15.75" customHeight="1">
      <c r="B1402" s="31"/>
      <c r="N1402" s="127"/>
      <c r="S1402" s="31" t="str">
        <f>IF($C1402="","",IF(OR($M1402="",$N1402=""),'Lists &amp; Settings'!$O$10,IF($N1402="Fail",'Lists &amp; Settings'!$O$9,IF($N1402="Insufficient Evidence",'Lists &amp; Settings'!$O$10,IF($N1402="Pass",IF($M1402&gt;='Lists &amp; Settings'!$N$2,'Lists &amp; Settings'!$O$2,IF($M1402&gt;='Lists &amp; Settings'!$N$3,'Lists &amp; Settings'!$O$3,'Lists &amp; Settings'!$O$4)),IF($N1402="Partial",IF($M1402&gt;='Lists &amp; Settings'!$N$6,'Lists &amp; Settings'!$O$6,IF($M1402&gt;='Lists &amp; Settings'!$N$7,'Lists &amp; Settings'!$O$7,'Lists &amp; Settings'!$O$8)),'Lists &amp; Settings'!$O$10))))))</f>
        <v/>
      </c>
      <c r="T1402" s="31"/>
      <c r="U1402" s="31"/>
      <c r="V1402" s="31"/>
    </row>
    <row r="1403" ht="15.75" customHeight="1">
      <c r="B1403" s="31"/>
      <c r="N1403" s="127"/>
      <c r="S1403" s="31" t="str">
        <f>IF($C1403="","",IF(OR($M1403="",$N1403=""),'Lists &amp; Settings'!$O$10,IF($N1403="Fail",'Lists &amp; Settings'!$O$9,IF($N1403="Insufficient Evidence",'Lists &amp; Settings'!$O$10,IF($N1403="Pass",IF($M1403&gt;='Lists &amp; Settings'!$N$2,'Lists &amp; Settings'!$O$2,IF($M1403&gt;='Lists &amp; Settings'!$N$3,'Lists &amp; Settings'!$O$3,'Lists &amp; Settings'!$O$4)),IF($N1403="Partial",IF($M1403&gt;='Lists &amp; Settings'!$N$6,'Lists &amp; Settings'!$O$6,IF($M1403&gt;='Lists &amp; Settings'!$N$7,'Lists &amp; Settings'!$O$7,'Lists &amp; Settings'!$O$8)),'Lists &amp; Settings'!$O$10))))))</f>
        <v/>
      </c>
      <c r="T1403" s="31"/>
      <c r="U1403" s="31"/>
      <c r="V1403" s="31"/>
    </row>
    <row r="1404" ht="15.75" customHeight="1">
      <c r="B1404" s="31"/>
      <c r="N1404" s="127"/>
      <c r="S1404" s="31" t="str">
        <f>IF($C1404="","",IF(OR($M1404="",$N1404=""),'Lists &amp; Settings'!$O$10,IF($N1404="Fail",'Lists &amp; Settings'!$O$9,IF($N1404="Insufficient Evidence",'Lists &amp; Settings'!$O$10,IF($N1404="Pass",IF($M1404&gt;='Lists &amp; Settings'!$N$2,'Lists &amp; Settings'!$O$2,IF($M1404&gt;='Lists &amp; Settings'!$N$3,'Lists &amp; Settings'!$O$3,'Lists &amp; Settings'!$O$4)),IF($N1404="Partial",IF($M1404&gt;='Lists &amp; Settings'!$N$6,'Lists &amp; Settings'!$O$6,IF($M1404&gt;='Lists &amp; Settings'!$N$7,'Lists &amp; Settings'!$O$7,'Lists &amp; Settings'!$O$8)),'Lists &amp; Settings'!$O$10))))))</f>
        <v/>
      </c>
      <c r="T1404" s="31"/>
      <c r="U1404" s="31"/>
      <c r="V1404" s="31"/>
    </row>
    <row r="1405" ht="15.75" customHeight="1">
      <c r="B1405" s="31"/>
      <c r="N1405" s="127"/>
      <c r="S1405" s="31" t="str">
        <f>IF($C1405="","",IF(OR($M1405="",$N1405=""),'Lists &amp; Settings'!$O$10,IF($N1405="Fail",'Lists &amp; Settings'!$O$9,IF($N1405="Insufficient Evidence",'Lists &amp; Settings'!$O$10,IF($N1405="Pass",IF($M1405&gt;='Lists &amp; Settings'!$N$2,'Lists &amp; Settings'!$O$2,IF($M1405&gt;='Lists &amp; Settings'!$N$3,'Lists &amp; Settings'!$O$3,'Lists &amp; Settings'!$O$4)),IF($N1405="Partial",IF($M1405&gt;='Lists &amp; Settings'!$N$6,'Lists &amp; Settings'!$O$6,IF($M1405&gt;='Lists &amp; Settings'!$N$7,'Lists &amp; Settings'!$O$7,'Lists &amp; Settings'!$O$8)),'Lists &amp; Settings'!$O$10))))))</f>
        <v/>
      </c>
      <c r="T1405" s="31"/>
      <c r="U1405" s="31"/>
      <c r="V1405" s="31"/>
    </row>
    <row r="1406" ht="15.75" customHeight="1">
      <c r="B1406" s="31"/>
      <c r="N1406" s="127"/>
      <c r="S1406" s="31" t="str">
        <f>IF($C1406="","",IF(OR($M1406="",$N1406=""),'Lists &amp; Settings'!$O$10,IF($N1406="Fail",'Lists &amp; Settings'!$O$9,IF($N1406="Insufficient Evidence",'Lists &amp; Settings'!$O$10,IF($N1406="Pass",IF($M1406&gt;='Lists &amp; Settings'!$N$2,'Lists &amp; Settings'!$O$2,IF($M1406&gt;='Lists &amp; Settings'!$N$3,'Lists &amp; Settings'!$O$3,'Lists &amp; Settings'!$O$4)),IF($N1406="Partial",IF($M1406&gt;='Lists &amp; Settings'!$N$6,'Lists &amp; Settings'!$O$6,IF($M1406&gt;='Lists &amp; Settings'!$N$7,'Lists &amp; Settings'!$O$7,'Lists &amp; Settings'!$O$8)),'Lists &amp; Settings'!$O$10))))))</f>
        <v/>
      </c>
      <c r="T1406" s="31"/>
      <c r="U1406" s="31"/>
      <c r="V1406" s="31"/>
    </row>
    <row r="1407" ht="15.75" customHeight="1">
      <c r="B1407" s="31"/>
      <c r="N1407" s="127"/>
      <c r="S1407" s="31" t="str">
        <f>IF($C1407="","",IF(OR($M1407="",$N1407=""),'Lists &amp; Settings'!$O$10,IF($N1407="Fail",'Lists &amp; Settings'!$O$9,IF($N1407="Insufficient Evidence",'Lists &amp; Settings'!$O$10,IF($N1407="Pass",IF($M1407&gt;='Lists &amp; Settings'!$N$2,'Lists &amp; Settings'!$O$2,IF($M1407&gt;='Lists &amp; Settings'!$N$3,'Lists &amp; Settings'!$O$3,'Lists &amp; Settings'!$O$4)),IF($N1407="Partial",IF($M1407&gt;='Lists &amp; Settings'!$N$6,'Lists &amp; Settings'!$O$6,IF($M1407&gt;='Lists &amp; Settings'!$N$7,'Lists &amp; Settings'!$O$7,'Lists &amp; Settings'!$O$8)),'Lists &amp; Settings'!$O$10))))))</f>
        <v/>
      </c>
      <c r="T1407" s="31"/>
      <c r="U1407" s="31"/>
      <c r="V1407" s="31"/>
    </row>
    <row r="1408" ht="15.75" customHeight="1">
      <c r="B1408" s="31"/>
      <c r="N1408" s="127"/>
      <c r="S1408" s="31" t="str">
        <f>IF($C1408="","",IF(OR($M1408="",$N1408=""),'Lists &amp; Settings'!$O$10,IF($N1408="Fail",'Lists &amp; Settings'!$O$9,IF($N1408="Insufficient Evidence",'Lists &amp; Settings'!$O$10,IF($N1408="Pass",IF($M1408&gt;='Lists &amp; Settings'!$N$2,'Lists &amp; Settings'!$O$2,IF($M1408&gt;='Lists &amp; Settings'!$N$3,'Lists &amp; Settings'!$O$3,'Lists &amp; Settings'!$O$4)),IF($N1408="Partial",IF($M1408&gt;='Lists &amp; Settings'!$N$6,'Lists &amp; Settings'!$O$6,IF($M1408&gt;='Lists &amp; Settings'!$N$7,'Lists &amp; Settings'!$O$7,'Lists &amp; Settings'!$O$8)),'Lists &amp; Settings'!$O$10))))))</f>
        <v/>
      </c>
      <c r="T1408" s="31"/>
      <c r="U1408" s="31"/>
      <c r="V1408" s="31"/>
    </row>
    <row r="1409" ht="15.75" customHeight="1">
      <c r="B1409" s="31"/>
      <c r="N1409" s="127"/>
      <c r="S1409" s="31" t="str">
        <f>IF($C1409="","",IF(OR($M1409="",$N1409=""),'Lists &amp; Settings'!$O$10,IF($N1409="Fail",'Lists &amp; Settings'!$O$9,IF($N1409="Insufficient Evidence",'Lists &amp; Settings'!$O$10,IF($N1409="Pass",IF($M1409&gt;='Lists &amp; Settings'!$N$2,'Lists &amp; Settings'!$O$2,IF($M1409&gt;='Lists &amp; Settings'!$N$3,'Lists &amp; Settings'!$O$3,'Lists &amp; Settings'!$O$4)),IF($N1409="Partial",IF($M1409&gt;='Lists &amp; Settings'!$N$6,'Lists &amp; Settings'!$O$6,IF($M1409&gt;='Lists &amp; Settings'!$N$7,'Lists &amp; Settings'!$O$7,'Lists &amp; Settings'!$O$8)),'Lists &amp; Settings'!$O$10))))))</f>
        <v/>
      </c>
      <c r="T1409" s="31"/>
      <c r="U1409" s="31"/>
      <c r="V1409" s="31"/>
    </row>
    <row r="1410" ht="15.75" customHeight="1">
      <c r="B1410" s="31"/>
      <c r="N1410" s="127"/>
      <c r="S1410" s="31" t="str">
        <f>IF($C1410="","",IF(OR($M1410="",$N1410=""),'Lists &amp; Settings'!$O$10,IF($N1410="Fail",'Lists &amp; Settings'!$O$9,IF($N1410="Insufficient Evidence",'Lists &amp; Settings'!$O$10,IF($N1410="Pass",IF($M1410&gt;='Lists &amp; Settings'!$N$2,'Lists &amp; Settings'!$O$2,IF($M1410&gt;='Lists &amp; Settings'!$N$3,'Lists &amp; Settings'!$O$3,'Lists &amp; Settings'!$O$4)),IF($N1410="Partial",IF($M1410&gt;='Lists &amp; Settings'!$N$6,'Lists &amp; Settings'!$O$6,IF($M1410&gt;='Lists &amp; Settings'!$N$7,'Lists &amp; Settings'!$O$7,'Lists &amp; Settings'!$O$8)),'Lists &amp; Settings'!$O$10))))))</f>
        <v/>
      </c>
      <c r="T1410" s="31"/>
      <c r="U1410" s="31"/>
      <c r="V1410" s="31"/>
    </row>
    <row r="1411" ht="15.75" customHeight="1">
      <c r="B1411" s="31"/>
      <c r="N1411" s="127"/>
      <c r="S1411" s="31" t="str">
        <f>IF($C1411="","",IF(OR($M1411="",$N1411=""),'Lists &amp; Settings'!$O$10,IF($N1411="Fail",'Lists &amp; Settings'!$O$9,IF($N1411="Insufficient Evidence",'Lists &amp; Settings'!$O$10,IF($N1411="Pass",IF($M1411&gt;='Lists &amp; Settings'!$N$2,'Lists &amp; Settings'!$O$2,IF($M1411&gt;='Lists &amp; Settings'!$N$3,'Lists &amp; Settings'!$O$3,'Lists &amp; Settings'!$O$4)),IF($N1411="Partial",IF($M1411&gt;='Lists &amp; Settings'!$N$6,'Lists &amp; Settings'!$O$6,IF($M1411&gt;='Lists &amp; Settings'!$N$7,'Lists &amp; Settings'!$O$7,'Lists &amp; Settings'!$O$8)),'Lists &amp; Settings'!$O$10))))))</f>
        <v/>
      </c>
      <c r="T1411" s="31"/>
      <c r="U1411" s="31"/>
      <c r="V1411" s="31"/>
    </row>
    <row r="1412" ht="15.75" customHeight="1">
      <c r="B1412" s="31"/>
      <c r="N1412" s="127"/>
      <c r="S1412" s="31" t="str">
        <f>IF($C1412="","",IF(OR($M1412="",$N1412=""),'Lists &amp; Settings'!$O$10,IF($N1412="Fail",'Lists &amp; Settings'!$O$9,IF($N1412="Insufficient Evidence",'Lists &amp; Settings'!$O$10,IF($N1412="Pass",IF($M1412&gt;='Lists &amp; Settings'!$N$2,'Lists &amp; Settings'!$O$2,IF($M1412&gt;='Lists &amp; Settings'!$N$3,'Lists &amp; Settings'!$O$3,'Lists &amp; Settings'!$O$4)),IF($N1412="Partial",IF($M1412&gt;='Lists &amp; Settings'!$N$6,'Lists &amp; Settings'!$O$6,IF($M1412&gt;='Lists &amp; Settings'!$N$7,'Lists &amp; Settings'!$O$7,'Lists &amp; Settings'!$O$8)),'Lists &amp; Settings'!$O$10))))))</f>
        <v/>
      </c>
      <c r="T1412" s="31"/>
      <c r="U1412" s="31"/>
      <c r="V1412" s="31"/>
    </row>
    <row r="1413" ht="15.75" customHeight="1">
      <c r="B1413" s="31"/>
      <c r="N1413" s="127"/>
      <c r="S1413" s="31" t="str">
        <f>IF($C1413="","",IF(OR($M1413="",$N1413=""),'Lists &amp; Settings'!$O$10,IF($N1413="Fail",'Lists &amp; Settings'!$O$9,IF($N1413="Insufficient Evidence",'Lists &amp; Settings'!$O$10,IF($N1413="Pass",IF($M1413&gt;='Lists &amp; Settings'!$N$2,'Lists &amp; Settings'!$O$2,IF($M1413&gt;='Lists &amp; Settings'!$N$3,'Lists &amp; Settings'!$O$3,'Lists &amp; Settings'!$O$4)),IF($N1413="Partial",IF($M1413&gt;='Lists &amp; Settings'!$N$6,'Lists &amp; Settings'!$O$6,IF($M1413&gt;='Lists &amp; Settings'!$N$7,'Lists &amp; Settings'!$O$7,'Lists &amp; Settings'!$O$8)),'Lists &amp; Settings'!$O$10))))))</f>
        <v/>
      </c>
      <c r="T1413" s="31"/>
      <c r="U1413" s="31"/>
      <c r="V1413" s="31"/>
    </row>
    <row r="1414" ht="15.75" customHeight="1">
      <c r="B1414" s="31"/>
      <c r="N1414" s="127"/>
      <c r="S1414" s="31" t="str">
        <f>IF($C1414="","",IF(OR($M1414="",$N1414=""),'Lists &amp; Settings'!$O$10,IF($N1414="Fail",'Lists &amp; Settings'!$O$9,IF($N1414="Insufficient Evidence",'Lists &amp; Settings'!$O$10,IF($N1414="Pass",IF($M1414&gt;='Lists &amp; Settings'!$N$2,'Lists &amp; Settings'!$O$2,IF($M1414&gt;='Lists &amp; Settings'!$N$3,'Lists &amp; Settings'!$O$3,'Lists &amp; Settings'!$O$4)),IF($N1414="Partial",IF($M1414&gt;='Lists &amp; Settings'!$N$6,'Lists &amp; Settings'!$O$6,IF($M1414&gt;='Lists &amp; Settings'!$N$7,'Lists &amp; Settings'!$O$7,'Lists &amp; Settings'!$O$8)),'Lists &amp; Settings'!$O$10))))))</f>
        <v/>
      </c>
      <c r="T1414" s="31"/>
      <c r="U1414" s="31"/>
      <c r="V1414" s="31"/>
    </row>
    <row r="1415" ht="15.75" customHeight="1">
      <c r="B1415" s="31"/>
      <c r="N1415" s="127"/>
      <c r="S1415" s="31" t="str">
        <f>IF($C1415="","",IF(OR($M1415="",$N1415=""),'Lists &amp; Settings'!$O$10,IF($N1415="Fail",'Lists &amp; Settings'!$O$9,IF($N1415="Insufficient Evidence",'Lists &amp; Settings'!$O$10,IF($N1415="Pass",IF($M1415&gt;='Lists &amp; Settings'!$N$2,'Lists &amp; Settings'!$O$2,IF($M1415&gt;='Lists &amp; Settings'!$N$3,'Lists &amp; Settings'!$O$3,'Lists &amp; Settings'!$O$4)),IF($N1415="Partial",IF($M1415&gt;='Lists &amp; Settings'!$N$6,'Lists &amp; Settings'!$O$6,IF($M1415&gt;='Lists &amp; Settings'!$N$7,'Lists &amp; Settings'!$O$7,'Lists &amp; Settings'!$O$8)),'Lists &amp; Settings'!$O$10))))))</f>
        <v/>
      </c>
      <c r="T1415" s="31"/>
      <c r="U1415" s="31"/>
      <c r="V1415" s="31"/>
    </row>
    <row r="1416" ht="15.75" customHeight="1">
      <c r="B1416" s="31"/>
      <c r="N1416" s="127"/>
      <c r="S1416" s="31" t="str">
        <f>IF($C1416="","",IF(OR($M1416="",$N1416=""),'Lists &amp; Settings'!$O$10,IF($N1416="Fail",'Lists &amp; Settings'!$O$9,IF($N1416="Insufficient Evidence",'Lists &amp; Settings'!$O$10,IF($N1416="Pass",IF($M1416&gt;='Lists &amp; Settings'!$N$2,'Lists &amp; Settings'!$O$2,IF($M1416&gt;='Lists &amp; Settings'!$N$3,'Lists &amp; Settings'!$O$3,'Lists &amp; Settings'!$O$4)),IF($N1416="Partial",IF($M1416&gt;='Lists &amp; Settings'!$N$6,'Lists &amp; Settings'!$O$6,IF($M1416&gt;='Lists &amp; Settings'!$N$7,'Lists &amp; Settings'!$O$7,'Lists &amp; Settings'!$O$8)),'Lists &amp; Settings'!$O$10))))))</f>
        <v/>
      </c>
      <c r="T1416" s="31"/>
      <c r="U1416" s="31"/>
      <c r="V1416" s="31"/>
    </row>
    <row r="1417" ht="15.75" customHeight="1">
      <c r="B1417" s="31"/>
      <c r="N1417" s="127"/>
      <c r="S1417" s="31" t="str">
        <f>IF($C1417="","",IF(OR($M1417="",$N1417=""),'Lists &amp; Settings'!$O$10,IF($N1417="Fail",'Lists &amp; Settings'!$O$9,IF($N1417="Insufficient Evidence",'Lists &amp; Settings'!$O$10,IF($N1417="Pass",IF($M1417&gt;='Lists &amp; Settings'!$N$2,'Lists &amp; Settings'!$O$2,IF($M1417&gt;='Lists &amp; Settings'!$N$3,'Lists &amp; Settings'!$O$3,'Lists &amp; Settings'!$O$4)),IF($N1417="Partial",IF($M1417&gt;='Lists &amp; Settings'!$N$6,'Lists &amp; Settings'!$O$6,IF($M1417&gt;='Lists &amp; Settings'!$N$7,'Lists &amp; Settings'!$O$7,'Lists &amp; Settings'!$O$8)),'Lists &amp; Settings'!$O$10))))))</f>
        <v/>
      </c>
      <c r="T1417" s="31"/>
      <c r="U1417" s="31"/>
      <c r="V1417" s="31"/>
    </row>
    <row r="1418" ht="15.75" customHeight="1">
      <c r="B1418" s="31"/>
      <c r="N1418" s="127"/>
      <c r="S1418" s="31" t="str">
        <f>IF($C1418="","",IF(OR($M1418="",$N1418=""),'Lists &amp; Settings'!$O$10,IF($N1418="Fail",'Lists &amp; Settings'!$O$9,IF($N1418="Insufficient Evidence",'Lists &amp; Settings'!$O$10,IF($N1418="Pass",IF($M1418&gt;='Lists &amp; Settings'!$N$2,'Lists &amp; Settings'!$O$2,IF($M1418&gt;='Lists &amp; Settings'!$N$3,'Lists &amp; Settings'!$O$3,'Lists &amp; Settings'!$O$4)),IF($N1418="Partial",IF($M1418&gt;='Lists &amp; Settings'!$N$6,'Lists &amp; Settings'!$O$6,IF($M1418&gt;='Lists &amp; Settings'!$N$7,'Lists &amp; Settings'!$O$7,'Lists &amp; Settings'!$O$8)),'Lists &amp; Settings'!$O$10))))))</f>
        <v/>
      </c>
      <c r="T1418" s="31"/>
      <c r="U1418" s="31"/>
      <c r="V1418" s="31"/>
    </row>
    <row r="1419" ht="15.75" customHeight="1">
      <c r="B1419" s="31"/>
      <c r="N1419" s="127"/>
      <c r="S1419" s="31" t="str">
        <f>IF($C1419="","",IF(OR($M1419="",$N1419=""),'Lists &amp; Settings'!$O$10,IF($N1419="Fail",'Lists &amp; Settings'!$O$9,IF($N1419="Insufficient Evidence",'Lists &amp; Settings'!$O$10,IF($N1419="Pass",IF($M1419&gt;='Lists &amp; Settings'!$N$2,'Lists &amp; Settings'!$O$2,IF($M1419&gt;='Lists &amp; Settings'!$N$3,'Lists &amp; Settings'!$O$3,'Lists &amp; Settings'!$O$4)),IF($N1419="Partial",IF($M1419&gt;='Lists &amp; Settings'!$N$6,'Lists &amp; Settings'!$O$6,IF($M1419&gt;='Lists &amp; Settings'!$N$7,'Lists &amp; Settings'!$O$7,'Lists &amp; Settings'!$O$8)),'Lists &amp; Settings'!$O$10))))))</f>
        <v/>
      </c>
      <c r="T1419" s="31"/>
      <c r="U1419" s="31"/>
      <c r="V1419" s="31"/>
    </row>
    <row r="1420" ht="15.75" customHeight="1">
      <c r="B1420" s="31"/>
      <c r="N1420" s="127"/>
      <c r="S1420" s="31" t="str">
        <f>IF($C1420="","",IF(OR($M1420="",$N1420=""),'Lists &amp; Settings'!$O$10,IF($N1420="Fail",'Lists &amp; Settings'!$O$9,IF($N1420="Insufficient Evidence",'Lists &amp; Settings'!$O$10,IF($N1420="Pass",IF($M1420&gt;='Lists &amp; Settings'!$N$2,'Lists &amp; Settings'!$O$2,IF($M1420&gt;='Lists &amp; Settings'!$N$3,'Lists &amp; Settings'!$O$3,'Lists &amp; Settings'!$O$4)),IF($N1420="Partial",IF($M1420&gt;='Lists &amp; Settings'!$N$6,'Lists &amp; Settings'!$O$6,IF($M1420&gt;='Lists &amp; Settings'!$N$7,'Lists &amp; Settings'!$O$7,'Lists &amp; Settings'!$O$8)),'Lists &amp; Settings'!$O$10))))))</f>
        <v/>
      </c>
      <c r="T1420" s="31"/>
      <c r="U1420" s="31"/>
      <c r="V1420" s="31"/>
    </row>
    <row r="1421" ht="15.75" customHeight="1">
      <c r="B1421" s="31"/>
      <c r="N1421" s="127"/>
      <c r="S1421" s="31" t="str">
        <f>IF($C1421="","",IF(OR($M1421="",$N1421=""),'Lists &amp; Settings'!$O$10,IF($N1421="Fail",'Lists &amp; Settings'!$O$9,IF($N1421="Insufficient Evidence",'Lists &amp; Settings'!$O$10,IF($N1421="Pass",IF($M1421&gt;='Lists &amp; Settings'!$N$2,'Lists &amp; Settings'!$O$2,IF($M1421&gt;='Lists &amp; Settings'!$N$3,'Lists &amp; Settings'!$O$3,'Lists &amp; Settings'!$O$4)),IF($N1421="Partial",IF($M1421&gt;='Lists &amp; Settings'!$N$6,'Lists &amp; Settings'!$O$6,IF($M1421&gt;='Lists &amp; Settings'!$N$7,'Lists &amp; Settings'!$O$7,'Lists &amp; Settings'!$O$8)),'Lists &amp; Settings'!$O$10))))))</f>
        <v/>
      </c>
      <c r="T1421" s="31"/>
      <c r="U1421" s="31"/>
      <c r="V1421" s="31"/>
    </row>
    <row r="1422" ht="15.75" customHeight="1">
      <c r="B1422" s="31"/>
      <c r="N1422" s="127"/>
      <c r="S1422" s="31" t="str">
        <f>IF($C1422="","",IF(OR($M1422="",$N1422=""),'Lists &amp; Settings'!$O$10,IF($N1422="Fail",'Lists &amp; Settings'!$O$9,IF($N1422="Insufficient Evidence",'Lists &amp; Settings'!$O$10,IF($N1422="Pass",IF($M1422&gt;='Lists &amp; Settings'!$N$2,'Lists &amp; Settings'!$O$2,IF($M1422&gt;='Lists &amp; Settings'!$N$3,'Lists &amp; Settings'!$O$3,'Lists &amp; Settings'!$O$4)),IF($N1422="Partial",IF($M1422&gt;='Lists &amp; Settings'!$N$6,'Lists &amp; Settings'!$O$6,IF($M1422&gt;='Lists &amp; Settings'!$N$7,'Lists &amp; Settings'!$O$7,'Lists &amp; Settings'!$O$8)),'Lists &amp; Settings'!$O$10))))))</f>
        <v/>
      </c>
      <c r="T1422" s="31"/>
      <c r="U1422" s="31"/>
      <c r="V1422" s="31"/>
    </row>
    <row r="1423" ht="15.75" customHeight="1">
      <c r="B1423" s="31"/>
      <c r="N1423" s="127"/>
      <c r="S1423" s="31" t="str">
        <f>IF($C1423="","",IF(OR($M1423="",$N1423=""),'Lists &amp; Settings'!$O$10,IF($N1423="Fail",'Lists &amp; Settings'!$O$9,IF($N1423="Insufficient Evidence",'Lists &amp; Settings'!$O$10,IF($N1423="Pass",IF($M1423&gt;='Lists &amp; Settings'!$N$2,'Lists &amp; Settings'!$O$2,IF($M1423&gt;='Lists &amp; Settings'!$N$3,'Lists &amp; Settings'!$O$3,'Lists &amp; Settings'!$O$4)),IF($N1423="Partial",IF($M1423&gt;='Lists &amp; Settings'!$N$6,'Lists &amp; Settings'!$O$6,IF($M1423&gt;='Lists &amp; Settings'!$N$7,'Lists &amp; Settings'!$O$7,'Lists &amp; Settings'!$O$8)),'Lists &amp; Settings'!$O$10))))))</f>
        <v/>
      </c>
      <c r="T1423" s="31"/>
      <c r="U1423" s="31"/>
      <c r="V1423" s="31"/>
    </row>
    <row r="1424" ht="15.75" customHeight="1">
      <c r="B1424" s="31"/>
      <c r="N1424" s="127"/>
      <c r="S1424" s="31" t="str">
        <f>IF($C1424="","",IF(OR($M1424="",$N1424=""),'Lists &amp; Settings'!$O$10,IF($N1424="Fail",'Lists &amp; Settings'!$O$9,IF($N1424="Insufficient Evidence",'Lists &amp; Settings'!$O$10,IF($N1424="Pass",IF($M1424&gt;='Lists &amp; Settings'!$N$2,'Lists &amp; Settings'!$O$2,IF($M1424&gt;='Lists &amp; Settings'!$N$3,'Lists &amp; Settings'!$O$3,'Lists &amp; Settings'!$O$4)),IF($N1424="Partial",IF($M1424&gt;='Lists &amp; Settings'!$N$6,'Lists &amp; Settings'!$O$6,IF($M1424&gt;='Lists &amp; Settings'!$N$7,'Lists &amp; Settings'!$O$7,'Lists &amp; Settings'!$O$8)),'Lists &amp; Settings'!$O$10))))))</f>
        <v/>
      </c>
      <c r="T1424" s="31"/>
      <c r="U1424" s="31"/>
      <c r="V1424" s="31"/>
    </row>
    <row r="1425" ht="15.75" customHeight="1">
      <c r="B1425" s="31"/>
      <c r="N1425" s="127"/>
      <c r="S1425" s="31" t="str">
        <f>IF($C1425="","",IF(OR($M1425="",$N1425=""),'Lists &amp; Settings'!$O$10,IF($N1425="Fail",'Lists &amp; Settings'!$O$9,IF($N1425="Insufficient Evidence",'Lists &amp; Settings'!$O$10,IF($N1425="Pass",IF($M1425&gt;='Lists &amp; Settings'!$N$2,'Lists &amp; Settings'!$O$2,IF($M1425&gt;='Lists &amp; Settings'!$N$3,'Lists &amp; Settings'!$O$3,'Lists &amp; Settings'!$O$4)),IF($N1425="Partial",IF($M1425&gt;='Lists &amp; Settings'!$N$6,'Lists &amp; Settings'!$O$6,IF($M1425&gt;='Lists &amp; Settings'!$N$7,'Lists &amp; Settings'!$O$7,'Lists &amp; Settings'!$O$8)),'Lists &amp; Settings'!$O$10))))))</f>
        <v/>
      </c>
      <c r="T1425" s="31"/>
      <c r="U1425" s="31"/>
      <c r="V1425" s="31"/>
    </row>
    <row r="1426" ht="15.75" customHeight="1">
      <c r="B1426" s="31"/>
      <c r="N1426" s="127"/>
      <c r="S1426" s="31" t="str">
        <f>IF($C1426="","",IF(OR($M1426="",$N1426=""),'Lists &amp; Settings'!$O$10,IF($N1426="Fail",'Lists &amp; Settings'!$O$9,IF($N1426="Insufficient Evidence",'Lists &amp; Settings'!$O$10,IF($N1426="Pass",IF($M1426&gt;='Lists &amp; Settings'!$N$2,'Lists &amp; Settings'!$O$2,IF($M1426&gt;='Lists &amp; Settings'!$N$3,'Lists &amp; Settings'!$O$3,'Lists &amp; Settings'!$O$4)),IF($N1426="Partial",IF($M1426&gt;='Lists &amp; Settings'!$N$6,'Lists &amp; Settings'!$O$6,IF($M1426&gt;='Lists &amp; Settings'!$N$7,'Lists &amp; Settings'!$O$7,'Lists &amp; Settings'!$O$8)),'Lists &amp; Settings'!$O$10))))))</f>
        <v/>
      </c>
      <c r="T1426" s="31"/>
      <c r="U1426" s="31"/>
      <c r="V1426" s="31"/>
    </row>
    <row r="1427" ht="15.75" customHeight="1">
      <c r="B1427" s="31"/>
      <c r="N1427" s="127"/>
      <c r="S1427" s="31" t="str">
        <f>IF($C1427="","",IF(OR($M1427="",$N1427=""),'Lists &amp; Settings'!$O$10,IF($N1427="Fail",'Lists &amp; Settings'!$O$9,IF($N1427="Insufficient Evidence",'Lists &amp; Settings'!$O$10,IF($N1427="Pass",IF($M1427&gt;='Lists &amp; Settings'!$N$2,'Lists &amp; Settings'!$O$2,IF($M1427&gt;='Lists &amp; Settings'!$N$3,'Lists &amp; Settings'!$O$3,'Lists &amp; Settings'!$O$4)),IF($N1427="Partial",IF($M1427&gt;='Lists &amp; Settings'!$N$6,'Lists &amp; Settings'!$O$6,IF($M1427&gt;='Lists &amp; Settings'!$N$7,'Lists &amp; Settings'!$O$7,'Lists &amp; Settings'!$O$8)),'Lists &amp; Settings'!$O$10))))))</f>
        <v/>
      </c>
      <c r="T1427" s="31"/>
      <c r="U1427" s="31"/>
      <c r="V1427" s="31"/>
    </row>
    <row r="1428" ht="15.75" customHeight="1">
      <c r="B1428" s="31"/>
      <c r="N1428" s="127"/>
      <c r="S1428" s="31" t="str">
        <f>IF($C1428="","",IF(OR($M1428="",$N1428=""),'Lists &amp; Settings'!$O$10,IF($N1428="Fail",'Lists &amp; Settings'!$O$9,IF($N1428="Insufficient Evidence",'Lists &amp; Settings'!$O$10,IF($N1428="Pass",IF($M1428&gt;='Lists &amp; Settings'!$N$2,'Lists &amp; Settings'!$O$2,IF($M1428&gt;='Lists &amp; Settings'!$N$3,'Lists &amp; Settings'!$O$3,'Lists &amp; Settings'!$O$4)),IF($N1428="Partial",IF($M1428&gt;='Lists &amp; Settings'!$N$6,'Lists &amp; Settings'!$O$6,IF($M1428&gt;='Lists &amp; Settings'!$N$7,'Lists &amp; Settings'!$O$7,'Lists &amp; Settings'!$O$8)),'Lists &amp; Settings'!$O$10))))))</f>
        <v/>
      </c>
      <c r="T1428" s="31"/>
      <c r="U1428" s="31"/>
      <c r="V1428" s="31"/>
    </row>
    <row r="1429" ht="15.75" customHeight="1">
      <c r="B1429" s="31"/>
      <c r="N1429" s="127"/>
      <c r="S1429" s="31" t="str">
        <f>IF($C1429="","",IF(OR($M1429="",$N1429=""),'Lists &amp; Settings'!$O$10,IF($N1429="Fail",'Lists &amp; Settings'!$O$9,IF($N1429="Insufficient Evidence",'Lists &amp; Settings'!$O$10,IF($N1429="Pass",IF($M1429&gt;='Lists &amp; Settings'!$N$2,'Lists &amp; Settings'!$O$2,IF($M1429&gt;='Lists &amp; Settings'!$N$3,'Lists &amp; Settings'!$O$3,'Lists &amp; Settings'!$O$4)),IF($N1429="Partial",IF($M1429&gt;='Lists &amp; Settings'!$N$6,'Lists &amp; Settings'!$O$6,IF($M1429&gt;='Lists &amp; Settings'!$N$7,'Lists &amp; Settings'!$O$7,'Lists &amp; Settings'!$O$8)),'Lists &amp; Settings'!$O$10))))))</f>
        <v/>
      </c>
      <c r="T1429" s="31"/>
      <c r="U1429" s="31"/>
      <c r="V1429" s="31"/>
    </row>
    <row r="1430" ht="15.75" customHeight="1">
      <c r="B1430" s="31"/>
      <c r="N1430" s="127"/>
      <c r="S1430" s="31" t="str">
        <f>IF($C1430="","",IF(OR($M1430="",$N1430=""),'Lists &amp; Settings'!$O$10,IF($N1430="Fail",'Lists &amp; Settings'!$O$9,IF($N1430="Insufficient Evidence",'Lists &amp; Settings'!$O$10,IF($N1430="Pass",IF($M1430&gt;='Lists &amp; Settings'!$N$2,'Lists &amp; Settings'!$O$2,IF($M1430&gt;='Lists &amp; Settings'!$N$3,'Lists &amp; Settings'!$O$3,'Lists &amp; Settings'!$O$4)),IF($N1430="Partial",IF($M1430&gt;='Lists &amp; Settings'!$N$6,'Lists &amp; Settings'!$O$6,IF($M1430&gt;='Lists &amp; Settings'!$N$7,'Lists &amp; Settings'!$O$7,'Lists &amp; Settings'!$O$8)),'Lists &amp; Settings'!$O$10))))))</f>
        <v/>
      </c>
      <c r="T1430" s="31"/>
      <c r="U1430" s="31"/>
      <c r="V1430" s="31"/>
    </row>
    <row r="1431" ht="15.75" customHeight="1">
      <c r="B1431" s="31"/>
      <c r="N1431" s="127"/>
      <c r="S1431" s="31" t="str">
        <f>IF($C1431="","",IF(OR($M1431="",$N1431=""),'Lists &amp; Settings'!$O$10,IF($N1431="Fail",'Lists &amp; Settings'!$O$9,IF($N1431="Insufficient Evidence",'Lists &amp; Settings'!$O$10,IF($N1431="Pass",IF($M1431&gt;='Lists &amp; Settings'!$N$2,'Lists &amp; Settings'!$O$2,IF($M1431&gt;='Lists &amp; Settings'!$N$3,'Lists &amp; Settings'!$O$3,'Lists &amp; Settings'!$O$4)),IF($N1431="Partial",IF($M1431&gt;='Lists &amp; Settings'!$N$6,'Lists &amp; Settings'!$O$6,IF($M1431&gt;='Lists &amp; Settings'!$N$7,'Lists &amp; Settings'!$O$7,'Lists &amp; Settings'!$O$8)),'Lists &amp; Settings'!$O$10))))))</f>
        <v/>
      </c>
      <c r="T1431" s="31"/>
      <c r="U1431" s="31"/>
      <c r="V1431" s="31"/>
    </row>
    <row r="1432" ht="15.75" customHeight="1">
      <c r="B1432" s="31"/>
      <c r="N1432" s="127"/>
      <c r="S1432" s="31" t="str">
        <f>IF($C1432="","",IF(OR($M1432="",$N1432=""),'Lists &amp; Settings'!$O$10,IF($N1432="Fail",'Lists &amp; Settings'!$O$9,IF($N1432="Insufficient Evidence",'Lists &amp; Settings'!$O$10,IF($N1432="Pass",IF($M1432&gt;='Lists &amp; Settings'!$N$2,'Lists &amp; Settings'!$O$2,IF($M1432&gt;='Lists &amp; Settings'!$N$3,'Lists &amp; Settings'!$O$3,'Lists &amp; Settings'!$O$4)),IF($N1432="Partial",IF($M1432&gt;='Lists &amp; Settings'!$N$6,'Lists &amp; Settings'!$O$6,IF($M1432&gt;='Lists &amp; Settings'!$N$7,'Lists &amp; Settings'!$O$7,'Lists &amp; Settings'!$O$8)),'Lists &amp; Settings'!$O$10))))))</f>
        <v/>
      </c>
      <c r="T1432" s="31"/>
      <c r="U1432" s="31"/>
      <c r="V1432" s="31"/>
    </row>
    <row r="1433" ht="15.75" customHeight="1">
      <c r="B1433" s="31"/>
      <c r="N1433" s="127"/>
      <c r="S1433" s="31" t="str">
        <f>IF($C1433="","",IF(OR($M1433="",$N1433=""),'Lists &amp; Settings'!$O$10,IF($N1433="Fail",'Lists &amp; Settings'!$O$9,IF($N1433="Insufficient Evidence",'Lists &amp; Settings'!$O$10,IF($N1433="Pass",IF($M1433&gt;='Lists &amp; Settings'!$N$2,'Lists &amp; Settings'!$O$2,IF($M1433&gt;='Lists &amp; Settings'!$N$3,'Lists &amp; Settings'!$O$3,'Lists &amp; Settings'!$O$4)),IF($N1433="Partial",IF($M1433&gt;='Lists &amp; Settings'!$N$6,'Lists &amp; Settings'!$O$6,IF($M1433&gt;='Lists &amp; Settings'!$N$7,'Lists &amp; Settings'!$O$7,'Lists &amp; Settings'!$O$8)),'Lists &amp; Settings'!$O$10))))))</f>
        <v/>
      </c>
      <c r="T1433" s="31"/>
      <c r="U1433" s="31"/>
      <c r="V1433" s="31"/>
    </row>
    <row r="1434" ht="15.75" customHeight="1">
      <c r="B1434" s="31"/>
      <c r="N1434" s="127"/>
      <c r="S1434" s="31" t="str">
        <f>IF($C1434="","",IF(OR($M1434="",$N1434=""),'Lists &amp; Settings'!$O$10,IF($N1434="Fail",'Lists &amp; Settings'!$O$9,IF($N1434="Insufficient Evidence",'Lists &amp; Settings'!$O$10,IF($N1434="Pass",IF($M1434&gt;='Lists &amp; Settings'!$N$2,'Lists &amp; Settings'!$O$2,IF($M1434&gt;='Lists &amp; Settings'!$N$3,'Lists &amp; Settings'!$O$3,'Lists &amp; Settings'!$O$4)),IF($N1434="Partial",IF($M1434&gt;='Lists &amp; Settings'!$N$6,'Lists &amp; Settings'!$O$6,IF($M1434&gt;='Lists &amp; Settings'!$N$7,'Lists &amp; Settings'!$O$7,'Lists &amp; Settings'!$O$8)),'Lists &amp; Settings'!$O$10))))))</f>
        <v/>
      </c>
      <c r="T1434" s="31"/>
      <c r="U1434" s="31"/>
      <c r="V1434" s="31"/>
    </row>
    <row r="1435" ht="15.75" customHeight="1">
      <c r="B1435" s="31"/>
      <c r="N1435" s="127"/>
      <c r="S1435" s="31" t="str">
        <f>IF($C1435="","",IF(OR($M1435="",$N1435=""),'Lists &amp; Settings'!$O$10,IF($N1435="Fail",'Lists &amp; Settings'!$O$9,IF($N1435="Insufficient Evidence",'Lists &amp; Settings'!$O$10,IF($N1435="Pass",IF($M1435&gt;='Lists &amp; Settings'!$N$2,'Lists &amp; Settings'!$O$2,IF($M1435&gt;='Lists &amp; Settings'!$N$3,'Lists &amp; Settings'!$O$3,'Lists &amp; Settings'!$O$4)),IF($N1435="Partial",IF($M1435&gt;='Lists &amp; Settings'!$N$6,'Lists &amp; Settings'!$O$6,IF($M1435&gt;='Lists &amp; Settings'!$N$7,'Lists &amp; Settings'!$O$7,'Lists &amp; Settings'!$O$8)),'Lists &amp; Settings'!$O$10))))))</f>
        <v/>
      </c>
      <c r="T1435" s="31"/>
      <c r="U1435" s="31"/>
      <c r="V1435" s="31"/>
    </row>
    <row r="1436" ht="15.75" customHeight="1">
      <c r="B1436" s="31"/>
      <c r="N1436" s="127"/>
      <c r="S1436" s="31" t="str">
        <f>IF($C1436="","",IF(OR($M1436="",$N1436=""),'Lists &amp; Settings'!$O$10,IF($N1436="Fail",'Lists &amp; Settings'!$O$9,IF($N1436="Insufficient Evidence",'Lists &amp; Settings'!$O$10,IF($N1436="Pass",IF($M1436&gt;='Lists &amp; Settings'!$N$2,'Lists &amp; Settings'!$O$2,IF($M1436&gt;='Lists &amp; Settings'!$N$3,'Lists &amp; Settings'!$O$3,'Lists &amp; Settings'!$O$4)),IF($N1436="Partial",IF($M1436&gt;='Lists &amp; Settings'!$N$6,'Lists &amp; Settings'!$O$6,IF($M1436&gt;='Lists &amp; Settings'!$N$7,'Lists &amp; Settings'!$O$7,'Lists &amp; Settings'!$O$8)),'Lists &amp; Settings'!$O$10))))))</f>
        <v/>
      </c>
      <c r="T1436" s="31"/>
      <c r="U1436" s="31"/>
      <c r="V1436" s="31"/>
    </row>
    <row r="1437" ht="15.75" customHeight="1">
      <c r="B1437" s="31"/>
      <c r="N1437" s="127"/>
      <c r="S1437" s="31" t="str">
        <f>IF($C1437="","",IF(OR($M1437="",$N1437=""),'Lists &amp; Settings'!$O$10,IF($N1437="Fail",'Lists &amp; Settings'!$O$9,IF($N1437="Insufficient Evidence",'Lists &amp; Settings'!$O$10,IF($N1437="Pass",IF($M1437&gt;='Lists &amp; Settings'!$N$2,'Lists &amp; Settings'!$O$2,IF($M1437&gt;='Lists &amp; Settings'!$N$3,'Lists &amp; Settings'!$O$3,'Lists &amp; Settings'!$O$4)),IF($N1437="Partial",IF($M1437&gt;='Lists &amp; Settings'!$N$6,'Lists &amp; Settings'!$O$6,IF($M1437&gt;='Lists &amp; Settings'!$N$7,'Lists &amp; Settings'!$O$7,'Lists &amp; Settings'!$O$8)),'Lists &amp; Settings'!$O$10))))))</f>
        <v/>
      </c>
      <c r="T1437" s="31"/>
      <c r="U1437" s="31"/>
      <c r="V1437" s="31"/>
    </row>
    <row r="1438" ht="15.75" customHeight="1">
      <c r="B1438" s="31"/>
      <c r="N1438" s="127"/>
      <c r="S1438" s="31" t="str">
        <f>IF($C1438="","",IF(OR($M1438="",$N1438=""),'Lists &amp; Settings'!$O$10,IF($N1438="Fail",'Lists &amp; Settings'!$O$9,IF($N1438="Insufficient Evidence",'Lists &amp; Settings'!$O$10,IF($N1438="Pass",IF($M1438&gt;='Lists &amp; Settings'!$N$2,'Lists &amp; Settings'!$O$2,IF($M1438&gt;='Lists &amp; Settings'!$N$3,'Lists &amp; Settings'!$O$3,'Lists &amp; Settings'!$O$4)),IF($N1438="Partial",IF($M1438&gt;='Lists &amp; Settings'!$N$6,'Lists &amp; Settings'!$O$6,IF($M1438&gt;='Lists &amp; Settings'!$N$7,'Lists &amp; Settings'!$O$7,'Lists &amp; Settings'!$O$8)),'Lists &amp; Settings'!$O$10))))))</f>
        <v/>
      </c>
      <c r="T1438" s="31"/>
      <c r="U1438" s="31"/>
      <c r="V1438" s="31"/>
    </row>
    <row r="1439" ht="15.75" customHeight="1">
      <c r="B1439" s="31"/>
      <c r="N1439" s="127"/>
      <c r="S1439" s="31" t="str">
        <f>IF($C1439="","",IF(OR($M1439="",$N1439=""),'Lists &amp; Settings'!$O$10,IF($N1439="Fail",'Lists &amp; Settings'!$O$9,IF($N1439="Insufficient Evidence",'Lists &amp; Settings'!$O$10,IF($N1439="Pass",IF($M1439&gt;='Lists &amp; Settings'!$N$2,'Lists &amp; Settings'!$O$2,IF($M1439&gt;='Lists &amp; Settings'!$N$3,'Lists &amp; Settings'!$O$3,'Lists &amp; Settings'!$O$4)),IF($N1439="Partial",IF($M1439&gt;='Lists &amp; Settings'!$N$6,'Lists &amp; Settings'!$O$6,IF($M1439&gt;='Lists &amp; Settings'!$N$7,'Lists &amp; Settings'!$O$7,'Lists &amp; Settings'!$O$8)),'Lists &amp; Settings'!$O$10))))))</f>
        <v/>
      </c>
      <c r="T1439" s="31"/>
      <c r="U1439" s="31"/>
      <c r="V1439" s="31"/>
    </row>
    <row r="1440" ht="15.75" customHeight="1">
      <c r="B1440" s="31"/>
      <c r="N1440" s="127"/>
      <c r="S1440" s="31" t="str">
        <f>IF($C1440="","",IF(OR($M1440="",$N1440=""),'Lists &amp; Settings'!$O$10,IF($N1440="Fail",'Lists &amp; Settings'!$O$9,IF($N1440="Insufficient Evidence",'Lists &amp; Settings'!$O$10,IF($N1440="Pass",IF($M1440&gt;='Lists &amp; Settings'!$N$2,'Lists &amp; Settings'!$O$2,IF($M1440&gt;='Lists &amp; Settings'!$N$3,'Lists &amp; Settings'!$O$3,'Lists &amp; Settings'!$O$4)),IF($N1440="Partial",IF($M1440&gt;='Lists &amp; Settings'!$N$6,'Lists &amp; Settings'!$O$6,IF($M1440&gt;='Lists &amp; Settings'!$N$7,'Lists &amp; Settings'!$O$7,'Lists &amp; Settings'!$O$8)),'Lists &amp; Settings'!$O$10))))))</f>
        <v/>
      </c>
      <c r="T1440" s="31"/>
      <c r="U1440" s="31"/>
      <c r="V1440" s="31"/>
    </row>
    <row r="1441" ht="15.75" customHeight="1">
      <c r="B1441" s="31"/>
      <c r="N1441" s="127"/>
      <c r="S1441" s="31" t="str">
        <f>IF($C1441="","",IF(OR($M1441="",$N1441=""),'Lists &amp; Settings'!$O$10,IF($N1441="Fail",'Lists &amp; Settings'!$O$9,IF($N1441="Insufficient Evidence",'Lists &amp; Settings'!$O$10,IF($N1441="Pass",IF($M1441&gt;='Lists &amp; Settings'!$N$2,'Lists &amp; Settings'!$O$2,IF($M1441&gt;='Lists &amp; Settings'!$N$3,'Lists &amp; Settings'!$O$3,'Lists &amp; Settings'!$O$4)),IF($N1441="Partial",IF($M1441&gt;='Lists &amp; Settings'!$N$6,'Lists &amp; Settings'!$O$6,IF($M1441&gt;='Lists &amp; Settings'!$N$7,'Lists &amp; Settings'!$O$7,'Lists &amp; Settings'!$O$8)),'Lists &amp; Settings'!$O$10))))))</f>
        <v/>
      </c>
      <c r="T1441" s="31"/>
      <c r="U1441" s="31"/>
      <c r="V1441" s="31"/>
    </row>
    <row r="1442" ht="15.75" customHeight="1">
      <c r="B1442" s="31"/>
      <c r="N1442" s="127"/>
      <c r="S1442" s="31" t="str">
        <f>IF($C1442="","",IF(OR($M1442="",$N1442=""),'Lists &amp; Settings'!$O$10,IF($N1442="Fail",'Lists &amp; Settings'!$O$9,IF($N1442="Insufficient Evidence",'Lists &amp; Settings'!$O$10,IF($N1442="Pass",IF($M1442&gt;='Lists &amp; Settings'!$N$2,'Lists &amp; Settings'!$O$2,IF($M1442&gt;='Lists &amp; Settings'!$N$3,'Lists &amp; Settings'!$O$3,'Lists &amp; Settings'!$O$4)),IF($N1442="Partial",IF($M1442&gt;='Lists &amp; Settings'!$N$6,'Lists &amp; Settings'!$O$6,IF($M1442&gt;='Lists &amp; Settings'!$N$7,'Lists &amp; Settings'!$O$7,'Lists &amp; Settings'!$O$8)),'Lists &amp; Settings'!$O$10))))))</f>
        <v/>
      </c>
      <c r="T1442" s="31"/>
      <c r="U1442" s="31"/>
      <c r="V1442" s="31"/>
    </row>
    <row r="1443" ht="15.75" customHeight="1">
      <c r="B1443" s="31"/>
      <c r="N1443" s="127"/>
      <c r="S1443" s="31" t="str">
        <f>IF($C1443="","",IF(OR($M1443="",$N1443=""),'Lists &amp; Settings'!$O$10,IF($N1443="Fail",'Lists &amp; Settings'!$O$9,IF($N1443="Insufficient Evidence",'Lists &amp; Settings'!$O$10,IF($N1443="Pass",IF($M1443&gt;='Lists &amp; Settings'!$N$2,'Lists &amp; Settings'!$O$2,IF($M1443&gt;='Lists &amp; Settings'!$N$3,'Lists &amp; Settings'!$O$3,'Lists &amp; Settings'!$O$4)),IF($N1443="Partial",IF($M1443&gt;='Lists &amp; Settings'!$N$6,'Lists &amp; Settings'!$O$6,IF($M1443&gt;='Lists &amp; Settings'!$N$7,'Lists &amp; Settings'!$O$7,'Lists &amp; Settings'!$O$8)),'Lists &amp; Settings'!$O$10))))))</f>
        <v/>
      </c>
      <c r="T1443" s="31"/>
      <c r="U1443" s="31"/>
      <c r="V1443" s="31"/>
    </row>
    <row r="1444" ht="15.75" customHeight="1">
      <c r="B1444" s="31"/>
      <c r="N1444" s="127"/>
      <c r="S1444" s="31" t="str">
        <f>IF($C1444="","",IF(OR($M1444="",$N1444=""),'Lists &amp; Settings'!$O$10,IF($N1444="Fail",'Lists &amp; Settings'!$O$9,IF($N1444="Insufficient Evidence",'Lists &amp; Settings'!$O$10,IF($N1444="Pass",IF($M1444&gt;='Lists &amp; Settings'!$N$2,'Lists &amp; Settings'!$O$2,IF($M1444&gt;='Lists &amp; Settings'!$N$3,'Lists &amp; Settings'!$O$3,'Lists &amp; Settings'!$O$4)),IF($N1444="Partial",IF($M1444&gt;='Lists &amp; Settings'!$N$6,'Lists &amp; Settings'!$O$6,IF($M1444&gt;='Lists &amp; Settings'!$N$7,'Lists &amp; Settings'!$O$7,'Lists &amp; Settings'!$O$8)),'Lists &amp; Settings'!$O$10))))))</f>
        <v/>
      </c>
      <c r="T1444" s="31"/>
      <c r="U1444" s="31"/>
      <c r="V1444" s="31"/>
    </row>
    <row r="1445" ht="15.75" customHeight="1">
      <c r="B1445" s="31"/>
      <c r="N1445" s="127"/>
      <c r="S1445" s="31" t="str">
        <f>IF($C1445="","",IF(OR($M1445="",$N1445=""),'Lists &amp; Settings'!$O$10,IF($N1445="Fail",'Lists &amp; Settings'!$O$9,IF($N1445="Insufficient Evidence",'Lists &amp; Settings'!$O$10,IF($N1445="Pass",IF($M1445&gt;='Lists &amp; Settings'!$N$2,'Lists &amp; Settings'!$O$2,IF($M1445&gt;='Lists &amp; Settings'!$N$3,'Lists &amp; Settings'!$O$3,'Lists &amp; Settings'!$O$4)),IF($N1445="Partial",IF($M1445&gt;='Lists &amp; Settings'!$N$6,'Lists &amp; Settings'!$O$6,IF($M1445&gt;='Lists &amp; Settings'!$N$7,'Lists &amp; Settings'!$O$7,'Lists &amp; Settings'!$O$8)),'Lists &amp; Settings'!$O$10))))))</f>
        <v/>
      </c>
      <c r="T1445" s="31"/>
      <c r="U1445" s="31"/>
      <c r="V1445" s="31"/>
    </row>
    <row r="1446" ht="15.75" customHeight="1">
      <c r="B1446" s="31"/>
      <c r="N1446" s="127"/>
      <c r="S1446" s="31" t="str">
        <f>IF($C1446="","",IF(OR($M1446="",$N1446=""),'Lists &amp; Settings'!$O$10,IF($N1446="Fail",'Lists &amp; Settings'!$O$9,IF($N1446="Insufficient Evidence",'Lists &amp; Settings'!$O$10,IF($N1446="Pass",IF($M1446&gt;='Lists &amp; Settings'!$N$2,'Lists &amp; Settings'!$O$2,IF($M1446&gt;='Lists &amp; Settings'!$N$3,'Lists &amp; Settings'!$O$3,'Lists &amp; Settings'!$O$4)),IF($N1446="Partial",IF($M1446&gt;='Lists &amp; Settings'!$N$6,'Lists &amp; Settings'!$O$6,IF($M1446&gt;='Lists &amp; Settings'!$N$7,'Lists &amp; Settings'!$O$7,'Lists &amp; Settings'!$O$8)),'Lists &amp; Settings'!$O$10))))))</f>
        <v/>
      </c>
      <c r="T1446" s="31"/>
      <c r="U1446" s="31"/>
      <c r="V1446" s="31"/>
    </row>
    <row r="1447" ht="15.75" customHeight="1">
      <c r="B1447" s="31"/>
      <c r="N1447" s="127"/>
      <c r="S1447" s="31" t="str">
        <f>IF($C1447="","",IF(OR($M1447="",$N1447=""),'Lists &amp; Settings'!$O$10,IF($N1447="Fail",'Lists &amp; Settings'!$O$9,IF($N1447="Insufficient Evidence",'Lists &amp; Settings'!$O$10,IF($N1447="Pass",IF($M1447&gt;='Lists &amp; Settings'!$N$2,'Lists &amp; Settings'!$O$2,IF($M1447&gt;='Lists &amp; Settings'!$N$3,'Lists &amp; Settings'!$O$3,'Lists &amp; Settings'!$O$4)),IF($N1447="Partial",IF($M1447&gt;='Lists &amp; Settings'!$N$6,'Lists &amp; Settings'!$O$6,IF($M1447&gt;='Lists &amp; Settings'!$N$7,'Lists &amp; Settings'!$O$7,'Lists &amp; Settings'!$O$8)),'Lists &amp; Settings'!$O$10))))))</f>
        <v/>
      </c>
      <c r="T1447" s="31"/>
      <c r="U1447" s="31"/>
      <c r="V1447" s="31"/>
    </row>
    <row r="1448" ht="15.75" customHeight="1">
      <c r="B1448" s="31"/>
      <c r="N1448" s="127"/>
      <c r="S1448" s="31" t="str">
        <f>IF($C1448="","",IF(OR($M1448="",$N1448=""),'Lists &amp; Settings'!$O$10,IF($N1448="Fail",'Lists &amp; Settings'!$O$9,IF($N1448="Insufficient Evidence",'Lists &amp; Settings'!$O$10,IF($N1448="Pass",IF($M1448&gt;='Lists &amp; Settings'!$N$2,'Lists &amp; Settings'!$O$2,IF($M1448&gt;='Lists &amp; Settings'!$N$3,'Lists &amp; Settings'!$O$3,'Lists &amp; Settings'!$O$4)),IF($N1448="Partial",IF($M1448&gt;='Lists &amp; Settings'!$N$6,'Lists &amp; Settings'!$O$6,IF($M1448&gt;='Lists &amp; Settings'!$N$7,'Lists &amp; Settings'!$O$7,'Lists &amp; Settings'!$O$8)),'Lists &amp; Settings'!$O$10))))))</f>
        <v/>
      </c>
      <c r="T1448" s="31"/>
      <c r="U1448" s="31"/>
      <c r="V1448" s="31"/>
    </row>
    <row r="1449" ht="15.75" customHeight="1">
      <c r="B1449" s="31"/>
      <c r="N1449" s="127"/>
      <c r="S1449" s="31" t="str">
        <f>IF($C1449="","",IF(OR($M1449="",$N1449=""),'Lists &amp; Settings'!$O$10,IF($N1449="Fail",'Lists &amp; Settings'!$O$9,IF($N1449="Insufficient Evidence",'Lists &amp; Settings'!$O$10,IF($N1449="Pass",IF($M1449&gt;='Lists &amp; Settings'!$N$2,'Lists &amp; Settings'!$O$2,IF($M1449&gt;='Lists &amp; Settings'!$N$3,'Lists &amp; Settings'!$O$3,'Lists &amp; Settings'!$O$4)),IF($N1449="Partial",IF($M1449&gt;='Lists &amp; Settings'!$N$6,'Lists &amp; Settings'!$O$6,IF($M1449&gt;='Lists &amp; Settings'!$N$7,'Lists &amp; Settings'!$O$7,'Lists &amp; Settings'!$O$8)),'Lists &amp; Settings'!$O$10))))))</f>
        <v/>
      </c>
      <c r="T1449" s="31"/>
      <c r="U1449" s="31"/>
      <c r="V1449" s="31"/>
    </row>
    <row r="1450" ht="15.75" customHeight="1">
      <c r="B1450" s="31"/>
      <c r="N1450" s="127"/>
      <c r="S1450" s="31" t="str">
        <f>IF($C1450="","",IF(OR($M1450="",$N1450=""),'Lists &amp; Settings'!$O$10,IF($N1450="Fail",'Lists &amp; Settings'!$O$9,IF($N1450="Insufficient Evidence",'Lists &amp; Settings'!$O$10,IF($N1450="Pass",IF($M1450&gt;='Lists &amp; Settings'!$N$2,'Lists &amp; Settings'!$O$2,IF($M1450&gt;='Lists &amp; Settings'!$N$3,'Lists &amp; Settings'!$O$3,'Lists &amp; Settings'!$O$4)),IF($N1450="Partial",IF($M1450&gt;='Lists &amp; Settings'!$N$6,'Lists &amp; Settings'!$O$6,IF($M1450&gt;='Lists &amp; Settings'!$N$7,'Lists &amp; Settings'!$O$7,'Lists &amp; Settings'!$O$8)),'Lists &amp; Settings'!$O$10))))))</f>
        <v/>
      </c>
      <c r="T1450" s="31"/>
      <c r="U1450" s="31"/>
      <c r="V1450" s="31"/>
    </row>
    <row r="1451" ht="15.75" customHeight="1">
      <c r="B1451" s="31"/>
      <c r="N1451" s="127"/>
      <c r="S1451" s="31" t="str">
        <f>IF($C1451="","",IF(OR($M1451="",$N1451=""),'Lists &amp; Settings'!$O$10,IF($N1451="Fail",'Lists &amp; Settings'!$O$9,IF($N1451="Insufficient Evidence",'Lists &amp; Settings'!$O$10,IF($N1451="Pass",IF($M1451&gt;='Lists &amp; Settings'!$N$2,'Lists &amp; Settings'!$O$2,IF($M1451&gt;='Lists &amp; Settings'!$N$3,'Lists &amp; Settings'!$O$3,'Lists &amp; Settings'!$O$4)),IF($N1451="Partial",IF($M1451&gt;='Lists &amp; Settings'!$N$6,'Lists &amp; Settings'!$O$6,IF($M1451&gt;='Lists &amp; Settings'!$N$7,'Lists &amp; Settings'!$O$7,'Lists &amp; Settings'!$O$8)),'Lists &amp; Settings'!$O$10))))))</f>
        <v/>
      </c>
      <c r="T1451" s="31"/>
      <c r="U1451" s="31"/>
      <c r="V1451" s="31"/>
    </row>
    <row r="1452" ht="15.75" customHeight="1">
      <c r="B1452" s="31"/>
      <c r="N1452" s="127"/>
      <c r="S1452" s="31" t="str">
        <f>IF($C1452="","",IF(OR($M1452="",$N1452=""),'Lists &amp; Settings'!$O$10,IF($N1452="Fail",'Lists &amp; Settings'!$O$9,IF($N1452="Insufficient Evidence",'Lists &amp; Settings'!$O$10,IF($N1452="Pass",IF($M1452&gt;='Lists &amp; Settings'!$N$2,'Lists &amp; Settings'!$O$2,IF($M1452&gt;='Lists &amp; Settings'!$N$3,'Lists &amp; Settings'!$O$3,'Lists &amp; Settings'!$O$4)),IF($N1452="Partial",IF($M1452&gt;='Lists &amp; Settings'!$N$6,'Lists &amp; Settings'!$O$6,IF($M1452&gt;='Lists &amp; Settings'!$N$7,'Lists &amp; Settings'!$O$7,'Lists &amp; Settings'!$O$8)),'Lists &amp; Settings'!$O$10))))))</f>
        <v/>
      </c>
      <c r="T1452" s="31"/>
      <c r="U1452" s="31"/>
      <c r="V1452" s="31"/>
    </row>
    <row r="1453" ht="15.75" customHeight="1">
      <c r="B1453" s="31"/>
      <c r="N1453" s="127"/>
      <c r="S1453" s="31" t="str">
        <f>IF($C1453="","",IF(OR($M1453="",$N1453=""),'Lists &amp; Settings'!$O$10,IF($N1453="Fail",'Lists &amp; Settings'!$O$9,IF($N1453="Insufficient Evidence",'Lists &amp; Settings'!$O$10,IF($N1453="Pass",IF($M1453&gt;='Lists &amp; Settings'!$N$2,'Lists &amp; Settings'!$O$2,IF($M1453&gt;='Lists &amp; Settings'!$N$3,'Lists &amp; Settings'!$O$3,'Lists &amp; Settings'!$O$4)),IF($N1453="Partial",IF($M1453&gt;='Lists &amp; Settings'!$N$6,'Lists &amp; Settings'!$O$6,IF($M1453&gt;='Lists &amp; Settings'!$N$7,'Lists &amp; Settings'!$O$7,'Lists &amp; Settings'!$O$8)),'Lists &amp; Settings'!$O$10))))))</f>
        <v/>
      </c>
      <c r="T1453" s="31"/>
      <c r="U1453" s="31"/>
      <c r="V1453" s="31"/>
    </row>
    <row r="1454" ht="15.75" customHeight="1">
      <c r="B1454" s="31"/>
      <c r="N1454" s="127"/>
      <c r="S1454" s="31" t="str">
        <f>IF($C1454="","",IF(OR($M1454="",$N1454=""),'Lists &amp; Settings'!$O$10,IF($N1454="Fail",'Lists &amp; Settings'!$O$9,IF($N1454="Insufficient Evidence",'Lists &amp; Settings'!$O$10,IF($N1454="Pass",IF($M1454&gt;='Lists &amp; Settings'!$N$2,'Lists &amp; Settings'!$O$2,IF($M1454&gt;='Lists &amp; Settings'!$N$3,'Lists &amp; Settings'!$O$3,'Lists &amp; Settings'!$O$4)),IF($N1454="Partial",IF($M1454&gt;='Lists &amp; Settings'!$N$6,'Lists &amp; Settings'!$O$6,IF($M1454&gt;='Lists &amp; Settings'!$N$7,'Lists &amp; Settings'!$O$7,'Lists &amp; Settings'!$O$8)),'Lists &amp; Settings'!$O$10))))))</f>
        <v/>
      </c>
      <c r="T1454" s="31"/>
      <c r="U1454" s="31"/>
      <c r="V1454" s="31"/>
    </row>
    <row r="1455" ht="15.75" customHeight="1">
      <c r="B1455" s="31"/>
      <c r="N1455" s="127"/>
      <c r="S1455" s="31" t="str">
        <f>IF($C1455="","",IF(OR($M1455="",$N1455=""),'Lists &amp; Settings'!$O$10,IF($N1455="Fail",'Lists &amp; Settings'!$O$9,IF($N1455="Insufficient Evidence",'Lists &amp; Settings'!$O$10,IF($N1455="Pass",IF($M1455&gt;='Lists &amp; Settings'!$N$2,'Lists &amp; Settings'!$O$2,IF($M1455&gt;='Lists &amp; Settings'!$N$3,'Lists &amp; Settings'!$O$3,'Lists &amp; Settings'!$O$4)),IF($N1455="Partial",IF($M1455&gt;='Lists &amp; Settings'!$N$6,'Lists &amp; Settings'!$O$6,IF($M1455&gt;='Lists &amp; Settings'!$N$7,'Lists &amp; Settings'!$O$7,'Lists &amp; Settings'!$O$8)),'Lists &amp; Settings'!$O$10))))))</f>
        <v/>
      </c>
      <c r="T1455" s="31"/>
      <c r="U1455" s="31"/>
      <c r="V1455" s="31"/>
    </row>
    <row r="1456" ht="15.75" customHeight="1">
      <c r="B1456" s="31"/>
      <c r="N1456" s="127"/>
      <c r="S1456" s="31" t="str">
        <f>IF($C1456="","",IF(OR($M1456="",$N1456=""),'Lists &amp; Settings'!$O$10,IF($N1456="Fail",'Lists &amp; Settings'!$O$9,IF($N1456="Insufficient Evidence",'Lists &amp; Settings'!$O$10,IF($N1456="Pass",IF($M1456&gt;='Lists &amp; Settings'!$N$2,'Lists &amp; Settings'!$O$2,IF($M1456&gt;='Lists &amp; Settings'!$N$3,'Lists &amp; Settings'!$O$3,'Lists &amp; Settings'!$O$4)),IF($N1456="Partial",IF($M1456&gt;='Lists &amp; Settings'!$N$6,'Lists &amp; Settings'!$O$6,IF($M1456&gt;='Lists &amp; Settings'!$N$7,'Lists &amp; Settings'!$O$7,'Lists &amp; Settings'!$O$8)),'Lists &amp; Settings'!$O$10))))))</f>
        <v/>
      </c>
      <c r="T1456" s="31"/>
      <c r="U1456" s="31"/>
      <c r="V1456" s="31"/>
    </row>
    <row r="1457" ht="15.75" customHeight="1">
      <c r="B1457" s="31"/>
      <c r="N1457" s="127"/>
      <c r="S1457" s="31" t="str">
        <f>IF($C1457="","",IF(OR($M1457="",$N1457=""),'Lists &amp; Settings'!$O$10,IF($N1457="Fail",'Lists &amp; Settings'!$O$9,IF($N1457="Insufficient Evidence",'Lists &amp; Settings'!$O$10,IF($N1457="Pass",IF($M1457&gt;='Lists &amp; Settings'!$N$2,'Lists &amp; Settings'!$O$2,IF($M1457&gt;='Lists &amp; Settings'!$N$3,'Lists &amp; Settings'!$O$3,'Lists &amp; Settings'!$O$4)),IF($N1457="Partial",IF($M1457&gt;='Lists &amp; Settings'!$N$6,'Lists &amp; Settings'!$O$6,IF($M1457&gt;='Lists &amp; Settings'!$N$7,'Lists &amp; Settings'!$O$7,'Lists &amp; Settings'!$O$8)),'Lists &amp; Settings'!$O$10))))))</f>
        <v/>
      </c>
      <c r="T1457" s="31"/>
      <c r="U1457" s="31"/>
      <c r="V1457" s="31"/>
    </row>
    <row r="1458" ht="15.75" customHeight="1">
      <c r="B1458" s="31"/>
      <c r="N1458" s="127"/>
      <c r="S1458" s="31" t="str">
        <f>IF($C1458="","",IF(OR($M1458="",$N1458=""),'Lists &amp; Settings'!$O$10,IF($N1458="Fail",'Lists &amp; Settings'!$O$9,IF($N1458="Insufficient Evidence",'Lists &amp; Settings'!$O$10,IF($N1458="Pass",IF($M1458&gt;='Lists &amp; Settings'!$N$2,'Lists &amp; Settings'!$O$2,IF($M1458&gt;='Lists &amp; Settings'!$N$3,'Lists &amp; Settings'!$O$3,'Lists &amp; Settings'!$O$4)),IF($N1458="Partial",IF($M1458&gt;='Lists &amp; Settings'!$N$6,'Lists &amp; Settings'!$O$6,IF($M1458&gt;='Lists &amp; Settings'!$N$7,'Lists &amp; Settings'!$O$7,'Lists &amp; Settings'!$O$8)),'Lists &amp; Settings'!$O$10))))))</f>
        <v/>
      </c>
      <c r="T1458" s="31"/>
      <c r="U1458" s="31"/>
      <c r="V1458" s="31"/>
    </row>
    <row r="1459" ht="15.75" customHeight="1">
      <c r="B1459" s="31"/>
      <c r="N1459" s="127"/>
      <c r="S1459" s="31" t="str">
        <f>IF($C1459="","",IF(OR($M1459="",$N1459=""),'Lists &amp; Settings'!$O$10,IF($N1459="Fail",'Lists &amp; Settings'!$O$9,IF($N1459="Insufficient Evidence",'Lists &amp; Settings'!$O$10,IF($N1459="Pass",IF($M1459&gt;='Lists &amp; Settings'!$N$2,'Lists &amp; Settings'!$O$2,IF($M1459&gt;='Lists &amp; Settings'!$N$3,'Lists &amp; Settings'!$O$3,'Lists &amp; Settings'!$O$4)),IF($N1459="Partial",IF($M1459&gt;='Lists &amp; Settings'!$N$6,'Lists &amp; Settings'!$O$6,IF($M1459&gt;='Lists &amp; Settings'!$N$7,'Lists &amp; Settings'!$O$7,'Lists &amp; Settings'!$O$8)),'Lists &amp; Settings'!$O$10))))))</f>
        <v/>
      </c>
      <c r="T1459" s="31"/>
      <c r="U1459" s="31"/>
      <c r="V1459" s="31"/>
    </row>
    <row r="1460" ht="15.75" customHeight="1">
      <c r="B1460" s="31"/>
      <c r="N1460" s="127"/>
      <c r="S1460" s="31" t="str">
        <f>IF($C1460="","",IF(OR($M1460="",$N1460=""),'Lists &amp; Settings'!$O$10,IF($N1460="Fail",'Lists &amp; Settings'!$O$9,IF($N1460="Insufficient Evidence",'Lists &amp; Settings'!$O$10,IF($N1460="Pass",IF($M1460&gt;='Lists &amp; Settings'!$N$2,'Lists &amp; Settings'!$O$2,IF($M1460&gt;='Lists &amp; Settings'!$N$3,'Lists &amp; Settings'!$O$3,'Lists &amp; Settings'!$O$4)),IF($N1460="Partial",IF($M1460&gt;='Lists &amp; Settings'!$N$6,'Lists &amp; Settings'!$O$6,IF($M1460&gt;='Lists &amp; Settings'!$N$7,'Lists &amp; Settings'!$O$7,'Lists &amp; Settings'!$O$8)),'Lists &amp; Settings'!$O$10))))))</f>
        <v/>
      </c>
      <c r="T1460" s="31"/>
      <c r="U1460" s="31"/>
      <c r="V1460" s="31"/>
    </row>
    <row r="1461" ht="15.75" customHeight="1">
      <c r="B1461" s="31"/>
      <c r="N1461" s="127"/>
      <c r="S1461" s="31" t="str">
        <f>IF($C1461="","",IF(OR($M1461="",$N1461=""),'Lists &amp; Settings'!$O$10,IF($N1461="Fail",'Lists &amp; Settings'!$O$9,IF($N1461="Insufficient Evidence",'Lists &amp; Settings'!$O$10,IF($N1461="Pass",IF($M1461&gt;='Lists &amp; Settings'!$N$2,'Lists &amp; Settings'!$O$2,IF($M1461&gt;='Lists &amp; Settings'!$N$3,'Lists &amp; Settings'!$O$3,'Lists &amp; Settings'!$O$4)),IF($N1461="Partial",IF($M1461&gt;='Lists &amp; Settings'!$N$6,'Lists &amp; Settings'!$O$6,IF($M1461&gt;='Lists &amp; Settings'!$N$7,'Lists &amp; Settings'!$O$7,'Lists &amp; Settings'!$O$8)),'Lists &amp; Settings'!$O$10))))))</f>
        <v/>
      </c>
      <c r="T1461" s="31"/>
      <c r="U1461" s="31"/>
      <c r="V1461" s="31"/>
    </row>
    <row r="1462" ht="15.75" customHeight="1">
      <c r="B1462" s="31"/>
      <c r="N1462" s="127"/>
      <c r="S1462" s="31" t="str">
        <f>IF($C1462="","",IF(OR($M1462="",$N1462=""),'Lists &amp; Settings'!$O$10,IF($N1462="Fail",'Lists &amp; Settings'!$O$9,IF($N1462="Insufficient Evidence",'Lists &amp; Settings'!$O$10,IF($N1462="Pass",IF($M1462&gt;='Lists &amp; Settings'!$N$2,'Lists &amp; Settings'!$O$2,IF($M1462&gt;='Lists &amp; Settings'!$N$3,'Lists &amp; Settings'!$O$3,'Lists &amp; Settings'!$O$4)),IF($N1462="Partial",IF($M1462&gt;='Lists &amp; Settings'!$N$6,'Lists &amp; Settings'!$O$6,IF($M1462&gt;='Lists &amp; Settings'!$N$7,'Lists &amp; Settings'!$O$7,'Lists &amp; Settings'!$O$8)),'Lists &amp; Settings'!$O$10))))))</f>
        <v/>
      </c>
      <c r="T1462" s="31"/>
      <c r="U1462" s="31"/>
      <c r="V1462" s="31"/>
    </row>
    <row r="1463" ht="15.75" customHeight="1">
      <c r="B1463" s="31"/>
      <c r="N1463" s="127"/>
      <c r="S1463" s="31" t="str">
        <f>IF($C1463="","",IF(OR($M1463="",$N1463=""),'Lists &amp; Settings'!$O$10,IF($N1463="Fail",'Lists &amp; Settings'!$O$9,IF($N1463="Insufficient Evidence",'Lists &amp; Settings'!$O$10,IF($N1463="Pass",IF($M1463&gt;='Lists &amp; Settings'!$N$2,'Lists &amp; Settings'!$O$2,IF($M1463&gt;='Lists &amp; Settings'!$N$3,'Lists &amp; Settings'!$O$3,'Lists &amp; Settings'!$O$4)),IF($N1463="Partial",IF($M1463&gt;='Lists &amp; Settings'!$N$6,'Lists &amp; Settings'!$O$6,IF($M1463&gt;='Lists &amp; Settings'!$N$7,'Lists &amp; Settings'!$O$7,'Lists &amp; Settings'!$O$8)),'Lists &amp; Settings'!$O$10))))))</f>
        <v/>
      </c>
      <c r="T1463" s="31"/>
      <c r="U1463" s="31"/>
      <c r="V1463" s="31"/>
    </row>
    <row r="1464" ht="15.75" customHeight="1">
      <c r="B1464" s="31"/>
      <c r="N1464" s="127"/>
      <c r="S1464" s="31" t="str">
        <f>IF($C1464="","",IF(OR($M1464="",$N1464=""),'Lists &amp; Settings'!$O$10,IF($N1464="Fail",'Lists &amp; Settings'!$O$9,IF($N1464="Insufficient Evidence",'Lists &amp; Settings'!$O$10,IF($N1464="Pass",IF($M1464&gt;='Lists &amp; Settings'!$N$2,'Lists &amp; Settings'!$O$2,IF($M1464&gt;='Lists &amp; Settings'!$N$3,'Lists &amp; Settings'!$O$3,'Lists &amp; Settings'!$O$4)),IF($N1464="Partial",IF($M1464&gt;='Lists &amp; Settings'!$N$6,'Lists &amp; Settings'!$O$6,IF($M1464&gt;='Lists &amp; Settings'!$N$7,'Lists &amp; Settings'!$O$7,'Lists &amp; Settings'!$O$8)),'Lists &amp; Settings'!$O$10))))))</f>
        <v/>
      </c>
      <c r="T1464" s="31"/>
      <c r="U1464" s="31"/>
      <c r="V1464" s="31"/>
    </row>
    <row r="1465" ht="15.75" customHeight="1">
      <c r="B1465" s="31"/>
      <c r="N1465" s="127"/>
      <c r="S1465" s="31" t="str">
        <f>IF($C1465="","",IF(OR($M1465="",$N1465=""),'Lists &amp; Settings'!$O$10,IF($N1465="Fail",'Lists &amp; Settings'!$O$9,IF($N1465="Insufficient Evidence",'Lists &amp; Settings'!$O$10,IF($N1465="Pass",IF($M1465&gt;='Lists &amp; Settings'!$N$2,'Lists &amp; Settings'!$O$2,IF($M1465&gt;='Lists &amp; Settings'!$N$3,'Lists &amp; Settings'!$O$3,'Lists &amp; Settings'!$O$4)),IF($N1465="Partial",IF($M1465&gt;='Lists &amp; Settings'!$N$6,'Lists &amp; Settings'!$O$6,IF($M1465&gt;='Lists &amp; Settings'!$N$7,'Lists &amp; Settings'!$O$7,'Lists &amp; Settings'!$O$8)),'Lists &amp; Settings'!$O$10))))))</f>
        <v/>
      </c>
      <c r="T1465" s="31"/>
      <c r="U1465" s="31"/>
      <c r="V1465" s="31"/>
    </row>
    <row r="1466" ht="15.75" customHeight="1">
      <c r="B1466" s="31"/>
      <c r="N1466" s="127"/>
      <c r="S1466" s="31" t="str">
        <f>IF($C1466="","",IF(OR($M1466="",$N1466=""),'Lists &amp; Settings'!$O$10,IF($N1466="Fail",'Lists &amp; Settings'!$O$9,IF($N1466="Insufficient Evidence",'Lists &amp; Settings'!$O$10,IF($N1466="Pass",IF($M1466&gt;='Lists &amp; Settings'!$N$2,'Lists &amp; Settings'!$O$2,IF($M1466&gt;='Lists &amp; Settings'!$N$3,'Lists &amp; Settings'!$O$3,'Lists &amp; Settings'!$O$4)),IF($N1466="Partial",IF($M1466&gt;='Lists &amp; Settings'!$N$6,'Lists &amp; Settings'!$O$6,IF($M1466&gt;='Lists &amp; Settings'!$N$7,'Lists &amp; Settings'!$O$7,'Lists &amp; Settings'!$O$8)),'Lists &amp; Settings'!$O$10))))))</f>
        <v/>
      </c>
      <c r="T1466" s="31"/>
      <c r="U1466" s="31"/>
      <c r="V1466" s="31"/>
    </row>
    <row r="1467" ht="15.75" customHeight="1">
      <c r="B1467" s="31"/>
      <c r="N1467" s="127"/>
      <c r="S1467" s="31" t="str">
        <f>IF($C1467="","",IF(OR($M1467="",$N1467=""),'Lists &amp; Settings'!$O$10,IF($N1467="Fail",'Lists &amp; Settings'!$O$9,IF($N1467="Insufficient Evidence",'Lists &amp; Settings'!$O$10,IF($N1467="Pass",IF($M1467&gt;='Lists &amp; Settings'!$N$2,'Lists &amp; Settings'!$O$2,IF($M1467&gt;='Lists &amp; Settings'!$N$3,'Lists &amp; Settings'!$O$3,'Lists &amp; Settings'!$O$4)),IF($N1467="Partial",IF($M1467&gt;='Lists &amp; Settings'!$N$6,'Lists &amp; Settings'!$O$6,IF($M1467&gt;='Lists &amp; Settings'!$N$7,'Lists &amp; Settings'!$O$7,'Lists &amp; Settings'!$O$8)),'Lists &amp; Settings'!$O$10))))))</f>
        <v/>
      </c>
      <c r="T1467" s="31"/>
      <c r="U1467" s="31"/>
      <c r="V1467" s="31"/>
    </row>
    <row r="1468" ht="15.75" customHeight="1">
      <c r="B1468" s="31"/>
      <c r="N1468" s="127"/>
      <c r="S1468" s="31" t="str">
        <f>IF($C1468="","",IF(OR($M1468="",$N1468=""),'Lists &amp; Settings'!$O$10,IF($N1468="Fail",'Lists &amp; Settings'!$O$9,IF($N1468="Insufficient Evidence",'Lists &amp; Settings'!$O$10,IF($N1468="Pass",IF($M1468&gt;='Lists &amp; Settings'!$N$2,'Lists &amp; Settings'!$O$2,IF($M1468&gt;='Lists &amp; Settings'!$N$3,'Lists &amp; Settings'!$O$3,'Lists &amp; Settings'!$O$4)),IF($N1468="Partial",IF($M1468&gt;='Lists &amp; Settings'!$N$6,'Lists &amp; Settings'!$O$6,IF($M1468&gt;='Lists &amp; Settings'!$N$7,'Lists &amp; Settings'!$O$7,'Lists &amp; Settings'!$O$8)),'Lists &amp; Settings'!$O$10))))))</f>
        <v/>
      </c>
      <c r="T1468" s="31"/>
      <c r="U1468" s="31"/>
      <c r="V1468" s="31"/>
    </row>
    <row r="1469" ht="15.75" customHeight="1">
      <c r="B1469" s="31"/>
      <c r="N1469" s="127"/>
      <c r="S1469" s="31" t="str">
        <f>IF($C1469="","",IF(OR($M1469="",$N1469=""),'Lists &amp; Settings'!$O$10,IF($N1469="Fail",'Lists &amp; Settings'!$O$9,IF($N1469="Insufficient Evidence",'Lists &amp; Settings'!$O$10,IF($N1469="Pass",IF($M1469&gt;='Lists &amp; Settings'!$N$2,'Lists &amp; Settings'!$O$2,IF($M1469&gt;='Lists &amp; Settings'!$N$3,'Lists &amp; Settings'!$O$3,'Lists &amp; Settings'!$O$4)),IF($N1469="Partial",IF($M1469&gt;='Lists &amp; Settings'!$N$6,'Lists &amp; Settings'!$O$6,IF($M1469&gt;='Lists &amp; Settings'!$N$7,'Lists &amp; Settings'!$O$7,'Lists &amp; Settings'!$O$8)),'Lists &amp; Settings'!$O$10))))))</f>
        <v/>
      </c>
      <c r="T1469" s="31"/>
      <c r="U1469" s="31"/>
      <c r="V1469" s="31"/>
    </row>
    <row r="1470" ht="15.75" customHeight="1">
      <c r="B1470" s="31"/>
      <c r="N1470" s="127"/>
      <c r="S1470" s="31" t="str">
        <f>IF($C1470="","",IF(OR($M1470="",$N1470=""),'Lists &amp; Settings'!$O$10,IF($N1470="Fail",'Lists &amp; Settings'!$O$9,IF($N1470="Insufficient Evidence",'Lists &amp; Settings'!$O$10,IF($N1470="Pass",IF($M1470&gt;='Lists &amp; Settings'!$N$2,'Lists &amp; Settings'!$O$2,IF($M1470&gt;='Lists &amp; Settings'!$N$3,'Lists &amp; Settings'!$O$3,'Lists &amp; Settings'!$O$4)),IF($N1470="Partial",IF($M1470&gt;='Lists &amp; Settings'!$N$6,'Lists &amp; Settings'!$O$6,IF($M1470&gt;='Lists &amp; Settings'!$N$7,'Lists &amp; Settings'!$O$7,'Lists &amp; Settings'!$O$8)),'Lists &amp; Settings'!$O$10))))))</f>
        <v/>
      </c>
      <c r="T1470" s="31"/>
      <c r="U1470" s="31"/>
      <c r="V1470" s="31"/>
    </row>
    <row r="1471" ht="15.75" customHeight="1">
      <c r="B1471" s="31"/>
      <c r="N1471" s="127"/>
      <c r="S1471" s="31" t="str">
        <f>IF($C1471="","",IF(OR($M1471="",$N1471=""),'Lists &amp; Settings'!$O$10,IF($N1471="Fail",'Lists &amp; Settings'!$O$9,IF($N1471="Insufficient Evidence",'Lists &amp; Settings'!$O$10,IF($N1471="Pass",IF($M1471&gt;='Lists &amp; Settings'!$N$2,'Lists &amp; Settings'!$O$2,IF($M1471&gt;='Lists &amp; Settings'!$N$3,'Lists &amp; Settings'!$O$3,'Lists &amp; Settings'!$O$4)),IF($N1471="Partial",IF($M1471&gt;='Lists &amp; Settings'!$N$6,'Lists &amp; Settings'!$O$6,IF($M1471&gt;='Lists &amp; Settings'!$N$7,'Lists &amp; Settings'!$O$7,'Lists &amp; Settings'!$O$8)),'Lists &amp; Settings'!$O$10))))))</f>
        <v/>
      </c>
      <c r="T1471" s="31"/>
      <c r="U1471" s="31"/>
      <c r="V1471" s="31"/>
    </row>
    <row r="1472" ht="15.75" customHeight="1">
      <c r="B1472" s="31"/>
      <c r="N1472" s="127"/>
      <c r="S1472" s="31" t="str">
        <f>IF($C1472="","",IF(OR($M1472="",$N1472=""),'Lists &amp; Settings'!$O$10,IF($N1472="Fail",'Lists &amp; Settings'!$O$9,IF($N1472="Insufficient Evidence",'Lists &amp; Settings'!$O$10,IF($N1472="Pass",IF($M1472&gt;='Lists &amp; Settings'!$N$2,'Lists &amp; Settings'!$O$2,IF($M1472&gt;='Lists &amp; Settings'!$N$3,'Lists &amp; Settings'!$O$3,'Lists &amp; Settings'!$O$4)),IF($N1472="Partial",IF($M1472&gt;='Lists &amp; Settings'!$N$6,'Lists &amp; Settings'!$O$6,IF($M1472&gt;='Lists &amp; Settings'!$N$7,'Lists &amp; Settings'!$O$7,'Lists &amp; Settings'!$O$8)),'Lists &amp; Settings'!$O$10))))))</f>
        <v/>
      </c>
      <c r="T1472" s="31"/>
      <c r="U1472" s="31"/>
      <c r="V1472" s="31"/>
    </row>
    <row r="1473" ht="15.75" customHeight="1">
      <c r="B1473" s="31"/>
      <c r="N1473" s="127"/>
      <c r="S1473" s="31" t="str">
        <f>IF($C1473="","",IF(OR($M1473="",$N1473=""),'Lists &amp; Settings'!$O$10,IF($N1473="Fail",'Lists &amp; Settings'!$O$9,IF($N1473="Insufficient Evidence",'Lists &amp; Settings'!$O$10,IF($N1473="Pass",IF($M1473&gt;='Lists &amp; Settings'!$N$2,'Lists &amp; Settings'!$O$2,IF($M1473&gt;='Lists &amp; Settings'!$N$3,'Lists &amp; Settings'!$O$3,'Lists &amp; Settings'!$O$4)),IF($N1473="Partial",IF($M1473&gt;='Lists &amp; Settings'!$N$6,'Lists &amp; Settings'!$O$6,IF($M1473&gt;='Lists &amp; Settings'!$N$7,'Lists &amp; Settings'!$O$7,'Lists &amp; Settings'!$O$8)),'Lists &amp; Settings'!$O$10))))))</f>
        <v/>
      </c>
      <c r="T1473" s="31"/>
      <c r="U1473" s="31"/>
      <c r="V1473" s="31"/>
    </row>
    <row r="1474" ht="15.75" customHeight="1">
      <c r="B1474" s="31"/>
      <c r="N1474" s="127"/>
      <c r="S1474" s="31" t="str">
        <f>IF($C1474="","",IF(OR($M1474="",$N1474=""),'Lists &amp; Settings'!$O$10,IF($N1474="Fail",'Lists &amp; Settings'!$O$9,IF($N1474="Insufficient Evidence",'Lists &amp; Settings'!$O$10,IF($N1474="Pass",IF($M1474&gt;='Lists &amp; Settings'!$N$2,'Lists &amp; Settings'!$O$2,IF($M1474&gt;='Lists &amp; Settings'!$N$3,'Lists &amp; Settings'!$O$3,'Lists &amp; Settings'!$O$4)),IF($N1474="Partial",IF($M1474&gt;='Lists &amp; Settings'!$N$6,'Lists &amp; Settings'!$O$6,IF($M1474&gt;='Lists &amp; Settings'!$N$7,'Lists &amp; Settings'!$O$7,'Lists &amp; Settings'!$O$8)),'Lists &amp; Settings'!$O$10))))))</f>
        <v/>
      </c>
      <c r="T1474" s="31"/>
      <c r="U1474" s="31"/>
      <c r="V1474" s="31"/>
    </row>
    <row r="1475" ht="15.75" customHeight="1">
      <c r="B1475" s="31"/>
      <c r="N1475" s="127"/>
      <c r="S1475" s="31" t="str">
        <f>IF($C1475="","",IF(OR($M1475="",$N1475=""),'Lists &amp; Settings'!$O$10,IF($N1475="Fail",'Lists &amp; Settings'!$O$9,IF($N1475="Insufficient Evidence",'Lists &amp; Settings'!$O$10,IF($N1475="Pass",IF($M1475&gt;='Lists &amp; Settings'!$N$2,'Lists &amp; Settings'!$O$2,IF($M1475&gt;='Lists &amp; Settings'!$N$3,'Lists &amp; Settings'!$O$3,'Lists &amp; Settings'!$O$4)),IF($N1475="Partial",IF($M1475&gt;='Lists &amp; Settings'!$N$6,'Lists &amp; Settings'!$O$6,IF($M1475&gt;='Lists &amp; Settings'!$N$7,'Lists &amp; Settings'!$O$7,'Lists &amp; Settings'!$O$8)),'Lists &amp; Settings'!$O$10))))))</f>
        <v/>
      </c>
      <c r="T1475" s="31"/>
      <c r="U1475" s="31"/>
      <c r="V1475" s="31"/>
    </row>
    <row r="1476" ht="15.75" customHeight="1">
      <c r="B1476" s="31"/>
      <c r="N1476" s="127"/>
      <c r="S1476" s="31" t="str">
        <f>IF($C1476="","",IF(OR($M1476="",$N1476=""),'Lists &amp; Settings'!$O$10,IF($N1476="Fail",'Lists &amp; Settings'!$O$9,IF($N1476="Insufficient Evidence",'Lists &amp; Settings'!$O$10,IF($N1476="Pass",IF($M1476&gt;='Lists &amp; Settings'!$N$2,'Lists &amp; Settings'!$O$2,IF($M1476&gt;='Lists &amp; Settings'!$N$3,'Lists &amp; Settings'!$O$3,'Lists &amp; Settings'!$O$4)),IF($N1476="Partial",IF($M1476&gt;='Lists &amp; Settings'!$N$6,'Lists &amp; Settings'!$O$6,IF($M1476&gt;='Lists &amp; Settings'!$N$7,'Lists &amp; Settings'!$O$7,'Lists &amp; Settings'!$O$8)),'Lists &amp; Settings'!$O$10))))))</f>
        <v/>
      </c>
      <c r="T1476" s="31"/>
      <c r="U1476" s="31"/>
      <c r="V1476" s="31"/>
    </row>
    <row r="1477" ht="15.75" customHeight="1">
      <c r="B1477" s="31"/>
      <c r="N1477" s="127"/>
      <c r="S1477" s="31" t="str">
        <f>IF($C1477="","",IF(OR($M1477="",$N1477=""),'Lists &amp; Settings'!$O$10,IF($N1477="Fail",'Lists &amp; Settings'!$O$9,IF($N1477="Insufficient Evidence",'Lists &amp; Settings'!$O$10,IF($N1477="Pass",IF($M1477&gt;='Lists &amp; Settings'!$N$2,'Lists &amp; Settings'!$O$2,IF($M1477&gt;='Lists &amp; Settings'!$N$3,'Lists &amp; Settings'!$O$3,'Lists &amp; Settings'!$O$4)),IF($N1477="Partial",IF($M1477&gt;='Lists &amp; Settings'!$N$6,'Lists &amp; Settings'!$O$6,IF($M1477&gt;='Lists &amp; Settings'!$N$7,'Lists &amp; Settings'!$O$7,'Lists &amp; Settings'!$O$8)),'Lists &amp; Settings'!$O$10))))))</f>
        <v/>
      </c>
      <c r="T1477" s="31"/>
      <c r="U1477" s="31"/>
      <c r="V1477" s="31"/>
    </row>
    <row r="1478" ht="15.75" customHeight="1">
      <c r="B1478" s="31"/>
      <c r="N1478" s="127"/>
      <c r="S1478" s="31" t="str">
        <f>IF($C1478="","",IF(OR($M1478="",$N1478=""),'Lists &amp; Settings'!$O$10,IF($N1478="Fail",'Lists &amp; Settings'!$O$9,IF($N1478="Insufficient Evidence",'Lists &amp; Settings'!$O$10,IF($N1478="Pass",IF($M1478&gt;='Lists &amp; Settings'!$N$2,'Lists &amp; Settings'!$O$2,IF($M1478&gt;='Lists &amp; Settings'!$N$3,'Lists &amp; Settings'!$O$3,'Lists &amp; Settings'!$O$4)),IF($N1478="Partial",IF($M1478&gt;='Lists &amp; Settings'!$N$6,'Lists &amp; Settings'!$O$6,IF($M1478&gt;='Lists &amp; Settings'!$N$7,'Lists &amp; Settings'!$O$7,'Lists &amp; Settings'!$O$8)),'Lists &amp; Settings'!$O$10))))))</f>
        <v/>
      </c>
      <c r="T1478" s="31"/>
      <c r="U1478" s="31"/>
      <c r="V1478" s="31"/>
    </row>
    <row r="1479" ht="15.75" customHeight="1">
      <c r="B1479" s="31"/>
      <c r="N1479" s="127"/>
      <c r="S1479" s="31" t="str">
        <f>IF($C1479="","",IF(OR($M1479="",$N1479=""),'Lists &amp; Settings'!$O$10,IF($N1479="Fail",'Lists &amp; Settings'!$O$9,IF($N1479="Insufficient Evidence",'Lists &amp; Settings'!$O$10,IF($N1479="Pass",IF($M1479&gt;='Lists &amp; Settings'!$N$2,'Lists &amp; Settings'!$O$2,IF($M1479&gt;='Lists &amp; Settings'!$N$3,'Lists &amp; Settings'!$O$3,'Lists &amp; Settings'!$O$4)),IF($N1479="Partial",IF($M1479&gt;='Lists &amp; Settings'!$N$6,'Lists &amp; Settings'!$O$6,IF($M1479&gt;='Lists &amp; Settings'!$N$7,'Lists &amp; Settings'!$O$7,'Lists &amp; Settings'!$O$8)),'Lists &amp; Settings'!$O$10))))))</f>
        <v/>
      </c>
      <c r="T1479" s="31"/>
      <c r="U1479" s="31"/>
      <c r="V1479" s="31"/>
    </row>
    <row r="1480" ht="15.75" customHeight="1">
      <c r="B1480" s="31"/>
      <c r="N1480" s="127"/>
      <c r="S1480" s="31" t="str">
        <f>IF($C1480="","",IF(OR($M1480="",$N1480=""),'Lists &amp; Settings'!$O$10,IF($N1480="Fail",'Lists &amp; Settings'!$O$9,IF($N1480="Insufficient Evidence",'Lists &amp; Settings'!$O$10,IF($N1480="Pass",IF($M1480&gt;='Lists &amp; Settings'!$N$2,'Lists &amp; Settings'!$O$2,IF($M1480&gt;='Lists &amp; Settings'!$N$3,'Lists &amp; Settings'!$O$3,'Lists &amp; Settings'!$O$4)),IF($N1480="Partial",IF($M1480&gt;='Lists &amp; Settings'!$N$6,'Lists &amp; Settings'!$O$6,IF($M1480&gt;='Lists &amp; Settings'!$N$7,'Lists &amp; Settings'!$O$7,'Lists &amp; Settings'!$O$8)),'Lists &amp; Settings'!$O$10))))))</f>
        <v/>
      </c>
      <c r="T1480" s="31"/>
      <c r="U1480" s="31"/>
      <c r="V1480" s="31"/>
    </row>
    <row r="1481" ht="15.75" customHeight="1">
      <c r="B1481" s="31"/>
      <c r="N1481" s="127"/>
      <c r="S1481" s="31" t="str">
        <f>IF($C1481="","",IF(OR($M1481="",$N1481=""),'Lists &amp; Settings'!$O$10,IF($N1481="Fail",'Lists &amp; Settings'!$O$9,IF($N1481="Insufficient Evidence",'Lists &amp; Settings'!$O$10,IF($N1481="Pass",IF($M1481&gt;='Lists &amp; Settings'!$N$2,'Lists &amp; Settings'!$O$2,IF($M1481&gt;='Lists &amp; Settings'!$N$3,'Lists &amp; Settings'!$O$3,'Lists &amp; Settings'!$O$4)),IF($N1481="Partial",IF($M1481&gt;='Lists &amp; Settings'!$N$6,'Lists &amp; Settings'!$O$6,IF($M1481&gt;='Lists &amp; Settings'!$N$7,'Lists &amp; Settings'!$O$7,'Lists &amp; Settings'!$O$8)),'Lists &amp; Settings'!$O$10))))))</f>
        <v/>
      </c>
      <c r="T1481" s="31"/>
      <c r="U1481" s="31"/>
      <c r="V1481" s="31"/>
    </row>
    <row r="1482" ht="15.75" customHeight="1">
      <c r="B1482" s="31"/>
      <c r="N1482" s="127"/>
      <c r="S1482" s="31" t="str">
        <f>IF($C1482="","",IF(OR($M1482="",$N1482=""),'Lists &amp; Settings'!$O$10,IF($N1482="Fail",'Lists &amp; Settings'!$O$9,IF($N1482="Insufficient Evidence",'Lists &amp; Settings'!$O$10,IF($N1482="Pass",IF($M1482&gt;='Lists &amp; Settings'!$N$2,'Lists &amp; Settings'!$O$2,IF($M1482&gt;='Lists &amp; Settings'!$N$3,'Lists &amp; Settings'!$O$3,'Lists &amp; Settings'!$O$4)),IF($N1482="Partial",IF($M1482&gt;='Lists &amp; Settings'!$N$6,'Lists &amp; Settings'!$O$6,IF($M1482&gt;='Lists &amp; Settings'!$N$7,'Lists &amp; Settings'!$O$7,'Lists &amp; Settings'!$O$8)),'Lists &amp; Settings'!$O$10))))))</f>
        <v/>
      </c>
      <c r="T1482" s="31"/>
      <c r="U1482" s="31"/>
      <c r="V1482" s="31"/>
    </row>
    <row r="1483" ht="15.75" customHeight="1">
      <c r="B1483" s="31"/>
      <c r="N1483" s="127"/>
      <c r="S1483" s="31" t="str">
        <f>IF($C1483="","",IF(OR($M1483="",$N1483=""),'Lists &amp; Settings'!$O$10,IF($N1483="Fail",'Lists &amp; Settings'!$O$9,IF($N1483="Insufficient Evidence",'Lists &amp; Settings'!$O$10,IF($N1483="Pass",IF($M1483&gt;='Lists &amp; Settings'!$N$2,'Lists &amp; Settings'!$O$2,IF($M1483&gt;='Lists &amp; Settings'!$N$3,'Lists &amp; Settings'!$O$3,'Lists &amp; Settings'!$O$4)),IF($N1483="Partial",IF($M1483&gt;='Lists &amp; Settings'!$N$6,'Lists &amp; Settings'!$O$6,IF($M1483&gt;='Lists &amp; Settings'!$N$7,'Lists &amp; Settings'!$O$7,'Lists &amp; Settings'!$O$8)),'Lists &amp; Settings'!$O$10))))))</f>
        <v/>
      </c>
      <c r="T1483" s="31"/>
      <c r="U1483" s="31"/>
      <c r="V1483" s="31"/>
    </row>
    <row r="1484" ht="15.75" customHeight="1">
      <c r="B1484" s="31"/>
      <c r="N1484" s="127"/>
      <c r="S1484" s="31" t="str">
        <f>IF($C1484="","",IF(OR($M1484="",$N1484=""),'Lists &amp; Settings'!$O$10,IF($N1484="Fail",'Lists &amp; Settings'!$O$9,IF($N1484="Insufficient Evidence",'Lists &amp; Settings'!$O$10,IF($N1484="Pass",IF($M1484&gt;='Lists &amp; Settings'!$N$2,'Lists &amp; Settings'!$O$2,IF($M1484&gt;='Lists &amp; Settings'!$N$3,'Lists &amp; Settings'!$O$3,'Lists &amp; Settings'!$O$4)),IF($N1484="Partial",IF($M1484&gt;='Lists &amp; Settings'!$N$6,'Lists &amp; Settings'!$O$6,IF($M1484&gt;='Lists &amp; Settings'!$N$7,'Lists &amp; Settings'!$O$7,'Lists &amp; Settings'!$O$8)),'Lists &amp; Settings'!$O$10))))))</f>
        <v/>
      </c>
      <c r="T1484" s="31"/>
      <c r="U1484" s="31"/>
      <c r="V1484" s="31"/>
    </row>
    <row r="1485" ht="15.75" customHeight="1">
      <c r="B1485" s="31"/>
      <c r="N1485" s="127"/>
      <c r="S1485" s="31" t="str">
        <f>IF($C1485="","",IF(OR($M1485="",$N1485=""),'Lists &amp; Settings'!$O$10,IF($N1485="Fail",'Lists &amp; Settings'!$O$9,IF($N1485="Insufficient Evidence",'Lists &amp; Settings'!$O$10,IF($N1485="Pass",IF($M1485&gt;='Lists &amp; Settings'!$N$2,'Lists &amp; Settings'!$O$2,IF($M1485&gt;='Lists &amp; Settings'!$N$3,'Lists &amp; Settings'!$O$3,'Lists &amp; Settings'!$O$4)),IF($N1485="Partial",IF($M1485&gt;='Lists &amp; Settings'!$N$6,'Lists &amp; Settings'!$O$6,IF($M1485&gt;='Lists &amp; Settings'!$N$7,'Lists &amp; Settings'!$O$7,'Lists &amp; Settings'!$O$8)),'Lists &amp; Settings'!$O$10))))))</f>
        <v/>
      </c>
      <c r="T1485" s="31"/>
      <c r="U1485" s="31"/>
      <c r="V1485" s="31"/>
    </row>
    <row r="1486" ht="15.75" customHeight="1">
      <c r="B1486" s="31"/>
      <c r="N1486" s="127"/>
      <c r="S1486" s="31" t="str">
        <f>IF($C1486="","",IF(OR($M1486="",$N1486=""),'Lists &amp; Settings'!$O$10,IF($N1486="Fail",'Lists &amp; Settings'!$O$9,IF($N1486="Insufficient Evidence",'Lists &amp; Settings'!$O$10,IF($N1486="Pass",IF($M1486&gt;='Lists &amp; Settings'!$N$2,'Lists &amp; Settings'!$O$2,IF($M1486&gt;='Lists &amp; Settings'!$N$3,'Lists &amp; Settings'!$O$3,'Lists &amp; Settings'!$O$4)),IF($N1486="Partial",IF($M1486&gt;='Lists &amp; Settings'!$N$6,'Lists &amp; Settings'!$O$6,IF($M1486&gt;='Lists &amp; Settings'!$N$7,'Lists &amp; Settings'!$O$7,'Lists &amp; Settings'!$O$8)),'Lists &amp; Settings'!$O$10))))))</f>
        <v/>
      </c>
      <c r="T1486" s="31"/>
      <c r="U1486" s="31"/>
      <c r="V1486" s="31"/>
    </row>
    <row r="1487" ht="15.75" customHeight="1">
      <c r="B1487" s="31"/>
      <c r="N1487" s="127"/>
      <c r="S1487" s="31" t="str">
        <f>IF($C1487="","",IF(OR($M1487="",$N1487=""),'Lists &amp; Settings'!$O$10,IF($N1487="Fail",'Lists &amp; Settings'!$O$9,IF($N1487="Insufficient Evidence",'Lists &amp; Settings'!$O$10,IF($N1487="Pass",IF($M1487&gt;='Lists &amp; Settings'!$N$2,'Lists &amp; Settings'!$O$2,IF($M1487&gt;='Lists &amp; Settings'!$N$3,'Lists &amp; Settings'!$O$3,'Lists &amp; Settings'!$O$4)),IF($N1487="Partial",IF($M1487&gt;='Lists &amp; Settings'!$N$6,'Lists &amp; Settings'!$O$6,IF($M1487&gt;='Lists &amp; Settings'!$N$7,'Lists &amp; Settings'!$O$7,'Lists &amp; Settings'!$O$8)),'Lists &amp; Settings'!$O$10))))))</f>
        <v/>
      </c>
      <c r="T1487" s="31"/>
      <c r="U1487" s="31"/>
      <c r="V1487" s="31"/>
    </row>
    <row r="1488" ht="15.75" customHeight="1">
      <c r="B1488" s="31"/>
      <c r="N1488" s="127"/>
      <c r="S1488" s="31" t="str">
        <f>IF($C1488="","",IF(OR($M1488="",$N1488=""),'Lists &amp; Settings'!$O$10,IF($N1488="Fail",'Lists &amp; Settings'!$O$9,IF($N1488="Insufficient Evidence",'Lists &amp; Settings'!$O$10,IF($N1488="Pass",IF($M1488&gt;='Lists &amp; Settings'!$N$2,'Lists &amp; Settings'!$O$2,IF($M1488&gt;='Lists &amp; Settings'!$N$3,'Lists &amp; Settings'!$O$3,'Lists &amp; Settings'!$O$4)),IF($N1488="Partial",IF($M1488&gt;='Lists &amp; Settings'!$N$6,'Lists &amp; Settings'!$O$6,IF($M1488&gt;='Lists &amp; Settings'!$N$7,'Lists &amp; Settings'!$O$7,'Lists &amp; Settings'!$O$8)),'Lists &amp; Settings'!$O$10))))))</f>
        <v/>
      </c>
      <c r="T1488" s="31"/>
      <c r="U1488" s="31"/>
      <c r="V1488" s="31"/>
    </row>
    <row r="1489" ht="15.75" customHeight="1">
      <c r="B1489" s="31"/>
      <c r="N1489" s="127"/>
      <c r="S1489" s="31" t="str">
        <f>IF($C1489="","",IF(OR($M1489="",$N1489=""),'Lists &amp; Settings'!$O$10,IF($N1489="Fail",'Lists &amp; Settings'!$O$9,IF($N1489="Insufficient Evidence",'Lists &amp; Settings'!$O$10,IF($N1489="Pass",IF($M1489&gt;='Lists &amp; Settings'!$N$2,'Lists &amp; Settings'!$O$2,IF($M1489&gt;='Lists &amp; Settings'!$N$3,'Lists &amp; Settings'!$O$3,'Lists &amp; Settings'!$O$4)),IF($N1489="Partial",IF($M1489&gt;='Lists &amp; Settings'!$N$6,'Lists &amp; Settings'!$O$6,IF($M1489&gt;='Lists &amp; Settings'!$N$7,'Lists &amp; Settings'!$O$7,'Lists &amp; Settings'!$O$8)),'Lists &amp; Settings'!$O$10))))))</f>
        <v/>
      </c>
      <c r="T1489" s="31"/>
      <c r="U1489" s="31"/>
      <c r="V1489" s="31"/>
    </row>
    <row r="1490" ht="15.75" customHeight="1">
      <c r="B1490" s="31"/>
      <c r="N1490" s="127"/>
      <c r="S1490" s="31" t="str">
        <f>IF($C1490="","",IF(OR($M1490="",$N1490=""),'Lists &amp; Settings'!$O$10,IF($N1490="Fail",'Lists &amp; Settings'!$O$9,IF($N1490="Insufficient Evidence",'Lists &amp; Settings'!$O$10,IF($N1490="Pass",IF($M1490&gt;='Lists &amp; Settings'!$N$2,'Lists &amp; Settings'!$O$2,IF($M1490&gt;='Lists &amp; Settings'!$N$3,'Lists &amp; Settings'!$O$3,'Lists &amp; Settings'!$O$4)),IF($N1490="Partial",IF($M1490&gt;='Lists &amp; Settings'!$N$6,'Lists &amp; Settings'!$O$6,IF($M1490&gt;='Lists &amp; Settings'!$N$7,'Lists &amp; Settings'!$O$7,'Lists &amp; Settings'!$O$8)),'Lists &amp; Settings'!$O$10))))))</f>
        <v/>
      </c>
      <c r="T1490" s="31"/>
      <c r="U1490" s="31"/>
      <c r="V1490" s="31"/>
    </row>
    <row r="1491" ht="15.75" customHeight="1">
      <c r="B1491" s="31"/>
      <c r="N1491" s="127"/>
      <c r="S1491" s="31" t="str">
        <f>IF($C1491="","",IF(OR($M1491="",$N1491=""),'Lists &amp; Settings'!$O$10,IF($N1491="Fail",'Lists &amp; Settings'!$O$9,IF($N1491="Insufficient Evidence",'Lists &amp; Settings'!$O$10,IF($N1491="Pass",IF($M1491&gt;='Lists &amp; Settings'!$N$2,'Lists &amp; Settings'!$O$2,IF($M1491&gt;='Lists &amp; Settings'!$N$3,'Lists &amp; Settings'!$O$3,'Lists &amp; Settings'!$O$4)),IF($N1491="Partial",IF($M1491&gt;='Lists &amp; Settings'!$N$6,'Lists &amp; Settings'!$O$6,IF($M1491&gt;='Lists &amp; Settings'!$N$7,'Lists &amp; Settings'!$O$7,'Lists &amp; Settings'!$O$8)),'Lists &amp; Settings'!$O$10))))))</f>
        <v/>
      </c>
      <c r="T1491" s="31"/>
      <c r="U1491" s="31"/>
      <c r="V1491" s="31"/>
    </row>
    <row r="1492" ht="15.75" customHeight="1">
      <c r="B1492" s="31"/>
      <c r="N1492" s="127"/>
      <c r="S1492" s="31" t="str">
        <f>IF($C1492="","",IF(OR($M1492="",$N1492=""),'Lists &amp; Settings'!$O$10,IF($N1492="Fail",'Lists &amp; Settings'!$O$9,IF($N1492="Insufficient Evidence",'Lists &amp; Settings'!$O$10,IF($N1492="Pass",IF($M1492&gt;='Lists &amp; Settings'!$N$2,'Lists &amp; Settings'!$O$2,IF($M1492&gt;='Lists &amp; Settings'!$N$3,'Lists &amp; Settings'!$O$3,'Lists &amp; Settings'!$O$4)),IF($N1492="Partial",IF($M1492&gt;='Lists &amp; Settings'!$N$6,'Lists &amp; Settings'!$O$6,IF($M1492&gt;='Lists &amp; Settings'!$N$7,'Lists &amp; Settings'!$O$7,'Lists &amp; Settings'!$O$8)),'Lists &amp; Settings'!$O$10))))))</f>
        <v/>
      </c>
      <c r="T1492" s="31"/>
      <c r="U1492" s="31"/>
      <c r="V1492" s="31"/>
    </row>
    <row r="1493" ht="15.75" customHeight="1">
      <c r="B1493" s="31"/>
      <c r="N1493" s="127"/>
      <c r="S1493" s="31" t="str">
        <f>IF($C1493="","",IF(OR($M1493="",$N1493=""),'Lists &amp; Settings'!$O$10,IF($N1493="Fail",'Lists &amp; Settings'!$O$9,IF($N1493="Insufficient Evidence",'Lists &amp; Settings'!$O$10,IF($N1493="Pass",IF($M1493&gt;='Lists &amp; Settings'!$N$2,'Lists &amp; Settings'!$O$2,IF($M1493&gt;='Lists &amp; Settings'!$N$3,'Lists &amp; Settings'!$O$3,'Lists &amp; Settings'!$O$4)),IF($N1493="Partial",IF($M1493&gt;='Lists &amp; Settings'!$N$6,'Lists &amp; Settings'!$O$6,IF($M1493&gt;='Lists &amp; Settings'!$N$7,'Lists &amp; Settings'!$O$7,'Lists &amp; Settings'!$O$8)),'Lists &amp; Settings'!$O$10))))))</f>
        <v/>
      </c>
      <c r="T1493" s="31"/>
      <c r="U1493" s="31"/>
      <c r="V1493" s="31"/>
    </row>
    <row r="1494" ht="15.75" customHeight="1">
      <c r="B1494" s="31"/>
      <c r="N1494" s="127"/>
      <c r="S1494" s="31" t="str">
        <f>IF($C1494="","",IF(OR($M1494="",$N1494=""),'Lists &amp; Settings'!$O$10,IF($N1494="Fail",'Lists &amp; Settings'!$O$9,IF($N1494="Insufficient Evidence",'Lists &amp; Settings'!$O$10,IF($N1494="Pass",IF($M1494&gt;='Lists &amp; Settings'!$N$2,'Lists &amp; Settings'!$O$2,IF($M1494&gt;='Lists &amp; Settings'!$N$3,'Lists &amp; Settings'!$O$3,'Lists &amp; Settings'!$O$4)),IF($N1494="Partial",IF($M1494&gt;='Lists &amp; Settings'!$N$6,'Lists &amp; Settings'!$O$6,IF($M1494&gt;='Lists &amp; Settings'!$N$7,'Lists &amp; Settings'!$O$7,'Lists &amp; Settings'!$O$8)),'Lists &amp; Settings'!$O$10))))))</f>
        <v/>
      </c>
      <c r="T1494" s="31"/>
      <c r="U1494" s="31"/>
      <c r="V1494" s="31"/>
    </row>
    <row r="1495" ht="15.75" customHeight="1">
      <c r="B1495" s="31"/>
      <c r="N1495" s="127"/>
      <c r="S1495" s="31" t="str">
        <f>IF($C1495="","",IF(OR($M1495="",$N1495=""),'Lists &amp; Settings'!$O$10,IF($N1495="Fail",'Lists &amp; Settings'!$O$9,IF($N1495="Insufficient Evidence",'Lists &amp; Settings'!$O$10,IF($N1495="Pass",IF($M1495&gt;='Lists &amp; Settings'!$N$2,'Lists &amp; Settings'!$O$2,IF($M1495&gt;='Lists &amp; Settings'!$N$3,'Lists &amp; Settings'!$O$3,'Lists &amp; Settings'!$O$4)),IF($N1495="Partial",IF($M1495&gt;='Lists &amp; Settings'!$N$6,'Lists &amp; Settings'!$O$6,IF($M1495&gt;='Lists &amp; Settings'!$N$7,'Lists &amp; Settings'!$O$7,'Lists &amp; Settings'!$O$8)),'Lists &amp; Settings'!$O$10))))))</f>
        <v/>
      </c>
      <c r="T1495" s="31"/>
      <c r="U1495" s="31"/>
      <c r="V1495" s="31"/>
    </row>
    <row r="1496" ht="15.75" customHeight="1">
      <c r="B1496" s="31"/>
      <c r="N1496" s="127"/>
      <c r="S1496" s="31" t="str">
        <f>IF($C1496="","",IF(OR($M1496="",$N1496=""),'Lists &amp; Settings'!$O$10,IF($N1496="Fail",'Lists &amp; Settings'!$O$9,IF($N1496="Insufficient Evidence",'Lists &amp; Settings'!$O$10,IF($N1496="Pass",IF($M1496&gt;='Lists &amp; Settings'!$N$2,'Lists &amp; Settings'!$O$2,IF($M1496&gt;='Lists &amp; Settings'!$N$3,'Lists &amp; Settings'!$O$3,'Lists &amp; Settings'!$O$4)),IF($N1496="Partial",IF($M1496&gt;='Lists &amp; Settings'!$N$6,'Lists &amp; Settings'!$O$6,IF($M1496&gt;='Lists &amp; Settings'!$N$7,'Lists &amp; Settings'!$O$7,'Lists &amp; Settings'!$O$8)),'Lists &amp; Settings'!$O$10))))))</f>
        <v/>
      </c>
      <c r="T1496" s="31"/>
      <c r="U1496" s="31"/>
      <c r="V1496" s="31"/>
    </row>
    <row r="1497" ht="15.75" customHeight="1">
      <c r="B1497" s="31"/>
      <c r="N1497" s="127"/>
      <c r="S1497" s="31" t="str">
        <f>IF($C1497="","",IF(OR($M1497="",$N1497=""),'Lists &amp; Settings'!$O$10,IF($N1497="Fail",'Lists &amp; Settings'!$O$9,IF($N1497="Insufficient Evidence",'Lists &amp; Settings'!$O$10,IF($N1497="Pass",IF($M1497&gt;='Lists &amp; Settings'!$N$2,'Lists &amp; Settings'!$O$2,IF($M1497&gt;='Lists &amp; Settings'!$N$3,'Lists &amp; Settings'!$O$3,'Lists &amp; Settings'!$O$4)),IF($N1497="Partial",IF($M1497&gt;='Lists &amp; Settings'!$N$6,'Lists &amp; Settings'!$O$6,IF($M1497&gt;='Lists &amp; Settings'!$N$7,'Lists &amp; Settings'!$O$7,'Lists &amp; Settings'!$O$8)),'Lists &amp; Settings'!$O$10))))))</f>
        <v/>
      </c>
      <c r="T1497" s="31"/>
      <c r="U1497" s="31"/>
      <c r="V1497" s="31"/>
    </row>
    <row r="1498" ht="15.75" customHeight="1">
      <c r="B1498" s="31"/>
      <c r="N1498" s="127"/>
      <c r="S1498" s="31" t="str">
        <f>IF($C1498="","",IF(OR($M1498="",$N1498=""),'Lists &amp; Settings'!$O$10,IF($N1498="Fail",'Lists &amp; Settings'!$O$9,IF($N1498="Insufficient Evidence",'Lists &amp; Settings'!$O$10,IF($N1498="Pass",IF($M1498&gt;='Lists &amp; Settings'!$N$2,'Lists &amp; Settings'!$O$2,IF($M1498&gt;='Lists &amp; Settings'!$N$3,'Lists &amp; Settings'!$O$3,'Lists &amp; Settings'!$O$4)),IF($N1498="Partial",IF($M1498&gt;='Lists &amp; Settings'!$N$6,'Lists &amp; Settings'!$O$6,IF($M1498&gt;='Lists &amp; Settings'!$N$7,'Lists &amp; Settings'!$O$7,'Lists &amp; Settings'!$O$8)),'Lists &amp; Settings'!$O$10))))))</f>
        <v/>
      </c>
      <c r="T1498" s="31"/>
      <c r="U1498" s="31"/>
      <c r="V1498" s="31"/>
    </row>
    <row r="1499" ht="15.75" customHeight="1">
      <c r="B1499" s="31"/>
      <c r="N1499" s="127"/>
      <c r="S1499" s="31" t="str">
        <f>IF($C1499="","",IF(OR($M1499="",$N1499=""),'Lists &amp; Settings'!$O$10,IF($N1499="Fail",'Lists &amp; Settings'!$O$9,IF($N1499="Insufficient Evidence",'Lists &amp; Settings'!$O$10,IF($N1499="Pass",IF($M1499&gt;='Lists &amp; Settings'!$N$2,'Lists &amp; Settings'!$O$2,IF($M1499&gt;='Lists &amp; Settings'!$N$3,'Lists &amp; Settings'!$O$3,'Lists &amp; Settings'!$O$4)),IF($N1499="Partial",IF($M1499&gt;='Lists &amp; Settings'!$N$6,'Lists &amp; Settings'!$O$6,IF($M1499&gt;='Lists &amp; Settings'!$N$7,'Lists &amp; Settings'!$O$7,'Lists &amp; Settings'!$O$8)),'Lists &amp; Settings'!$O$10))))))</f>
        <v/>
      </c>
      <c r="T1499" s="31"/>
      <c r="U1499" s="31"/>
      <c r="V1499" s="31"/>
    </row>
    <row r="1500" ht="15.75" customHeight="1">
      <c r="B1500" s="31"/>
      <c r="N1500" s="127"/>
      <c r="S1500" s="31" t="str">
        <f>IF($C1500="","",IF(OR($M1500="",$N1500=""),'Lists &amp; Settings'!$O$10,IF($N1500="Fail",'Lists &amp; Settings'!$O$9,IF($N1500="Insufficient Evidence",'Lists &amp; Settings'!$O$10,IF($N1500="Pass",IF($M1500&gt;='Lists &amp; Settings'!$N$2,'Lists &amp; Settings'!$O$2,IF($M1500&gt;='Lists &amp; Settings'!$N$3,'Lists &amp; Settings'!$O$3,'Lists &amp; Settings'!$O$4)),IF($N1500="Partial",IF($M1500&gt;='Lists &amp; Settings'!$N$6,'Lists &amp; Settings'!$O$6,IF($M1500&gt;='Lists &amp; Settings'!$N$7,'Lists &amp; Settings'!$O$7,'Lists &amp; Settings'!$O$8)),'Lists &amp; Settings'!$O$10))))))</f>
        <v/>
      </c>
      <c r="T1500" s="31"/>
      <c r="U1500" s="31"/>
      <c r="V1500" s="31"/>
    </row>
    <row r="1501" ht="15.75" customHeight="1">
      <c r="B1501" s="31"/>
      <c r="N1501" s="127"/>
      <c r="S1501" s="31" t="str">
        <f>IF($C1501="","",IF(OR($M1501="",$N1501=""),'Lists &amp; Settings'!$O$10,IF($N1501="Fail",'Lists &amp; Settings'!$O$9,IF($N1501="Insufficient Evidence",'Lists &amp; Settings'!$O$10,IF($N1501="Pass",IF($M1501&gt;='Lists &amp; Settings'!$N$2,'Lists &amp; Settings'!$O$2,IF($M1501&gt;='Lists &amp; Settings'!$N$3,'Lists &amp; Settings'!$O$3,'Lists &amp; Settings'!$O$4)),IF($N1501="Partial",IF($M1501&gt;='Lists &amp; Settings'!$N$6,'Lists &amp; Settings'!$O$6,IF($M1501&gt;='Lists &amp; Settings'!$N$7,'Lists &amp; Settings'!$O$7,'Lists &amp; Settings'!$O$8)),'Lists &amp; Settings'!$O$10))))))</f>
        <v/>
      </c>
      <c r="T1501" s="31"/>
      <c r="U1501" s="31"/>
      <c r="V1501" s="31"/>
    </row>
    <row r="1502" ht="15.75" customHeight="1">
      <c r="B1502" s="31"/>
      <c r="N1502" s="127"/>
      <c r="S1502" s="31" t="str">
        <f>IF($C1502="","",IF(OR($M1502="",$N1502=""),'Lists &amp; Settings'!$O$10,IF($N1502="Fail",'Lists &amp; Settings'!$O$9,IF($N1502="Insufficient Evidence",'Lists &amp; Settings'!$O$10,IF($N1502="Pass",IF($M1502&gt;='Lists &amp; Settings'!$N$2,'Lists &amp; Settings'!$O$2,IF($M1502&gt;='Lists &amp; Settings'!$N$3,'Lists &amp; Settings'!$O$3,'Lists &amp; Settings'!$O$4)),IF($N1502="Partial",IF($M1502&gt;='Lists &amp; Settings'!$N$6,'Lists &amp; Settings'!$O$6,IF($M1502&gt;='Lists &amp; Settings'!$N$7,'Lists &amp; Settings'!$O$7,'Lists &amp; Settings'!$O$8)),'Lists &amp; Settings'!$O$10))))))</f>
        <v/>
      </c>
      <c r="T1502" s="31"/>
      <c r="U1502" s="31"/>
      <c r="V1502" s="31"/>
    </row>
    <row r="1503" ht="15.75" customHeight="1">
      <c r="B1503" s="31"/>
      <c r="N1503" s="127"/>
      <c r="S1503" s="31" t="str">
        <f>IF($C1503="","",IF(OR($M1503="",$N1503=""),'Lists &amp; Settings'!$O$10,IF($N1503="Fail",'Lists &amp; Settings'!$O$9,IF($N1503="Insufficient Evidence",'Lists &amp; Settings'!$O$10,IF($N1503="Pass",IF($M1503&gt;='Lists &amp; Settings'!$N$2,'Lists &amp; Settings'!$O$2,IF($M1503&gt;='Lists &amp; Settings'!$N$3,'Lists &amp; Settings'!$O$3,'Lists &amp; Settings'!$O$4)),IF($N1503="Partial",IF($M1503&gt;='Lists &amp; Settings'!$N$6,'Lists &amp; Settings'!$O$6,IF($M1503&gt;='Lists &amp; Settings'!$N$7,'Lists &amp; Settings'!$O$7,'Lists &amp; Settings'!$O$8)),'Lists &amp; Settings'!$O$10))))))</f>
        <v/>
      </c>
      <c r="T1503" s="31"/>
      <c r="U1503" s="31"/>
      <c r="V1503" s="31"/>
    </row>
    <row r="1504" ht="15.75" customHeight="1">
      <c r="B1504" s="31"/>
      <c r="N1504" s="127"/>
      <c r="S1504" s="31" t="str">
        <f>IF($C1504="","",IF(OR($M1504="",$N1504=""),'Lists &amp; Settings'!$O$10,IF($N1504="Fail",'Lists &amp; Settings'!$O$9,IF($N1504="Insufficient Evidence",'Lists &amp; Settings'!$O$10,IF($N1504="Pass",IF($M1504&gt;='Lists &amp; Settings'!$N$2,'Lists &amp; Settings'!$O$2,IF($M1504&gt;='Lists &amp; Settings'!$N$3,'Lists &amp; Settings'!$O$3,'Lists &amp; Settings'!$O$4)),IF($N1504="Partial",IF($M1504&gt;='Lists &amp; Settings'!$N$6,'Lists &amp; Settings'!$O$6,IF($M1504&gt;='Lists &amp; Settings'!$N$7,'Lists &amp; Settings'!$O$7,'Lists &amp; Settings'!$O$8)),'Lists &amp; Settings'!$O$10))))))</f>
        <v/>
      </c>
      <c r="T1504" s="31"/>
      <c r="U1504" s="31"/>
      <c r="V1504" s="31"/>
    </row>
    <row r="1505" ht="15.75" customHeight="1">
      <c r="B1505" s="31"/>
      <c r="N1505" s="127"/>
      <c r="S1505" s="31" t="str">
        <f>IF($C1505="","",IF(OR($M1505="",$N1505=""),'Lists &amp; Settings'!$O$10,IF($N1505="Fail",'Lists &amp; Settings'!$O$9,IF($N1505="Insufficient Evidence",'Lists &amp; Settings'!$O$10,IF($N1505="Pass",IF($M1505&gt;='Lists &amp; Settings'!$N$2,'Lists &amp; Settings'!$O$2,IF($M1505&gt;='Lists &amp; Settings'!$N$3,'Lists &amp; Settings'!$O$3,'Lists &amp; Settings'!$O$4)),IF($N1505="Partial",IF($M1505&gt;='Lists &amp; Settings'!$N$6,'Lists &amp; Settings'!$O$6,IF($M1505&gt;='Lists &amp; Settings'!$N$7,'Lists &amp; Settings'!$O$7,'Lists &amp; Settings'!$O$8)),'Lists &amp; Settings'!$O$10))))))</f>
        <v/>
      </c>
      <c r="T1505" s="31"/>
      <c r="U1505" s="31"/>
      <c r="V1505" s="31"/>
    </row>
    <row r="1506" ht="15.75" customHeight="1">
      <c r="B1506" s="31"/>
      <c r="N1506" s="127"/>
      <c r="S1506" s="31" t="str">
        <f>IF($C1506="","",IF(OR($M1506="",$N1506=""),'Lists &amp; Settings'!$O$10,IF($N1506="Fail",'Lists &amp; Settings'!$O$9,IF($N1506="Insufficient Evidence",'Lists &amp; Settings'!$O$10,IF($N1506="Pass",IF($M1506&gt;='Lists &amp; Settings'!$N$2,'Lists &amp; Settings'!$O$2,IF($M1506&gt;='Lists &amp; Settings'!$N$3,'Lists &amp; Settings'!$O$3,'Lists &amp; Settings'!$O$4)),IF($N1506="Partial",IF($M1506&gt;='Lists &amp; Settings'!$N$6,'Lists &amp; Settings'!$O$6,IF($M1506&gt;='Lists &amp; Settings'!$N$7,'Lists &amp; Settings'!$O$7,'Lists &amp; Settings'!$O$8)),'Lists &amp; Settings'!$O$10))))))</f>
        <v/>
      </c>
      <c r="T1506" s="31"/>
      <c r="U1506" s="31"/>
      <c r="V1506" s="31"/>
    </row>
    <row r="1507" ht="15.75" customHeight="1">
      <c r="B1507" s="31"/>
      <c r="N1507" s="127"/>
      <c r="S1507" s="31" t="str">
        <f>IF($C1507="","",IF(OR($M1507="",$N1507=""),'Lists &amp; Settings'!$O$10,IF($N1507="Fail",'Lists &amp; Settings'!$O$9,IF($N1507="Insufficient Evidence",'Lists &amp; Settings'!$O$10,IF($N1507="Pass",IF($M1507&gt;='Lists &amp; Settings'!$N$2,'Lists &amp; Settings'!$O$2,IF($M1507&gt;='Lists &amp; Settings'!$N$3,'Lists &amp; Settings'!$O$3,'Lists &amp; Settings'!$O$4)),IF($N1507="Partial",IF($M1507&gt;='Lists &amp; Settings'!$N$6,'Lists &amp; Settings'!$O$6,IF($M1507&gt;='Lists &amp; Settings'!$N$7,'Lists &amp; Settings'!$O$7,'Lists &amp; Settings'!$O$8)),'Lists &amp; Settings'!$O$10))))))</f>
        <v/>
      </c>
      <c r="T1507" s="31"/>
      <c r="U1507" s="31"/>
      <c r="V1507" s="31"/>
    </row>
    <row r="1508" ht="15.75" customHeight="1">
      <c r="B1508" s="31"/>
      <c r="N1508" s="127"/>
      <c r="S1508" s="31" t="str">
        <f>IF($C1508="","",IF(OR($M1508="",$N1508=""),'Lists &amp; Settings'!$O$10,IF($N1508="Fail",'Lists &amp; Settings'!$O$9,IF($N1508="Insufficient Evidence",'Lists &amp; Settings'!$O$10,IF($N1508="Pass",IF($M1508&gt;='Lists &amp; Settings'!$N$2,'Lists &amp; Settings'!$O$2,IF($M1508&gt;='Lists &amp; Settings'!$N$3,'Lists &amp; Settings'!$O$3,'Lists &amp; Settings'!$O$4)),IF($N1508="Partial",IF($M1508&gt;='Lists &amp; Settings'!$N$6,'Lists &amp; Settings'!$O$6,IF($M1508&gt;='Lists &amp; Settings'!$N$7,'Lists &amp; Settings'!$O$7,'Lists &amp; Settings'!$O$8)),'Lists &amp; Settings'!$O$10))))))</f>
        <v/>
      </c>
      <c r="T1508" s="31"/>
      <c r="U1508" s="31"/>
      <c r="V1508" s="31"/>
    </row>
    <row r="1509" ht="15.75" customHeight="1">
      <c r="B1509" s="31"/>
      <c r="N1509" s="127"/>
      <c r="S1509" s="31" t="str">
        <f>IF($C1509="","",IF(OR($M1509="",$N1509=""),'Lists &amp; Settings'!$O$10,IF($N1509="Fail",'Lists &amp; Settings'!$O$9,IF($N1509="Insufficient Evidence",'Lists &amp; Settings'!$O$10,IF($N1509="Pass",IF($M1509&gt;='Lists &amp; Settings'!$N$2,'Lists &amp; Settings'!$O$2,IF($M1509&gt;='Lists &amp; Settings'!$N$3,'Lists &amp; Settings'!$O$3,'Lists &amp; Settings'!$O$4)),IF($N1509="Partial",IF($M1509&gt;='Lists &amp; Settings'!$N$6,'Lists &amp; Settings'!$O$6,IF($M1509&gt;='Lists &amp; Settings'!$N$7,'Lists &amp; Settings'!$O$7,'Lists &amp; Settings'!$O$8)),'Lists &amp; Settings'!$O$10))))))</f>
        <v/>
      </c>
      <c r="T1509" s="31"/>
      <c r="U1509" s="31"/>
      <c r="V1509" s="31"/>
    </row>
    <row r="1510" ht="15.75" customHeight="1">
      <c r="B1510" s="31"/>
      <c r="N1510" s="127"/>
      <c r="S1510" s="31" t="str">
        <f>IF($C1510="","",IF(OR($M1510="",$N1510=""),'Lists &amp; Settings'!$O$10,IF($N1510="Fail",'Lists &amp; Settings'!$O$9,IF($N1510="Insufficient Evidence",'Lists &amp; Settings'!$O$10,IF($N1510="Pass",IF($M1510&gt;='Lists &amp; Settings'!$N$2,'Lists &amp; Settings'!$O$2,IF($M1510&gt;='Lists &amp; Settings'!$N$3,'Lists &amp; Settings'!$O$3,'Lists &amp; Settings'!$O$4)),IF($N1510="Partial",IF($M1510&gt;='Lists &amp; Settings'!$N$6,'Lists &amp; Settings'!$O$6,IF($M1510&gt;='Lists &amp; Settings'!$N$7,'Lists &amp; Settings'!$O$7,'Lists &amp; Settings'!$O$8)),'Lists &amp; Settings'!$O$10))))))</f>
        <v/>
      </c>
      <c r="T1510" s="31"/>
      <c r="U1510" s="31"/>
      <c r="V1510" s="31"/>
    </row>
    <row r="1511" ht="15.75" customHeight="1">
      <c r="B1511" s="31"/>
      <c r="N1511" s="127"/>
      <c r="S1511" s="31" t="str">
        <f>IF($C1511="","",IF(OR($M1511="",$N1511=""),'Lists &amp; Settings'!$O$10,IF($N1511="Fail",'Lists &amp; Settings'!$O$9,IF($N1511="Insufficient Evidence",'Lists &amp; Settings'!$O$10,IF($N1511="Pass",IF($M1511&gt;='Lists &amp; Settings'!$N$2,'Lists &amp; Settings'!$O$2,IF($M1511&gt;='Lists &amp; Settings'!$N$3,'Lists &amp; Settings'!$O$3,'Lists &amp; Settings'!$O$4)),IF($N1511="Partial",IF($M1511&gt;='Lists &amp; Settings'!$N$6,'Lists &amp; Settings'!$O$6,IF($M1511&gt;='Lists &amp; Settings'!$N$7,'Lists &amp; Settings'!$O$7,'Lists &amp; Settings'!$O$8)),'Lists &amp; Settings'!$O$10))))))</f>
        <v/>
      </c>
      <c r="T1511" s="31"/>
      <c r="U1511" s="31"/>
      <c r="V1511" s="31"/>
    </row>
    <row r="1512" ht="15.75" customHeight="1">
      <c r="B1512" s="31"/>
      <c r="N1512" s="127"/>
      <c r="S1512" s="31" t="str">
        <f>IF($C1512="","",IF(OR($M1512="",$N1512=""),'Lists &amp; Settings'!$O$10,IF($N1512="Fail",'Lists &amp; Settings'!$O$9,IF($N1512="Insufficient Evidence",'Lists &amp; Settings'!$O$10,IF($N1512="Pass",IF($M1512&gt;='Lists &amp; Settings'!$N$2,'Lists &amp; Settings'!$O$2,IF($M1512&gt;='Lists &amp; Settings'!$N$3,'Lists &amp; Settings'!$O$3,'Lists &amp; Settings'!$O$4)),IF($N1512="Partial",IF($M1512&gt;='Lists &amp; Settings'!$N$6,'Lists &amp; Settings'!$O$6,IF($M1512&gt;='Lists &amp; Settings'!$N$7,'Lists &amp; Settings'!$O$7,'Lists &amp; Settings'!$O$8)),'Lists &amp; Settings'!$O$10))))))</f>
        <v/>
      </c>
      <c r="T1512" s="31"/>
      <c r="U1512" s="31"/>
      <c r="V1512" s="31"/>
    </row>
    <row r="1513" ht="15.75" customHeight="1">
      <c r="B1513" s="31"/>
      <c r="N1513" s="127"/>
      <c r="S1513" s="31" t="str">
        <f>IF($C1513="","",IF(OR($M1513="",$N1513=""),'Lists &amp; Settings'!$O$10,IF($N1513="Fail",'Lists &amp; Settings'!$O$9,IF($N1513="Insufficient Evidence",'Lists &amp; Settings'!$O$10,IF($N1513="Pass",IF($M1513&gt;='Lists &amp; Settings'!$N$2,'Lists &amp; Settings'!$O$2,IF($M1513&gt;='Lists &amp; Settings'!$N$3,'Lists &amp; Settings'!$O$3,'Lists &amp; Settings'!$O$4)),IF($N1513="Partial",IF($M1513&gt;='Lists &amp; Settings'!$N$6,'Lists &amp; Settings'!$O$6,IF($M1513&gt;='Lists &amp; Settings'!$N$7,'Lists &amp; Settings'!$O$7,'Lists &amp; Settings'!$O$8)),'Lists &amp; Settings'!$O$10))))))</f>
        <v/>
      </c>
      <c r="T1513" s="31"/>
      <c r="U1513" s="31"/>
      <c r="V1513" s="31"/>
    </row>
    <row r="1514" ht="15.75" customHeight="1">
      <c r="B1514" s="31"/>
      <c r="N1514" s="127"/>
      <c r="S1514" s="31" t="str">
        <f>IF($C1514="","",IF(OR($M1514="",$N1514=""),'Lists &amp; Settings'!$O$10,IF($N1514="Fail",'Lists &amp; Settings'!$O$9,IF($N1514="Insufficient Evidence",'Lists &amp; Settings'!$O$10,IF($N1514="Pass",IF($M1514&gt;='Lists &amp; Settings'!$N$2,'Lists &amp; Settings'!$O$2,IF($M1514&gt;='Lists &amp; Settings'!$N$3,'Lists &amp; Settings'!$O$3,'Lists &amp; Settings'!$O$4)),IF($N1514="Partial",IF($M1514&gt;='Lists &amp; Settings'!$N$6,'Lists &amp; Settings'!$O$6,IF($M1514&gt;='Lists &amp; Settings'!$N$7,'Lists &amp; Settings'!$O$7,'Lists &amp; Settings'!$O$8)),'Lists &amp; Settings'!$O$10))))))</f>
        <v/>
      </c>
      <c r="T1514" s="31"/>
      <c r="U1514" s="31"/>
      <c r="V1514" s="31"/>
    </row>
    <row r="1515" ht="15.75" customHeight="1">
      <c r="B1515" s="31"/>
      <c r="N1515" s="127"/>
      <c r="S1515" s="31" t="str">
        <f>IF($C1515="","",IF(OR($M1515="",$N1515=""),'Lists &amp; Settings'!$O$10,IF($N1515="Fail",'Lists &amp; Settings'!$O$9,IF($N1515="Insufficient Evidence",'Lists &amp; Settings'!$O$10,IF($N1515="Pass",IF($M1515&gt;='Lists &amp; Settings'!$N$2,'Lists &amp; Settings'!$O$2,IF($M1515&gt;='Lists &amp; Settings'!$N$3,'Lists &amp; Settings'!$O$3,'Lists &amp; Settings'!$O$4)),IF($N1515="Partial",IF($M1515&gt;='Lists &amp; Settings'!$N$6,'Lists &amp; Settings'!$O$6,IF($M1515&gt;='Lists &amp; Settings'!$N$7,'Lists &amp; Settings'!$O$7,'Lists &amp; Settings'!$O$8)),'Lists &amp; Settings'!$O$10))))))</f>
        <v/>
      </c>
      <c r="T1515" s="31"/>
      <c r="U1515" s="31"/>
      <c r="V1515" s="31"/>
    </row>
    <row r="1516" ht="15.75" customHeight="1">
      <c r="B1516" s="31"/>
      <c r="N1516" s="127"/>
      <c r="S1516" s="31" t="str">
        <f>IF($C1516="","",IF(OR($M1516="",$N1516=""),'Lists &amp; Settings'!$O$10,IF($N1516="Fail",'Lists &amp; Settings'!$O$9,IF($N1516="Insufficient Evidence",'Lists &amp; Settings'!$O$10,IF($N1516="Pass",IF($M1516&gt;='Lists &amp; Settings'!$N$2,'Lists &amp; Settings'!$O$2,IF($M1516&gt;='Lists &amp; Settings'!$N$3,'Lists &amp; Settings'!$O$3,'Lists &amp; Settings'!$O$4)),IF($N1516="Partial",IF($M1516&gt;='Lists &amp; Settings'!$N$6,'Lists &amp; Settings'!$O$6,IF($M1516&gt;='Lists &amp; Settings'!$N$7,'Lists &amp; Settings'!$O$7,'Lists &amp; Settings'!$O$8)),'Lists &amp; Settings'!$O$10))))))</f>
        <v/>
      </c>
      <c r="T1516" s="31"/>
      <c r="U1516" s="31"/>
      <c r="V1516" s="31"/>
    </row>
    <row r="1517" ht="15.75" customHeight="1">
      <c r="B1517" s="31"/>
      <c r="N1517" s="127"/>
      <c r="S1517" s="31" t="str">
        <f>IF($C1517="","",IF(OR($M1517="",$N1517=""),'Lists &amp; Settings'!$O$10,IF($N1517="Fail",'Lists &amp; Settings'!$O$9,IF($N1517="Insufficient Evidence",'Lists &amp; Settings'!$O$10,IF($N1517="Pass",IF($M1517&gt;='Lists &amp; Settings'!$N$2,'Lists &amp; Settings'!$O$2,IF($M1517&gt;='Lists &amp; Settings'!$N$3,'Lists &amp; Settings'!$O$3,'Lists &amp; Settings'!$O$4)),IF($N1517="Partial",IF($M1517&gt;='Lists &amp; Settings'!$N$6,'Lists &amp; Settings'!$O$6,IF($M1517&gt;='Lists &amp; Settings'!$N$7,'Lists &amp; Settings'!$O$7,'Lists &amp; Settings'!$O$8)),'Lists &amp; Settings'!$O$10))))))</f>
        <v/>
      </c>
      <c r="T1517" s="31"/>
      <c r="U1517" s="31"/>
      <c r="V1517" s="31"/>
    </row>
    <row r="1518" ht="15.75" customHeight="1">
      <c r="B1518" s="31"/>
      <c r="N1518" s="127"/>
      <c r="S1518" s="31" t="str">
        <f>IF($C1518="","",IF(OR($M1518="",$N1518=""),'Lists &amp; Settings'!$O$10,IF($N1518="Fail",'Lists &amp; Settings'!$O$9,IF($N1518="Insufficient Evidence",'Lists &amp; Settings'!$O$10,IF($N1518="Pass",IF($M1518&gt;='Lists &amp; Settings'!$N$2,'Lists &amp; Settings'!$O$2,IF($M1518&gt;='Lists &amp; Settings'!$N$3,'Lists &amp; Settings'!$O$3,'Lists &amp; Settings'!$O$4)),IF($N1518="Partial",IF($M1518&gt;='Lists &amp; Settings'!$N$6,'Lists &amp; Settings'!$O$6,IF($M1518&gt;='Lists &amp; Settings'!$N$7,'Lists &amp; Settings'!$O$7,'Lists &amp; Settings'!$O$8)),'Lists &amp; Settings'!$O$10))))))</f>
        <v/>
      </c>
      <c r="T1518" s="31"/>
      <c r="U1518" s="31"/>
      <c r="V1518" s="31"/>
    </row>
    <row r="1519" ht="15.75" customHeight="1">
      <c r="B1519" s="31"/>
      <c r="N1519" s="127"/>
      <c r="S1519" s="31" t="str">
        <f>IF($C1519="","",IF(OR($M1519="",$N1519=""),'Lists &amp; Settings'!$O$10,IF($N1519="Fail",'Lists &amp; Settings'!$O$9,IF($N1519="Insufficient Evidence",'Lists &amp; Settings'!$O$10,IF($N1519="Pass",IF($M1519&gt;='Lists &amp; Settings'!$N$2,'Lists &amp; Settings'!$O$2,IF($M1519&gt;='Lists &amp; Settings'!$N$3,'Lists &amp; Settings'!$O$3,'Lists &amp; Settings'!$O$4)),IF($N1519="Partial",IF($M1519&gt;='Lists &amp; Settings'!$N$6,'Lists &amp; Settings'!$O$6,IF($M1519&gt;='Lists &amp; Settings'!$N$7,'Lists &amp; Settings'!$O$7,'Lists &amp; Settings'!$O$8)),'Lists &amp; Settings'!$O$10))))))</f>
        <v/>
      </c>
      <c r="T1519" s="31"/>
      <c r="U1519" s="31"/>
      <c r="V1519" s="31"/>
    </row>
    <row r="1520" ht="15.75" customHeight="1">
      <c r="B1520" s="31"/>
      <c r="N1520" s="127"/>
      <c r="S1520" s="31" t="str">
        <f>IF($C1520="","",IF(OR($M1520="",$N1520=""),'Lists &amp; Settings'!$O$10,IF($N1520="Fail",'Lists &amp; Settings'!$O$9,IF($N1520="Insufficient Evidence",'Lists &amp; Settings'!$O$10,IF($N1520="Pass",IF($M1520&gt;='Lists &amp; Settings'!$N$2,'Lists &amp; Settings'!$O$2,IF($M1520&gt;='Lists &amp; Settings'!$N$3,'Lists &amp; Settings'!$O$3,'Lists &amp; Settings'!$O$4)),IF($N1520="Partial",IF($M1520&gt;='Lists &amp; Settings'!$N$6,'Lists &amp; Settings'!$O$6,IF($M1520&gt;='Lists &amp; Settings'!$N$7,'Lists &amp; Settings'!$O$7,'Lists &amp; Settings'!$O$8)),'Lists &amp; Settings'!$O$10))))))</f>
        <v/>
      </c>
      <c r="T1520" s="31"/>
      <c r="U1520" s="31"/>
      <c r="V1520" s="31"/>
    </row>
    <row r="1521" ht="15.75" customHeight="1">
      <c r="B1521" s="31"/>
      <c r="N1521" s="127"/>
      <c r="S1521" s="31" t="str">
        <f>IF($C1521="","",IF(OR($M1521="",$N1521=""),'Lists &amp; Settings'!$O$10,IF($N1521="Fail",'Lists &amp; Settings'!$O$9,IF($N1521="Insufficient Evidence",'Lists &amp; Settings'!$O$10,IF($N1521="Pass",IF($M1521&gt;='Lists &amp; Settings'!$N$2,'Lists &amp; Settings'!$O$2,IF($M1521&gt;='Lists &amp; Settings'!$N$3,'Lists &amp; Settings'!$O$3,'Lists &amp; Settings'!$O$4)),IF($N1521="Partial",IF($M1521&gt;='Lists &amp; Settings'!$N$6,'Lists &amp; Settings'!$O$6,IF($M1521&gt;='Lists &amp; Settings'!$N$7,'Lists &amp; Settings'!$O$7,'Lists &amp; Settings'!$O$8)),'Lists &amp; Settings'!$O$10))))))</f>
        <v/>
      </c>
      <c r="T1521" s="31"/>
      <c r="U1521" s="31"/>
      <c r="V1521" s="31"/>
    </row>
    <row r="1522" ht="15.75" customHeight="1">
      <c r="B1522" s="31"/>
      <c r="N1522" s="127"/>
      <c r="S1522" s="31" t="str">
        <f>IF($C1522="","",IF(OR($M1522="",$N1522=""),'Lists &amp; Settings'!$O$10,IF($N1522="Fail",'Lists &amp; Settings'!$O$9,IF($N1522="Insufficient Evidence",'Lists &amp; Settings'!$O$10,IF($N1522="Pass",IF($M1522&gt;='Lists &amp; Settings'!$N$2,'Lists &amp; Settings'!$O$2,IF($M1522&gt;='Lists &amp; Settings'!$N$3,'Lists &amp; Settings'!$O$3,'Lists &amp; Settings'!$O$4)),IF($N1522="Partial",IF($M1522&gt;='Lists &amp; Settings'!$N$6,'Lists &amp; Settings'!$O$6,IF($M1522&gt;='Lists &amp; Settings'!$N$7,'Lists &amp; Settings'!$O$7,'Lists &amp; Settings'!$O$8)),'Lists &amp; Settings'!$O$10))))))</f>
        <v/>
      </c>
      <c r="T1522" s="31"/>
      <c r="U1522" s="31"/>
      <c r="V1522" s="31"/>
    </row>
    <row r="1523" ht="15.75" customHeight="1">
      <c r="B1523" s="31"/>
      <c r="N1523" s="127"/>
      <c r="S1523" s="31" t="str">
        <f>IF($C1523="","",IF(OR($M1523="",$N1523=""),'Lists &amp; Settings'!$O$10,IF($N1523="Fail",'Lists &amp; Settings'!$O$9,IF($N1523="Insufficient Evidence",'Lists &amp; Settings'!$O$10,IF($N1523="Pass",IF($M1523&gt;='Lists &amp; Settings'!$N$2,'Lists &amp; Settings'!$O$2,IF($M1523&gt;='Lists &amp; Settings'!$N$3,'Lists &amp; Settings'!$O$3,'Lists &amp; Settings'!$O$4)),IF($N1523="Partial",IF($M1523&gt;='Lists &amp; Settings'!$N$6,'Lists &amp; Settings'!$O$6,IF($M1523&gt;='Lists &amp; Settings'!$N$7,'Lists &amp; Settings'!$O$7,'Lists &amp; Settings'!$O$8)),'Lists &amp; Settings'!$O$10))))))</f>
        <v/>
      </c>
      <c r="T1523" s="31"/>
      <c r="U1523" s="31"/>
      <c r="V1523" s="31"/>
    </row>
    <row r="1524" ht="15.75" customHeight="1">
      <c r="B1524" s="31"/>
      <c r="N1524" s="127"/>
      <c r="S1524" s="31" t="str">
        <f>IF($C1524="","",IF(OR($M1524="",$N1524=""),'Lists &amp; Settings'!$O$10,IF($N1524="Fail",'Lists &amp; Settings'!$O$9,IF($N1524="Insufficient Evidence",'Lists &amp; Settings'!$O$10,IF($N1524="Pass",IF($M1524&gt;='Lists &amp; Settings'!$N$2,'Lists &amp; Settings'!$O$2,IF($M1524&gt;='Lists &amp; Settings'!$N$3,'Lists &amp; Settings'!$O$3,'Lists &amp; Settings'!$O$4)),IF($N1524="Partial",IF($M1524&gt;='Lists &amp; Settings'!$N$6,'Lists &amp; Settings'!$O$6,IF($M1524&gt;='Lists &amp; Settings'!$N$7,'Lists &amp; Settings'!$O$7,'Lists &amp; Settings'!$O$8)),'Lists &amp; Settings'!$O$10))))))</f>
        <v/>
      </c>
      <c r="T1524" s="31"/>
      <c r="U1524" s="31"/>
      <c r="V1524" s="31"/>
    </row>
    <row r="1525" ht="15.75" customHeight="1">
      <c r="B1525" s="31"/>
      <c r="N1525" s="127"/>
      <c r="S1525" s="31" t="str">
        <f>IF($C1525="","",IF(OR($M1525="",$N1525=""),'Lists &amp; Settings'!$O$10,IF($N1525="Fail",'Lists &amp; Settings'!$O$9,IF($N1525="Insufficient Evidence",'Lists &amp; Settings'!$O$10,IF($N1525="Pass",IF($M1525&gt;='Lists &amp; Settings'!$N$2,'Lists &amp; Settings'!$O$2,IF($M1525&gt;='Lists &amp; Settings'!$N$3,'Lists &amp; Settings'!$O$3,'Lists &amp; Settings'!$O$4)),IF($N1525="Partial",IF($M1525&gt;='Lists &amp; Settings'!$N$6,'Lists &amp; Settings'!$O$6,IF($M1525&gt;='Lists &amp; Settings'!$N$7,'Lists &amp; Settings'!$O$7,'Lists &amp; Settings'!$O$8)),'Lists &amp; Settings'!$O$10))))))</f>
        <v/>
      </c>
      <c r="T1525" s="31"/>
      <c r="U1525" s="31"/>
      <c r="V1525" s="31"/>
    </row>
    <row r="1526" ht="15.75" customHeight="1">
      <c r="B1526" s="31"/>
      <c r="N1526" s="127"/>
      <c r="S1526" s="31" t="str">
        <f>IF($C1526="","",IF(OR($M1526="",$N1526=""),'Lists &amp; Settings'!$O$10,IF($N1526="Fail",'Lists &amp; Settings'!$O$9,IF($N1526="Insufficient Evidence",'Lists &amp; Settings'!$O$10,IF($N1526="Pass",IF($M1526&gt;='Lists &amp; Settings'!$N$2,'Lists &amp; Settings'!$O$2,IF($M1526&gt;='Lists &amp; Settings'!$N$3,'Lists &amp; Settings'!$O$3,'Lists &amp; Settings'!$O$4)),IF($N1526="Partial",IF($M1526&gt;='Lists &amp; Settings'!$N$6,'Lists &amp; Settings'!$O$6,IF($M1526&gt;='Lists &amp; Settings'!$N$7,'Lists &amp; Settings'!$O$7,'Lists &amp; Settings'!$O$8)),'Lists &amp; Settings'!$O$10))))))</f>
        <v/>
      </c>
      <c r="T1526" s="31"/>
      <c r="U1526" s="31"/>
      <c r="V1526" s="31"/>
    </row>
    <row r="1527" ht="15.75" customHeight="1">
      <c r="B1527" s="31"/>
      <c r="N1527" s="127"/>
      <c r="S1527" s="31" t="str">
        <f>IF($C1527="","",IF(OR($M1527="",$N1527=""),'Lists &amp; Settings'!$O$10,IF($N1527="Fail",'Lists &amp; Settings'!$O$9,IF($N1527="Insufficient Evidence",'Lists &amp; Settings'!$O$10,IF($N1527="Pass",IF($M1527&gt;='Lists &amp; Settings'!$N$2,'Lists &amp; Settings'!$O$2,IF($M1527&gt;='Lists &amp; Settings'!$N$3,'Lists &amp; Settings'!$O$3,'Lists &amp; Settings'!$O$4)),IF($N1527="Partial",IF($M1527&gt;='Lists &amp; Settings'!$N$6,'Lists &amp; Settings'!$O$6,IF($M1527&gt;='Lists &amp; Settings'!$N$7,'Lists &amp; Settings'!$O$7,'Lists &amp; Settings'!$O$8)),'Lists &amp; Settings'!$O$10))))))</f>
        <v/>
      </c>
      <c r="T1527" s="31"/>
      <c r="U1527" s="31"/>
      <c r="V1527" s="31"/>
    </row>
    <row r="1528" ht="15.75" customHeight="1">
      <c r="B1528" s="31"/>
      <c r="N1528" s="127"/>
      <c r="S1528" s="31" t="str">
        <f>IF($C1528="","",IF(OR($M1528="",$N1528=""),'Lists &amp; Settings'!$O$10,IF($N1528="Fail",'Lists &amp; Settings'!$O$9,IF($N1528="Insufficient Evidence",'Lists &amp; Settings'!$O$10,IF($N1528="Pass",IF($M1528&gt;='Lists &amp; Settings'!$N$2,'Lists &amp; Settings'!$O$2,IF($M1528&gt;='Lists &amp; Settings'!$N$3,'Lists &amp; Settings'!$O$3,'Lists &amp; Settings'!$O$4)),IF($N1528="Partial",IF($M1528&gt;='Lists &amp; Settings'!$N$6,'Lists &amp; Settings'!$O$6,IF($M1528&gt;='Lists &amp; Settings'!$N$7,'Lists &amp; Settings'!$O$7,'Lists &amp; Settings'!$O$8)),'Lists &amp; Settings'!$O$10))))))</f>
        <v/>
      </c>
      <c r="T1528" s="31"/>
      <c r="U1528" s="31"/>
      <c r="V1528" s="31"/>
    </row>
    <row r="1529" ht="15.75" customHeight="1">
      <c r="B1529" s="31"/>
      <c r="N1529" s="127"/>
      <c r="S1529" s="31" t="str">
        <f>IF($C1529="","",IF(OR($M1529="",$N1529=""),'Lists &amp; Settings'!$O$10,IF($N1529="Fail",'Lists &amp; Settings'!$O$9,IF($N1529="Insufficient Evidence",'Lists &amp; Settings'!$O$10,IF($N1529="Pass",IF($M1529&gt;='Lists &amp; Settings'!$N$2,'Lists &amp; Settings'!$O$2,IF($M1529&gt;='Lists &amp; Settings'!$N$3,'Lists &amp; Settings'!$O$3,'Lists &amp; Settings'!$O$4)),IF($N1529="Partial",IF($M1529&gt;='Lists &amp; Settings'!$N$6,'Lists &amp; Settings'!$O$6,IF($M1529&gt;='Lists &amp; Settings'!$N$7,'Lists &amp; Settings'!$O$7,'Lists &amp; Settings'!$O$8)),'Lists &amp; Settings'!$O$10))))))</f>
        <v/>
      </c>
      <c r="T1529" s="31"/>
      <c r="U1529" s="31"/>
      <c r="V1529" s="31"/>
    </row>
    <row r="1530" ht="15.75" customHeight="1">
      <c r="B1530" s="31"/>
      <c r="N1530" s="127"/>
      <c r="S1530" s="31" t="str">
        <f>IF($C1530="","",IF(OR($M1530="",$N1530=""),'Lists &amp; Settings'!$O$10,IF($N1530="Fail",'Lists &amp; Settings'!$O$9,IF($N1530="Insufficient Evidence",'Lists &amp; Settings'!$O$10,IF($N1530="Pass",IF($M1530&gt;='Lists &amp; Settings'!$N$2,'Lists &amp; Settings'!$O$2,IF($M1530&gt;='Lists &amp; Settings'!$N$3,'Lists &amp; Settings'!$O$3,'Lists &amp; Settings'!$O$4)),IF($N1530="Partial",IF($M1530&gt;='Lists &amp; Settings'!$N$6,'Lists &amp; Settings'!$O$6,IF($M1530&gt;='Lists &amp; Settings'!$N$7,'Lists &amp; Settings'!$O$7,'Lists &amp; Settings'!$O$8)),'Lists &amp; Settings'!$O$10))))))</f>
        <v/>
      </c>
      <c r="T1530" s="31"/>
      <c r="U1530" s="31"/>
      <c r="V1530" s="31"/>
    </row>
    <row r="1531" ht="15.75" customHeight="1">
      <c r="B1531" s="31"/>
      <c r="N1531" s="127"/>
      <c r="S1531" s="31" t="str">
        <f>IF($C1531="","",IF(OR($M1531="",$N1531=""),'Lists &amp; Settings'!$O$10,IF($N1531="Fail",'Lists &amp; Settings'!$O$9,IF($N1531="Insufficient Evidence",'Lists &amp; Settings'!$O$10,IF($N1531="Pass",IF($M1531&gt;='Lists &amp; Settings'!$N$2,'Lists &amp; Settings'!$O$2,IF($M1531&gt;='Lists &amp; Settings'!$N$3,'Lists &amp; Settings'!$O$3,'Lists &amp; Settings'!$O$4)),IF($N1531="Partial",IF($M1531&gt;='Lists &amp; Settings'!$N$6,'Lists &amp; Settings'!$O$6,IF($M1531&gt;='Lists &amp; Settings'!$N$7,'Lists &amp; Settings'!$O$7,'Lists &amp; Settings'!$O$8)),'Lists &amp; Settings'!$O$10))))))</f>
        <v/>
      </c>
      <c r="T1531" s="31"/>
      <c r="U1531" s="31"/>
      <c r="V1531" s="31"/>
    </row>
    <row r="1532" ht="15.75" customHeight="1">
      <c r="B1532" s="31"/>
      <c r="N1532" s="127"/>
      <c r="S1532" s="31" t="str">
        <f>IF($C1532="","",IF(OR($M1532="",$N1532=""),'Lists &amp; Settings'!$O$10,IF($N1532="Fail",'Lists &amp; Settings'!$O$9,IF($N1532="Insufficient Evidence",'Lists &amp; Settings'!$O$10,IF($N1532="Pass",IF($M1532&gt;='Lists &amp; Settings'!$N$2,'Lists &amp; Settings'!$O$2,IF($M1532&gt;='Lists &amp; Settings'!$N$3,'Lists &amp; Settings'!$O$3,'Lists &amp; Settings'!$O$4)),IF($N1532="Partial",IF($M1532&gt;='Lists &amp; Settings'!$N$6,'Lists &amp; Settings'!$O$6,IF($M1532&gt;='Lists &amp; Settings'!$N$7,'Lists &amp; Settings'!$O$7,'Lists &amp; Settings'!$O$8)),'Lists &amp; Settings'!$O$10))))))</f>
        <v/>
      </c>
      <c r="T1532" s="31"/>
      <c r="U1532" s="31"/>
      <c r="V1532" s="31"/>
    </row>
    <row r="1533" ht="15.75" customHeight="1">
      <c r="B1533" s="31"/>
      <c r="N1533" s="127"/>
      <c r="S1533" s="31" t="str">
        <f>IF($C1533="","",IF(OR($M1533="",$N1533=""),'Lists &amp; Settings'!$O$10,IF($N1533="Fail",'Lists &amp; Settings'!$O$9,IF($N1533="Insufficient Evidence",'Lists &amp; Settings'!$O$10,IF($N1533="Pass",IF($M1533&gt;='Lists &amp; Settings'!$N$2,'Lists &amp; Settings'!$O$2,IF($M1533&gt;='Lists &amp; Settings'!$N$3,'Lists &amp; Settings'!$O$3,'Lists &amp; Settings'!$O$4)),IF($N1533="Partial",IF($M1533&gt;='Lists &amp; Settings'!$N$6,'Lists &amp; Settings'!$O$6,IF($M1533&gt;='Lists &amp; Settings'!$N$7,'Lists &amp; Settings'!$O$7,'Lists &amp; Settings'!$O$8)),'Lists &amp; Settings'!$O$10))))))</f>
        <v/>
      </c>
      <c r="T1533" s="31"/>
      <c r="U1533" s="31"/>
      <c r="V1533" s="31"/>
    </row>
    <row r="1534" ht="15.75" customHeight="1">
      <c r="B1534" s="31"/>
      <c r="N1534" s="127"/>
      <c r="S1534" s="31" t="str">
        <f>IF($C1534="","",IF(OR($M1534="",$N1534=""),'Lists &amp; Settings'!$O$10,IF($N1534="Fail",'Lists &amp; Settings'!$O$9,IF($N1534="Insufficient Evidence",'Lists &amp; Settings'!$O$10,IF($N1534="Pass",IF($M1534&gt;='Lists &amp; Settings'!$N$2,'Lists &amp; Settings'!$O$2,IF($M1534&gt;='Lists &amp; Settings'!$N$3,'Lists &amp; Settings'!$O$3,'Lists &amp; Settings'!$O$4)),IF($N1534="Partial",IF($M1534&gt;='Lists &amp; Settings'!$N$6,'Lists &amp; Settings'!$O$6,IF($M1534&gt;='Lists &amp; Settings'!$N$7,'Lists &amp; Settings'!$O$7,'Lists &amp; Settings'!$O$8)),'Lists &amp; Settings'!$O$10))))))</f>
        <v/>
      </c>
      <c r="T1534" s="31"/>
      <c r="U1534" s="31"/>
      <c r="V1534" s="31"/>
    </row>
    <row r="1535" ht="15.75" customHeight="1">
      <c r="B1535" s="31"/>
      <c r="N1535" s="127"/>
      <c r="S1535" s="31" t="str">
        <f>IF($C1535="","",IF(OR($M1535="",$N1535=""),'Lists &amp; Settings'!$O$10,IF($N1535="Fail",'Lists &amp; Settings'!$O$9,IF($N1535="Insufficient Evidence",'Lists &amp; Settings'!$O$10,IF($N1535="Pass",IF($M1535&gt;='Lists &amp; Settings'!$N$2,'Lists &amp; Settings'!$O$2,IF($M1535&gt;='Lists &amp; Settings'!$N$3,'Lists &amp; Settings'!$O$3,'Lists &amp; Settings'!$O$4)),IF($N1535="Partial",IF($M1535&gt;='Lists &amp; Settings'!$N$6,'Lists &amp; Settings'!$O$6,IF($M1535&gt;='Lists &amp; Settings'!$N$7,'Lists &amp; Settings'!$O$7,'Lists &amp; Settings'!$O$8)),'Lists &amp; Settings'!$O$10))))))</f>
        <v/>
      </c>
      <c r="T1535" s="31"/>
      <c r="U1535" s="31"/>
      <c r="V1535" s="31"/>
    </row>
    <row r="1536" ht="15.75" customHeight="1">
      <c r="B1536" s="31"/>
      <c r="N1536" s="127"/>
      <c r="S1536" s="31" t="str">
        <f>IF($C1536="","",IF(OR($M1536="",$N1536=""),'Lists &amp; Settings'!$O$10,IF($N1536="Fail",'Lists &amp; Settings'!$O$9,IF($N1536="Insufficient Evidence",'Lists &amp; Settings'!$O$10,IF($N1536="Pass",IF($M1536&gt;='Lists &amp; Settings'!$N$2,'Lists &amp; Settings'!$O$2,IF($M1536&gt;='Lists &amp; Settings'!$N$3,'Lists &amp; Settings'!$O$3,'Lists &amp; Settings'!$O$4)),IF($N1536="Partial",IF($M1536&gt;='Lists &amp; Settings'!$N$6,'Lists &amp; Settings'!$O$6,IF($M1536&gt;='Lists &amp; Settings'!$N$7,'Lists &amp; Settings'!$O$7,'Lists &amp; Settings'!$O$8)),'Lists &amp; Settings'!$O$10))))))</f>
        <v/>
      </c>
      <c r="T1536" s="31"/>
      <c r="U1536" s="31"/>
      <c r="V1536" s="31"/>
    </row>
    <row r="1537" ht="15.75" customHeight="1">
      <c r="B1537" s="31"/>
      <c r="N1537" s="127"/>
      <c r="S1537" s="31" t="str">
        <f>IF($C1537="","",IF(OR($M1537="",$N1537=""),'Lists &amp; Settings'!$O$10,IF($N1537="Fail",'Lists &amp; Settings'!$O$9,IF($N1537="Insufficient Evidence",'Lists &amp; Settings'!$O$10,IF($N1537="Pass",IF($M1537&gt;='Lists &amp; Settings'!$N$2,'Lists &amp; Settings'!$O$2,IF($M1537&gt;='Lists &amp; Settings'!$N$3,'Lists &amp; Settings'!$O$3,'Lists &amp; Settings'!$O$4)),IF($N1537="Partial",IF($M1537&gt;='Lists &amp; Settings'!$N$6,'Lists &amp; Settings'!$O$6,IF($M1537&gt;='Lists &amp; Settings'!$N$7,'Lists &amp; Settings'!$O$7,'Lists &amp; Settings'!$O$8)),'Lists &amp; Settings'!$O$10))))))</f>
        <v/>
      </c>
      <c r="T1537" s="31"/>
      <c r="U1537" s="31"/>
      <c r="V1537" s="31"/>
    </row>
    <row r="1538" ht="15.75" customHeight="1">
      <c r="B1538" s="31"/>
      <c r="N1538" s="127"/>
      <c r="S1538" s="31" t="str">
        <f>IF($C1538="","",IF(OR($M1538="",$N1538=""),'Lists &amp; Settings'!$O$10,IF($N1538="Fail",'Lists &amp; Settings'!$O$9,IF($N1538="Insufficient Evidence",'Lists &amp; Settings'!$O$10,IF($N1538="Pass",IF($M1538&gt;='Lists &amp; Settings'!$N$2,'Lists &amp; Settings'!$O$2,IF($M1538&gt;='Lists &amp; Settings'!$N$3,'Lists &amp; Settings'!$O$3,'Lists &amp; Settings'!$O$4)),IF($N1538="Partial",IF($M1538&gt;='Lists &amp; Settings'!$N$6,'Lists &amp; Settings'!$O$6,IF($M1538&gt;='Lists &amp; Settings'!$N$7,'Lists &amp; Settings'!$O$7,'Lists &amp; Settings'!$O$8)),'Lists &amp; Settings'!$O$10))))))</f>
        <v/>
      </c>
      <c r="T1538" s="31"/>
      <c r="U1538" s="31"/>
      <c r="V1538" s="31"/>
    </row>
    <row r="1539" ht="15.75" customHeight="1">
      <c r="B1539" s="31"/>
      <c r="N1539" s="127"/>
      <c r="S1539" s="31" t="str">
        <f>IF($C1539="","",IF(OR($M1539="",$N1539=""),'Lists &amp; Settings'!$O$10,IF($N1539="Fail",'Lists &amp; Settings'!$O$9,IF($N1539="Insufficient Evidence",'Lists &amp; Settings'!$O$10,IF($N1539="Pass",IF($M1539&gt;='Lists &amp; Settings'!$N$2,'Lists &amp; Settings'!$O$2,IF($M1539&gt;='Lists &amp; Settings'!$N$3,'Lists &amp; Settings'!$O$3,'Lists &amp; Settings'!$O$4)),IF($N1539="Partial",IF($M1539&gt;='Lists &amp; Settings'!$N$6,'Lists &amp; Settings'!$O$6,IF($M1539&gt;='Lists &amp; Settings'!$N$7,'Lists &amp; Settings'!$O$7,'Lists &amp; Settings'!$O$8)),'Lists &amp; Settings'!$O$10))))))</f>
        <v/>
      </c>
      <c r="T1539" s="31"/>
      <c r="U1539" s="31"/>
      <c r="V1539" s="31"/>
    </row>
    <row r="1540" ht="15.75" customHeight="1">
      <c r="B1540" s="31"/>
      <c r="N1540" s="127"/>
      <c r="S1540" s="31" t="str">
        <f>IF($C1540="","",IF(OR($M1540="",$N1540=""),'Lists &amp; Settings'!$O$10,IF($N1540="Fail",'Lists &amp; Settings'!$O$9,IF($N1540="Insufficient Evidence",'Lists &amp; Settings'!$O$10,IF($N1540="Pass",IF($M1540&gt;='Lists &amp; Settings'!$N$2,'Lists &amp; Settings'!$O$2,IF($M1540&gt;='Lists &amp; Settings'!$N$3,'Lists &amp; Settings'!$O$3,'Lists &amp; Settings'!$O$4)),IF($N1540="Partial",IF($M1540&gt;='Lists &amp; Settings'!$N$6,'Lists &amp; Settings'!$O$6,IF($M1540&gt;='Lists &amp; Settings'!$N$7,'Lists &amp; Settings'!$O$7,'Lists &amp; Settings'!$O$8)),'Lists &amp; Settings'!$O$10))))))</f>
        <v/>
      </c>
      <c r="T1540" s="31"/>
      <c r="U1540" s="31"/>
      <c r="V1540" s="31"/>
    </row>
    <row r="1541" ht="15.75" customHeight="1">
      <c r="B1541" s="31"/>
      <c r="N1541" s="127"/>
      <c r="S1541" s="31" t="str">
        <f>IF($C1541="","",IF(OR($M1541="",$N1541=""),'Lists &amp; Settings'!$O$10,IF($N1541="Fail",'Lists &amp; Settings'!$O$9,IF($N1541="Insufficient Evidence",'Lists &amp; Settings'!$O$10,IF($N1541="Pass",IF($M1541&gt;='Lists &amp; Settings'!$N$2,'Lists &amp; Settings'!$O$2,IF($M1541&gt;='Lists &amp; Settings'!$N$3,'Lists &amp; Settings'!$O$3,'Lists &amp; Settings'!$O$4)),IF($N1541="Partial",IF($M1541&gt;='Lists &amp; Settings'!$N$6,'Lists &amp; Settings'!$O$6,IF($M1541&gt;='Lists &amp; Settings'!$N$7,'Lists &amp; Settings'!$O$7,'Lists &amp; Settings'!$O$8)),'Lists &amp; Settings'!$O$10))))))</f>
        <v/>
      </c>
      <c r="T1541" s="31"/>
      <c r="U1541" s="31"/>
      <c r="V1541" s="31"/>
    </row>
    <row r="1542" ht="15.75" customHeight="1">
      <c r="B1542" s="31"/>
      <c r="N1542" s="127"/>
      <c r="S1542" s="31" t="str">
        <f>IF($C1542="","",IF(OR($M1542="",$N1542=""),'Lists &amp; Settings'!$O$10,IF($N1542="Fail",'Lists &amp; Settings'!$O$9,IF($N1542="Insufficient Evidence",'Lists &amp; Settings'!$O$10,IF($N1542="Pass",IF($M1542&gt;='Lists &amp; Settings'!$N$2,'Lists &amp; Settings'!$O$2,IF($M1542&gt;='Lists &amp; Settings'!$N$3,'Lists &amp; Settings'!$O$3,'Lists &amp; Settings'!$O$4)),IF($N1542="Partial",IF($M1542&gt;='Lists &amp; Settings'!$N$6,'Lists &amp; Settings'!$O$6,IF($M1542&gt;='Lists &amp; Settings'!$N$7,'Lists &amp; Settings'!$O$7,'Lists &amp; Settings'!$O$8)),'Lists &amp; Settings'!$O$10))))))</f>
        <v/>
      </c>
      <c r="T1542" s="31"/>
      <c r="U1542" s="31"/>
      <c r="V1542" s="31"/>
    </row>
    <row r="1543" ht="15.75" customHeight="1">
      <c r="B1543" s="31"/>
      <c r="N1543" s="127"/>
      <c r="S1543" s="31" t="str">
        <f>IF($C1543="","",IF(OR($M1543="",$N1543=""),'Lists &amp; Settings'!$O$10,IF($N1543="Fail",'Lists &amp; Settings'!$O$9,IF($N1543="Insufficient Evidence",'Lists &amp; Settings'!$O$10,IF($N1543="Pass",IF($M1543&gt;='Lists &amp; Settings'!$N$2,'Lists &amp; Settings'!$O$2,IF($M1543&gt;='Lists &amp; Settings'!$N$3,'Lists &amp; Settings'!$O$3,'Lists &amp; Settings'!$O$4)),IF($N1543="Partial",IF($M1543&gt;='Lists &amp; Settings'!$N$6,'Lists &amp; Settings'!$O$6,IF($M1543&gt;='Lists &amp; Settings'!$N$7,'Lists &amp; Settings'!$O$7,'Lists &amp; Settings'!$O$8)),'Lists &amp; Settings'!$O$10))))))</f>
        <v/>
      </c>
      <c r="T1543" s="31"/>
      <c r="U1543" s="31"/>
      <c r="V1543" s="31"/>
    </row>
    <row r="1544" ht="15.75" customHeight="1">
      <c r="B1544" s="31"/>
      <c r="N1544" s="127"/>
      <c r="S1544" s="31" t="str">
        <f>IF($C1544="","",IF(OR($M1544="",$N1544=""),'Lists &amp; Settings'!$O$10,IF($N1544="Fail",'Lists &amp; Settings'!$O$9,IF($N1544="Insufficient Evidence",'Lists &amp; Settings'!$O$10,IF($N1544="Pass",IF($M1544&gt;='Lists &amp; Settings'!$N$2,'Lists &amp; Settings'!$O$2,IF($M1544&gt;='Lists &amp; Settings'!$N$3,'Lists &amp; Settings'!$O$3,'Lists &amp; Settings'!$O$4)),IF($N1544="Partial",IF($M1544&gt;='Lists &amp; Settings'!$N$6,'Lists &amp; Settings'!$O$6,IF($M1544&gt;='Lists &amp; Settings'!$N$7,'Lists &amp; Settings'!$O$7,'Lists &amp; Settings'!$O$8)),'Lists &amp; Settings'!$O$10))))))</f>
        <v/>
      </c>
      <c r="T1544" s="31"/>
      <c r="U1544" s="31"/>
      <c r="V1544" s="31"/>
    </row>
    <row r="1545" ht="15.75" customHeight="1">
      <c r="B1545" s="31"/>
      <c r="N1545" s="127"/>
      <c r="S1545" s="31" t="str">
        <f>IF($C1545="","",IF(OR($M1545="",$N1545=""),'Lists &amp; Settings'!$O$10,IF($N1545="Fail",'Lists &amp; Settings'!$O$9,IF($N1545="Insufficient Evidence",'Lists &amp; Settings'!$O$10,IF($N1545="Pass",IF($M1545&gt;='Lists &amp; Settings'!$N$2,'Lists &amp; Settings'!$O$2,IF($M1545&gt;='Lists &amp; Settings'!$N$3,'Lists &amp; Settings'!$O$3,'Lists &amp; Settings'!$O$4)),IF($N1545="Partial",IF($M1545&gt;='Lists &amp; Settings'!$N$6,'Lists &amp; Settings'!$O$6,IF($M1545&gt;='Lists &amp; Settings'!$N$7,'Lists &amp; Settings'!$O$7,'Lists &amp; Settings'!$O$8)),'Lists &amp; Settings'!$O$10))))))</f>
        <v/>
      </c>
      <c r="T1545" s="31"/>
      <c r="U1545" s="31"/>
      <c r="V1545" s="31"/>
    </row>
    <row r="1546" ht="15.75" customHeight="1">
      <c r="B1546" s="31"/>
      <c r="N1546" s="127"/>
      <c r="S1546" s="31" t="str">
        <f>IF($C1546="","",IF(OR($M1546="",$N1546=""),'Lists &amp; Settings'!$O$10,IF($N1546="Fail",'Lists &amp; Settings'!$O$9,IF($N1546="Insufficient Evidence",'Lists &amp; Settings'!$O$10,IF($N1546="Pass",IF($M1546&gt;='Lists &amp; Settings'!$N$2,'Lists &amp; Settings'!$O$2,IF($M1546&gt;='Lists &amp; Settings'!$N$3,'Lists &amp; Settings'!$O$3,'Lists &amp; Settings'!$O$4)),IF($N1546="Partial",IF($M1546&gt;='Lists &amp; Settings'!$N$6,'Lists &amp; Settings'!$O$6,IF($M1546&gt;='Lists &amp; Settings'!$N$7,'Lists &amp; Settings'!$O$7,'Lists &amp; Settings'!$O$8)),'Lists &amp; Settings'!$O$10))))))</f>
        <v/>
      </c>
      <c r="T1546" s="31"/>
      <c r="U1546" s="31"/>
      <c r="V1546" s="31"/>
    </row>
    <row r="1547" ht="15.75" customHeight="1">
      <c r="B1547" s="31"/>
      <c r="N1547" s="127"/>
      <c r="S1547" s="31" t="str">
        <f>IF($C1547="","",IF(OR($M1547="",$N1547=""),'Lists &amp; Settings'!$O$10,IF($N1547="Fail",'Lists &amp; Settings'!$O$9,IF($N1547="Insufficient Evidence",'Lists &amp; Settings'!$O$10,IF($N1547="Pass",IF($M1547&gt;='Lists &amp; Settings'!$N$2,'Lists &amp; Settings'!$O$2,IF($M1547&gt;='Lists &amp; Settings'!$N$3,'Lists &amp; Settings'!$O$3,'Lists &amp; Settings'!$O$4)),IF($N1547="Partial",IF($M1547&gt;='Lists &amp; Settings'!$N$6,'Lists &amp; Settings'!$O$6,IF($M1547&gt;='Lists &amp; Settings'!$N$7,'Lists &amp; Settings'!$O$7,'Lists &amp; Settings'!$O$8)),'Lists &amp; Settings'!$O$10))))))</f>
        <v/>
      </c>
      <c r="T1547" s="31"/>
      <c r="U1547" s="31"/>
      <c r="V1547" s="31"/>
    </row>
    <row r="1548" ht="15.75" customHeight="1">
      <c r="B1548" s="31"/>
      <c r="N1548" s="127"/>
      <c r="S1548" s="31" t="str">
        <f>IF($C1548="","",IF(OR($M1548="",$N1548=""),'Lists &amp; Settings'!$O$10,IF($N1548="Fail",'Lists &amp; Settings'!$O$9,IF($N1548="Insufficient Evidence",'Lists &amp; Settings'!$O$10,IF($N1548="Pass",IF($M1548&gt;='Lists &amp; Settings'!$N$2,'Lists &amp; Settings'!$O$2,IF($M1548&gt;='Lists &amp; Settings'!$N$3,'Lists &amp; Settings'!$O$3,'Lists &amp; Settings'!$O$4)),IF($N1548="Partial",IF($M1548&gt;='Lists &amp; Settings'!$N$6,'Lists &amp; Settings'!$O$6,IF($M1548&gt;='Lists &amp; Settings'!$N$7,'Lists &amp; Settings'!$O$7,'Lists &amp; Settings'!$O$8)),'Lists &amp; Settings'!$O$10))))))</f>
        <v/>
      </c>
      <c r="T1548" s="31"/>
      <c r="U1548" s="31"/>
      <c r="V1548" s="31"/>
    </row>
    <row r="1549" ht="15.75" customHeight="1">
      <c r="B1549" s="31"/>
      <c r="N1549" s="127"/>
      <c r="S1549" s="31" t="str">
        <f>IF($C1549="","",IF(OR($M1549="",$N1549=""),'Lists &amp; Settings'!$O$10,IF($N1549="Fail",'Lists &amp; Settings'!$O$9,IF($N1549="Insufficient Evidence",'Lists &amp; Settings'!$O$10,IF($N1549="Pass",IF($M1549&gt;='Lists &amp; Settings'!$N$2,'Lists &amp; Settings'!$O$2,IF($M1549&gt;='Lists &amp; Settings'!$N$3,'Lists &amp; Settings'!$O$3,'Lists &amp; Settings'!$O$4)),IF($N1549="Partial",IF($M1549&gt;='Lists &amp; Settings'!$N$6,'Lists &amp; Settings'!$O$6,IF($M1549&gt;='Lists &amp; Settings'!$N$7,'Lists &amp; Settings'!$O$7,'Lists &amp; Settings'!$O$8)),'Lists &amp; Settings'!$O$10))))))</f>
        <v/>
      </c>
      <c r="T1549" s="31"/>
      <c r="U1549" s="31"/>
      <c r="V1549" s="31"/>
    </row>
    <row r="1550" ht="15.75" customHeight="1">
      <c r="B1550" s="31"/>
      <c r="N1550" s="127"/>
      <c r="S1550" s="31" t="str">
        <f>IF($C1550="","",IF(OR($M1550="",$N1550=""),'Lists &amp; Settings'!$O$10,IF($N1550="Fail",'Lists &amp; Settings'!$O$9,IF($N1550="Insufficient Evidence",'Lists &amp; Settings'!$O$10,IF($N1550="Pass",IF($M1550&gt;='Lists &amp; Settings'!$N$2,'Lists &amp; Settings'!$O$2,IF($M1550&gt;='Lists &amp; Settings'!$N$3,'Lists &amp; Settings'!$O$3,'Lists &amp; Settings'!$O$4)),IF($N1550="Partial",IF($M1550&gt;='Lists &amp; Settings'!$N$6,'Lists &amp; Settings'!$O$6,IF($M1550&gt;='Lists &amp; Settings'!$N$7,'Lists &amp; Settings'!$O$7,'Lists &amp; Settings'!$O$8)),'Lists &amp; Settings'!$O$10))))))</f>
        <v/>
      </c>
      <c r="T1550" s="31"/>
      <c r="U1550" s="31"/>
      <c r="V1550" s="31"/>
    </row>
    <row r="1551" ht="15.75" customHeight="1">
      <c r="B1551" s="31"/>
      <c r="N1551" s="127"/>
      <c r="S1551" s="31" t="str">
        <f>IF($C1551="","",IF(OR($M1551="",$N1551=""),'Lists &amp; Settings'!$O$10,IF($N1551="Fail",'Lists &amp; Settings'!$O$9,IF($N1551="Insufficient Evidence",'Lists &amp; Settings'!$O$10,IF($N1551="Pass",IF($M1551&gt;='Lists &amp; Settings'!$N$2,'Lists &amp; Settings'!$O$2,IF($M1551&gt;='Lists &amp; Settings'!$N$3,'Lists &amp; Settings'!$O$3,'Lists &amp; Settings'!$O$4)),IF($N1551="Partial",IF($M1551&gt;='Lists &amp; Settings'!$N$6,'Lists &amp; Settings'!$O$6,IF($M1551&gt;='Lists &amp; Settings'!$N$7,'Lists &amp; Settings'!$O$7,'Lists &amp; Settings'!$O$8)),'Lists &amp; Settings'!$O$10))))))</f>
        <v/>
      </c>
      <c r="T1551" s="31"/>
      <c r="U1551" s="31"/>
      <c r="V1551" s="31"/>
    </row>
    <row r="1552" ht="15.75" customHeight="1">
      <c r="B1552" s="31"/>
      <c r="N1552" s="127"/>
      <c r="S1552" s="31" t="str">
        <f>IF($C1552="","",IF(OR($M1552="",$N1552=""),'Lists &amp; Settings'!$O$10,IF($N1552="Fail",'Lists &amp; Settings'!$O$9,IF($N1552="Insufficient Evidence",'Lists &amp; Settings'!$O$10,IF($N1552="Pass",IF($M1552&gt;='Lists &amp; Settings'!$N$2,'Lists &amp; Settings'!$O$2,IF($M1552&gt;='Lists &amp; Settings'!$N$3,'Lists &amp; Settings'!$O$3,'Lists &amp; Settings'!$O$4)),IF($N1552="Partial",IF($M1552&gt;='Lists &amp; Settings'!$N$6,'Lists &amp; Settings'!$O$6,IF($M1552&gt;='Lists &amp; Settings'!$N$7,'Lists &amp; Settings'!$O$7,'Lists &amp; Settings'!$O$8)),'Lists &amp; Settings'!$O$10))))))</f>
        <v/>
      </c>
      <c r="T1552" s="31"/>
      <c r="U1552" s="31"/>
      <c r="V1552" s="31"/>
    </row>
    <row r="1553" ht="15.75" customHeight="1">
      <c r="B1553" s="31"/>
      <c r="N1553" s="127"/>
      <c r="S1553" s="31" t="str">
        <f>IF($C1553="","",IF(OR($M1553="",$N1553=""),'Lists &amp; Settings'!$O$10,IF($N1553="Fail",'Lists &amp; Settings'!$O$9,IF($N1553="Insufficient Evidence",'Lists &amp; Settings'!$O$10,IF($N1553="Pass",IF($M1553&gt;='Lists &amp; Settings'!$N$2,'Lists &amp; Settings'!$O$2,IF($M1553&gt;='Lists &amp; Settings'!$N$3,'Lists &amp; Settings'!$O$3,'Lists &amp; Settings'!$O$4)),IF($N1553="Partial",IF($M1553&gt;='Lists &amp; Settings'!$N$6,'Lists &amp; Settings'!$O$6,IF($M1553&gt;='Lists &amp; Settings'!$N$7,'Lists &amp; Settings'!$O$7,'Lists &amp; Settings'!$O$8)),'Lists &amp; Settings'!$O$10))))))</f>
        <v/>
      </c>
      <c r="T1553" s="31"/>
      <c r="U1553" s="31"/>
      <c r="V1553" s="31"/>
    </row>
    <row r="1554" ht="15.75" customHeight="1">
      <c r="B1554" s="31"/>
      <c r="N1554" s="127"/>
      <c r="S1554" s="31" t="str">
        <f>IF($C1554="","",IF(OR($M1554="",$N1554=""),'Lists &amp; Settings'!$O$10,IF($N1554="Fail",'Lists &amp; Settings'!$O$9,IF($N1554="Insufficient Evidence",'Lists &amp; Settings'!$O$10,IF($N1554="Pass",IF($M1554&gt;='Lists &amp; Settings'!$N$2,'Lists &amp; Settings'!$O$2,IF($M1554&gt;='Lists &amp; Settings'!$N$3,'Lists &amp; Settings'!$O$3,'Lists &amp; Settings'!$O$4)),IF($N1554="Partial",IF($M1554&gt;='Lists &amp; Settings'!$N$6,'Lists &amp; Settings'!$O$6,IF($M1554&gt;='Lists &amp; Settings'!$N$7,'Lists &amp; Settings'!$O$7,'Lists &amp; Settings'!$O$8)),'Lists &amp; Settings'!$O$10))))))</f>
        <v/>
      </c>
      <c r="T1554" s="31"/>
      <c r="U1554" s="31"/>
      <c r="V1554" s="31"/>
    </row>
    <row r="1555" ht="15.75" customHeight="1">
      <c r="B1555" s="31"/>
      <c r="N1555" s="127"/>
      <c r="S1555" s="31" t="str">
        <f>IF($C1555="","",IF(OR($M1555="",$N1555=""),'Lists &amp; Settings'!$O$10,IF($N1555="Fail",'Lists &amp; Settings'!$O$9,IF($N1555="Insufficient Evidence",'Lists &amp; Settings'!$O$10,IF($N1555="Pass",IF($M1555&gt;='Lists &amp; Settings'!$N$2,'Lists &amp; Settings'!$O$2,IF($M1555&gt;='Lists &amp; Settings'!$N$3,'Lists &amp; Settings'!$O$3,'Lists &amp; Settings'!$O$4)),IF($N1555="Partial",IF($M1555&gt;='Lists &amp; Settings'!$N$6,'Lists &amp; Settings'!$O$6,IF($M1555&gt;='Lists &amp; Settings'!$N$7,'Lists &amp; Settings'!$O$7,'Lists &amp; Settings'!$O$8)),'Lists &amp; Settings'!$O$10))))))</f>
        <v/>
      </c>
      <c r="T1555" s="31"/>
      <c r="U1555" s="31"/>
      <c r="V1555" s="31"/>
    </row>
    <row r="1556" ht="15.75" customHeight="1">
      <c r="B1556" s="31"/>
      <c r="N1556" s="127"/>
      <c r="S1556" s="31" t="str">
        <f>IF($C1556="","",IF(OR($M1556="",$N1556=""),'Lists &amp; Settings'!$O$10,IF($N1556="Fail",'Lists &amp; Settings'!$O$9,IF($N1556="Insufficient Evidence",'Lists &amp; Settings'!$O$10,IF($N1556="Pass",IF($M1556&gt;='Lists &amp; Settings'!$N$2,'Lists &amp; Settings'!$O$2,IF($M1556&gt;='Lists &amp; Settings'!$N$3,'Lists &amp; Settings'!$O$3,'Lists &amp; Settings'!$O$4)),IF($N1556="Partial",IF($M1556&gt;='Lists &amp; Settings'!$N$6,'Lists &amp; Settings'!$O$6,IF($M1556&gt;='Lists &amp; Settings'!$N$7,'Lists &amp; Settings'!$O$7,'Lists &amp; Settings'!$O$8)),'Lists &amp; Settings'!$O$10))))))</f>
        <v/>
      </c>
      <c r="T1556" s="31"/>
      <c r="U1556" s="31"/>
      <c r="V1556" s="31"/>
    </row>
    <row r="1557" ht="15.75" customHeight="1">
      <c r="B1557" s="31"/>
      <c r="N1557" s="127"/>
      <c r="S1557" s="31" t="str">
        <f>IF($C1557="","",IF(OR($M1557="",$N1557=""),'Lists &amp; Settings'!$O$10,IF($N1557="Fail",'Lists &amp; Settings'!$O$9,IF($N1557="Insufficient Evidence",'Lists &amp; Settings'!$O$10,IF($N1557="Pass",IF($M1557&gt;='Lists &amp; Settings'!$N$2,'Lists &amp; Settings'!$O$2,IF($M1557&gt;='Lists &amp; Settings'!$N$3,'Lists &amp; Settings'!$O$3,'Lists &amp; Settings'!$O$4)),IF($N1557="Partial",IF($M1557&gt;='Lists &amp; Settings'!$N$6,'Lists &amp; Settings'!$O$6,IF($M1557&gt;='Lists &amp; Settings'!$N$7,'Lists &amp; Settings'!$O$7,'Lists &amp; Settings'!$O$8)),'Lists &amp; Settings'!$O$10))))))</f>
        <v/>
      </c>
      <c r="T1557" s="31"/>
      <c r="U1557" s="31"/>
      <c r="V1557" s="31"/>
    </row>
    <row r="1558" ht="15.75" customHeight="1">
      <c r="B1558" s="31"/>
      <c r="N1558" s="127"/>
      <c r="S1558" s="31" t="str">
        <f>IF($C1558="","",IF(OR($M1558="",$N1558=""),'Lists &amp; Settings'!$O$10,IF($N1558="Fail",'Lists &amp; Settings'!$O$9,IF($N1558="Insufficient Evidence",'Lists &amp; Settings'!$O$10,IF($N1558="Pass",IF($M1558&gt;='Lists &amp; Settings'!$N$2,'Lists &amp; Settings'!$O$2,IF($M1558&gt;='Lists &amp; Settings'!$N$3,'Lists &amp; Settings'!$O$3,'Lists &amp; Settings'!$O$4)),IF($N1558="Partial",IF($M1558&gt;='Lists &amp; Settings'!$N$6,'Lists &amp; Settings'!$O$6,IF($M1558&gt;='Lists &amp; Settings'!$N$7,'Lists &amp; Settings'!$O$7,'Lists &amp; Settings'!$O$8)),'Lists &amp; Settings'!$O$10))))))</f>
        <v/>
      </c>
      <c r="T1558" s="31"/>
      <c r="U1558" s="31"/>
      <c r="V1558" s="31"/>
    </row>
    <row r="1559" ht="15.75" customHeight="1">
      <c r="B1559" s="31"/>
      <c r="N1559" s="127"/>
      <c r="S1559" s="31" t="str">
        <f>IF($C1559="","",IF(OR($M1559="",$N1559=""),'Lists &amp; Settings'!$O$10,IF($N1559="Fail",'Lists &amp; Settings'!$O$9,IF($N1559="Insufficient Evidence",'Lists &amp; Settings'!$O$10,IF($N1559="Pass",IF($M1559&gt;='Lists &amp; Settings'!$N$2,'Lists &amp; Settings'!$O$2,IF($M1559&gt;='Lists &amp; Settings'!$N$3,'Lists &amp; Settings'!$O$3,'Lists &amp; Settings'!$O$4)),IF($N1559="Partial",IF($M1559&gt;='Lists &amp; Settings'!$N$6,'Lists &amp; Settings'!$O$6,IF($M1559&gt;='Lists &amp; Settings'!$N$7,'Lists &amp; Settings'!$O$7,'Lists &amp; Settings'!$O$8)),'Lists &amp; Settings'!$O$10))))))</f>
        <v/>
      </c>
      <c r="T1559" s="31"/>
      <c r="U1559" s="31"/>
      <c r="V1559" s="31"/>
    </row>
    <row r="1560" ht="15.75" customHeight="1">
      <c r="B1560" s="31"/>
      <c r="N1560" s="127"/>
      <c r="S1560" s="31" t="str">
        <f>IF($C1560="","",IF(OR($M1560="",$N1560=""),'Lists &amp; Settings'!$O$10,IF($N1560="Fail",'Lists &amp; Settings'!$O$9,IF($N1560="Insufficient Evidence",'Lists &amp; Settings'!$O$10,IF($N1560="Pass",IF($M1560&gt;='Lists &amp; Settings'!$N$2,'Lists &amp; Settings'!$O$2,IF($M1560&gt;='Lists &amp; Settings'!$N$3,'Lists &amp; Settings'!$O$3,'Lists &amp; Settings'!$O$4)),IF($N1560="Partial",IF($M1560&gt;='Lists &amp; Settings'!$N$6,'Lists &amp; Settings'!$O$6,IF($M1560&gt;='Lists &amp; Settings'!$N$7,'Lists &amp; Settings'!$O$7,'Lists &amp; Settings'!$O$8)),'Lists &amp; Settings'!$O$10))))))</f>
        <v/>
      </c>
      <c r="T1560" s="31"/>
      <c r="U1560" s="31"/>
      <c r="V1560" s="31"/>
    </row>
    <row r="1561" ht="15.75" customHeight="1">
      <c r="B1561" s="31"/>
      <c r="N1561" s="127"/>
      <c r="S1561" s="31" t="str">
        <f>IF($C1561="","",IF(OR($M1561="",$N1561=""),'Lists &amp; Settings'!$O$10,IF($N1561="Fail",'Lists &amp; Settings'!$O$9,IF($N1561="Insufficient Evidence",'Lists &amp; Settings'!$O$10,IF($N1561="Pass",IF($M1561&gt;='Lists &amp; Settings'!$N$2,'Lists &amp; Settings'!$O$2,IF($M1561&gt;='Lists &amp; Settings'!$N$3,'Lists &amp; Settings'!$O$3,'Lists &amp; Settings'!$O$4)),IF($N1561="Partial",IF($M1561&gt;='Lists &amp; Settings'!$N$6,'Lists &amp; Settings'!$O$6,IF($M1561&gt;='Lists &amp; Settings'!$N$7,'Lists &amp; Settings'!$O$7,'Lists &amp; Settings'!$O$8)),'Lists &amp; Settings'!$O$10))))))</f>
        <v/>
      </c>
      <c r="T1561" s="31"/>
      <c r="U1561" s="31"/>
      <c r="V1561" s="31"/>
    </row>
    <row r="1562" ht="15.75" customHeight="1">
      <c r="B1562" s="31"/>
      <c r="N1562" s="127"/>
      <c r="S1562" s="31" t="str">
        <f>IF($C1562="","",IF(OR($M1562="",$N1562=""),'Lists &amp; Settings'!$O$10,IF($N1562="Fail",'Lists &amp; Settings'!$O$9,IF($N1562="Insufficient Evidence",'Lists &amp; Settings'!$O$10,IF($N1562="Pass",IF($M1562&gt;='Lists &amp; Settings'!$N$2,'Lists &amp; Settings'!$O$2,IF($M1562&gt;='Lists &amp; Settings'!$N$3,'Lists &amp; Settings'!$O$3,'Lists &amp; Settings'!$O$4)),IF($N1562="Partial",IF($M1562&gt;='Lists &amp; Settings'!$N$6,'Lists &amp; Settings'!$O$6,IF($M1562&gt;='Lists &amp; Settings'!$N$7,'Lists &amp; Settings'!$O$7,'Lists &amp; Settings'!$O$8)),'Lists &amp; Settings'!$O$10))))))</f>
        <v/>
      </c>
      <c r="T1562" s="31"/>
      <c r="U1562" s="31"/>
      <c r="V1562" s="31"/>
    </row>
    <row r="1563" ht="15.75" customHeight="1">
      <c r="B1563" s="31"/>
      <c r="N1563" s="127"/>
      <c r="S1563" s="31" t="str">
        <f>IF($C1563="","",IF(OR($M1563="",$N1563=""),'Lists &amp; Settings'!$O$10,IF($N1563="Fail",'Lists &amp; Settings'!$O$9,IF($N1563="Insufficient Evidence",'Lists &amp; Settings'!$O$10,IF($N1563="Pass",IF($M1563&gt;='Lists &amp; Settings'!$N$2,'Lists &amp; Settings'!$O$2,IF($M1563&gt;='Lists &amp; Settings'!$N$3,'Lists &amp; Settings'!$O$3,'Lists &amp; Settings'!$O$4)),IF($N1563="Partial",IF($M1563&gt;='Lists &amp; Settings'!$N$6,'Lists &amp; Settings'!$O$6,IF($M1563&gt;='Lists &amp; Settings'!$N$7,'Lists &amp; Settings'!$O$7,'Lists &amp; Settings'!$O$8)),'Lists &amp; Settings'!$O$10))))))</f>
        <v/>
      </c>
      <c r="T1563" s="31"/>
      <c r="U1563" s="31"/>
      <c r="V1563" s="31"/>
    </row>
    <row r="1564" ht="15.75" customHeight="1">
      <c r="B1564" s="31"/>
      <c r="N1564" s="127"/>
      <c r="S1564" s="31" t="str">
        <f>IF($C1564="","",IF(OR($M1564="",$N1564=""),'Lists &amp; Settings'!$O$10,IF($N1564="Fail",'Lists &amp; Settings'!$O$9,IF($N1564="Insufficient Evidence",'Lists &amp; Settings'!$O$10,IF($N1564="Pass",IF($M1564&gt;='Lists &amp; Settings'!$N$2,'Lists &amp; Settings'!$O$2,IF($M1564&gt;='Lists &amp; Settings'!$N$3,'Lists &amp; Settings'!$O$3,'Lists &amp; Settings'!$O$4)),IF($N1564="Partial",IF($M1564&gt;='Lists &amp; Settings'!$N$6,'Lists &amp; Settings'!$O$6,IF($M1564&gt;='Lists &amp; Settings'!$N$7,'Lists &amp; Settings'!$O$7,'Lists &amp; Settings'!$O$8)),'Lists &amp; Settings'!$O$10))))))</f>
        <v/>
      </c>
      <c r="T1564" s="31"/>
      <c r="U1564" s="31"/>
      <c r="V1564" s="31"/>
    </row>
    <row r="1565" ht="15.75" customHeight="1">
      <c r="B1565" s="31"/>
      <c r="N1565" s="127"/>
      <c r="S1565" s="31" t="str">
        <f>IF($C1565="","",IF(OR($M1565="",$N1565=""),'Lists &amp; Settings'!$O$10,IF($N1565="Fail",'Lists &amp; Settings'!$O$9,IF($N1565="Insufficient Evidence",'Lists &amp; Settings'!$O$10,IF($N1565="Pass",IF($M1565&gt;='Lists &amp; Settings'!$N$2,'Lists &amp; Settings'!$O$2,IF($M1565&gt;='Lists &amp; Settings'!$N$3,'Lists &amp; Settings'!$O$3,'Lists &amp; Settings'!$O$4)),IF($N1565="Partial",IF($M1565&gt;='Lists &amp; Settings'!$N$6,'Lists &amp; Settings'!$O$6,IF($M1565&gt;='Lists &amp; Settings'!$N$7,'Lists &amp; Settings'!$O$7,'Lists &amp; Settings'!$O$8)),'Lists &amp; Settings'!$O$10))))))</f>
        <v/>
      </c>
      <c r="T1565" s="31"/>
      <c r="U1565" s="31"/>
      <c r="V1565" s="31"/>
    </row>
    <row r="1566" ht="15.75" customHeight="1">
      <c r="B1566" s="31"/>
      <c r="N1566" s="127"/>
      <c r="S1566" s="31" t="str">
        <f>IF($C1566="","",IF(OR($M1566="",$N1566=""),'Lists &amp; Settings'!$O$10,IF($N1566="Fail",'Lists &amp; Settings'!$O$9,IF($N1566="Insufficient Evidence",'Lists &amp; Settings'!$O$10,IF($N1566="Pass",IF($M1566&gt;='Lists &amp; Settings'!$N$2,'Lists &amp; Settings'!$O$2,IF($M1566&gt;='Lists &amp; Settings'!$N$3,'Lists &amp; Settings'!$O$3,'Lists &amp; Settings'!$O$4)),IF($N1566="Partial",IF($M1566&gt;='Lists &amp; Settings'!$N$6,'Lists &amp; Settings'!$O$6,IF($M1566&gt;='Lists &amp; Settings'!$N$7,'Lists &amp; Settings'!$O$7,'Lists &amp; Settings'!$O$8)),'Lists &amp; Settings'!$O$10))))))</f>
        <v/>
      </c>
      <c r="T1566" s="31"/>
      <c r="U1566" s="31"/>
      <c r="V1566" s="31"/>
    </row>
    <row r="1567" ht="15.75" customHeight="1">
      <c r="B1567" s="31"/>
      <c r="N1567" s="127"/>
      <c r="S1567" s="31" t="str">
        <f>IF($C1567="","",IF(OR($M1567="",$N1567=""),'Lists &amp; Settings'!$O$10,IF($N1567="Fail",'Lists &amp; Settings'!$O$9,IF($N1567="Insufficient Evidence",'Lists &amp; Settings'!$O$10,IF($N1567="Pass",IF($M1567&gt;='Lists &amp; Settings'!$N$2,'Lists &amp; Settings'!$O$2,IF($M1567&gt;='Lists &amp; Settings'!$N$3,'Lists &amp; Settings'!$O$3,'Lists &amp; Settings'!$O$4)),IF($N1567="Partial",IF($M1567&gt;='Lists &amp; Settings'!$N$6,'Lists &amp; Settings'!$O$6,IF($M1567&gt;='Lists &amp; Settings'!$N$7,'Lists &amp; Settings'!$O$7,'Lists &amp; Settings'!$O$8)),'Lists &amp; Settings'!$O$10))))))</f>
        <v/>
      </c>
      <c r="T1567" s="31"/>
      <c r="U1567" s="31"/>
      <c r="V1567" s="31"/>
    </row>
    <row r="1568" ht="15.75" customHeight="1">
      <c r="B1568" s="31"/>
      <c r="N1568" s="127"/>
      <c r="S1568" s="31" t="str">
        <f>IF($C1568="","",IF(OR($M1568="",$N1568=""),'Lists &amp; Settings'!$O$10,IF($N1568="Fail",'Lists &amp; Settings'!$O$9,IF($N1568="Insufficient Evidence",'Lists &amp; Settings'!$O$10,IF($N1568="Pass",IF($M1568&gt;='Lists &amp; Settings'!$N$2,'Lists &amp; Settings'!$O$2,IF($M1568&gt;='Lists &amp; Settings'!$N$3,'Lists &amp; Settings'!$O$3,'Lists &amp; Settings'!$O$4)),IF($N1568="Partial",IF($M1568&gt;='Lists &amp; Settings'!$N$6,'Lists &amp; Settings'!$O$6,IF($M1568&gt;='Lists &amp; Settings'!$N$7,'Lists &amp; Settings'!$O$7,'Lists &amp; Settings'!$O$8)),'Lists &amp; Settings'!$O$10))))))</f>
        <v/>
      </c>
      <c r="T1568" s="31"/>
      <c r="U1568" s="31"/>
      <c r="V1568" s="31"/>
    </row>
    <row r="1569" ht="15.75" customHeight="1">
      <c r="B1569" s="31"/>
      <c r="N1569" s="127"/>
      <c r="S1569" s="31" t="str">
        <f>IF($C1569="","",IF(OR($M1569="",$N1569=""),'Lists &amp; Settings'!$O$10,IF($N1569="Fail",'Lists &amp; Settings'!$O$9,IF($N1569="Insufficient Evidence",'Lists &amp; Settings'!$O$10,IF($N1569="Pass",IF($M1569&gt;='Lists &amp; Settings'!$N$2,'Lists &amp; Settings'!$O$2,IF($M1569&gt;='Lists &amp; Settings'!$N$3,'Lists &amp; Settings'!$O$3,'Lists &amp; Settings'!$O$4)),IF($N1569="Partial",IF($M1569&gt;='Lists &amp; Settings'!$N$6,'Lists &amp; Settings'!$O$6,IF($M1569&gt;='Lists &amp; Settings'!$N$7,'Lists &amp; Settings'!$O$7,'Lists &amp; Settings'!$O$8)),'Lists &amp; Settings'!$O$10))))))</f>
        <v/>
      </c>
      <c r="T1569" s="31"/>
      <c r="U1569" s="31"/>
      <c r="V1569" s="31"/>
    </row>
    <row r="1570" ht="15.75" customHeight="1">
      <c r="B1570" s="31"/>
      <c r="N1570" s="127"/>
      <c r="S1570" s="31" t="str">
        <f>IF($C1570="","",IF(OR($M1570="",$N1570=""),'Lists &amp; Settings'!$O$10,IF($N1570="Fail",'Lists &amp; Settings'!$O$9,IF($N1570="Insufficient Evidence",'Lists &amp; Settings'!$O$10,IF($N1570="Pass",IF($M1570&gt;='Lists &amp; Settings'!$N$2,'Lists &amp; Settings'!$O$2,IF($M1570&gt;='Lists &amp; Settings'!$N$3,'Lists &amp; Settings'!$O$3,'Lists &amp; Settings'!$O$4)),IF($N1570="Partial",IF($M1570&gt;='Lists &amp; Settings'!$N$6,'Lists &amp; Settings'!$O$6,IF($M1570&gt;='Lists &amp; Settings'!$N$7,'Lists &amp; Settings'!$O$7,'Lists &amp; Settings'!$O$8)),'Lists &amp; Settings'!$O$10))))))</f>
        <v/>
      </c>
      <c r="T1570" s="31"/>
      <c r="U1570" s="31"/>
      <c r="V1570" s="31"/>
    </row>
    <row r="1571" ht="15.75" customHeight="1">
      <c r="B1571" s="31"/>
      <c r="N1571" s="127"/>
      <c r="S1571" s="31" t="str">
        <f>IF($C1571="","",IF(OR($M1571="",$N1571=""),'Lists &amp; Settings'!$O$10,IF($N1571="Fail",'Lists &amp; Settings'!$O$9,IF($N1571="Insufficient Evidence",'Lists &amp; Settings'!$O$10,IF($N1571="Pass",IF($M1571&gt;='Lists &amp; Settings'!$N$2,'Lists &amp; Settings'!$O$2,IF($M1571&gt;='Lists &amp; Settings'!$N$3,'Lists &amp; Settings'!$O$3,'Lists &amp; Settings'!$O$4)),IF($N1571="Partial",IF($M1571&gt;='Lists &amp; Settings'!$N$6,'Lists &amp; Settings'!$O$6,IF($M1571&gt;='Lists &amp; Settings'!$N$7,'Lists &amp; Settings'!$O$7,'Lists &amp; Settings'!$O$8)),'Lists &amp; Settings'!$O$10))))))</f>
        <v/>
      </c>
      <c r="T1571" s="31"/>
      <c r="U1571" s="31"/>
      <c r="V1571" s="31"/>
    </row>
    <row r="1572" ht="15.75" customHeight="1">
      <c r="B1572" s="31"/>
      <c r="N1572" s="127"/>
      <c r="S1572" s="31" t="str">
        <f>IF($C1572="","",IF(OR($M1572="",$N1572=""),'Lists &amp; Settings'!$O$10,IF($N1572="Fail",'Lists &amp; Settings'!$O$9,IF($N1572="Insufficient Evidence",'Lists &amp; Settings'!$O$10,IF($N1572="Pass",IF($M1572&gt;='Lists &amp; Settings'!$N$2,'Lists &amp; Settings'!$O$2,IF($M1572&gt;='Lists &amp; Settings'!$N$3,'Lists &amp; Settings'!$O$3,'Lists &amp; Settings'!$O$4)),IF($N1572="Partial",IF($M1572&gt;='Lists &amp; Settings'!$N$6,'Lists &amp; Settings'!$O$6,IF($M1572&gt;='Lists &amp; Settings'!$N$7,'Lists &amp; Settings'!$O$7,'Lists &amp; Settings'!$O$8)),'Lists &amp; Settings'!$O$10))))))</f>
        <v/>
      </c>
      <c r="T1572" s="31"/>
      <c r="U1572" s="31"/>
      <c r="V1572" s="31"/>
    </row>
    <row r="1573" ht="15.75" customHeight="1">
      <c r="B1573" s="31"/>
      <c r="N1573" s="127"/>
      <c r="S1573" s="31" t="str">
        <f>IF($C1573="","",IF(OR($M1573="",$N1573=""),'Lists &amp; Settings'!$O$10,IF($N1573="Fail",'Lists &amp; Settings'!$O$9,IF($N1573="Insufficient Evidence",'Lists &amp; Settings'!$O$10,IF($N1573="Pass",IF($M1573&gt;='Lists &amp; Settings'!$N$2,'Lists &amp; Settings'!$O$2,IF($M1573&gt;='Lists &amp; Settings'!$N$3,'Lists &amp; Settings'!$O$3,'Lists &amp; Settings'!$O$4)),IF($N1573="Partial",IF($M1573&gt;='Lists &amp; Settings'!$N$6,'Lists &amp; Settings'!$O$6,IF($M1573&gt;='Lists &amp; Settings'!$N$7,'Lists &amp; Settings'!$O$7,'Lists &amp; Settings'!$O$8)),'Lists &amp; Settings'!$O$10))))))</f>
        <v/>
      </c>
      <c r="T1573" s="31"/>
      <c r="U1573" s="31"/>
      <c r="V1573" s="31"/>
    </row>
    <row r="1574" ht="15.75" customHeight="1">
      <c r="B1574" s="31"/>
      <c r="N1574" s="127"/>
      <c r="S1574" s="31" t="str">
        <f>IF($C1574="","",IF(OR($M1574="",$N1574=""),'Lists &amp; Settings'!$O$10,IF($N1574="Fail",'Lists &amp; Settings'!$O$9,IF($N1574="Insufficient Evidence",'Lists &amp; Settings'!$O$10,IF($N1574="Pass",IF($M1574&gt;='Lists &amp; Settings'!$N$2,'Lists &amp; Settings'!$O$2,IF($M1574&gt;='Lists &amp; Settings'!$N$3,'Lists &amp; Settings'!$O$3,'Lists &amp; Settings'!$O$4)),IF($N1574="Partial",IF($M1574&gt;='Lists &amp; Settings'!$N$6,'Lists &amp; Settings'!$O$6,IF($M1574&gt;='Lists &amp; Settings'!$N$7,'Lists &amp; Settings'!$O$7,'Lists &amp; Settings'!$O$8)),'Lists &amp; Settings'!$O$10))))))</f>
        <v/>
      </c>
      <c r="T1574" s="31"/>
      <c r="U1574" s="31"/>
      <c r="V1574" s="31"/>
    </row>
    <row r="1575" ht="15.75" customHeight="1">
      <c r="B1575" s="31"/>
      <c r="N1575" s="127"/>
      <c r="S1575" s="31" t="str">
        <f>IF($C1575="","",IF(OR($M1575="",$N1575=""),'Lists &amp; Settings'!$O$10,IF($N1575="Fail",'Lists &amp; Settings'!$O$9,IF($N1575="Insufficient Evidence",'Lists &amp; Settings'!$O$10,IF($N1575="Pass",IF($M1575&gt;='Lists &amp; Settings'!$N$2,'Lists &amp; Settings'!$O$2,IF($M1575&gt;='Lists &amp; Settings'!$N$3,'Lists &amp; Settings'!$O$3,'Lists &amp; Settings'!$O$4)),IF($N1575="Partial",IF($M1575&gt;='Lists &amp; Settings'!$N$6,'Lists &amp; Settings'!$O$6,IF($M1575&gt;='Lists &amp; Settings'!$N$7,'Lists &amp; Settings'!$O$7,'Lists &amp; Settings'!$O$8)),'Lists &amp; Settings'!$O$10))))))</f>
        <v/>
      </c>
      <c r="T1575" s="31"/>
      <c r="U1575" s="31"/>
      <c r="V1575" s="31"/>
    </row>
    <row r="1576" ht="15.75" customHeight="1">
      <c r="B1576" s="31"/>
      <c r="N1576" s="127"/>
      <c r="S1576" s="31" t="str">
        <f>IF($C1576="","",IF(OR($M1576="",$N1576=""),'Lists &amp; Settings'!$O$10,IF($N1576="Fail",'Lists &amp; Settings'!$O$9,IF($N1576="Insufficient Evidence",'Lists &amp; Settings'!$O$10,IF($N1576="Pass",IF($M1576&gt;='Lists &amp; Settings'!$N$2,'Lists &amp; Settings'!$O$2,IF($M1576&gt;='Lists &amp; Settings'!$N$3,'Lists &amp; Settings'!$O$3,'Lists &amp; Settings'!$O$4)),IF($N1576="Partial",IF($M1576&gt;='Lists &amp; Settings'!$N$6,'Lists &amp; Settings'!$O$6,IF($M1576&gt;='Lists &amp; Settings'!$N$7,'Lists &amp; Settings'!$O$7,'Lists &amp; Settings'!$O$8)),'Lists &amp; Settings'!$O$10))))))</f>
        <v/>
      </c>
      <c r="T1576" s="31"/>
      <c r="U1576" s="31"/>
      <c r="V1576" s="31"/>
    </row>
    <row r="1577" ht="15.75" customHeight="1">
      <c r="B1577" s="31"/>
      <c r="N1577" s="127"/>
      <c r="S1577" s="31" t="str">
        <f>IF($C1577="","",IF(OR($M1577="",$N1577=""),'Lists &amp; Settings'!$O$10,IF($N1577="Fail",'Lists &amp; Settings'!$O$9,IF($N1577="Insufficient Evidence",'Lists &amp; Settings'!$O$10,IF($N1577="Pass",IF($M1577&gt;='Lists &amp; Settings'!$N$2,'Lists &amp; Settings'!$O$2,IF($M1577&gt;='Lists &amp; Settings'!$N$3,'Lists &amp; Settings'!$O$3,'Lists &amp; Settings'!$O$4)),IF($N1577="Partial",IF($M1577&gt;='Lists &amp; Settings'!$N$6,'Lists &amp; Settings'!$O$6,IF($M1577&gt;='Lists &amp; Settings'!$N$7,'Lists &amp; Settings'!$O$7,'Lists &amp; Settings'!$O$8)),'Lists &amp; Settings'!$O$10))))))</f>
        <v/>
      </c>
      <c r="T1577" s="31"/>
      <c r="U1577" s="31"/>
      <c r="V1577" s="31"/>
    </row>
    <row r="1578" ht="15.75" customHeight="1">
      <c r="B1578" s="31"/>
      <c r="N1578" s="127"/>
      <c r="S1578" s="31" t="str">
        <f>IF($C1578="","",IF(OR($M1578="",$N1578=""),'Lists &amp; Settings'!$O$10,IF($N1578="Fail",'Lists &amp; Settings'!$O$9,IF($N1578="Insufficient Evidence",'Lists &amp; Settings'!$O$10,IF($N1578="Pass",IF($M1578&gt;='Lists &amp; Settings'!$N$2,'Lists &amp; Settings'!$O$2,IF($M1578&gt;='Lists &amp; Settings'!$N$3,'Lists &amp; Settings'!$O$3,'Lists &amp; Settings'!$O$4)),IF($N1578="Partial",IF($M1578&gt;='Lists &amp; Settings'!$N$6,'Lists &amp; Settings'!$O$6,IF($M1578&gt;='Lists &amp; Settings'!$N$7,'Lists &amp; Settings'!$O$7,'Lists &amp; Settings'!$O$8)),'Lists &amp; Settings'!$O$10))))))</f>
        <v/>
      </c>
      <c r="T1578" s="31"/>
      <c r="U1578" s="31"/>
      <c r="V1578" s="31"/>
    </row>
    <row r="1579" ht="15.75" customHeight="1">
      <c r="B1579" s="31"/>
      <c r="N1579" s="127"/>
      <c r="S1579" s="31" t="str">
        <f>IF($C1579="","",IF(OR($M1579="",$N1579=""),'Lists &amp; Settings'!$O$10,IF($N1579="Fail",'Lists &amp; Settings'!$O$9,IF($N1579="Insufficient Evidence",'Lists &amp; Settings'!$O$10,IF($N1579="Pass",IF($M1579&gt;='Lists &amp; Settings'!$N$2,'Lists &amp; Settings'!$O$2,IF($M1579&gt;='Lists &amp; Settings'!$N$3,'Lists &amp; Settings'!$O$3,'Lists &amp; Settings'!$O$4)),IF($N1579="Partial",IF($M1579&gt;='Lists &amp; Settings'!$N$6,'Lists &amp; Settings'!$O$6,IF($M1579&gt;='Lists &amp; Settings'!$N$7,'Lists &amp; Settings'!$O$7,'Lists &amp; Settings'!$O$8)),'Lists &amp; Settings'!$O$10))))))</f>
        <v/>
      </c>
      <c r="T1579" s="31"/>
      <c r="U1579" s="31"/>
      <c r="V1579" s="31"/>
    </row>
    <row r="1580" ht="15.75" customHeight="1">
      <c r="B1580" s="31"/>
      <c r="N1580" s="127"/>
      <c r="S1580" s="31" t="str">
        <f>IF($C1580="","",IF(OR($M1580="",$N1580=""),'Lists &amp; Settings'!$O$10,IF($N1580="Fail",'Lists &amp; Settings'!$O$9,IF($N1580="Insufficient Evidence",'Lists &amp; Settings'!$O$10,IF($N1580="Pass",IF($M1580&gt;='Lists &amp; Settings'!$N$2,'Lists &amp; Settings'!$O$2,IF($M1580&gt;='Lists &amp; Settings'!$N$3,'Lists &amp; Settings'!$O$3,'Lists &amp; Settings'!$O$4)),IF($N1580="Partial",IF($M1580&gt;='Lists &amp; Settings'!$N$6,'Lists &amp; Settings'!$O$6,IF($M1580&gt;='Lists &amp; Settings'!$N$7,'Lists &amp; Settings'!$O$7,'Lists &amp; Settings'!$O$8)),'Lists &amp; Settings'!$O$10))))))</f>
        <v/>
      </c>
      <c r="T1580" s="31"/>
      <c r="U1580" s="31"/>
      <c r="V1580" s="31"/>
    </row>
    <row r="1581" ht="15.75" customHeight="1">
      <c r="B1581" s="31"/>
      <c r="N1581" s="127"/>
      <c r="S1581" s="31" t="str">
        <f>IF($C1581="","",IF(OR($M1581="",$N1581=""),'Lists &amp; Settings'!$O$10,IF($N1581="Fail",'Lists &amp; Settings'!$O$9,IF($N1581="Insufficient Evidence",'Lists &amp; Settings'!$O$10,IF($N1581="Pass",IF($M1581&gt;='Lists &amp; Settings'!$N$2,'Lists &amp; Settings'!$O$2,IF($M1581&gt;='Lists &amp; Settings'!$N$3,'Lists &amp; Settings'!$O$3,'Lists &amp; Settings'!$O$4)),IF($N1581="Partial",IF($M1581&gt;='Lists &amp; Settings'!$N$6,'Lists &amp; Settings'!$O$6,IF($M1581&gt;='Lists &amp; Settings'!$N$7,'Lists &amp; Settings'!$O$7,'Lists &amp; Settings'!$O$8)),'Lists &amp; Settings'!$O$10))))))</f>
        <v/>
      </c>
      <c r="T1581" s="31"/>
      <c r="U1581" s="31"/>
      <c r="V1581" s="31"/>
    </row>
    <row r="1582" ht="15.75" customHeight="1">
      <c r="B1582" s="31"/>
      <c r="N1582" s="127"/>
      <c r="S1582" s="31" t="str">
        <f>IF($C1582="","",IF(OR($M1582="",$N1582=""),'Lists &amp; Settings'!$O$10,IF($N1582="Fail",'Lists &amp; Settings'!$O$9,IF($N1582="Insufficient Evidence",'Lists &amp; Settings'!$O$10,IF($N1582="Pass",IF($M1582&gt;='Lists &amp; Settings'!$N$2,'Lists &amp; Settings'!$O$2,IF($M1582&gt;='Lists &amp; Settings'!$N$3,'Lists &amp; Settings'!$O$3,'Lists &amp; Settings'!$O$4)),IF($N1582="Partial",IF($M1582&gt;='Lists &amp; Settings'!$N$6,'Lists &amp; Settings'!$O$6,IF($M1582&gt;='Lists &amp; Settings'!$N$7,'Lists &amp; Settings'!$O$7,'Lists &amp; Settings'!$O$8)),'Lists &amp; Settings'!$O$10))))))</f>
        <v/>
      </c>
      <c r="T1582" s="31"/>
      <c r="U1582" s="31"/>
      <c r="V1582" s="31"/>
    </row>
    <row r="1583" ht="15.75" customHeight="1">
      <c r="B1583" s="31"/>
      <c r="N1583" s="127"/>
      <c r="S1583" s="31" t="str">
        <f>IF($C1583="","",IF(OR($M1583="",$N1583=""),'Lists &amp; Settings'!$O$10,IF($N1583="Fail",'Lists &amp; Settings'!$O$9,IF($N1583="Insufficient Evidence",'Lists &amp; Settings'!$O$10,IF($N1583="Pass",IF($M1583&gt;='Lists &amp; Settings'!$N$2,'Lists &amp; Settings'!$O$2,IF($M1583&gt;='Lists &amp; Settings'!$N$3,'Lists &amp; Settings'!$O$3,'Lists &amp; Settings'!$O$4)),IF($N1583="Partial",IF($M1583&gt;='Lists &amp; Settings'!$N$6,'Lists &amp; Settings'!$O$6,IF($M1583&gt;='Lists &amp; Settings'!$N$7,'Lists &amp; Settings'!$O$7,'Lists &amp; Settings'!$O$8)),'Lists &amp; Settings'!$O$10))))))</f>
        <v/>
      </c>
      <c r="T1583" s="31"/>
      <c r="U1583" s="31"/>
      <c r="V1583" s="31"/>
    </row>
    <row r="1584" ht="15.75" customHeight="1">
      <c r="B1584" s="31"/>
      <c r="N1584" s="127"/>
      <c r="S1584" s="31" t="str">
        <f>IF($C1584="","",IF(OR($M1584="",$N1584=""),'Lists &amp; Settings'!$O$10,IF($N1584="Fail",'Lists &amp; Settings'!$O$9,IF($N1584="Insufficient Evidence",'Lists &amp; Settings'!$O$10,IF($N1584="Pass",IF($M1584&gt;='Lists &amp; Settings'!$N$2,'Lists &amp; Settings'!$O$2,IF($M1584&gt;='Lists &amp; Settings'!$N$3,'Lists &amp; Settings'!$O$3,'Lists &amp; Settings'!$O$4)),IF($N1584="Partial",IF($M1584&gt;='Lists &amp; Settings'!$N$6,'Lists &amp; Settings'!$O$6,IF($M1584&gt;='Lists &amp; Settings'!$N$7,'Lists &amp; Settings'!$O$7,'Lists &amp; Settings'!$O$8)),'Lists &amp; Settings'!$O$10))))))</f>
        <v/>
      </c>
      <c r="T1584" s="31"/>
      <c r="U1584" s="31"/>
      <c r="V1584" s="31"/>
    </row>
    <row r="1585" ht="15.75" customHeight="1">
      <c r="B1585" s="31"/>
      <c r="N1585" s="127"/>
      <c r="S1585" s="31" t="str">
        <f>IF($C1585="","",IF(OR($M1585="",$N1585=""),'Lists &amp; Settings'!$O$10,IF($N1585="Fail",'Lists &amp; Settings'!$O$9,IF($N1585="Insufficient Evidence",'Lists &amp; Settings'!$O$10,IF($N1585="Pass",IF($M1585&gt;='Lists &amp; Settings'!$N$2,'Lists &amp; Settings'!$O$2,IF($M1585&gt;='Lists &amp; Settings'!$N$3,'Lists &amp; Settings'!$O$3,'Lists &amp; Settings'!$O$4)),IF($N1585="Partial",IF($M1585&gt;='Lists &amp; Settings'!$N$6,'Lists &amp; Settings'!$O$6,IF($M1585&gt;='Lists &amp; Settings'!$N$7,'Lists &amp; Settings'!$O$7,'Lists &amp; Settings'!$O$8)),'Lists &amp; Settings'!$O$10))))))</f>
        <v/>
      </c>
      <c r="T1585" s="31"/>
      <c r="U1585" s="31"/>
      <c r="V1585" s="31"/>
    </row>
    <row r="1586" ht="15.75" customHeight="1">
      <c r="B1586" s="31"/>
      <c r="N1586" s="127"/>
      <c r="S1586" s="31" t="str">
        <f>IF($C1586="","",IF(OR($M1586="",$N1586=""),'Lists &amp; Settings'!$O$10,IF($N1586="Fail",'Lists &amp; Settings'!$O$9,IF($N1586="Insufficient Evidence",'Lists &amp; Settings'!$O$10,IF($N1586="Pass",IF($M1586&gt;='Lists &amp; Settings'!$N$2,'Lists &amp; Settings'!$O$2,IF($M1586&gt;='Lists &amp; Settings'!$N$3,'Lists &amp; Settings'!$O$3,'Lists &amp; Settings'!$O$4)),IF($N1586="Partial",IF($M1586&gt;='Lists &amp; Settings'!$N$6,'Lists &amp; Settings'!$O$6,IF($M1586&gt;='Lists &amp; Settings'!$N$7,'Lists &amp; Settings'!$O$7,'Lists &amp; Settings'!$O$8)),'Lists &amp; Settings'!$O$10))))))</f>
        <v/>
      </c>
      <c r="T1586" s="31"/>
      <c r="U1586" s="31"/>
      <c r="V1586" s="31"/>
    </row>
    <row r="1587" ht="15.75" customHeight="1">
      <c r="B1587" s="31"/>
      <c r="N1587" s="127"/>
      <c r="S1587" s="31" t="str">
        <f>IF($C1587="","",IF(OR($M1587="",$N1587=""),'Lists &amp; Settings'!$O$10,IF($N1587="Fail",'Lists &amp; Settings'!$O$9,IF($N1587="Insufficient Evidence",'Lists &amp; Settings'!$O$10,IF($N1587="Pass",IF($M1587&gt;='Lists &amp; Settings'!$N$2,'Lists &amp; Settings'!$O$2,IF($M1587&gt;='Lists &amp; Settings'!$N$3,'Lists &amp; Settings'!$O$3,'Lists &amp; Settings'!$O$4)),IF($N1587="Partial",IF($M1587&gt;='Lists &amp; Settings'!$N$6,'Lists &amp; Settings'!$O$6,IF($M1587&gt;='Lists &amp; Settings'!$N$7,'Lists &amp; Settings'!$O$7,'Lists &amp; Settings'!$O$8)),'Lists &amp; Settings'!$O$10))))))</f>
        <v/>
      </c>
      <c r="T1587" s="31"/>
      <c r="U1587" s="31"/>
      <c r="V1587" s="31"/>
    </row>
    <row r="1588" ht="15.75" customHeight="1">
      <c r="B1588" s="31"/>
      <c r="N1588" s="127"/>
      <c r="S1588" s="31" t="str">
        <f>IF($C1588="","",IF(OR($M1588="",$N1588=""),'Lists &amp; Settings'!$O$10,IF($N1588="Fail",'Lists &amp; Settings'!$O$9,IF($N1588="Insufficient Evidence",'Lists &amp; Settings'!$O$10,IF($N1588="Pass",IF($M1588&gt;='Lists &amp; Settings'!$N$2,'Lists &amp; Settings'!$O$2,IF($M1588&gt;='Lists &amp; Settings'!$N$3,'Lists &amp; Settings'!$O$3,'Lists &amp; Settings'!$O$4)),IF($N1588="Partial",IF($M1588&gt;='Lists &amp; Settings'!$N$6,'Lists &amp; Settings'!$O$6,IF($M1588&gt;='Lists &amp; Settings'!$N$7,'Lists &amp; Settings'!$O$7,'Lists &amp; Settings'!$O$8)),'Lists &amp; Settings'!$O$10))))))</f>
        <v/>
      </c>
      <c r="T1588" s="31"/>
      <c r="U1588" s="31"/>
      <c r="V1588" s="31"/>
    </row>
    <row r="1589" ht="15.75" customHeight="1">
      <c r="B1589" s="31"/>
      <c r="N1589" s="127"/>
      <c r="S1589" s="31" t="str">
        <f>IF($C1589="","",IF(OR($M1589="",$N1589=""),'Lists &amp; Settings'!$O$10,IF($N1589="Fail",'Lists &amp; Settings'!$O$9,IF($N1589="Insufficient Evidence",'Lists &amp; Settings'!$O$10,IF($N1589="Pass",IF($M1589&gt;='Lists &amp; Settings'!$N$2,'Lists &amp; Settings'!$O$2,IF($M1589&gt;='Lists &amp; Settings'!$N$3,'Lists &amp; Settings'!$O$3,'Lists &amp; Settings'!$O$4)),IF($N1589="Partial",IF($M1589&gt;='Lists &amp; Settings'!$N$6,'Lists &amp; Settings'!$O$6,IF($M1589&gt;='Lists &amp; Settings'!$N$7,'Lists &amp; Settings'!$O$7,'Lists &amp; Settings'!$O$8)),'Lists &amp; Settings'!$O$10))))))</f>
        <v/>
      </c>
      <c r="T1589" s="31"/>
      <c r="U1589" s="31"/>
      <c r="V1589" s="31"/>
    </row>
    <row r="1590" ht="15.75" customHeight="1">
      <c r="B1590" s="31"/>
      <c r="N1590" s="127"/>
      <c r="S1590" s="31" t="str">
        <f>IF($C1590="","",IF(OR($M1590="",$N1590=""),'Lists &amp; Settings'!$O$10,IF($N1590="Fail",'Lists &amp; Settings'!$O$9,IF($N1590="Insufficient Evidence",'Lists &amp; Settings'!$O$10,IF($N1590="Pass",IF($M1590&gt;='Lists &amp; Settings'!$N$2,'Lists &amp; Settings'!$O$2,IF($M1590&gt;='Lists &amp; Settings'!$N$3,'Lists &amp; Settings'!$O$3,'Lists &amp; Settings'!$O$4)),IF($N1590="Partial",IF($M1590&gt;='Lists &amp; Settings'!$N$6,'Lists &amp; Settings'!$O$6,IF($M1590&gt;='Lists &amp; Settings'!$N$7,'Lists &amp; Settings'!$O$7,'Lists &amp; Settings'!$O$8)),'Lists &amp; Settings'!$O$10))))))</f>
        <v/>
      </c>
      <c r="T1590" s="31"/>
      <c r="U1590" s="31"/>
      <c r="V1590" s="31"/>
    </row>
    <row r="1591" ht="15.75" customHeight="1">
      <c r="B1591" s="31"/>
      <c r="N1591" s="127"/>
      <c r="S1591" s="31" t="str">
        <f>IF($C1591="","",IF(OR($M1591="",$N1591=""),'Lists &amp; Settings'!$O$10,IF($N1591="Fail",'Lists &amp; Settings'!$O$9,IF($N1591="Insufficient Evidence",'Lists &amp; Settings'!$O$10,IF($N1591="Pass",IF($M1591&gt;='Lists &amp; Settings'!$N$2,'Lists &amp; Settings'!$O$2,IF($M1591&gt;='Lists &amp; Settings'!$N$3,'Lists &amp; Settings'!$O$3,'Lists &amp; Settings'!$O$4)),IF($N1591="Partial",IF($M1591&gt;='Lists &amp; Settings'!$N$6,'Lists &amp; Settings'!$O$6,IF($M1591&gt;='Lists &amp; Settings'!$N$7,'Lists &amp; Settings'!$O$7,'Lists &amp; Settings'!$O$8)),'Lists &amp; Settings'!$O$10))))))</f>
        <v/>
      </c>
      <c r="T1591" s="31"/>
      <c r="U1591" s="31"/>
      <c r="V1591" s="31"/>
    </row>
    <row r="1592" ht="15.75" customHeight="1">
      <c r="B1592" s="31"/>
      <c r="N1592" s="127"/>
      <c r="S1592" s="31" t="str">
        <f>IF($C1592="","",IF(OR($M1592="",$N1592=""),'Lists &amp; Settings'!$O$10,IF($N1592="Fail",'Lists &amp; Settings'!$O$9,IF($N1592="Insufficient Evidence",'Lists &amp; Settings'!$O$10,IF($N1592="Pass",IF($M1592&gt;='Lists &amp; Settings'!$N$2,'Lists &amp; Settings'!$O$2,IF($M1592&gt;='Lists &amp; Settings'!$N$3,'Lists &amp; Settings'!$O$3,'Lists &amp; Settings'!$O$4)),IF($N1592="Partial",IF($M1592&gt;='Lists &amp; Settings'!$N$6,'Lists &amp; Settings'!$O$6,IF($M1592&gt;='Lists &amp; Settings'!$N$7,'Lists &amp; Settings'!$O$7,'Lists &amp; Settings'!$O$8)),'Lists &amp; Settings'!$O$10))))))</f>
        <v/>
      </c>
      <c r="T1592" s="31"/>
      <c r="U1592" s="31"/>
      <c r="V1592" s="31"/>
    </row>
    <row r="1593" ht="15.75" customHeight="1">
      <c r="B1593" s="31"/>
      <c r="N1593" s="127"/>
      <c r="S1593" s="31" t="str">
        <f>IF($C1593="","",IF(OR($M1593="",$N1593=""),'Lists &amp; Settings'!$O$10,IF($N1593="Fail",'Lists &amp; Settings'!$O$9,IF($N1593="Insufficient Evidence",'Lists &amp; Settings'!$O$10,IF($N1593="Pass",IF($M1593&gt;='Lists &amp; Settings'!$N$2,'Lists &amp; Settings'!$O$2,IF($M1593&gt;='Lists &amp; Settings'!$N$3,'Lists &amp; Settings'!$O$3,'Lists &amp; Settings'!$O$4)),IF($N1593="Partial",IF($M1593&gt;='Lists &amp; Settings'!$N$6,'Lists &amp; Settings'!$O$6,IF($M1593&gt;='Lists &amp; Settings'!$N$7,'Lists &amp; Settings'!$O$7,'Lists &amp; Settings'!$O$8)),'Lists &amp; Settings'!$O$10))))))</f>
        <v/>
      </c>
      <c r="T1593" s="31"/>
      <c r="U1593" s="31"/>
      <c r="V1593" s="31"/>
    </row>
    <row r="1594" ht="15.75" customHeight="1">
      <c r="B1594" s="31"/>
      <c r="N1594" s="127"/>
      <c r="S1594" s="31" t="str">
        <f>IF($C1594="","",IF(OR($M1594="",$N1594=""),'Lists &amp; Settings'!$O$10,IF($N1594="Fail",'Lists &amp; Settings'!$O$9,IF($N1594="Insufficient Evidence",'Lists &amp; Settings'!$O$10,IF($N1594="Pass",IF($M1594&gt;='Lists &amp; Settings'!$N$2,'Lists &amp; Settings'!$O$2,IF($M1594&gt;='Lists &amp; Settings'!$N$3,'Lists &amp; Settings'!$O$3,'Lists &amp; Settings'!$O$4)),IF($N1594="Partial",IF($M1594&gt;='Lists &amp; Settings'!$N$6,'Lists &amp; Settings'!$O$6,IF($M1594&gt;='Lists &amp; Settings'!$N$7,'Lists &amp; Settings'!$O$7,'Lists &amp; Settings'!$O$8)),'Lists &amp; Settings'!$O$10))))))</f>
        <v/>
      </c>
      <c r="T1594" s="31"/>
      <c r="U1594" s="31"/>
      <c r="V1594" s="31"/>
    </row>
    <row r="1595" ht="15.75" customHeight="1">
      <c r="B1595" s="31"/>
      <c r="N1595" s="127"/>
      <c r="S1595" s="31" t="str">
        <f>IF($C1595="","",IF(OR($M1595="",$N1595=""),'Lists &amp; Settings'!$O$10,IF($N1595="Fail",'Lists &amp; Settings'!$O$9,IF($N1595="Insufficient Evidence",'Lists &amp; Settings'!$O$10,IF($N1595="Pass",IF($M1595&gt;='Lists &amp; Settings'!$N$2,'Lists &amp; Settings'!$O$2,IF($M1595&gt;='Lists &amp; Settings'!$N$3,'Lists &amp; Settings'!$O$3,'Lists &amp; Settings'!$O$4)),IF($N1595="Partial",IF($M1595&gt;='Lists &amp; Settings'!$N$6,'Lists &amp; Settings'!$O$6,IF($M1595&gt;='Lists &amp; Settings'!$N$7,'Lists &amp; Settings'!$O$7,'Lists &amp; Settings'!$O$8)),'Lists &amp; Settings'!$O$10))))))</f>
        <v/>
      </c>
      <c r="T1595" s="31"/>
      <c r="U1595" s="31"/>
      <c r="V1595" s="31"/>
    </row>
    <row r="1596" ht="15.75" customHeight="1">
      <c r="B1596" s="31"/>
      <c r="N1596" s="127"/>
      <c r="S1596" s="31" t="str">
        <f>IF($C1596="","",IF(OR($M1596="",$N1596=""),'Lists &amp; Settings'!$O$10,IF($N1596="Fail",'Lists &amp; Settings'!$O$9,IF($N1596="Insufficient Evidence",'Lists &amp; Settings'!$O$10,IF($N1596="Pass",IF($M1596&gt;='Lists &amp; Settings'!$N$2,'Lists &amp; Settings'!$O$2,IF($M1596&gt;='Lists &amp; Settings'!$N$3,'Lists &amp; Settings'!$O$3,'Lists &amp; Settings'!$O$4)),IF($N1596="Partial",IF($M1596&gt;='Lists &amp; Settings'!$N$6,'Lists &amp; Settings'!$O$6,IF($M1596&gt;='Lists &amp; Settings'!$N$7,'Lists &amp; Settings'!$O$7,'Lists &amp; Settings'!$O$8)),'Lists &amp; Settings'!$O$10))))))</f>
        <v/>
      </c>
      <c r="T1596" s="31"/>
      <c r="U1596" s="31"/>
      <c r="V1596" s="31"/>
    </row>
    <row r="1597" ht="15.75" customHeight="1">
      <c r="B1597" s="31"/>
      <c r="N1597" s="127"/>
      <c r="S1597" s="31" t="str">
        <f>IF($C1597="","",IF(OR($M1597="",$N1597=""),'Lists &amp; Settings'!$O$10,IF($N1597="Fail",'Lists &amp; Settings'!$O$9,IF($N1597="Insufficient Evidence",'Lists &amp; Settings'!$O$10,IF($N1597="Pass",IF($M1597&gt;='Lists &amp; Settings'!$N$2,'Lists &amp; Settings'!$O$2,IF($M1597&gt;='Lists &amp; Settings'!$N$3,'Lists &amp; Settings'!$O$3,'Lists &amp; Settings'!$O$4)),IF($N1597="Partial",IF($M1597&gt;='Lists &amp; Settings'!$N$6,'Lists &amp; Settings'!$O$6,IF($M1597&gt;='Lists &amp; Settings'!$N$7,'Lists &amp; Settings'!$O$7,'Lists &amp; Settings'!$O$8)),'Lists &amp; Settings'!$O$10))))))</f>
        <v/>
      </c>
      <c r="T1597" s="31"/>
      <c r="U1597" s="31"/>
      <c r="V1597" s="31"/>
    </row>
    <row r="1598" ht="15.75" customHeight="1">
      <c r="B1598" s="31"/>
      <c r="N1598" s="127"/>
      <c r="S1598" s="31" t="str">
        <f>IF($C1598="","",IF(OR($M1598="",$N1598=""),'Lists &amp; Settings'!$O$10,IF($N1598="Fail",'Lists &amp; Settings'!$O$9,IF($N1598="Insufficient Evidence",'Lists &amp; Settings'!$O$10,IF($N1598="Pass",IF($M1598&gt;='Lists &amp; Settings'!$N$2,'Lists &amp; Settings'!$O$2,IF($M1598&gt;='Lists &amp; Settings'!$N$3,'Lists &amp; Settings'!$O$3,'Lists &amp; Settings'!$O$4)),IF($N1598="Partial",IF($M1598&gt;='Lists &amp; Settings'!$N$6,'Lists &amp; Settings'!$O$6,IF($M1598&gt;='Lists &amp; Settings'!$N$7,'Lists &amp; Settings'!$O$7,'Lists &amp; Settings'!$O$8)),'Lists &amp; Settings'!$O$10))))))</f>
        <v/>
      </c>
      <c r="T1598" s="31"/>
      <c r="U1598" s="31"/>
      <c r="V1598" s="31"/>
    </row>
    <row r="1599" ht="15.75" customHeight="1">
      <c r="B1599" s="31"/>
      <c r="N1599" s="127"/>
      <c r="S1599" s="31" t="str">
        <f>IF($C1599="","",IF(OR($M1599="",$N1599=""),'Lists &amp; Settings'!$O$10,IF($N1599="Fail",'Lists &amp; Settings'!$O$9,IF($N1599="Insufficient Evidence",'Lists &amp; Settings'!$O$10,IF($N1599="Pass",IF($M1599&gt;='Lists &amp; Settings'!$N$2,'Lists &amp; Settings'!$O$2,IF($M1599&gt;='Lists &amp; Settings'!$N$3,'Lists &amp; Settings'!$O$3,'Lists &amp; Settings'!$O$4)),IF($N1599="Partial",IF($M1599&gt;='Lists &amp; Settings'!$N$6,'Lists &amp; Settings'!$O$6,IF($M1599&gt;='Lists &amp; Settings'!$N$7,'Lists &amp; Settings'!$O$7,'Lists &amp; Settings'!$O$8)),'Lists &amp; Settings'!$O$10))))))</f>
        <v/>
      </c>
      <c r="T1599" s="31"/>
      <c r="U1599" s="31"/>
      <c r="V1599" s="31"/>
    </row>
    <row r="1600" ht="15.75" customHeight="1">
      <c r="B1600" s="31"/>
      <c r="N1600" s="127"/>
      <c r="S1600" s="31" t="str">
        <f>IF($C1600="","",IF(OR($M1600="",$N1600=""),'Lists &amp; Settings'!$O$10,IF($N1600="Fail",'Lists &amp; Settings'!$O$9,IF($N1600="Insufficient Evidence",'Lists &amp; Settings'!$O$10,IF($N1600="Pass",IF($M1600&gt;='Lists &amp; Settings'!$N$2,'Lists &amp; Settings'!$O$2,IF($M1600&gt;='Lists &amp; Settings'!$N$3,'Lists &amp; Settings'!$O$3,'Lists &amp; Settings'!$O$4)),IF($N1600="Partial",IF($M1600&gt;='Lists &amp; Settings'!$N$6,'Lists &amp; Settings'!$O$6,IF($M1600&gt;='Lists &amp; Settings'!$N$7,'Lists &amp; Settings'!$O$7,'Lists &amp; Settings'!$O$8)),'Lists &amp; Settings'!$O$10))))))</f>
        <v/>
      </c>
      <c r="T1600" s="31"/>
      <c r="U1600" s="31"/>
      <c r="V1600" s="31"/>
    </row>
    <row r="1601" ht="15.75" customHeight="1">
      <c r="B1601" s="31"/>
      <c r="N1601" s="127"/>
      <c r="S1601" s="31" t="str">
        <f>IF($C1601="","",IF(OR($M1601="",$N1601=""),'Lists &amp; Settings'!$O$10,IF($N1601="Fail",'Lists &amp; Settings'!$O$9,IF($N1601="Insufficient Evidence",'Lists &amp; Settings'!$O$10,IF($N1601="Pass",IF($M1601&gt;='Lists &amp; Settings'!$N$2,'Lists &amp; Settings'!$O$2,IF($M1601&gt;='Lists &amp; Settings'!$N$3,'Lists &amp; Settings'!$O$3,'Lists &amp; Settings'!$O$4)),IF($N1601="Partial",IF($M1601&gt;='Lists &amp; Settings'!$N$6,'Lists &amp; Settings'!$O$6,IF($M1601&gt;='Lists &amp; Settings'!$N$7,'Lists &amp; Settings'!$O$7,'Lists &amp; Settings'!$O$8)),'Lists &amp; Settings'!$O$10))))))</f>
        <v/>
      </c>
      <c r="T1601" s="31"/>
      <c r="U1601" s="31"/>
      <c r="V1601" s="31"/>
    </row>
    <row r="1602" ht="15.75" customHeight="1">
      <c r="B1602" s="31"/>
      <c r="N1602" s="127"/>
      <c r="S1602" s="31" t="str">
        <f>IF($C1602="","",IF(OR($M1602="",$N1602=""),'Lists &amp; Settings'!$O$10,IF($N1602="Fail",'Lists &amp; Settings'!$O$9,IF($N1602="Insufficient Evidence",'Lists &amp; Settings'!$O$10,IF($N1602="Pass",IF($M1602&gt;='Lists &amp; Settings'!$N$2,'Lists &amp; Settings'!$O$2,IF($M1602&gt;='Lists &amp; Settings'!$N$3,'Lists &amp; Settings'!$O$3,'Lists &amp; Settings'!$O$4)),IF($N1602="Partial",IF($M1602&gt;='Lists &amp; Settings'!$N$6,'Lists &amp; Settings'!$O$6,IF($M1602&gt;='Lists &amp; Settings'!$N$7,'Lists &amp; Settings'!$O$7,'Lists &amp; Settings'!$O$8)),'Lists &amp; Settings'!$O$10))))))</f>
        <v/>
      </c>
      <c r="T1602" s="31"/>
      <c r="U1602" s="31"/>
      <c r="V1602" s="31"/>
    </row>
    <row r="1603" ht="15.75" customHeight="1">
      <c r="B1603" s="31"/>
      <c r="N1603" s="127"/>
      <c r="S1603" s="31" t="str">
        <f>IF($C1603="","",IF(OR($M1603="",$N1603=""),'Lists &amp; Settings'!$O$10,IF($N1603="Fail",'Lists &amp; Settings'!$O$9,IF($N1603="Insufficient Evidence",'Lists &amp; Settings'!$O$10,IF($N1603="Pass",IF($M1603&gt;='Lists &amp; Settings'!$N$2,'Lists &amp; Settings'!$O$2,IF($M1603&gt;='Lists &amp; Settings'!$N$3,'Lists &amp; Settings'!$O$3,'Lists &amp; Settings'!$O$4)),IF($N1603="Partial",IF($M1603&gt;='Lists &amp; Settings'!$N$6,'Lists &amp; Settings'!$O$6,IF($M1603&gt;='Lists &amp; Settings'!$N$7,'Lists &amp; Settings'!$O$7,'Lists &amp; Settings'!$O$8)),'Lists &amp; Settings'!$O$10))))))</f>
        <v/>
      </c>
      <c r="T1603" s="31"/>
      <c r="U1603" s="31"/>
      <c r="V1603" s="31"/>
    </row>
    <row r="1604" ht="15.75" customHeight="1">
      <c r="B1604" s="31"/>
      <c r="N1604" s="127"/>
      <c r="S1604" s="31" t="str">
        <f>IF($C1604="","",IF(OR($M1604="",$N1604=""),'Lists &amp; Settings'!$O$10,IF($N1604="Fail",'Lists &amp; Settings'!$O$9,IF($N1604="Insufficient Evidence",'Lists &amp; Settings'!$O$10,IF($N1604="Pass",IF($M1604&gt;='Lists &amp; Settings'!$N$2,'Lists &amp; Settings'!$O$2,IF($M1604&gt;='Lists &amp; Settings'!$N$3,'Lists &amp; Settings'!$O$3,'Lists &amp; Settings'!$O$4)),IF($N1604="Partial",IF($M1604&gt;='Lists &amp; Settings'!$N$6,'Lists &amp; Settings'!$O$6,IF($M1604&gt;='Lists &amp; Settings'!$N$7,'Lists &amp; Settings'!$O$7,'Lists &amp; Settings'!$O$8)),'Lists &amp; Settings'!$O$10))))))</f>
        <v/>
      </c>
      <c r="T1604" s="31"/>
      <c r="U1604" s="31"/>
      <c r="V1604" s="31"/>
    </row>
    <row r="1605" ht="15.75" customHeight="1">
      <c r="B1605" s="31"/>
      <c r="N1605" s="127"/>
      <c r="S1605" s="31" t="str">
        <f>IF($C1605="","",IF(OR($M1605="",$N1605=""),'Lists &amp; Settings'!$O$10,IF($N1605="Fail",'Lists &amp; Settings'!$O$9,IF($N1605="Insufficient Evidence",'Lists &amp; Settings'!$O$10,IF($N1605="Pass",IF($M1605&gt;='Lists &amp; Settings'!$N$2,'Lists &amp; Settings'!$O$2,IF($M1605&gt;='Lists &amp; Settings'!$N$3,'Lists &amp; Settings'!$O$3,'Lists &amp; Settings'!$O$4)),IF($N1605="Partial",IF($M1605&gt;='Lists &amp; Settings'!$N$6,'Lists &amp; Settings'!$O$6,IF($M1605&gt;='Lists &amp; Settings'!$N$7,'Lists &amp; Settings'!$O$7,'Lists &amp; Settings'!$O$8)),'Lists &amp; Settings'!$O$10))))))</f>
        <v/>
      </c>
      <c r="T1605" s="31"/>
      <c r="U1605" s="31"/>
      <c r="V1605" s="31"/>
    </row>
    <row r="1606" ht="15.75" customHeight="1">
      <c r="B1606" s="31"/>
      <c r="N1606" s="127"/>
      <c r="S1606" s="31" t="str">
        <f>IF($C1606="","",IF(OR($M1606="",$N1606=""),'Lists &amp; Settings'!$O$10,IF($N1606="Fail",'Lists &amp; Settings'!$O$9,IF($N1606="Insufficient Evidence",'Lists &amp; Settings'!$O$10,IF($N1606="Pass",IF($M1606&gt;='Lists &amp; Settings'!$N$2,'Lists &amp; Settings'!$O$2,IF($M1606&gt;='Lists &amp; Settings'!$N$3,'Lists &amp; Settings'!$O$3,'Lists &amp; Settings'!$O$4)),IF($N1606="Partial",IF($M1606&gt;='Lists &amp; Settings'!$N$6,'Lists &amp; Settings'!$O$6,IF($M1606&gt;='Lists &amp; Settings'!$N$7,'Lists &amp; Settings'!$O$7,'Lists &amp; Settings'!$O$8)),'Lists &amp; Settings'!$O$10))))))</f>
        <v/>
      </c>
      <c r="T1606" s="31"/>
      <c r="U1606" s="31"/>
      <c r="V1606" s="31"/>
    </row>
    <row r="1607" ht="15.75" customHeight="1">
      <c r="B1607" s="31"/>
      <c r="N1607" s="127"/>
      <c r="S1607" s="31" t="str">
        <f>IF($C1607="","",IF(OR($M1607="",$N1607=""),'Lists &amp; Settings'!$O$10,IF($N1607="Fail",'Lists &amp; Settings'!$O$9,IF($N1607="Insufficient Evidence",'Lists &amp; Settings'!$O$10,IF($N1607="Pass",IF($M1607&gt;='Lists &amp; Settings'!$N$2,'Lists &amp; Settings'!$O$2,IF($M1607&gt;='Lists &amp; Settings'!$N$3,'Lists &amp; Settings'!$O$3,'Lists &amp; Settings'!$O$4)),IF($N1607="Partial",IF($M1607&gt;='Lists &amp; Settings'!$N$6,'Lists &amp; Settings'!$O$6,IF($M1607&gt;='Lists &amp; Settings'!$N$7,'Lists &amp; Settings'!$O$7,'Lists &amp; Settings'!$O$8)),'Lists &amp; Settings'!$O$10))))))</f>
        <v/>
      </c>
      <c r="T1607" s="31"/>
      <c r="U1607" s="31"/>
      <c r="V1607" s="31"/>
    </row>
    <row r="1608" ht="15.75" customHeight="1">
      <c r="B1608" s="31"/>
      <c r="N1608" s="127"/>
      <c r="S1608" s="31" t="str">
        <f>IF($C1608="","",IF(OR($M1608="",$N1608=""),'Lists &amp; Settings'!$O$10,IF($N1608="Fail",'Lists &amp; Settings'!$O$9,IF($N1608="Insufficient Evidence",'Lists &amp; Settings'!$O$10,IF($N1608="Pass",IF($M1608&gt;='Lists &amp; Settings'!$N$2,'Lists &amp; Settings'!$O$2,IF($M1608&gt;='Lists &amp; Settings'!$N$3,'Lists &amp; Settings'!$O$3,'Lists &amp; Settings'!$O$4)),IF($N1608="Partial",IF($M1608&gt;='Lists &amp; Settings'!$N$6,'Lists &amp; Settings'!$O$6,IF($M1608&gt;='Lists &amp; Settings'!$N$7,'Lists &amp; Settings'!$O$7,'Lists &amp; Settings'!$O$8)),'Lists &amp; Settings'!$O$10))))))</f>
        <v/>
      </c>
      <c r="T1608" s="31"/>
      <c r="U1608" s="31"/>
      <c r="V1608" s="31"/>
    </row>
    <row r="1609" ht="15.75" customHeight="1">
      <c r="B1609" s="31"/>
      <c r="N1609" s="127"/>
      <c r="S1609" s="31" t="str">
        <f>IF($C1609="","",IF(OR($M1609="",$N1609=""),'Lists &amp; Settings'!$O$10,IF($N1609="Fail",'Lists &amp; Settings'!$O$9,IF($N1609="Insufficient Evidence",'Lists &amp; Settings'!$O$10,IF($N1609="Pass",IF($M1609&gt;='Lists &amp; Settings'!$N$2,'Lists &amp; Settings'!$O$2,IF($M1609&gt;='Lists &amp; Settings'!$N$3,'Lists &amp; Settings'!$O$3,'Lists &amp; Settings'!$O$4)),IF($N1609="Partial",IF($M1609&gt;='Lists &amp; Settings'!$N$6,'Lists &amp; Settings'!$O$6,IF($M1609&gt;='Lists &amp; Settings'!$N$7,'Lists &amp; Settings'!$O$7,'Lists &amp; Settings'!$O$8)),'Lists &amp; Settings'!$O$10))))))</f>
        <v/>
      </c>
      <c r="T1609" s="31"/>
      <c r="U1609" s="31"/>
      <c r="V1609" s="31"/>
    </row>
    <row r="1610" ht="15.75" customHeight="1">
      <c r="B1610" s="31"/>
      <c r="N1610" s="127"/>
      <c r="S1610" s="31" t="str">
        <f>IF($C1610="","",IF(OR($M1610="",$N1610=""),'Lists &amp; Settings'!$O$10,IF($N1610="Fail",'Lists &amp; Settings'!$O$9,IF($N1610="Insufficient Evidence",'Lists &amp; Settings'!$O$10,IF($N1610="Pass",IF($M1610&gt;='Lists &amp; Settings'!$N$2,'Lists &amp; Settings'!$O$2,IF($M1610&gt;='Lists &amp; Settings'!$N$3,'Lists &amp; Settings'!$O$3,'Lists &amp; Settings'!$O$4)),IF($N1610="Partial",IF($M1610&gt;='Lists &amp; Settings'!$N$6,'Lists &amp; Settings'!$O$6,IF($M1610&gt;='Lists &amp; Settings'!$N$7,'Lists &amp; Settings'!$O$7,'Lists &amp; Settings'!$O$8)),'Lists &amp; Settings'!$O$10))))))</f>
        <v/>
      </c>
      <c r="T1610" s="31"/>
      <c r="U1610" s="31"/>
      <c r="V1610" s="31"/>
    </row>
    <row r="1611" ht="15.75" customHeight="1">
      <c r="B1611" s="31"/>
      <c r="N1611" s="127"/>
      <c r="S1611" s="31" t="str">
        <f>IF($C1611="","",IF(OR($M1611="",$N1611=""),'Lists &amp; Settings'!$O$10,IF($N1611="Fail",'Lists &amp; Settings'!$O$9,IF($N1611="Insufficient Evidence",'Lists &amp; Settings'!$O$10,IF($N1611="Pass",IF($M1611&gt;='Lists &amp; Settings'!$N$2,'Lists &amp; Settings'!$O$2,IF($M1611&gt;='Lists &amp; Settings'!$N$3,'Lists &amp; Settings'!$O$3,'Lists &amp; Settings'!$O$4)),IF($N1611="Partial",IF($M1611&gt;='Lists &amp; Settings'!$N$6,'Lists &amp; Settings'!$O$6,IF($M1611&gt;='Lists &amp; Settings'!$N$7,'Lists &amp; Settings'!$O$7,'Lists &amp; Settings'!$O$8)),'Lists &amp; Settings'!$O$10))))))</f>
        <v/>
      </c>
      <c r="T1611" s="31"/>
      <c r="U1611" s="31"/>
      <c r="V1611" s="31"/>
    </row>
    <row r="1612" ht="15.75" customHeight="1">
      <c r="B1612" s="31"/>
      <c r="N1612" s="127"/>
      <c r="S1612" s="31" t="str">
        <f>IF($C1612="","",IF(OR($M1612="",$N1612=""),'Lists &amp; Settings'!$O$10,IF($N1612="Fail",'Lists &amp; Settings'!$O$9,IF($N1612="Insufficient Evidence",'Lists &amp; Settings'!$O$10,IF($N1612="Pass",IF($M1612&gt;='Lists &amp; Settings'!$N$2,'Lists &amp; Settings'!$O$2,IF($M1612&gt;='Lists &amp; Settings'!$N$3,'Lists &amp; Settings'!$O$3,'Lists &amp; Settings'!$O$4)),IF($N1612="Partial",IF($M1612&gt;='Lists &amp; Settings'!$N$6,'Lists &amp; Settings'!$O$6,IF($M1612&gt;='Lists &amp; Settings'!$N$7,'Lists &amp; Settings'!$O$7,'Lists &amp; Settings'!$O$8)),'Lists &amp; Settings'!$O$10))))))</f>
        <v/>
      </c>
      <c r="T1612" s="31"/>
      <c r="U1612" s="31"/>
      <c r="V1612" s="31"/>
    </row>
    <row r="1613" ht="15.75" customHeight="1">
      <c r="B1613" s="31"/>
      <c r="N1613" s="127"/>
      <c r="S1613" s="31" t="str">
        <f>IF($C1613="","",IF(OR($M1613="",$N1613=""),'Lists &amp; Settings'!$O$10,IF($N1613="Fail",'Lists &amp; Settings'!$O$9,IF($N1613="Insufficient Evidence",'Lists &amp; Settings'!$O$10,IF($N1613="Pass",IF($M1613&gt;='Lists &amp; Settings'!$N$2,'Lists &amp; Settings'!$O$2,IF($M1613&gt;='Lists &amp; Settings'!$N$3,'Lists &amp; Settings'!$O$3,'Lists &amp; Settings'!$O$4)),IF($N1613="Partial",IF($M1613&gt;='Lists &amp; Settings'!$N$6,'Lists &amp; Settings'!$O$6,IF($M1613&gt;='Lists &amp; Settings'!$N$7,'Lists &amp; Settings'!$O$7,'Lists &amp; Settings'!$O$8)),'Lists &amp; Settings'!$O$10))))))</f>
        <v/>
      </c>
      <c r="T1613" s="31"/>
      <c r="U1613" s="31"/>
      <c r="V1613" s="31"/>
    </row>
    <row r="1614" ht="15.75" customHeight="1">
      <c r="B1614" s="31"/>
      <c r="N1614" s="127"/>
      <c r="S1614" s="31" t="str">
        <f>IF($C1614="","",IF(OR($M1614="",$N1614=""),'Lists &amp; Settings'!$O$10,IF($N1614="Fail",'Lists &amp; Settings'!$O$9,IF($N1614="Insufficient Evidence",'Lists &amp; Settings'!$O$10,IF($N1614="Pass",IF($M1614&gt;='Lists &amp; Settings'!$N$2,'Lists &amp; Settings'!$O$2,IF($M1614&gt;='Lists &amp; Settings'!$N$3,'Lists &amp; Settings'!$O$3,'Lists &amp; Settings'!$O$4)),IF($N1614="Partial",IF($M1614&gt;='Lists &amp; Settings'!$N$6,'Lists &amp; Settings'!$O$6,IF($M1614&gt;='Lists &amp; Settings'!$N$7,'Lists &amp; Settings'!$O$7,'Lists &amp; Settings'!$O$8)),'Lists &amp; Settings'!$O$10))))))</f>
        <v/>
      </c>
      <c r="T1614" s="31"/>
      <c r="U1614" s="31"/>
      <c r="V1614" s="31"/>
    </row>
    <row r="1615" ht="15.75" customHeight="1">
      <c r="B1615" s="31"/>
      <c r="N1615" s="127"/>
      <c r="S1615" s="31" t="str">
        <f>IF($C1615="","",IF(OR($M1615="",$N1615=""),'Lists &amp; Settings'!$O$10,IF($N1615="Fail",'Lists &amp; Settings'!$O$9,IF($N1615="Insufficient Evidence",'Lists &amp; Settings'!$O$10,IF($N1615="Pass",IF($M1615&gt;='Lists &amp; Settings'!$N$2,'Lists &amp; Settings'!$O$2,IF($M1615&gt;='Lists &amp; Settings'!$N$3,'Lists &amp; Settings'!$O$3,'Lists &amp; Settings'!$O$4)),IF($N1615="Partial",IF($M1615&gt;='Lists &amp; Settings'!$N$6,'Lists &amp; Settings'!$O$6,IF($M1615&gt;='Lists &amp; Settings'!$N$7,'Lists &amp; Settings'!$O$7,'Lists &amp; Settings'!$O$8)),'Lists &amp; Settings'!$O$10))))))</f>
        <v/>
      </c>
      <c r="T1615" s="31"/>
      <c r="U1615" s="31"/>
      <c r="V1615" s="31"/>
    </row>
    <row r="1616" ht="15.75" customHeight="1">
      <c r="B1616" s="31"/>
      <c r="N1616" s="127"/>
      <c r="S1616" s="31" t="str">
        <f>IF($C1616="","",IF(OR($M1616="",$N1616=""),'Lists &amp; Settings'!$O$10,IF($N1616="Fail",'Lists &amp; Settings'!$O$9,IF($N1616="Insufficient Evidence",'Lists &amp; Settings'!$O$10,IF($N1616="Pass",IF($M1616&gt;='Lists &amp; Settings'!$N$2,'Lists &amp; Settings'!$O$2,IF($M1616&gt;='Lists &amp; Settings'!$N$3,'Lists &amp; Settings'!$O$3,'Lists &amp; Settings'!$O$4)),IF($N1616="Partial",IF($M1616&gt;='Lists &amp; Settings'!$N$6,'Lists &amp; Settings'!$O$6,IF($M1616&gt;='Lists &amp; Settings'!$N$7,'Lists &amp; Settings'!$O$7,'Lists &amp; Settings'!$O$8)),'Lists &amp; Settings'!$O$10))))))</f>
        <v/>
      </c>
      <c r="T1616" s="31"/>
      <c r="U1616" s="31"/>
      <c r="V1616" s="31"/>
    </row>
    <row r="1617" ht="15.75" customHeight="1">
      <c r="B1617" s="31"/>
      <c r="N1617" s="127"/>
      <c r="S1617" s="31" t="str">
        <f>IF($C1617="","",IF(OR($M1617="",$N1617=""),'Lists &amp; Settings'!$O$10,IF($N1617="Fail",'Lists &amp; Settings'!$O$9,IF($N1617="Insufficient Evidence",'Lists &amp; Settings'!$O$10,IF($N1617="Pass",IF($M1617&gt;='Lists &amp; Settings'!$N$2,'Lists &amp; Settings'!$O$2,IF($M1617&gt;='Lists &amp; Settings'!$N$3,'Lists &amp; Settings'!$O$3,'Lists &amp; Settings'!$O$4)),IF($N1617="Partial",IF($M1617&gt;='Lists &amp; Settings'!$N$6,'Lists &amp; Settings'!$O$6,IF($M1617&gt;='Lists &amp; Settings'!$N$7,'Lists &amp; Settings'!$O$7,'Lists &amp; Settings'!$O$8)),'Lists &amp; Settings'!$O$10))))))</f>
        <v/>
      </c>
      <c r="T1617" s="31"/>
      <c r="U1617" s="31"/>
      <c r="V1617" s="31"/>
    </row>
    <row r="1618" ht="15.75" customHeight="1">
      <c r="B1618" s="31"/>
      <c r="N1618" s="127"/>
      <c r="S1618" s="31" t="str">
        <f>IF($C1618="","",IF(OR($M1618="",$N1618=""),'Lists &amp; Settings'!$O$10,IF($N1618="Fail",'Lists &amp; Settings'!$O$9,IF($N1618="Insufficient Evidence",'Lists &amp; Settings'!$O$10,IF($N1618="Pass",IF($M1618&gt;='Lists &amp; Settings'!$N$2,'Lists &amp; Settings'!$O$2,IF($M1618&gt;='Lists &amp; Settings'!$N$3,'Lists &amp; Settings'!$O$3,'Lists &amp; Settings'!$O$4)),IF($N1618="Partial",IF($M1618&gt;='Lists &amp; Settings'!$N$6,'Lists &amp; Settings'!$O$6,IF($M1618&gt;='Lists &amp; Settings'!$N$7,'Lists &amp; Settings'!$O$7,'Lists &amp; Settings'!$O$8)),'Lists &amp; Settings'!$O$10))))))</f>
        <v/>
      </c>
      <c r="T1618" s="31"/>
      <c r="U1618" s="31"/>
      <c r="V1618" s="31"/>
    </row>
    <row r="1619" ht="15.75" customHeight="1">
      <c r="B1619" s="31"/>
      <c r="N1619" s="127"/>
      <c r="S1619" s="31" t="str">
        <f>IF($C1619="","",IF(OR($M1619="",$N1619=""),'Lists &amp; Settings'!$O$10,IF($N1619="Fail",'Lists &amp; Settings'!$O$9,IF($N1619="Insufficient Evidence",'Lists &amp; Settings'!$O$10,IF($N1619="Pass",IF($M1619&gt;='Lists &amp; Settings'!$N$2,'Lists &amp; Settings'!$O$2,IF($M1619&gt;='Lists &amp; Settings'!$N$3,'Lists &amp; Settings'!$O$3,'Lists &amp; Settings'!$O$4)),IF($N1619="Partial",IF($M1619&gt;='Lists &amp; Settings'!$N$6,'Lists &amp; Settings'!$O$6,IF($M1619&gt;='Lists &amp; Settings'!$N$7,'Lists &amp; Settings'!$O$7,'Lists &amp; Settings'!$O$8)),'Lists &amp; Settings'!$O$10))))))</f>
        <v/>
      </c>
      <c r="T1619" s="31"/>
      <c r="U1619" s="31"/>
      <c r="V1619" s="31"/>
    </row>
    <row r="1620" ht="15.75" customHeight="1">
      <c r="B1620" s="31"/>
      <c r="N1620" s="127"/>
      <c r="S1620" s="31" t="str">
        <f>IF($C1620="","",IF(OR($M1620="",$N1620=""),'Lists &amp; Settings'!$O$10,IF($N1620="Fail",'Lists &amp; Settings'!$O$9,IF($N1620="Insufficient Evidence",'Lists &amp; Settings'!$O$10,IF($N1620="Pass",IF($M1620&gt;='Lists &amp; Settings'!$N$2,'Lists &amp; Settings'!$O$2,IF($M1620&gt;='Lists &amp; Settings'!$N$3,'Lists &amp; Settings'!$O$3,'Lists &amp; Settings'!$O$4)),IF($N1620="Partial",IF($M1620&gt;='Lists &amp; Settings'!$N$6,'Lists &amp; Settings'!$O$6,IF($M1620&gt;='Lists &amp; Settings'!$N$7,'Lists &amp; Settings'!$O$7,'Lists &amp; Settings'!$O$8)),'Lists &amp; Settings'!$O$10))))))</f>
        <v/>
      </c>
      <c r="T1620" s="31"/>
      <c r="U1620" s="31"/>
      <c r="V1620" s="31"/>
    </row>
    <row r="1621" ht="15.75" customHeight="1">
      <c r="B1621" s="31"/>
      <c r="N1621" s="127"/>
      <c r="S1621" s="31" t="str">
        <f>IF($C1621="","",IF(OR($M1621="",$N1621=""),'Lists &amp; Settings'!$O$10,IF($N1621="Fail",'Lists &amp; Settings'!$O$9,IF($N1621="Insufficient Evidence",'Lists &amp; Settings'!$O$10,IF($N1621="Pass",IF($M1621&gt;='Lists &amp; Settings'!$N$2,'Lists &amp; Settings'!$O$2,IF($M1621&gt;='Lists &amp; Settings'!$N$3,'Lists &amp; Settings'!$O$3,'Lists &amp; Settings'!$O$4)),IF($N1621="Partial",IF($M1621&gt;='Lists &amp; Settings'!$N$6,'Lists &amp; Settings'!$O$6,IF($M1621&gt;='Lists &amp; Settings'!$N$7,'Lists &amp; Settings'!$O$7,'Lists &amp; Settings'!$O$8)),'Lists &amp; Settings'!$O$10))))))</f>
        <v/>
      </c>
      <c r="T1621" s="31"/>
      <c r="U1621" s="31"/>
      <c r="V1621" s="31"/>
    </row>
    <row r="1622" ht="15.75" customHeight="1">
      <c r="B1622" s="31"/>
      <c r="N1622" s="127"/>
      <c r="S1622" s="31" t="str">
        <f>IF($C1622="","",IF(OR($M1622="",$N1622=""),'Lists &amp; Settings'!$O$10,IF($N1622="Fail",'Lists &amp; Settings'!$O$9,IF($N1622="Insufficient Evidence",'Lists &amp; Settings'!$O$10,IF($N1622="Pass",IF($M1622&gt;='Lists &amp; Settings'!$N$2,'Lists &amp; Settings'!$O$2,IF($M1622&gt;='Lists &amp; Settings'!$N$3,'Lists &amp; Settings'!$O$3,'Lists &amp; Settings'!$O$4)),IF($N1622="Partial",IF($M1622&gt;='Lists &amp; Settings'!$N$6,'Lists &amp; Settings'!$O$6,IF($M1622&gt;='Lists &amp; Settings'!$N$7,'Lists &amp; Settings'!$O$7,'Lists &amp; Settings'!$O$8)),'Lists &amp; Settings'!$O$10))))))</f>
        <v/>
      </c>
      <c r="T1622" s="31"/>
      <c r="U1622" s="31"/>
      <c r="V1622" s="31"/>
    </row>
    <row r="1623" ht="15.75" customHeight="1">
      <c r="B1623" s="31"/>
      <c r="N1623" s="127"/>
      <c r="S1623" s="31" t="str">
        <f>IF($C1623="","",IF(OR($M1623="",$N1623=""),'Lists &amp; Settings'!$O$10,IF($N1623="Fail",'Lists &amp; Settings'!$O$9,IF($N1623="Insufficient Evidence",'Lists &amp; Settings'!$O$10,IF($N1623="Pass",IF($M1623&gt;='Lists &amp; Settings'!$N$2,'Lists &amp; Settings'!$O$2,IF($M1623&gt;='Lists &amp; Settings'!$N$3,'Lists &amp; Settings'!$O$3,'Lists &amp; Settings'!$O$4)),IF($N1623="Partial",IF($M1623&gt;='Lists &amp; Settings'!$N$6,'Lists &amp; Settings'!$O$6,IF($M1623&gt;='Lists &amp; Settings'!$N$7,'Lists &amp; Settings'!$O$7,'Lists &amp; Settings'!$O$8)),'Lists &amp; Settings'!$O$10))))))</f>
        <v/>
      </c>
      <c r="T1623" s="31"/>
      <c r="U1623" s="31"/>
      <c r="V1623" s="31"/>
    </row>
    <row r="1624" ht="15.75" customHeight="1">
      <c r="B1624" s="31"/>
      <c r="N1624" s="127"/>
      <c r="S1624" s="31" t="str">
        <f>IF($C1624="","",IF(OR($M1624="",$N1624=""),'Lists &amp; Settings'!$O$10,IF($N1624="Fail",'Lists &amp; Settings'!$O$9,IF($N1624="Insufficient Evidence",'Lists &amp; Settings'!$O$10,IF($N1624="Pass",IF($M1624&gt;='Lists &amp; Settings'!$N$2,'Lists &amp; Settings'!$O$2,IF($M1624&gt;='Lists &amp; Settings'!$N$3,'Lists &amp; Settings'!$O$3,'Lists &amp; Settings'!$O$4)),IF($N1624="Partial",IF($M1624&gt;='Lists &amp; Settings'!$N$6,'Lists &amp; Settings'!$O$6,IF($M1624&gt;='Lists &amp; Settings'!$N$7,'Lists &amp; Settings'!$O$7,'Lists &amp; Settings'!$O$8)),'Lists &amp; Settings'!$O$10))))))</f>
        <v/>
      </c>
      <c r="T1624" s="31"/>
      <c r="U1624" s="31"/>
      <c r="V1624" s="31"/>
    </row>
    <row r="1625" ht="15.75" customHeight="1">
      <c r="B1625" s="31"/>
      <c r="N1625" s="127"/>
      <c r="S1625" s="31" t="str">
        <f>IF($C1625="","",IF(OR($M1625="",$N1625=""),'Lists &amp; Settings'!$O$10,IF($N1625="Fail",'Lists &amp; Settings'!$O$9,IF($N1625="Insufficient Evidence",'Lists &amp; Settings'!$O$10,IF($N1625="Pass",IF($M1625&gt;='Lists &amp; Settings'!$N$2,'Lists &amp; Settings'!$O$2,IF($M1625&gt;='Lists &amp; Settings'!$N$3,'Lists &amp; Settings'!$O$3,'Lists &amp; Settings'!$O$4)),IF($N1625="Partial",IF($M1625&gt;='Lists &amp; Settings'!$N$6,'Lists &amp; Settings'!$O$6,IF($M1625&gt;='Lists &amp; Settings'!$N$7,'Lists &amp; Settings'!$O$7,'Lists &amp; Settings'!$O$8)),'Lists &amp; Settings'!$O$10))))))</f>
        <v/>
      </c>
      <c r="T1625" s="31"/>
      <c r="U1625" s="31"/>
      <c r="V1625" s="31"/>
    </row>
    <row r="1626" ht="15.75" customHeight="1">
      <c r="B1626" s="31"/>
      <c r="N1626" s="127"/>
      <c r="S1626" s="31" t="str">
        <f>IF($C1626="","",IF(OR($M1626="",$N1626=""),'Lists &amp; Settings'!$O$10,IF($N1626="Fail",'Lists &amp; Settings'!$O$9,IF($N1626="Insufficient Evidence",'Lists &amp; Settings'!$O$10,IF($N1626="Pass",IF($M1626&gt;='Lists &amp; Settings'!$N$2,'Lists &amp; Settings'!$O$2,IF($M1626&gt;='Lists &amp; Settings'!$N$3,'Lists &amp; Settings'!$O$3,'Lists &amp; Settings'!$O$4)),IF($N1626="Partial",IF($M1626&gt;='Lists &amp; Settings'!$N$6,'Lists &amp; Settings'!$O$6,IF($M1626&gt;='Lists &amp; Settings'!$N$7,'Lists &amp; Settings'!$O$7,'Lists &amp; Settings'!$O$8)),'Lists &amp; Settings'!$O$10))))))</f>
        <v/>
      </c>
      <c r="T1626" s="31"/>
      <c r="U1626" s="31"/>
      <c r="V1626" s="31"/>
    </row>
    <row r="1627" ht="15.75" customHeight="1">
      <c r="B1627" s="31"/>
      <c r="N1627" s="127"/>
      <c r="S1627" s="31" t="str">
        <f>IF($C1627="","",IF(OR($M1627="",$N1627=""),'Lists &amp; Settings'!$O$10,IF($N1627="Fail",'Lists &amp; Settings'!$O$9,IF($N1627="Insufficient Evidence",'Lists &amp; Settings'!$O$10,IF($N1627="Pass",IF($M1627&gt;='Lists &amp; Settings'!$N$2,'Lists &amp; Settings'!$O$2,IF($M1627&gt;='Lists &amp; Settings'!$N$3,'Lists &amp; Settings'!$O$3,'Lists &amp; Settings'!$O$4)),IF($N1627="Partial",IF($M1627&gt;='Lists &amp; Settings'!$N$6,'Lists &amp; Settings'!$O$6,IF($M1627&gt;='Lists &amp; Settings'!$N$7,'Lists &amp; Settings'!$O$7,'Lists &amp; Settings'!$O$8)),'Lists &amp; Settings'!$O$10))))))</f>
        <v/>
      </c>
      <c r="T1627" s="31"/>
      <c r="U1627" s="31"/>
      <c r="V1627" s="31"/>
    </row>
    <row r="1628" ht="15.75" customHeight="1">
      <c r="B1628" s="31"/>
      <c r="N1628" s="127"/>
      <c r="S1628" s="31" t="str">
        <f>IF($C1628="","",IF(OR($M1628="",$N1628=""),'Lists &amp; Settings'!$O$10,IF($N1628="Fail",'Lists &amp; Settings'!$O$9,IF($N1628="Insufficient Evidence",'Lists &amp; Settings'!$O$10,IF($N1628="Pass",IF($M1628&gt;='Lists &amp; Settings'!$N$2,'Lists &amp; Settings'!$O$2,IF($M1628&gt;='Lists &amp; Settings'!$N$3,'Lists &amp; Settings'!$O$3,'Lists &amp; Settings'!$O$4)),IF($N1628="Partial",IF($M1628&gt;='Lists &amp; Settings'!$N$6,'Lists &amp; Settings'!$O$6,IF($M1628&gt;='Lists &amp; Settings'!$N$7,'Lists &amp; Settings'!$O$7,'Lists &amp; Settings'!$O$8)),'Lists &amp; Settings'!$O$10))))))</f>
        <v/>
      </c>
      <c r="T1628" s="31"/>
      <c r="U1628" s="31"/>
      <c r="V1628" s="31"/>
    </row>
    <row r="1629" ht="15.75" customHeight="1">
      <c r="B1629" s="31"/>
      <c r="N1629" s="127"/>
      <c r="S1629" s="31" t="str">
        <f>IF($C1629="","",IF(OR($M1629="",$N1629=""),'Lists &amp; Settings'!$O$10,IF($N1629="Fail",'Lists &amp; Settings'!$O$9,IF($N1629="Insufficient Evidence",'Lists &amp; Settings'!$O$10,IF($N1629="Pass",IF($M1629&gt;='Lists &amp; Settings'!$N$2,'Lists &amp; Settings'!$O$2,IF($M1629&gt;='Lists &amp; Settings'!$N$3,'Lists &amp; Settings'!$O$3,'Lists &amp; Settings'!$O$4)),IF($N1629="Partial",IF($M1629&gt;='Lists &amp; Settings'!$N$6,'Lists &amp; Settings'!$O$6,IF($M1629&gt;='Lists &amp; Settings'!$N$7,'Lists &amp; Settings'!$O$7,'Lists &amp; Settings'!$O$8)),'Lists &amp; Settings'!$O$10))))))</f>
        <v/>
      </c>
      <c r="T1629" s="31"/>
      <c r="U1629" s="31"/>
      <c r="V1629" s="31"/>
    </row>
    <row r="1630" ht="15.75" customHeight="1">
      <c r="B1630" s="31"/>
      <c r="N1630" s="127"/>
      <c r="S1630" s="31" t="str">
        <f>IF($C1630="","",IF(OR($M1630="",$N1630=""),'Lists &amp; Settings'!$O$10,IF($N1630="Fail",'Lists &amp; Settings'!$O$9,IF($N1630="Insufficient Evidence",'Lists &amp; Settings'!$O$10,IF($N1630="Pass",IF($M1630&gt;='Lists &amp; Settings'!$N$2,'Lists &amp; Settings'!$O$2,IF($M1630&gt;='Lists &amp; Settings'!$N$3,'Lists &amp; Settings'!$O$3,'Lists &amp; Settings'!$O$4)),IF($N1630="Partial",IF($M1630&gt;='Lists &amp; Settings'!$N$6,'Lists &amp; Settings'!$O$6,IF($M1630&gt;='Lists &amp; Settings'!$N$7,'Lists &amp; Settings'!$O$7,'Lists &amp; Settings'!$O$8)),'Lists &amp; Settings'!$O$10))))))</f>
        <v/>
      </c>
      <c r="T1630" s="31"/>
      <c r="U1630" s="31"/>
      <c r="V1630" s="31"/>
    </row>
    <row r="1631" ht="15.75" customHeight="1">
      <c r="B1631" s="31"/>
      <c r="N1631" s="127"/>
      <c r="S1631" s="31" t="str">
        <f>IF($C1631="","",IF(OR($M1631="",$N1631=""),'Lists &amp; Settings'!$O$10,IF($N1631="Fail",'Lists &amp; Settings'!$O$9,IF($N1631="Insufficient Evidence",'Lists &amp; Settings'!$O$10,IF($N1631="Pass",IF($M1631&gt;='Lists &amp; Settings'!$N$2,'Lists &amp; Settings'!$O$2,IF($M1631&gt;='Lists &amp; Settings'!$N$3,'Lists &amp; Settings'!$O$3,'Lists &amp; Settings'!$O$4)),IF($N1631="Partial",IF($M1631&gt;='Lists &amp; Settings'!$N$6,'Lists &amp; Settings'!$O$6,IF($M1631&gt;='Lists &amp; Settings'!$N$7,'Lists &amp; Settings'!$O$7,'Lists &amp; Settings'!$O$8)),'Lists &amp; Settings'!$O$10))))))</f>
        <v/>
      </c>
      <c r="T1631" s="31"/>
      <c r="U1631" s="31"/>
      <c r="V1631" s="31"/>
    </row>
    <row r="1632" ht="15.75" customHeight="1">
      <c r="B1632" s="31"/>
      <c r="N1632" s="127"/>
      <c r="S1632" s="31" t="str">
        <f>IF($C1632="","",IF(OR($M1632="",$N1632=""),'Lists &amp; Settings'!$O$10,IF($N1632="Fail",'Lists &amp; Settings'!$O$9,IF($N1632="Insufficient Evidence",'Lists &amp; Settings'!$O$10,IF($N1632="Pass",IF($M1632&gt;='Lists &amp; Settings'!$N$2,'Lists &amp; Settings'!$O$2,IF($M1632&gt;='Lists &amp; Settings'!$N$3,'Lists &amp; Settings'!$O$3,'Lists &amp; Settings'!$O$4)),IF($N1632="Partial",IF($M1632&gt;='Lists &amp; Settings'!$N$6,'Lists &amp; Settings'!$O$6,IF($M1632&gt;='Lists &amp; Settings'!$N$7,'Lists &amp; Settings'!$O$7,'Lists &amp; Settings'!$O$8)),'Lists &amp; Settings'!$O$10))))))</f>
        <v/>
      </c>
      <c r="T1632" s="31"/>
      <c r="U1632" s="31"/>
      <c r="V1632" s="31"/>
    </row>
    <row r="1633" ht="15.75" customHeight="1">
      <c r="B1633" s="31"/>
      <c r="N1633" s="127"/>
      <c r="S1633" s="31" t="str">
        <f>IF($C1633="","",IF(OR($M1633="",$N1633=""),'Lists &amp; Settings'!$O$10,IF($N1633="Fail",'Lists &amp; Settings'!$O$9,IF($N1633="Insufficient Evidence",'Lists &amp; Settings'!$O$10,IF($N1633="Pass",IF($M1633&gt;='Lists &amp; Settings'!$N$2,'Lists &amp; Settings'!$O$2,IF($M1633&gt;='Lists &amp; Settings'!$N$3,'Lists &amp; Settings'!$O$3,'Lists &amp; Settings'!$O$4)),IF($N1633="Partial",IF($M1633&gt;='Lists &amp; Settings'!$N$6,'Lists &amp; Settings'!$O$6,IF($M1633&gt;='Lists &amp; Settings'!$N$7,'Lists &amp; Settings'!$O$7,'Lists &amp; Settings'!$O$8)),'Lists &amp; Settings'!$O$10))))))</f>
        <v/>
      </c>
      <c r="T1633" s="31"/>
      <c r="U1633" s="31"/>
      <c r="V1633" s="31"/>
    </row>
    <row r="1634" ht="15.75" customHeight="1">
      <c r="B1634" s="31"/>
      <c r="N1634" s="127"/>
      <c r="S1634" s="31" t="str">
        <f>IF($C1634="","",IF(OR($M1634="",$N1634=""),'Lists &amp; Settings'!$O$10,IF($N1634="Fail",'Lists &amp; Settings'!$O$9,IF($N1634="Insufficient Evidence",'Lists &amp; Settings'!$O$10,IF($N1634="Pass",IF($M1634&gt;='Lists &amp; Settings'!$N$2,'Lists &amp; Settings'!$O$2,IF($M1634&gt;='Lists &amp; Settings'!$N$3,'Lists &amp; Settings'!$O$3,'Lists &amp; Settings'!$O$4)),IF($N1634="Partial",IF($M1634&gt;='Lists &amp; Settings'!$N$6,'Lists &amp; Settings'!$O$6,IF($M1634&gt;='Lists &amp; Settings'!$N$7,'Lists &amp; Settings'!$O$7,'Lists &amp; Settings'!$O$8)),'Lists &amp; Settings'!$O$10))))))</f>
        <v/>
      </c>
      <c r="T1634" s="31"/>
      <c r="U1634" s="31"/>
      <c r="V1634" s="31"/>
    </row>
    <row r="1635" ht="15.75" customHeight="1">
      <c r="B1635" s="31"/>
      <c r="N1635" s="127"/>
      <c r="S1635" s="31" t="str">
        <f>IF($C1635="","",IF(OR($M1635="",$N1635=""),'Lists &amp; Settings'!$O$10,IF($N1635="Fail",'Lists &amp; Settings'!$O$9,IF($N1635="Insufficient Evidence",'Lists &amp; Settings'!$O$10,IF($N1635="Pass",IF($M1635&gt;='Lists &amp; Settings'!$N$2,'Lists &amp; Settings'!$O$2,IF($M1635&gt;='Lists &amp; Settings'!$N$3,'Lists &amp; Settings'!$O$3,'Lists &amp; Settings'!$O$4)),IF($N1635="Partial",IF($M1635&gt;='Lists &amp; Settings'!$N$6,'Lists &amp; Settings'!$O$6,IF($M1635&gt;='Lists &amp; Settings'!$N$7,'Lists &amp; Settings'!$O$7,'Lists &amp; Settings'!$O$8)),'Lists &amp; Settings'!$O$10))))))</f>
        <v/>
      </c>
      <c r="T1635" s="31"/>
      <c r="U1635" s="31"/>
      <c r="V1635" s="31"/>
    </row>
    <row r="1636" ht="15.75" customHeight="1">
      <c r="B1636" s="31"/>
      <c r="N1636" s="127"/>
      <c r="S1636" s="31" t="str">
        <f>IF($C1636="","",IF(OR($M1636="",$N1636=""),'Lists &amp; Settings'!$O$10,IF($N1636="Fail",'Lists &amp; Settings'!$O$9,IF($N1636="Insufficient Evidence",'Lists &amp; Settings'!$O$10,IF($N1636="Pass",IF($M1636&gt;='Lists &amp; Settings'!$N$2,'Lists &amp; Settings'!$O$2,IF($M1636&gt;='Lists &amp; Settings'!$N$3,'Lists &amp; Settings'!$O$3,'Lists &amp; Settings'!$O$4)),IF($N1636="Partial",IF($M1636&gt;='Lists &amp; Settings'!$N$6,'Lists &amp; Settings'!$O$6,IF($M1636&gt;='Lists &amp; Settings'!$N$7,'Lists &amp; Settings'!$O$7,'Lists &amp; Settings'!$O$8)),'Lists &amp; Settings'!$O$10))))))</f>
        <v/>
      </c>
      <c r="T1636" s="31"/>
      <c r="U1636" s="31"/>
      <c r="V1636" s="31"/>
    </row>
    <row r="1637" ht="15.75" customHeight="1">
      <c r="B1637" s="31"/>
      <c r="N1637" s="127"/>
      <c r="S1637" s="31" t="str">
        <f>IF($C1637="","",IF(OR($M1637="",$N1637=""),'Lists &amp; Settings'!$O$10,IF($N1637="Fail",'Lists &amp; Settings'!$O$9,IF($N1637="Insufficient Evidence",'Lists &amp; Settings'!$O$10,IF($N1637="Pass",IF($M1637&gt;='Lists &amp; Settings'!$N$2,'Lists &amp; Settings'!$O$2,IF($M1637&gt;='Lists &amp; Settings'!$N$3,'Lists &amp; Settings'!$O$3,'Lists &amp; Settings'!$O$4)),IF($N1637="Partial",IF($M1637&gt;='Lists &amp; Settings'!$N$6,'Lists &amp; Settings'!$O$6,IF($M1637&gt;='Lists &amp; Settings'!$N$7,'Lists &amp; Settings'!$O$7,'Lists &amp; Settings'!$O$8)),'Lists &amp; Settings'!$O$10))))))</f>
        <v/>
      </c>
      <c r="T1637" s="31"/>
      <c r="U1637" s="31"/>
      <c r="V1637" s="31"/>
    </row>
    <row r="1638" ht="15.75" customHeight="1">
      <c r="B1638" s="31"/>
      <c r="N1638" s="127"/>
      <c r="S1638" s="31" t="str">
        <f>IF($C1638="","",IF(OR($M1638="",$N1638=""),'Lists &amp; Settings'!$O$10,IF($N1638="Fail",'Lists &amp; Settings'!$O$9,IF($N1638="Insufficient Evidence",'Lists &amp; Settings'!$O$10,IF($N1638="Pass",IF($M1638&gt;='Lists &amp; Settings'!$N$2,'Lists &amp; Settings'!$O$2,IF($M1638&gt;='Lists &amp; Settings'!$N$3,'Lists &amp; Settings'!$O$3,'Lists &amp; Settings'!$O$4)),IF($N1638="Partial",IF($M1638&gt;='Lists &amp; Settings'!$N$6,'Lists &amp; Settings'!$O$6,IF($M1638&gt;='Lists &amp; Settings'!$N$7,'Lists &amp; Settings'!$O$7,'Lists &amp; Settings'!$O$8)),'Lists &amp; Settings'!$O$10))))))</f>
        <v/>
      </c>
      <c r="T1638" s="31"/>
      <c r="U1638" s="31"/>
      <c r="V1638" s="31"/>
    </row>
    <row r="1639" ht="15.75" customHeight="1">
      <c r="B1639" s="31"/>
      <c r="N1639" s="127"/>
      <c r="S1639" s="31" t="str">
        <f>IF($C1639="","",IF(OR($M1639="",$N1639=""),'Lists &amp; Settings'!$O$10,IF($N1639="Fail",'Lists &amp; Settings'!$O$9,IF($N1639="Insufficient Evidence",'Lists &amp; Settings'!$O$10,IF($N1639="Pass",IF($M1639&gt;='Lists &amp; Settings'!$N$2,'Lists &amp; Settings'!$O$2,IF($M1639&gt;='Lists &amp; Settings'!$N$3,'Lists &amp; Settings'!$O$3,'Lists &amp; Settings'!$O$4)),IF($N1639="Partial",IF($M1639&gt;='Lists &amp; Settings'!$N$6,'Lists &amp; Settings'!$O$6,IF($M1639&gt;='Lists &amp; Settings'!$N$7,'Lists &amp; Settings'!$O$7,'Lists &amp; Settings'!$O$8)),'Lists &amp; Settings'!$O$10))))))</f>
        <v/>
      </c>
      <c r="T1639" s="31"/>
      <c r="U1639" s="31"/>
      <c r="V1639" s="31"/>
    </row>
    <row r="1640" ht="15.75" customHeight="1">
      <c r="B1640" s="31"/>
      <c r="N1640" s="127"/>
      <c r="S1640" s="31" t="str">
        <f>IF($C1640="","",IF(OR($M1640="",$N1640=""),'Lists &amp; Settings'!$O$10,IF($N1640="Fail",'Lists &amp; Settings'!$O$9,IF($N1640="Insufficient Evidence",'Lists &amp; Settings'!$O$10,IF($N1640="Pass",IF($M1640&gt;='Lists &amp; Settings'!$N$2,'Lists &amp; Settings'!$O$2,IF($M1640&gt;='Lists &amp; Settings'!$N$3,'Lists &amp; Settings'!$O$3,'Lists &amp; Settings'!$O$4)),IF($N1640="Partial",IF($M1640&gt;='Lists &amp; Settings'!$N$6,'Lists &amp; Settings'!$O$6,IF($M1640&gt;='Lists &amp; Settings'!$N$7,'Lists &amp; Settings'!$O$7,'Lists &amp; Settings'!$O$8)),'Lists &amp; Settings'!$O$10))))))</f>
        <v/>
      </c>
      <c r="T1640" s="31"/>
      <c r="U1640" s="31"/>
      <c r="V1640" s="31"/>
    </row>
    <row r="1641" ht="15.75" customHeight="1">
      <c r="B1641" s="31"/>
      <c r="N1641" s="127"/>
      <c r="S1641" s="31" t="str">
        <f>IF($C1641="","",IF(OR($M1641="",$N1641=""),'Lists &amp; Settings'!$O$10,IF($N1641="Fail",'Lists &amp; Settings'!$O$9,IF($N1641="Insufficient Evidence",'Lists &amp; Settings'!$O$10,IF($N1641="Pass",IF($M1641&gt;='Lists &amp; Settings'!$N$2,'Lists &amp; Settings'!$O$2,IF($M1641&gt;='Lists &amp; Settings'!$N$3,'Lists &amp; Settings'!$O$3,'Lists &amp; Settings'!$O$4)),IF($N1641="Partial",IF($M1641&gt;='Lists &amp; Settings'!$N$6,'Lists &amp; Settings'!$O$6,IF($M1641&gt;='Lists &amp; Settings'!$N$7,'Lists &amp; Settings'!$O$7,'Lists &amp; Settings'!$O$8)),'Lists &amp; Settings'!$O$10))))))</f>
        <v/>
      </c>
      <c r="T1641" s="31"/>
      <c r="U1641" s="31"/>
      <c r="V1641" s="31"/>
    </row>
    <row r="1642" ht="15.75" customHeight="1">
      <c r="B1642" s="31"/>
      <c r="N1642" s="127"/>
      <c r="S1642" s="31" t="str">
        <f>IF($C1642="","",IF(OR($M1642="",$N1642=""),'Lists &amp; Settings'!$O$10,IF($N1642="Fail",'Lists &amp; Settings'!$O$9,IF($N1642="Insufficient Evidence",'Lists &amp; Settings'!$O$10,IF($N1642="Pass",IF($M1642&gt;='Lists &amp; Settings'!$N$2,'Lists &amp; Settings'!$O$2,IF($M1642&gt;='Lists &amp; Settings'!$N$3,'Lists &amp; Settings'!$O$3,'Lists &amp; Settings'!$O$4)),IF($N1642="Partial",IF($M1642&gt;='Lists &amp; Settings'!$N$6,'Lists &amp; Settings'!$O$6,IF($M1642&gt;='Lists &amp; Settings'!$N$7,'Lists &amp; Settings'!$O$7,'Lists &amp; Settings'!$O$8)),'Lists &amp; Settings'!$O$10))))))</f>
        <v/>
      </c>
      <c r="T1642" s="31"/>
      <c r="U1642" s="31"/>
      <c r="V1642" s="31"/>
    </row>
    <row r="1643" ht="15.75" customHeight="1">
      <c r="B1643" s="31"/>
      <c r="N1643" s="127"/>
      <c r="S1643" s="31" t="str">
        <f>IF($C1643="","",IF(OR($M1643="",$N1643=""),'Lists &amp; Settings'!$O$10,IF($N1643="Fail",'Lists &amp; Settings'!$O$9,IF($N1643="Insufficient Evidence",'Lists &amp; Settings'!$O$10,IF($N1643="Pass",IF($M1643&gt;='Lists &amp; Settings'!$N$2,'Lists &amp; Settings'!$O$2,IF($M1643&gt;='Lists &amp; Settings'!$N$3,'Lists &amp; Settings'!$O$3,'Lists &amp; Settings'!$O$4)),IF($N1643="Partial",IF($M1643&gt;='Lists &amp; Settings'!$N$6,'Lists &amp; Settings'!$O$6,IF($M1643&gt;='Lists &amp; Settings'!$N$7,'Lists &amp; Settings'!$O$7,'Lists &amp; Settings'!$O$8)),'Lists &amp; Settings'!$O$10))))))</f>
        <v/>
      </c>
      <c r="T1643" s="31"/>
      <c r="U1643" s="31"/>
      <c r="V1643" s="31"/>
    </row>
    <row r="1644" ht="15.75" customHeight="1">
      <c r="B1644" s="31"/>
      <c r="N1644" s="127"/>
      <c r="S1644" s="31" t="str">
        <f>IF($C1644="","",IF(OR($M1644="",$N1644=""),'Lists &amp; Settings'!$O$10,IF($N1644="Fail",'Lists &amp; Settings'!$O$9,IF($N1644="Insufficient Evidence",'Lists &amp; Settings'!$O$10,IF($N1644="Pass",IF($M1644&gt;='Lists &amp; Settings'!$N$2,'Lists &amp; Settings'!$O$2,IF($M1644&gt;='Lists &amp; Settings'!$N$3,'Lists &amp; Settings'!$O$3,'Lists &amp; Settings'!$O$4)),IF($N1644="Partial",IF($M1644&gt;='Lists &amp; Settings'!$N$6,'Lists &amp; Settings'!$O$6,IF($M1644&gt;='Lists &amp; Settings'!$N$7,'Lists &amp; Settings'!$O$7,'Lists &amp; Settings'!$O$8)),'Lists &amp; Settings'!$O$10))))))</f>
        <v/>
      </c>
      <c r="T1644" s="31"/>
      <c r="U1644" s="31"/>
      <c r="V1644" s="31"/>
    </row>
    <row r="1645" ht="15.75" customHeight="1">
      <c r="B1645" s="31"/>
      <c r="N1645" s="127"/>
      <c r="S1645" s="31" t="str">
        <f>IF($C1645="","",IF(OR($M1645="",$N1645=""),'Lists &amp; Settings'!$O$10,IF($N1645="Fail",'Lists &amp; Settings'!$O$9,IF($N1645="Insufficient Evidence",'Lists &amp; Settings'!$O$10,IF($N1645="Pass",IF($M1645&gt;='Lists &amp; Settings'!$N$2,'Lists &amp; Settings'!$O$2,IF($M1645&gt;='Lists &amp; Settings'!$N$3,'Lists &amp; Settings'!$O$3,'Lists &amp; Settings'!$O$4)),IF($N1645="Partial",IF($M1645&gt;='Lists &amp; Settings'!$N$6,'Lists &amp; Settings'!$O$6,IF($M1645&gt;='Lists &amp; Settings'!$N$7,'Lists &amp; Settings'!$O$7,'Lists &amp; Settings'!$O$8)),'Lists &amp; Settings'!$O$10))))))</f>
        <v/>
      </c>
      <c r="T1645" s="31"/>
      <c r="U1645" s="31"/>
      <c r="V1645" s="31"/>
    </row>
    <row r="1646" ht="15.75" customHeight="1">
      <c r="B1646" s="31"/>
      <c r="N1646" s="127"/>
      <c r="S1646" s="31" t="str">
        <f>IF($C1646="","",IF(OR($M1646="",$N1646=""),'Lists &amp; Settings'!$O$10,IF($N1646="Fail",'Lists &amp; Settings'!$O$9,IF($N1646="Insufficient Evidence",'Lists &amp; Settings'!$O$10,IF($N1646="Pass",IF($M1646&gt;='Lists &amp; Settings'!$N$2,'Lists &amp; Settings'!$O$2,IF($M1646&gt;='Lists &amp; Settings'!$N$3,'Lists &amp; Settings'!$O$3,'Lists &amp; Settings'!$O$4)),IF($N1646="Partial",IF($M1646&gt;='Lists &amp; Settings'!$N$6,'Lists &amp; Settings'!$O$6,IF($M1646&gt;='Lists &amp; Settings'!$N$7,'Lists &amp; Settings'!$O$7,'Lists &amp; Settings'!$O$8)),'Lists &amp; Settings'!$O$10))))))</f>
        <v/>
      </c>
      <c r="T1646" s="31"/>
      <c r="U1646" s="31"/>
      <c r="V1646" s="31"/>
    </row>
    <row r="1647" ht="15.75" customHeight="1">
      <c r="B1647" s="31"/>
      <c r="N1647" s="127"/>
      <c r="S1647" s="31" t="str">
        <f>IF($C1647="","",IF(OR($M1647="",$N1647=""),'Lists &amp; Settings'!$O$10,IF($N1647="Fail",'Lists &amp; Settings'!$O$9,IF($N1647="Insufficient Evidence",'Lists &amp; Settings'!$O$10,IF($N1647="Pass",IF($M1647&gt;='Lists &amp; Settings'!$N$2,'Lists &amp; Settings'!$O$2,IF($M1647&gt;='Lists &amp; Settings'!$N$3,'Lists &amp; Settings'!$O$3,'Lists &amp; Settings'!$O$4)),IF($N1647="Partial",IF($M1647&gt;='Lists &amp; Settings'!$N$6,'Lists &amp; Settings'!$O$6,IF($M1647&gt;='Lists &amp; Settings'!$N$7,'Lists &amp; Settings'!$O$7,'Lists &amp; Settings'!$O$8)),'Lists &amp; Settings'!$O$10))))))</f>
        <v/>
      </c>
      <c r="T1647" s="31"/>
      <c r="U1647" s="31"/>
      <c r="V1647" s="31"/>
    </row>
    <row r="1648" ht="15.75" customHeight="1">
      <c r="B1648" s="31"/>
      <c r="N1648" s="127"/>
      <c r="S1648" s="31" t="str">
        <f>IF($C1648="","",IF(OR($M1648="",$N1648=""),'Lists &amp; Settings'!$O$10,IF($N1648="Fail",'Lists &amp; Settings'!$O$9,IF($N1648="Insufficient Evidence",'Lists &amp; Settings'!$O$10,IF($N1648="Pass",IF($M1648&gt;='Lists &amp; Settings'!$N$2,'Lists &amp; Settings'!$O$2,IF($M1648&gt;='Lists &amp; Settings'!$N$3,'Lists &amp; Settings'!$O$3,'Lists &amp; Settings'!$O$4)),IF($N1648="Partial",IF($M1648&gt;='Lists &amp; Settings'!$N$6,'Lists &amp; Settings'!$O$6,IF($M1648&gt;='Lists &amp; Settings'!$N$7,'Lists &amp; Settings'!$O$7,'Lists &amp; Settings'!$O$8)),'Lists &amp; Settings'!$O$10))))))</f>
        <v/>
      </c>
      <c r="T1648" s="31"/>
      <c r="U1648" s="31"/>
      <c r="V1648" s="31"/>
    </row>
    <row r="1649" ht="15.75" customHeight="1">
      <c r="B1649" s="31"/>
      <c r="N1649" s="127"/>
      <c r="S1649" s="31" t="str">
        <f>IF($C1649="","",IF(OR($M1649="",$N1649=""),'Lists &amp; Settings'!$O$10,IF($N1649="Fail",'Lists &amp; Settings'!$O$9,IF($N1649="Insufficient Evidence",'Lists &amp; Settings'!$O$10,IF($N1649="Pass",IF($M1649&gt;='Lists &amp; Settings'!$N$2,'Lists &amp; Settings'!$O$2,IF($M1649&gt;='Lists &amp; Settings'!$N$3,'Lists &amp; Settings'!$O$3,'Lists &amp; Settings'!$O$4)),IF($N1649="Partial",IF($M1649&gt;='Lists &amp; Settings'!$N$6,'Lists &amp; Settings'!$O$6,IF($M1649&gt;='Lists &amp; Settings'!$N$7,'Lists &amp; Settings'!$O$7,'Lists &amp; Settings'!$O$8)),'Lists &amp; Settings'!$O$10))))))</f>
        <v/>
      </c>
      <c r="T1649" s="31"/>
      <c r="U1649" s="31"/>
      <c r="V1649" s="31"/>
    </row>
    <row r="1650" ht="15.75" customHeight="1">
      <c r="B1650" s="31"/>
      <c r="N1650" s="127"/>
      <c r="S1650" s="31" t="str">
        <f>IF($C1650="","",IF(OR($M1650="",$N1650=""),'Lists &amp; Settings'!$O$10,IF($N1650="Fail",'Lists &amp; Settings'!$O$9,IF($N1650="Insufficient Evidence",'Lists &amp; Settings'!$O$10,IF($N1650="Pass",IF($M1650&gt;='Lists &amp; Settings'!$N$2,'Lists &amp; Settings'!$O$2,IF($M1650&gt;='Lists &amp; Settings'!$N$3,'Lists &amp; Settings'!$O$3,'Lists &amp; Settings'!$O$4)),IF($N1650="Partial",IF($M1650&gt;='Lists &amp; Settings'!$N$6,'Lists &amp; Settings'!$O$6,IF($M1650&gt;='Lists &amp; Settings'!$N$7,'Lists &amp; Settings'!$O$7,'Lists &amp; Settings'!$O$8)),'Lists &amp; Settings'!$O$10))))))</f>
        <v/>
      </c>
      <c r="T1650" s="31"/>
      <c r="U1650" s="31"/>
      <c r="V1650" s="31"/>
    </row>
    <row r="1651" ht="15.75" customHeight="1">
      <c r="B1651" s="31"/>
      <c r="N1651" s="127"/>
      <c r="S1651" s="31" t="str">
        <f>IF($C1651="","",IF(OR($M1651="",$N1651=""),'Lists &amp; Settings'!$O$10,IF($N1651="Fail",'Lists &amp; Settings'!$O$9,IF($N1651="Insufficient Evidence",'Lists &amp; Settings'!$O$10,IF($N1651="Pass",IF($M1651&gt;='Lists &amp; Settings'!$N$2,'Lists &amp; Settings'!$O$2,IF($M1651&gt;='Lists &amp; Settings'!$N$3,'Lists &amp; Settings'!$O$3,'Lists &amp; Settings'!$O$4)),IF($N1651="Partial",IF($M1651&gt;='Lists &amp; Settings'!$N$6,'Lists &amp; Settings'!$O$6,IF($M1651&gt;='Lists &amp; Settings'!$N$7,'Lists &amp; Settings'!$O$7,'Lists &amp; Settings'!$O$8)),'Lists &amp; Settings'!$O$10))))))</f>
        <v/>
      </c>
      <c r="T1651" s="31"/>
      <c r="U1651" s="31"/>
      <c r="V1651" s="31"/>
    </row>
    <row r="1652" ht="15.75" customHeight="1">
      <c r="B1652" s="31"/>
      <c r="N1652" s="127"/>
      <c r="S1652" s="31" t="str">
        <f>IF($C1652="","",IF(OR($M1652="",$N1652=""),'Lists &amp; Settings'!$O$10,IF($N1652="Fail",'Lists &amp; Settings'!$O$9,IF($N1652="Insufficient Evidence",'Lists &amp; Settings'!$O$10,IF($N1652="Pass",IF($M1652&gt;='Lists &amp; Settings'!$N$2,'Lists &amp; Settings'!$O$2,IF($M1652&gt;='Lists &amp; Settings'!$N$3,'Lists &amp; Settings'!$O$3,'Lists &amp; Settings'!$O$4)),IF($N1652="Partial",IF($M1652&gt;='Lists &amp; Settings'!$N$6,'Lists &amp; Settings'!$O$6,IF($M1652&gt;='Lists &amp; Settings'!$N$7,'Lists &amp; Settings'!$O$7,'Lists &amp; Settings'!$O$8)),'Lists &amp; Settings'!$O$10))))))</f>
        <v/>
      </c>
      <c r="T1652" s="31"/>
      <c r="U1652" s="31"/>
      <c r="V1652" s="31"/>
    </row>
    <row r="1653" ht="15.75" customHeight="1">
      <c r="B1653" s="31"/>
      <c r="N1653" s="127"/>
      <c r="S1653" s="31" t="str">
        <f>IF($C1653="","",IF(OR($M1653="",$N1653=""),'Lists &amp; Settings'!$O$10,IF($N1653="Fail",'Lists &amp; Settings'!$O$9,IF($N1653="Insufficient Evidence",'Lists &amp; Settings'!$O$10,IF($N1653="Pass",IF($M1653&gt;='Lists &amp; Settings'!$N$2,'Lists &amp; Settings'!$O$2,IF($M1653&gt;='Lists &amp; Settings'!$N$3,'Lists &amp; Settings'!$O$3,'Lists &amp; Settings'!$O$4)),IF($N1653="Partial",IF($M1653&gt;='Lists &amp; Settings'!$N$6,'Lists &amp; Settings'!$O$6,IF($M1653&gt;='Lists &amp; Settings'!$N$7,'Lists &amp; Settings'!$O$7,'Lists &amp; Settings'!$O$8)),'Lists &amp; Settings'!$O$10))))))</f>
        <v/>
      </c>
      <c r="T1653" s="31"/>
      <c r="U1653" s="31"/>
      <c r="V1653" s="31"/>
    </row>
    <row r="1654" ht="15.75" customHeight="1">
      <c r="B1654" s="31"/>
      <c r="N1654" s="127"/>
      <c r="S1654" s="31" t="str">
        <f>IF($C1654="","",IF(OR($M1654="",$N1654=""),'Lists &amp; Settings'!$O$10,IF($N1654="Fail",'Lists &amp; Settings'!$O$9,IF($N1654="Insufficient Evidence",'Lists &amp; Settings'!$O$10,IF($N1654="Pass",IF($M1654&gt;='Lists &amp; Settings'!$N$2,'Lists &amp; Settings'!$O$2,IF($M1654&gt;='Lists &amp; Settings'!$N$3,'Lists &amp; Settings'!$O$3,'Lists &amp; Settings'!$O$4)),IF($N1654="Partial",IF($M1654&gt;='Lists &amp; Settings'!$N$6,'Lists &amp; Settings'!$O$6,IF($M1654&gt;='Lists &amp; Settings'!$N$7,'Lists &amp; Settings'!$O$7,'Lists &amp; Settings'!$O$8)),'Lists &amp; Settings'!$O$10))))))</f>
        <v/>
      </c>
      <c r="T1654" s="31"/>
      <c r="U1654" s="31"/>
      <c r="V1654" s="31"/>
    </row>
    <row r="1655" ht="15.75" customHeight="1">
      <c r="B1655" s="31"/>
      <c r="N1655" s="127"/>
      <c r="S1655" s="31" t="str">
        <f>IF($C1655="","",IF(OR($M1655="",$N1655=""),'Lists &amp; Settings'!$O$10,IF($N1655="Fail",'Lists &amp; Settings'!$O$9,IF($N1655="Insufficient Evidence",'Lists &amp; Settings'!$O$10,IF($N1655="Pass",IF($M1655&gt;='Lists &amp; Settings'!$N$2,'Lists &amp; Settings'!$O$2,IF($M1655&gt;='Lists &amp; Settings'!$N$3,'Lists &amp; Settings'!$O$3,'Lists &amp; Settings'!$O$4)),IF($N1655="Partial",IF($M1655&gt;='Lists &amp; Settings'!$N$6,'Lists &amp; Settings'!$O$6,IF($M1655&gt;='Lists &amp; Settings'!$N$7,'Lists &amp; Settings'!$O$7,'Lists &amp; Settings'!$O$8)),'Lists &amp; Settings'!$O$10))))))</f>
        <v/>
      </c>
      <c r="T1655" s="31"/>
      <c r="U1655" s="31"/>
      <c r="V1655" s="31"/>
    </row>
    <row r="1656" ht="15.75" customHeight="1">
      <c r="B1656" s="31"/>
      <c r="N1656" s="127"/>
      <c r="S1656" s="31" t="str">
        <f>IF($C1656="","",IF(OR($M1656="",$N1656=""),'Lists &amp; Settings'!$O$10,IF($N1656="Fail",'Lists &amp; Settings'!$O$9,IF($N1656="Insufficient Evidence",'Lists &amp; Settings'!$O$10,IF($N1656="Pass",IF($M1656&gt;='Lists &amp; Settings'!$N$2,'Lists &amp; Settings'!$O$2,IF($M1656&gt;='Lists &amp; Settings'!$N$3,'Lists &amp; Settings'!$O$3,'Lists &amp; Settings'!$O$4)),IF($N1656="Partial",IF($M1656&gt;='Lists &amp; Settings'!$N$6,'Lists &amp; Settings'!$O$6,IF($M1656&gt;='Lists &amp; Settings'!$N$7,'Lists &amp; Settings'!$O$7,'Lists &amp; Settings'!$O$8)),'Lists &amp; Settings'!$O$10))))))</f>
        <v/>
      </c>
      <c r="T1656" s="31"/>
      <c r="U1656" s="31"/>
      <c r="V1656" s="31"/>
    </row>
    <row r="1657" ht="15.75" customHeight="1">
      <c r="B1657" s="31"/>
      <c r="N1657" s="127"/>
      <c r="S1657" s="31" t="str">
        <f>IF($C1657="","",IF(OR($M1657="",$N1657=""),'Lists &amp; Settings'!$O$10,IF($N1657="Fail",'Lists &amp; Settings'!$O$9,IF($N1657="Insufficient Evidence",'Lists &amp; Settings'!$O$10,IF($N1657="Pass",IF($M1657&gt;='Lists &amp; Settings'!$N$2,'Lists &amp; Settings'!$O$2,IF($M1657&gt;='Lists &amp; Settings'!$N$3,'Lists &amp; Settings'!$O$3,'Lists &amp; Settings'!$O$4)),IF($N1657="Partial",IF($M1657&gt;='Lists &amp; Settings'!$N$6,'Lists &amp; Settings'!$O$6,IF($M1657&gt;='Lists &amp; Settings'!$N$7,'Lists &amp; Settings'!$O$7,'Lists &amp; Settings'!$O$8)),'Lists &amp; Settings'!$O$10))))))</f>
        <v/>
      </c>
      <c r="T1657" s="31"/>
      <c r="U1657" s="31"/>
      <c r="V1657" s="31"/>
    </row>
    <row r="1658" ht="15.75" customHeight="1">
      <c r="B1658" s="31"/>
      <c r="N1658" s="127"/>
      <c r="S1658" s="31" t="str">
        <f>IF($C1658="","",IF(OR($M1658="",$N1658=""),'Lists &amp; Settings'!$O$10,IF($N1658="Fail",'Lists &amp; Settings'!$O$9,IF($N1658="Insufficient Evidence",'Lists &amp; Settings'!$O$10,IF($N1658="Pass",IF($M1658&gt;='Lists &amp; Settings'!$N$2,'Lists &amp; Settings'!$O$2,IF($M1658&gt;='Lists &amp; Settings'!$N$3,'Lists &amp; Settings'!$O$3,'Lists &amp; Settings'!$O$4)),IF($N1658="Partial",IF($M1658&gt;='Lists &amp; Settings'!$N$6,'Lists &amp; Settings'!$O$6,IF($M1658&gt;='Lists &amp; Settings'!$N$7,'Lists &amp; Settings'!$O$7,'Lists &amp; Settings'!$O$8)),'Lists &amp; Settings'!$O$10))))))</f>
        <v/>
      </c>
      <c r="T1658" s="31"/>
      <c r="U1658" s="31"/>
      <c r="V1658" s="31"/>
    </row>
    <row r="1659" ht="15.75" customHeight="1">
      <c r="B1659" s="31"/>
      <c r="N1659" s="127"/>
      <c r="S1659" s="31" t="str">
        <f>IF($C1659="","",IF(OR($M1659="",$N1659=""),'Lists &amp; Settings'!$O$10,IF($N1659="Fail",'Lists &amp; Settings'!$O$9,IF($N1659="Insufficient Evidence",'Lists &amp; Settings'!$O$10,IF($N1659="Pass",IF($M1659&gt;='Lists &amp; Settings'!$N$2,'Lists &amp; Settings'!$O$2,IF($M1659&gt;='Lists &amp; Settings'!$N$3,'Lists &amp; Settings'!$O$3,'Lists &amp; Settings'!$O$4)),IF($N1659="Partial",IF($M1659&gt;='Lists &amp; Settings'!$N$6,'Lists &amp; Settings'!$O$6,IF($M1659&gt;='Lists &amp; Settings'!$N$7,'Lists &amp; Settings'!$O$7,'Lists &amp; Settings'!$O$8)),'Lists &amp; Settings'!$O$10))))))</f>
        <v/>
      </c>
      <c r="T1659" s="31"/>
      <c r="U1659" s="31"/>
      <c r="V1659" s="31"/>
    </row>
    <row r="1660" ht="15.75" customHeight="1">
      <c r="B1660" s="31"/>
      <c r="N1660" s="127"/>
      <c r="S1660" s="31" t="str">
        <f>IF($C1660="","",IF(OR($M1660="",$N1660=""),'Lists &amp; Settings'!$O$10,IF($N1660="Fail",'Lists &amp; Settings'!$O$9,IF($N1660="Insufficient Evidence",'Lists &amp; Settings'!$O$10,IF($N1660="Pass",IF($M1660&gt;='Lists &amp; Settings'!$N$2,'Lists &amp; Settings'!$O$2,IF($M1660&gt;='Lists &amp; Settings'!$N$3,'Lists &amp; Settings'!$O$3,'Lists &amp; Settings'!$O$4)),IF($N1660="Partial",IF($M1660&gt;='Lists &amp; Settings'!$N$6,'Lists &amp; Settings'!$O$6,IF($M1660&gt;='Lists &amp; Settings'!$N$7,'Lists &amp; Settings'!$O$7,'Lists &amp; Settings'!$O$8)),'Lists &amp; Settings'!$O$10))))))</f>
        <v/>
      </c>
      <c r="T1660" s="31"/>
      <c r="U1660" s="31"/>
      <c r="V1660" s="31"/>
    </row>
    <row r="1661" ht="15.75" customHeight="1">
      <c r="B1661" s="31"/>
      <c r="N1661" s="127"/>
      <c r="S1661" s="31" t="str">
        <f>IF($C1661="","",IF(OR($M1661="",$N1661=""),'Lists &amp; Settings'!$O$10,IF($N1661="Fail",'Lists &amp; Settings'!$O$9,IF($N1661="Insufficient Evidence",'Lists &amp; Settings'!$O$10,IF($N1661="Pass",IF($M1661&gt;='Lists &amp; Settings'!$N$2,'Lists &amp; Settings'!$O$2,IF($M1661&gt;='Lists &amp; Settings'!$N$3,'Lists &amp; Settings'!$O$3,'Lists &amp; Settings'!$O$4)),IF($N1661="Partial",IF($M1661&gt;='Lists &amp; Settings'!$N$6,'Lists &amp; Settings'!$O$6,IF($M1661&gt;='Lists &amp; Settings'!$N$7,'Lists &amp; Settings'!$O$7,'Lists &amp; Settings'!$O$8)),'Lists &amp; Settings'!$O$10))))))</f>
        <v/>
      </c>
      <c r="T1661" s="31"/>
      <c r="U1661" s="31"/>
      <c r="V1661" s="31"/>
    </row>
    <row r="1662" ht="15.75" customHeight="1">
      <c r="B1662" s="31"/>
      <c r="N1662" s="127"/>
      <c r="S1662" s="31" t="str">
        <f>IF($C1662="","",IF(OR($M1662="",$N1662=""),'Lists &amp; Settings'!$O$10,IF($N1662="Fail",'Lists &amp; Settings'!$O$9,IF($N1662="Insufficient Evidence",'Lists &amp; Settings'!$O$10,IF($N1662="Pass",IF($M1662&gt;='Lists &amp; Settings'!$N$2,'Lists &amp; Settings'!$O$2,IF($M1662&gt;='Lists &amp; Settings'!$N$3,'Lists &amp; Settings'!$O$3,'Lists &amp; Settings'!$O$4)),IF($N1662="Partial",IF($M1662&gt;='Lists &amp; Settings'!$N$6,'Lists &amp; Settings'!$O$6,IF($M1662&gt;='Lists &amp; Settings'!$N$7,'Lists &amp; Settings'!$O$7,'Lists &amp; Settings'!$O$8)),'Lists &amp; Settings'!$O$10))))))</f>
        <v/>
      </c>
      <c r="T1662" s="31"/>
      <c r="U1662" s="31"/>
      <c r="V1662" s="31"/>
    </row>
    <row r="1663" ht="15.75" customHeight="1">
      <c r="B1663" s="31"/>
      <c r="N1663" s="127"/>
      <c r="S1663" s="31" t="str">
        <f>IF($C1663="","",IF(OR($M1663="",$N1663=""),'Lists &amp; Settings'!$O$10,IF($N1663="Fail",'Lists &amp; Settings'!$O$9,IF($N1663="Insufficient Evidence",'Lists &amp; Settings'!$O$10,IF($N1663="Pass",IF($M1663&gt;='Lists &amp; Settings'!$N$2,'Lists &amp; Settings'!$O$2,IF($M1663&gt;='Lists &amp; Settings'!$N$3,'Lists &amp; Settings'!$O$3,'Lists &amp; Settings'!$O$4)),IF($N1663="Partial",IF($M1663&gt;='Lists &amp; Settings'!$N$6,'Lists &amp; Settings'!$O$6,IF($M1663&gt;='Lists &amp; Settings'!$N$7,'Lists &amp; Settings'!$O$7,'Lists &amp; Settings'!$O$8)),'Lists &amp; Settings'!$O$10))))))</f>
        <v/>
      </c>
      <c r="T1663" s="31"/>
      <c r="U1663" s="31"/>
      <c r="V1663" s="31"/>
    </row>
    <row r="1664" ht="15.75" customHeight="1">
      <c r="B1664" s="31"/>
      <c r="N1664" s="127"/>
      <c r="S1664" s="31" t="str">
        <f>IF($C1664="","",IF(OR($M1664="",$N1664=""),'Lists &amp; Settings'!$O$10,IF($N1664="Fail",'Lists &amp; Settings'!$O$9,IF($N1664="Insufficient Evidence",'Lists &amp; Settings'!$O$10,IF($N1664="Pass",IF($M1664&gt;='Lists &amp; Settings'!$N$2,'Lists &amp; Settings'!$O$2,IF($M1664&gt;='Lists &amp; Settings'!$N$3,'Lists &amp; Settings'!$O$3,'Lists &amp; Settings'!$O$4)),IF($N1664="Partial",IF($M1664&gt;='Lists &amp; Settings'!$N$6,'Lists &amp; Settings'!$O$6,IF($M1664&gt;='Lists &amp; Settings'!$N$7,'Lists &amp; Settings'!$O$7,'Lists &amp; Settings'!$O$8)),'Lists &amp; Settings'!$O$10))))))</f>
        <v/>
      </c>
      <c r="T1664" s="31"/>
      <c r="U1664" s="31"/>
      <c r="V1664" s="31"/>
    </row>
    <row r="1665" ht="15.75" customHeight="1">
      <c r="B1665" s="31"/>
      <c r="N1665" s="127"/>
      <c r="S1665" s="31" t="str">
        <f>IF($C1665="","",IF(OR($M1665="",$N1665=""),'Lists &amp; Settings'!$O$10,IF($N1665="Fail",'Lists &amp; Settings'!$O$9,IF($N1665="Insufficient Evidence",'Lists &amp; Settings'!$O$10,IF($N1665="Pass",IF($M1665&gt;='Lists &amp; Settings'!$N$2,'Lists &amp; Settings'!$O$2,IF($M1665&gt;='Lists &amp; Settings'!$N$3,'Lists &amp; Settings'!$O$3,'Lists &amp; Settings'!$O$4)),IF($N1665="Partial",IF($M1665&gt;='Lists &amp; Settings'!$N$6,'Lists &amp; Settings'!$O$6,IF($M1665&gt;='Lists &amp; Settings'!$N$7,'Lists &amp; Settings'!$O$7,'Lists &amp; Settings'!$O$8)),'Lists &amp; Settings'!$O$10))))))</f>
        <v/>
      </c>
      <c r="T1665" s="31"/>
      <c r="U1665" s="31"/>
      <c r="V1665" s="31"/>
    </row>
    <row r="1666" ht="15.75" customHeight="1">
      <c r="B1666" s="31"/>
      <c r="N1666" s="127"/>
      <c r="S1666" s="31" t="str">
        <f>IF($C1666="","",IF(OR($M1666="",$N1666=""),'Lists &amp; Settings'!$O$10,IF($N1666="Fail",'Lists &amp; Settings'!$O$9,IF($N1666="Insufficient Evidence",'Lists &amp; Settings'!$O$10,IF($N1666="Pass",IF($M1666&gt;='Lists &amp; Settings'!$N$2,'Lists &amp; Settings'!$O$2,IF($M1666&gt;='Lists &amp; Settings'!$N$3,'Lists &amp; Settings'!$O$3,'Lists &amp; Settings'!$O$4)),IF($N1666="Partial",IF($M1666&gt;='Lists &amp; Settings'!$N$6,'Lists &amp; Settings'!$O$6,IF($M1666&gt;='Lists &amp; Settings'!$N$7,'Lists &amp; Settings'!$O$7,'Lists &amp; Settings'!$O$8)),'Lists &amp; Settings'!$O$10))))))</f>
        <v/>
      </c>
      <c r="T1666" s="31"/>
      <c r="U1666" s="31"/>
      <c r="V1666" s="31"/>
    </row>
    <row r="1667" ht="15.75" customHeight="1">
      <c r="B1667" s="31"/>
      <c r="N1667" s="127"/>
      <c r="S1667" s="31" t="str">
        <f>IF($C1667="","",IF(OR($M1667="",$N1667=""),'Lists &amp; Settings'!$O$10,IF($N1667="Fail",'Lists &amp; Settings'!$O$9,IF($N1667="Insufficient Evidence",'Lists &amp; Settings'!$O$10,IF($N1667="Pass",IF($M1667&gt;='Lists &amp; Settings'!$N$2,'Lists &amp; Settings'!$O$2,IF($M1667&gt;='Lists &amp; Settings'!$N$3,'Lists &amp; Settings'!$O$3,'Lists &amp; Settings'!$O$4)),IF($N1667="Partial",IF($M1667&gt;='Lists &amp; Settings'!$N$6,'Lists &amp; Settings'!$O$6,IF($M1667&gt;='Lists &amp; Settings'!$N$7,'Lists &amp; Settings'!$O$7,'Lists &amp; Settings'!$O$8)),'Lists &amp; Settings'!$O$10))))))</f>
        <v/>
      </c>
      <c r="T1667" s="31"/>
      <c r="U1667" s="31"/>
      <c r="V1667" s="31"/>
    </row>
    <row r="1668" ht="15.75" customHeight="1">
      <c r="B1668" s="31"/>
      <c r="N1668" s="127"/>
      <c r="S1668" s="31" t="str">
        <f>IF($C1668="","",IF(OR($M1668="",$N1668=""),'Lists &amp; Settings'!$O$10,IF($N1668="Fail",'Lists &amp; Settings'!$O$9,IF($N1668="Insufficient Evidence",'Lists &amp; Settings'!$O$10,IF($N1668="Pass",IF($M1668&gt;='Lists &amp; Settings'!$N$2,'Lists &amp; Settings'!$O$2,IF($M1668&gt;='Lists &amp; Settings'!$N$3,'Lists &amp; Settings'!$O$3,'Lists &amp; Settings'!$O$4)),IF($N1668="Partial",IF($M1668&gt;='Lists &amp; Settings'!$N$6,'Lists &amp; Settings'!$O$6,IF($M1668&gt;='Lists &amp; Settings'!$N$7,'Lists &amp; Settings'!$O$7,'Lists &amp; Settings'!$O$8)),'Lists &amp; Settings'!$O$10))))))</f>
        <v/>
      </c>
      <c r="T1668" s="31"/>
      <c r="U1668" s="31"/>
      <c r="V1668" s="31"/>
    </row>
    <row r="1669" ht="15.75" customHeight="1">
      <c r="B1669" s="31"/>
      <c r="N1669" s="127"/>
      <c r="S1669" s="31" t="str">
        <f>IF($C1669="","",IF(OR($M1669="",$N1669=""),'Lists &amp; Settings'!$O$10,IF($N1669="Fail",'Lists &amp; Settings'!$O$9,IF($N1669="Insufficient Evidence",'Lists &amp; Settings'!$O$10,IF($N1669="Pass",IF($M1669&gt;='Lists &amp; Settings'!$N$2,'Lists &amp; Settings'!$O$2,IF($M1669&gt;='Lists &amp; Settings'!$N$3,'Lists &amp; Settings'!$O$3,'Lists &amp; Settings'!$O$4)),IF($N1669="Partial",IF($M1669&gt;='Lists &amp; Settings'!$N$6,'Lists &amp; Settings'!$O$6,IF($M1669&gt;='Lists &amp; Settings'!$N$7,'Lists &amp; Settings'!$O$7,'Lists &amp; Settings'!$O$8)),'Lists &amp; Settings'!$O$10))))))</f>
        <v/>
      </c>
      <c r="T1669" s="31"/>
      <c r="U1669" s="31"/>
      <c r="V1669" s="31"/>
    </row>
    <row r="1670" ht="15.75" customHeight="1">
      <c r="B1670" s="31"/>
      <c r="N1670" s="127"/>
      <c r="S1670" s="31" t="str">
        <f>IF($C1670="","",IF(OR($M1670="",$N1670=""),'Lists &amp; Settings'!$O$10,IF($N1670="Fail",'Lists &amp; Settings'!$O$9,IF($N1670="Insufficient Evidence",'Lists &amp; Settings'!$O$10,IF($N1670="Pass",IF($M1670&gt;='Lists &amp; Settings'!$N$2,'Lists &amp; Settings'!$O$2,IF($M1670&gt;='Lists &amp; Settings'!$N$3,'Lists &amp; Settings'!$O$3,'Lists &amp; Settings'!$O$4)),IF($N1670="Partial",IF($M1670&gt;='Lists &amp; Settings'!$N$6,'Lists &amp; Settings'!$O$6,IF($M1670&gt;='Lists &amp; Settings'!$N$7,'Lists &amp; Settings'!$O$7,'Lists &amp; Settings'!$O$8)),'Lists &amp; Settings'!$O$10))))))</f>
        <v/>
      </c>
      <c r="T1670" s="31"/>
      <c r="U1670" s="31"/>
      <c r="V1670" s="31"/>
    </row>
    <row r="1671" ht="15.75" customHeight="1">
      <c r="B1671" s="31"/>
      <c r="N1671" s="127"/>
      <c r="S1671" s="31" t="str">
        <f>IF($C1671="","",IF(OR($M1671="",$N1671=""),'Lists &amp; Settings'!$O$10,IF($N1671="Fail",'Lists &amp; Settings'!$O$9,IF($N1671="Insufficient Evidence",'Lists &amp; Settings'!$O$10,IF($N1671="Pass",IF($M1671&gt;='Lists &amp; Settings'!$N$2,'Lists &amp; Settings'!$O$2,IF($M1671&gt;='Lists &amp; Settings'!$N$3,'Lists &amp; Settings'!$O$3,'Lists &amp; Settings'!$O$4)),IF($N1671="Partial",IF($M1671&gt;='Lists &amp; Settings'!$N$6,'Lists &amp; Settings'!$O$6,IF($M1671&gt;='Lists &amp; Settings'!$N$7,'Lists &amp; Settings'!$O$7,'Lists &amp; Settings'!$O$8)),'Lists &amp; Settings'!$O$10))))))</f>
        <v/>
      </c>
      <c r="T1671" s="31"/>
      <c r="U1671" s="31"/>
      <c r="V1671" s="31"/>
    </row>
    <row r="1672" ht="15.75" customHeight="1">
      <c r="B1672" s="31"/>
      <c r="N1672" s="127"/>
      <c r="S1672" s="31" t="str">
        <f>IF($C1672="","",IF(OR($M1672="",$N1672=""),'Lists &amp; Settings'!$O$10,IF($N1672="Fail",'Lists &amp; Settings'!$O$9,IF($N1672="Insufficient Evidence",'Lists &amp; Settings'!$O$10,IF($N1672="Pass",IF($M1672&gt;='Lists &amp; Settings'!$N$2,'Lists &amp; Settings'!$O$2,IF($M1672&gt;='Lists &amp; Settings'!$N$3,'Lists &amp; Settings'!$O$3,'Lists &amp; Settings'!$O$4)),IF($N1672="Partial",IF($M1672&gt;='Lists &amp; Settings'!$N$6,'Lists &amp; Settings'!$O$6,IF($M1672&gt;='Lists &amp; Settings'!$N$7,'Lists &amp; Settings'!$O$7,'Lists &amp; Settings'!$O$8)),'Lists &amp; Settings'!$O$10))))))</f>
        <v/>
      </c>
      <c r="T1672" s="31"/>
      <c r="U1672" s="31"/>
      <c r="V1672" s="31"/>
    </row>
    <row r="1673" ht="15.75" customHeight="1">
      <c r="B1673" s="31"/>
      <c r="N1673" s="127"/>
      <c r="S1673" s="31" t="str">
        <f>IF($C1673="","",IF(OR($M1673="",$N1673=""),'Lists &amp; Settings'!$O$10,IF($N1673="Fail",'Lists &amp; Settings'!$O$9,IF($N1673="Insufficient Evidence",'Lists &amp; Settings'!$O$10,IF($N1673="Pass",IF($M1673&gt;='Lists &amp; Settings'!$N$2,'Lists &amp; Settings'!$O$2,IF($M1673&gt;='Lists &amp; Settings'!$N$3,'Lists &amp; Settings'!$O$3,'Lists &amp; Settings'!$O$4)),IF($N1673="Partial",IF($M1673&gt;='Lists &amp; Settings'!$N$6,'Lists &amp; Settings'!$O$6,IF($M1673&gt;='Lists &amp; Settings'!$N$7,'Lists &amp; Settings'!$O$7,'Lists &amp; Settings'!$O$8)),'Lists &amp; Settings'!$O$10))))))</f>
        <v/>
      </c>
      <c r="T1673" s="31"/>
      <c r="U1673" s="31"/>
      <c r="V1673" s="31"/>
    </row>
    <row r="1674" ht="15.75" customHeight="1">
      <c r="B1674" s="31"/>
      <c r="N1674" s="127"/>
      <c r="S1674" s="31" t="str">
        <f>IF($C1674="","",IF(OR($M1674="",$N1674=""),'Lists &amp; Settings'!$O$10,IF($N1674="Fail",'Lists &amp; Settings'!$O$9,IF($N1674="Insufficient Evidence",'Lists &amp; Settings'!$O$10,IF($N1674="Pass",IF($M1674&gt;='Lists &amp; Settings'!$N$2,'Lists &amp; Settings'!$O$2,IF($M1674&gt;='Lists &amp; Settings'!$N$3,'Lists &amp; Settings'!$O$3,'Lists &amp; Settings'!$O$4)),IF($N1674="Partial",IF($M1674&gt;='Lists &amp; Settings'!$N$6,'Lists &amp; Settings'!$O$6,IF($M1674&gt;='Lists &amp; Settings'!$N$7,'Lists &amp; Settings'!$O$7,'Lists &amp; Settings'!$O$8)),'Lists &amp; Settings'!$O$10))))))</f>
        <v/>
      </c>
      <c r="T1674" s="31"/>
      <c r="U1674" s="31"/>
      <c r="V1674" s="31"/>
    </row>
    <row r="1675" ht="15.75" customHeight="1">
      <c r="B1675" s="31"/>
      <c r="N1675" s="127"/>
      <c r="S1675" s="31" t="str">
        <f>IF($C1675="","",IF(OR($M1675="",$N1675=""),'Lists &amp; Settings'!$O$10,IF($N1675="Fail",'Lists &amp; Settings'!$O$9,IF($N1675="Insufficient Evidence",'Lists &amp; Settings'!$O$10,IF($N1675="Pass",IF($M1675&gt;='Lists &amp; Settings'!$N$2,'Lists &amp; Settings'!$O$2,IF($M1675&gt;='Lists &amp; Settings'!$N$3,'Lists &amp; Settings'!$O$3,'Lists &amp; Settings'!$O$4)),IF($N1675="Partial",IF($M1675&gt;='Lists &amp; Settings'!$N$6,'Lists &amp; Settings'!$O$6,IF($M1675&gt;='Lists &amp; Settings'!$N$7,'Lists &amp; Settings'!$O$7,'Lists &amp; Settings'!$O$8)),'Lists &amp; Settings'!$O$10))))))</f>
        <v/>
      </c>
      <c r="T1675" s="31"/>
      <c r="U1675" s="31"/>
      <c r="V1675" s="31"/>
    </row>
    <row r="1676" ht="15.75" customHeight="1">
      <c r="B1676" s="31"/>
      <c r="N1676" s="127"/>
      <c r="S1676" s="31" t="str">
        <f>IF($C1676="","",IF(OR($M1676="",$N1676=""),'Lists &amp; Settings'!$O$10,IF($N1676="Fail",'Lists &amp; Settings'!$O$9,IF($N1676="Insufficient Evidence",'Lists &amp; Settings'!$O$10,IF($N1676="Pass",IF($M1676&gt;='Lists &amp; Settings'!$N$2,'Lists &amp; Settings'!$O$2,IF($M1676&gt;='Lists &amp; Settings'!$N$3,'Lists &amp; Settings'!$O$3,'Lists &amp; Settings'!$O$4)),IF($N1676="Partial",IF($M1676&gt;='Lists &amp; Settings'!$N$6,'Lists &amp; Settings'!$O$6,IF($M1676&gt;='Lists &amp; Settings'!$N$7,'Lists &amp; Settings'!$O$7,'Lists &amp; Settings'!$O$8)),'Lists &amp; Settings'!$O$10))))))</f>
        <v/>
      </c>
      <c r="T1676" s="31"/>
      <c r="U1676" s="31"/>
      <c r="V1676" s="31"/>
    </row>
    <row r="1677" ht="15.75" customHeight="1">
      <c r="B1677" s="31"/>
      <c r="N1677" s="127"/>
      <c r="S1677" s="31" t="str">
        <f>IF($C1677="","",IF(OR($M1677="",$N1677=""),'Lists &amp; Settings'!$O$10,IF($N1677="Fail",'Lists &amp; Settings'!$O$9,IF($N1677="Insufficient Evidence",'Lists &amp; Settings'!$O$10,IF($N1677="Pass",IF($M1677&gt;='Lists &amp; Settings'!$N$2,'Lists &amp; Settings'!$O$2,IF($M1677&gt;='Lists &amp; Settings'!$N$3,'Lists &amp; Settings'!$O$3,'Lists &amp; Settings'!$O$4)),IF($N1677="Partial",IF($M1677&gt;='Lists &amp; Settings'!$N$6,'Lists &amp; Settings'!$O$6,IF($M1677&gt;='Lists &amp; Settings'!$N$7,'Lists &amp; Settings'!$O$7,'Lists &amp; Settings'!$O$8)),'Lists &amp; Settings'!$O$10))))))</f>
        <v/>
      </c>
      <c r="T1677" s="31"/>
      <c r="U1677" s="31"/>
      <c r="V1677" s="31"/>
    </row>
    <row r="1678" ht="15.75" customHeight="1">
      <c r="B1678" s="31"/>
      <c r="N1678" s="127"/>
      <c r="S1678" s="31" t="str">
        <f>IF($C1678="","",IF(OR($M1678="",$N1678=""),'Lists &amp; Settings'!$O$10,IF($N1678="Fail",'Lists &amp; Settings'!$O$9,IF($N1678="Insufficient Evidence",'Lists &amp; Settings'!$O$10,IF($N1678="Pass",IF($M1678&gt;='Lists &amp; Settings'!$N$2,'Lists &amp; Settings'!$O$2,IF($M1678&gt;='Lists &amp; Settings'!$N$3,'Lists &amp; Settings'!$O$3,'Lists &amp; Settings'!$O$4)),IF($N1678="Partial",IF($M1678&gt;='Lists &amp; Settings'!$N$6,'Lists &amp; Settings'!$O$6,IF($M1678&gt;='Lists &amp; Settings'!$N$7,'Lists &amp; Settings'!$O$7,'Lists &amp; Settings'!$O$8)),'Lists &amp; Settings'!$O$10))))))</f>
        <v/>
      </c>
      <c r="T1678" s="31"/>
      <c r="U1678" s="31"/>
      <c r="V1678" s="31"/>
    </row>
    <row r="1679" ht="15.75" customHeight="1">
      <c r="B1679" s="31"/>
      <c r="N1679" s="127"/>
      <c r="S1679" s="31" t="str">
        <f>IF($C1679="","",IF(OR($M1679="",$N1679=""),'Lists &amp; Settings'!$O$10,IF($N1679="Fail",'Lists &amp; Settings'!$O$9,IF($N1679="Insufficient Evidence",'Lists &amp; Settings'!$O$10,IF($N1679="Pass",IF($M1679&gt;='Lists &amp; Settings'!$N$2,'Lists &amp; Settings'!$O$2,IF($M1679&gt;='Lists &amp; Settings'!$N$3,'Lists &amp; Settings'!$O$3,'Lists &amp; Settings'!$O$4)),IF($N1679="Partial",IF($M1679&gt;='Lists &amp; Settings'!$N$6,'Lists &amp; Settings'!$O$6,IF($M1679&gt;='Lists &amp; Settings'!$N$7,'Lists &amp; Settings'!$O$7,'Lists &amp; Settings'!$O$8)),'Lists &amp; Settings'!$O$10))))))</f>
        <v/>
      </c>
      <c r="T1679" s="31"/>
      <c r="U1679" s="31"/>
      <c r="V1679" s="31"/>
    </row>
    <row r="1680" ht="15.75" customHeight="1">
      <c r="B1680" s="31"/>
      <c r="N1680" s="127"/>
      <c r="S1680" s="31" t="str">
        <f>IF($C1680="","",IF(OR($M1680="",$N1680=""),'Lists &amp; Settings'!$O$10,IF($N1680="Fail",'Lists &amp; Settings'!$O$9,IF($N1680="Insufficient Evidence",'Lists &amp; Settings'!$O$10,IF($N1680="Pass",IF($M1680&gt;='Lists &amp; Settings'!$N$2,'Lists &amp; Settings'!$O$2,IF($M1680&gt;='Lists &amp; Settings'!$N$3,'Lists &amp; Settings'!$O$3,'Lists &amp; Settings'!$O$4)),IF($N1680="Partial",IF($M1680&gt;='Lists &amp; Settings'!$N$6,'Lists &amp; Settings'!$O$6,IF($M1680&gt;='Lists &amp; Settings'!$N$7,'Lists &amp; Settings'!$O$7,'Lists &amp; Settings'!$O$8)),'Lists &amp; Settings'!$O$10))))))</f>
        <v/>
      </c>
      <c r="T1680" s="31"/>
      <c r="U1680" s="31"/>
      <c r="V1680" s="31"/>
    </row>
    <row r="1681" ht="15.75" customHeight="1">
      <c r="B1681" s="31"/>
      <c r="N1681" s="127"/>
      <c r="S1681" s="31" t="str">
        <f>IF($C1681="","",IF(OR($M1681="",$N1681=""),'Lists &amp; Settings'!$O$10,IF($N1681="Fail",'Lists &amp; Settings'!$O$9,IF($N1681="Insufficient Evidence",'Lists &amp; Settings'!$O$10,IF($N1681="Pass",IF($M1681&gt;='Lists &amp; Settings'!$N$2,'Lists &amp; Settings'!$O$2,IF($M1681&gt;='Lists &amp; Settings'!$N$3,'Lists &amp; Settings'!$O$3,'Lists &amp; Settings'!$O$4)),IF($N1681="Partial",IF($M1681&gt;='Lists &amp; Settings'!$N$6,'Lists &amp; Settings'!$O$6,IF($M1681&gt;='Lists &amp; Settings'!$N$7,'Lists &amp; Settings'!$O$7,'Lists &amp; Settings'!$O$8)),'Lists &amp; Settings'!$O$10))))))</f>
        <v/>
      </c>
      <c r="T1681" s="31"/>
      <c r="U1681" s="31"/>
      <c r="V1681" s="31"/>
    </row>
    <row r="1682" ht="15.75" customHeight="1">
      <c r="B1682" s="31"/>
      <c r="N1682" s="127"/>
      <c r="S1682" s="31" t="str">
        <f>IF($C1682="","",IF(OR($M1682="",$N1682=""),'Lists &amp; Settings'!$O$10,IF($N1682="Fail",'Lists &amp; Settings'!$O$9,IF($N1682="Insufficient Evidence",'Lists &amp; Settings'!$O$10,IF($N1682="Pass",IF($M1682&gt;='Lists &amp; Settings'!$N$2,'Lists &amp; Settings'!$O$2,IF($M1682&gt;='Lists &amp; Settings'!$N$3,'Lists &amp; Settings'!$O$3,'Lists &amp; Settings'!$O$4)),IF($N1682="Partial",IF($M1682&gt;='Lists &amp; Settings'!$N$6,'Lists &amp; Settings'!$O$6,IF($M1682&gt;='Lists &amp; Settings'!$N$7,'Lists &amp; Settings'!$O$7,'Lists &amp; Settings'!$O$8)),'Lists &amp; Settings'!$O$10))))))</f>
        <v/>
      </c>
      <c r="T1682" s="31"/>
      <c r="U1682" s="31"/>
      <c r="V1682" s="31"/>
    </row>
    <row r="1683" ht="15.75" customHeight="1">
      <c r="B1683" s="31"/>
      <c r="N1683" s="127"/>
      <c r="S1683" s="31" t="str">
        <f>IF($C1683="","",IF(OR($M1683="",$N1683=""),'Lists &amp; Settings'!$O$10,IF($N1683="Fail",'Lists &amp; Settings'!$O$9,IF($N1683="Insufficient Evidence",'Lists &amp; Settings'!$O$10,IF($N1683="Pass",IF($M1683&gt;='Lists &amp; Settings'!$N$2,'Lists &amp; Settings'!$O$2,IF($M1683&gt;='Lists &amp; Settings'!$N$3,'Lists &amp; Settings'!$O$3,'Lists &amp; Settings'!$O$4)),IF($N1683="Partial",IF($M1683&gt;='Lists &amp; Settings'!$N$6,'Lists &amp; Settings'!$O$6,IF($M1683&gt;='Lists &amp; Settings'!$N$7,'Lists &amp; Settings'!$O$7,'Lists &amp; Settings'!$O$8)),'Lists &amp; Settings'!$O$10))))))</f>
        <v/>
      </c>
      <c r="T1683" s="31"/>
      <c r="U1683" s="31"/>
      <c r="V1683" s="31"/>
    </row>
    <row r="1684" ht="15.75" customHeight="1">
      <c r="B1684" s="31"/>
      <c r="N1684" s="127"/>
      <c r="S1684" s="31" t="str">
        <f>IF($C1684="","",IF(OR($M1684="",$N1684=""),'Lists &amp; Settings'!$O$10,IF($N1684="Fail",'Lists &amp; Settings'!$O$9,IF($N1684="Insufficient Evidence",'Lists &amp; Settings'!$O$10,IF($N1684="Pass",IF($M1684&gt;='Lists &amp; Settings'!$N$2,'Lists &amp; Settings'!$O$2,IF($M1684&gt;='Lists &amp; Settings'!$N$3,'Lists &amp; Settings'!$O$3,'Lists &amp; Settings'!$O$4)),IF($N1684="Partial",IF($M1684&gt;='Lists &amp; Settings'!$N$6,'Lists &amp; Settings'!$O$6,IF($M1684&gt;='Lists &amp; Settings'!$N$7,'Lists &amp; Settings'!$O$7,'Lists &amp; Settings'!$O$8)),'Lists &amp; Settings'!$O$10))))))</f>
        <v/>
      </c>
      <c r="T1684" s="31"/>
      <c r="U1684" s="31"/>
      <c r="V1684" s="31"/>
    </row>
    <row r="1685" ht="15.75" customHeight="1">
      <c r="B1685" s="31"/>
      <c r="N1685" s="127"/>
      <c r="S1685" s="31" t="str">
        <f>IF($C1685="","",IF(OR($M1685="",$N1685=""),'Lists &amp; Settings'!$O$10,IF($N1685="Fail",'Lists &amp; Settings'!$O$9,IF($N1685="Insufficient Evidence",'Lists &amp; Settings'!$O$10,IF($N1685="Pass",IF($M1685&gt;='Lists &amp; Settings'!$N$2,'Lists &amp; Settings'!$O$2,IF($M1685&gt;='Lists &amp; Settings'!$N$3,'Lists &amp; Settings'!$O$3,'Lists &amp; Settings'!$O$4)),IF($N1685="Partial",IF($M1685&gt;='Lists &amp; Settings'!$N$6,'Lists &amp; Settings'!$O$6,IF($M1685&gt;='Lists &amp; Settings'!$N$7,'Lists &amp; Settings'!$O$7,'Lists &amp; Settings'!$O$8)),'Lists &amp; Settings'!$O$10))))))</f>
        <v/>
      </c>
      <c r="T1685" s="31"/>
      <c r="U1685" s="31"/>
      <c r="V1685" s="31"/>
    </row>
    <row r="1686" ht="15.75" customHeight="1">
      <c r="B1686" s="31"/>
      <c r="N1686" s="127"/>
      <c r="S1686" s="31" t="str">
        <f>IF($C1686="","",IF(OR($M1686="",$N1686=""),'Lists &amp; Settings'!$O$10,IF($N1686="Fail",'Lists &amp; Settings'!$O$9,IF($N1686="Insufficient Evidence",'Lists &amp; Settings'!$O$10,IF($N1686="Pass",IF($M1686&gt;='Lists &amp; Settings'!$N$2,'Lists &amp; Settings'!$O$2,IF($M1686&gt;='Lists &amp; Settings'!$N$3,'Lists &amp; Settings'!$O$3,'Lists &amp; Settings'!$O$4)),IF($N1686="Partial",IF($M1686&gt;='Lists &amp; Settings'!$N$6,'Lists &amp; Settings'!$O$6,IF($M1686&gt;='Lists &amp; Settings'!$N$7,'Lists &amp; Settings'!$O$7,'Lists &amp; Settings'!$O$8)),'Lists &amp; Settings'!$O$10))))))</f>
        <v/>
      </c>
      <c r="T1686" s="31"/>
      <c r="U1686" s="31"/>
      <c r="V1686" s="31"/>
    </row>
    <row r="1687" ht="15.75" customHeight="1">
      <c r="B1687" s="31"/>
      <c r="N1687" s="127"/>
      <c r="S1687" s="31" t="str">
        <f>IF($C1687="","",IF(OR($M1687="",$N1687=""),'Lists &amp; Settings'!$O$10,IF($N1687="Fail",'Lists &amp; Settings'!$O$9,IF($N1687="Insufficient Evidence",'Lists &amp; Settings'!$O$10,IF($N1687="Pass",IF($M1687&gt;='Lists &amp; Settings'!$N$2,'Lists &amp; Settings'!$O$2,IF($M1687&gt;='Lists &amp; Settings'!$N$3,'Lists &amp; Settings'!$O$3,'Lists &amp; Settings'!$O$4)),IF($N1687="Partial",IF($M1687&gt;='Lists &amp; Settings'!$N$6,'Lists &amp; Settings'!$O$6,IF($M1687&gt;='Lists &amp; Settings'!$N$7,'Lists &amp; Settings'!$O$7,'Lists &amp; Settings'!$O$8)),'Lists &amp; Settings'!$O$10))))))</f>
        <v/>
      </c>
      <c r="T1687" s="31"/>
      <c r="U1687" s="31"/>
      <c r="V1687" s="31"/>
    </row>
    <row r="1688" ht="15.75" customHeight="1">
      <c r="B1688" s="31"/>
      <c r="N1688" s="127"/>
      <c r="S1688" s="31" t="str">
        <f>IF($C1688="","",IF(OR($M1688="",$N1688=""),'Lists &amp; Settings'!$O$10,IF($N1688="Fail",'Lists &amp; Settings'!$O$9,IF($N1688="Insufficient Evidence",'Lists &amp; Settings'!$O$10,IF($N1688="Pass",IF($M1688&gt;='Lists &amp; Settings'!$N$2,'Lists &amp; Settings'!$O$2,IF($M1688&gt;='Lists &amp; Settings'!$N$3,'Lists &amp; Settings'!$O$3,'Lists &amp; Settings'!$O$4)),IF($N1688="Partial",IF($M1688&gt;='Lists &amp; Settings'!$N$6,'Lists &amp; Settings'!$O$6,IF($M1688&gt;='Lists &amp; Settings'!$N$7,'Lists &amp; Settings'!$O$7,'Lists &amp; Settings'!$O$8)),'Lists &amp; Settings'!$O$10))))))</f>
        <v/>
      </c>
      <c r="T1688" s="31"/>
      <c r="U1688" s="31"/>
      <c r="V1688" s="31"/>
    </row>
    <row r="1689" ht="15.75" customHeight="1">
      <c r="B1689" s="31"/>
      <c r="N1689" s="127"/>
      <c r="S1689" s="31" t="str">
        <f>IF($C1689="","",IF(OR($M1689="",$N1689=""),'Lists &amp; Settings'!$O$10,IF($N1689="Fail",'Lists &amp; Settings'!$O$9,IF($N1689="Insufficient Evidence",'Lists &amp; Settings'!$O$10,IF($N1689="Pass",IF($M1689&gt;='Lists &amp; Settings'!$N$2,'Lists &amp; Settings'!$O$2,IF($M1689&gt;='Lists &amp; Settings'!$N$3,'Lists &amp; Settings'!$O$3,'Lists &amp; Settings'!$O$4)),IF($N1689="Partial",IF($M1689&gt;='Lists &amp; Settings'!$N$6,'Lists &amp; Settings'!$O$6,IF($M1689&gt;='Lists &amp; Settings'!$N$7,'Lists &amp; Settings'!$O$7,'Lists &amp; Settings'!$O$8)),'Lists &amp; Settings'!$O$10))))))</f>
        <v/>
      </c>
      <c r="T1689" s="31"/>
      <c r="U1689" s="31"/>
      <c r="V1689" s="31"/>
    </row>
    <row r="1690" ht="15.75" customHeight="1">
      <c r="B1690" s="31"/>
      <c r="N1690" s="127"/>
      <c r="S1690" s="31" t="str">
        <f>IF($C1690="","",IF(OR($M1690="",$N1690=""),'Lists &amp; Settings'!$O$10,IF($N1690="Fail",'Lists &amp; Settings'!$O$9,IF($N1690="Insufficient Evidence",'Lists &amp; Settings'!$O$10,IF($N1690="Pass",IF($M1690&gt;='Lists &amp; Settings'!$N$2,'Lists &amp; Settings'!$O$2,IF($M1690&gt;='Lists &amp; Settings'!$N$3,'Lists &amp; Settings'!$O$3,'Lists &amp; Settings'!$O$4)),IF($N1690="Partial",IF($M1690&gt;='Lists &amp; Settings'!$N$6,'Lists &amp; Settings'!$O$6,IF($M1690&gt;='Lists &amp; Settings'!$N$7,'Lists &amp; Settings'!$O$7,'Lists &amp; Settings'!$O$8)),'Lists &amp; Settings'!$O$10))))))</f>
        <v/>
      </c>
      <c r="T1690" s="31"/>
      <c r="U1690" s="31"/>
      <c r="V1690" s="31"/>
    </row>
    <row r="1691" ht="15.75" customHeight="1">
      <c r="B1691" s="31"/>
      <c r="N1691" s="127"/>
      <c r="S1691" s="31" t="str">
        <f>IF($C1691="","",IF(OR($M1691="",$N1691=""),'Lists &amp; Settings'!$O$10,IF($N1691="Fail",'Lists &amp; Settings'!$O$9,IF($N1691="Insufficient Evidence",'Lists &amp; Settings'!$O$10,IF($N1691="Pass",IF($M1691&gt;='Lists &amp; Settings'!$N$2,'Lists &amp; Settings'!$O$2,IF($M1691&gt;='Lists &amp; Settings'!$N$3,'Lists &amp; Settings'!$O$3,'Lists &amp; Settings'!$O$4)),IF($N1691="Partial",IF($M1691&gt;='Lists &amp; Settings'!$N$6,'Lists &amp; Settings'!$O$6,IF($M1691&gt;='Lists &amp; Settings'!$N$7,'Lists &amp; Settings'!$O$7,'Lists &amp; Settings'!$O$8)),'Lists &amp; Settings'!$O$10))))))</f>
        <v/>
      </c>
      <c r="T1691" s="31"/>
      <c r="U1691" s="31"/>
      <c r="V1691" s="31"/>
    </row>
    <row r="1692" ht="15.75" customHeight="1">
      <c r="B1692" s="31"/>
      <c r="N1692" s="127"/>
      <c r="S1692" s="31" t="str">
        <f>IF($C1692="","",IF(OR($M1692="",$N1692=""),'Lists &amp; Settings'!$O$10,IF($N1692="Fail",'Lists &amp; Settings'!$O$9,IF($N1692="Insufficient Evidence",'Lists &amp; Settings'!$O$10,IF($N1692="Pass",IF($M1692&gt;='Lists &amp; Settings'!$N$2,'Lists &amp; Settings'!$O$2,IF($M1692&gt;='Lists &amp; Settings'!$N$3,'Lists &amp; Settings'!$O$3,'Lists &amp; Settings'!$O$4)),IF($N1692="Partial",IF($M1692&gt;='Lists &amp; Settings'!$N$6,'Lists &amp; Settings'!$O$6,IF($M1692&gt;='Lists &amp; Settings'!$N$7,'Lists &amp; Settings'!$O$7,'Lists &amp; Settings'!$O$8)),'Lists &amp; Settings'!$O$10))))))</f>
        <v/>
      </c>
      <c r="T1692" s="31"/>
      <c r="U1692" s="31"/>
      <c r="V1692" s="31"/>
    </row>
    <row r="1693" ht="15.75" customHeight="1">
      <c r="B1693" s="31"/>
      <c r="N1693" s="127"/>
      <c r="S1693" s="31" t="str">
        <f>IF($C1693="","",IF(OR($M1693="",$N1693=""),'Lists &amp; Settings'!$O$10,IF($N1693="Fail",'Lists &amp; Settings'!$O$9,IF($N1693="Insufficient Evidence",'Lists &amp; Settings'!$O$10,IF($N1693="Pass",IF($M1693&gt;='Lists &amp; Settings'!$N$2,'Lists &amp; Settings'!$O$2,IF($M1693&gt;='Lists &amp; Settings'!$N$3,'Lists &amp; Settings'!$O$3,'Lists &amp; Settings'!$O$4)),IF($N1693="Partial",IF($M1693&gt;='Lists &amp; Settings'!$N$6,'Lists &amp; Settings'!$O$6,IF($M1693&gt;='Lists &amp; Settings'!$N$7,'Lists &amp; Settings'!$O$7,'Lists &amp; Settings'!$O$8)),'Lists &amp; Settings'!$O$10))))))</f>
        <v/>
      </c>
      <c r="T1693" s="31"/>
      <c r="U1693" s="31"/>
      <c r="V1693" s="31"/>
    </row>
    <row r="1694" ht="15.75" customHeight="1">
      <c r="B1694" s="31"/>
      <c r="N1694" s="127"/>
      <c r="S1694" s="31" t="str">
        <f>IF($C1694="","",IF(OR($M1694="",$N1694=""),'Lists &amp; Settings'!$O$10,IF($N1694="Fail",'Lists &amp; Settings'!$O$9,IF($N1694="Insufficient Evidence",'Lists &amp; Settings'!$O$10,IF($N1694="Pass",IF($M1694&gt;='Lists &amp; Settings'!$N$2,'Lists &amp; Settings'!$O$2,IF($M1694&gt;='Lists &amp; Settings'!$N$3,'Lists &amp; Settings'!$O$3,'Lists &amp; Settings'!$O$4)),IF($N1694="Partial",IF($M1694&gt;='Lists &amp; Settings'!$N$6,'Lists &amp; Settings'!$O$6,IF($M1694&gt;='Lists &amp; Settings'!$N$7,'Lists &amp; Settings'!$O$7,'Lists &amp; Settings'!$O$8)),'Lists &amp; Settings'!$O$10))))))</f>
        <v/>
      </c>
      <c r="T1694" s="31"/>
      <c r="U1694" s="31"/>
      <c r="V1694" s="31"/>
    </row>
    <row r="1695" ht="15.75" customHeight="1">
      <c r="B1695" s="31"/>
      <c r="N1695" s="127"/>
      <c r="S1695" s="31" t="str">
        <f>IF($C1695="","",IF(OR($M1695="",$N1695=""),'Lists &amp; Settings'!$O$10,IF($N1695="Fail",'Lists &amp; Settings'!$O$9,IF($N1695="Insufficient Evidence",'Lists &amp; Settings'!$O$10,IF($N1695="Pass",IF($M1695&gt;='Lists &amp; Settings'!$N$2,'Lists &amp; Settings'!$O$2,IF($M1695&gt;='Lists &amp; Settings'!$N$3,'Lists &amp; Settings'!$O$3,'Lists &amp; Settings'!$O$4)),IF($N1695="Partial",IF($M1695&gt;='Lists &amp; Settings'!$N$6,'Lists &amp; Settings'!$O$6,IF($M1695&gt;='Lists &amp; Settings'!$N$7,'Lists &amp; Settings'!$O$7,'Lists &amp; Settings'!$O$8)),'Lists &amp; Settings'!$O$10))))))</f>
        <v/>
      </c>
      <c r="T1695" s="31"/>
      <c r="U1695" s="31"/>
      <c r="V1695" s="31"/>
    </row>
    <row r="1696" ht="15.75" customHeight="1">
      <c r="B1696" s="31"/>
      <c r="N1696" s="127"/>
      <c r="S1696" s="31" t="str">
        <f>IF($C1696="","",IF(OR($M1696="",$N1696=""),'Lists &amp; Settings'!$O$10,IF($N1696="Fail",'Lists &amp; Settings'!$O$9,IF($N1696="Insufficient Evidence",'Lists &amp; Settings'!$O$10,IF($N1696="Pass",IF($M1696&gt;='Lists &amp; Settings'!$N$2,'Lists &amp; Settings'!$O$2,IF($M1696&gt;='Lists &amp; Settings'!$N$3,'Lists &amp; Settings'!$O$3,'Lists &amp; Settings'!$O$4)),IF($N1696="Partial",IF($M1696&gt;='Lists &amp; Settings'!$N$6,'Lists &amp; Settings'!$O$6,IF($M1696&gt;='Lists &amp; Settings'!$N$7,'Lists &amp; Settings'!$O$7,'Lists &amp; Settings'!$O$8)),'Lists &amp; Settings'!$O$10))))))</f>
        <v/>
      </c>
      <c r="T1696" s="31"/>
      <c r="U1696" s="31"/>
      <c r="V1696" s="31"/>
    </row>
    <row r="1697" ht="15.75" customHeight="1">
      <c r="B1697" s="31"/>
      <c r="N1697" s="127"/>
      <c r="S1697" s="31" t="str">
        <f>IF($C1697="","",IF(OR($M1697="",$N1697=""),'Lists &amp; Settings'!$O$10,IF($N1697="Fail",'Lists &amp; Settings'!$O$9,IF($N1697="Insufficient Evidence",'Lists &amp; Settings'!$O$10,IF($N1697="Pass",IF($M1697&gt;='Lists &amp; Settings'!$N$2,'Lists &amp; Settings'!$O$2,IF($M1697&gt;='Lists &amp; Settings'!$N$3,'Lists &amp; Settings'!$O$3,'Lists &amp; Settings'!$O$4)),IF($N1697="Partial",IF($M1697&gt;='Lists &amp; Settings'!$N$6,'Lists &amp; Settings'!$O$6,IF($M1697&gt;='Lists &amp; Settings'!$N$7,'Lists &amp; Settings'!$O$7,'Lists &amp; Settings'!$O$8)),'Lists &amp; Settings'!$O$10))))))</f>
        <v/>
      </c>
      <c r="T1697" s="31"/>
      <c r="U1697" s="31"/>
      <c r="V1697" s="31"/>
    </row>
    <row r="1698" ht="15.75" customHeight="1">
      <c r="B1698" s="31"/>
      <c r="N1698" s="127"/>
      <c r="S1698" s="31" t="str">
        <f>IF($C1698="","",IF(OR($M1698="",$N1698=""),'Lists &amp; Settings'!$O$10,IF($N1698="Fail",'Lists &amp; Settings'!$O$9,IF($N1698="Insufficient Evidence",'Lists &amp; Settings'!$O$10,IF($N1698="Pass",IF($M1698&gt;='Lists &amp; Settings'!$N$2,'Lists &amp; Settings'!$O$2,IF($M1698&gt;='Lists &amp; Settings'!$N$3,'Lists &amp; Settings'!$O$3,'Lists &amp; Settings'!$O$4)),IF($N1698="Partial",IF($M1698&gt;='Lists &amp; Settings'!$N$6,'Lists &amp; Settings'!$O$6,IF($M1698&gt;='Lists &amp; Settings'!$N$7,'Lists &amp; Settings'!$O$7,'Lists &amp; Settings'!$O$8)),'Lists &amp; Settings'!$O$10))))))</f>
        <v/>
      </c>
      <c r="T1698" s="31"/>
      <c r="U1698" s="31"/>
      <c r="V1698" s="31"/>
    </row>
    <row r="1699" ht="15.75" customHeight="1">
      <c r="B1699" s="31"/>
      <c r="N1699" s="127"/>
      <c r="S1699" s="31" t="str">
        <f>IF($C1699="","",IF(OR($M1699="",$N1699=""),'Lists &amp; Settings'!$O$10,IF($N1699="Fail",'Lists &amp; Settings'!$O$9,IF($N1699="Insufficient Evidence",'Lists &amp; Settings'!$O$10,IF($N1699="Pass",IF($M1699&gt;='Lists &amp; Settings'!$N$2,'Lists &amp; Settings'!$O$2,IF($M1699&gt;='Lists &amp; Settings'!$N$3,'Lists &amp; Settings'!$O$3,'Lists &amp; Settings'!$O$4)),IF($N1699="Partial",IF($M1699&gt;='Lists &amp; Settings'!$N$6,'Lists &amp; Settings'!$O$6,IF($M1699&gt;='Lists &amp; Settings'!$N$7,'Lists &amp; Settings'!$O$7,'Lists &amp; Settings'!$O$8)),'Lists &amp; Settings'!$O$10))))))</f>
        <v/>
      </c>
      <c r="T1699" s="31"/>
      <c r="U1699" s="31"/>
      <c r="V1699" s="31"/>
    </row>
    <row r="1700" ht="15.75" customHeight="1">
      <c r="B1700" s="31"/>
      <c r="N1700" s="127"/>
      <c r="S1700" s="31" t="str">
        <f>IF($C1700="","",IF(OR($M1700="",$N1700=""),'Lists &amp; Settings'!$O$10,IF($N1700="Fail",'Lists &amp; Settings'!$O$9,IF($N1700="Insufficient Evidence",'Lists &amp; Settings'!$O$10,IF($N1700="Pass",IF($M1700&gt;='Lists &amp; Settings'!$N$2,'Lists &amp; Settings'!$O$2,IF($M1700&gt;='Lists &amp; Settings'!$N$3,'Lists &amp; Settings'!$O$3,'Lists &amp; Settings'!$O$4)),IF($N1700="Partial",IF($M1700&gt;='Lists &amp; Settings'!$N$6,'Lists &amp; Settings'!$O$6,IF($M1700&gt;='Lists &amp; Settings'!$N$7,'Lists &amp; Settings'!$O$7,'Lists &amp; Settings'!$O$8)),'Lists &amp; Settings'!$O$10))))))</f>
        <v/>
      </c>
      <c r="T1700" s="31"/>
      <c r="U1700" s="31"/>
      <c r="V1700" s="31"/>
    </row>
    <row r="1701" ht="15.75" customHeight="1">
      <c r="B1701" s="31"/>
      <c r="N1701" s="127"/>
      <c r="S1701" s="31" t="str">
        <f>IF($C1701="","",IF(OR($M1701="",$N1701=""),'Lists &amp; Settings'!$O$10,IF($N1701="Fail",'Lists &amp; Settings'!$O$9,IF($N1701="Insufficient Evidence",'Lists &amp; Settings'!$O$10,IF($N1701="Pass",IF($M1701&gt;='Lists &amp; Settings'!$N$2,'Lists &amp; Settings'!$O$2,IF($M1701&gt;='Lists &amp; Settings'!$N$3,'Lists &amp; Settings'!$O$3,'Lists &amp; Settings'!$O$4)),IF($N1701="Partial",IF($M1701&gt;='Lists &amp; Settings'!$N$6,'Lists &amp; Settings'!$O$6,IF($M1701&gt;='Lists &amp; Settings'!$N$7,'Lists &amp; Settings'!$O$7,'Lists &amp; Settings'!$O$8)),'Lists &amp; Settings'!$O$10))))))</f>
        <v/>
      </c>
      <c r="T1701" s="31"/>
      <c r="U1701" s="31"/>
      <c r="V1701" s="31"/>
    </row>
    <row r="1702" ht="15.75" customHeight="1">
      <c r="B1702" s="31"/>
      <c r="N1702" s="127"/>
      <c r="S1702" s="31" t="str">
        <f>IF($C1702="","",IF(OR($M1702="",$N1702=""),'Lists &amp; Settings'!$O$10,IF($N1702="Fail",'Lists &amp; Settings'!$O$9,IF($N1702="Insufficient Evidence",'Lists &amp; Settings'!$O$10,IF($N1702="Pass",IF($M1702&gt;='Lists &amp; Settings'!$N$2,'Lists &amp; Settings'!$O$2,IF($M1702&gt;='Lists &amp; Settings'!$N$3,'Lists &amp; Settings'!$O$3,'Lists &amp; Settings'!$O$4)),IF($N1702="Partial",IF($M1702&gt;='Lists &amp; Settings'!$N$6,'Lists &amp; Settings'!$O$6,IF($M1702&gt;='Lists &amp; Settings'!$N$7,'Lists &amp; Settings'!$O$7,'Lists &amp; Settings'!$O$8)),'Lists &amp; Settings'!$O$10))))))</f>
        <v/>
      </c>
      <c r="T1702" s="31"/>
      <c r="U1702" s="31"/>
      <c r="V1702" s="31"/>
    </row>
    <row r="1703" ht="15.75" customHeight="1">
      <c r="B1703" s="31"/>
      <c r="N1703" s="127"/>
      <c r="S1703" s="31" t="str">
        <f>IF($C1703="","",IF(OR($M1703="",$N1703=""),'Lists &amp; Settings'!$O$10,IF($N1703="Fail",'Lists &amp; Settings'!$O$9,IF($N1703="Insufficient Evidence",'Lists &amp; Settings'!$O$10,IF($N1703="Pass",IF($M1703&gt;='Lists &amp; Settings'!$N$2,'Lists &amp; Settings'!$O$2,IF($M1703&gt;='Lists &amp; Settings'!$N$3,'Lists &amp; Settings'!$O$3,'Lists &amp; Settings'!$O$4)),IF($N1703="Partial",IF($M1703&gt;='Lists &amp; Settings'!$N$6,'Lists &amp; Settings'!$O$6,IF($M1703&gt;='Lists &amp; Settings'!$N$7,'Lists &amp; Settings'!$O$7,'Lists &amp; Settings'!$O$8)),'Lists &amp; Settings'!$O$10))))))</f>
        <v/>
      </c>
      <c r="T1703" s="31"/>
      <c r="U1703" s="31"/>
      <c r="V1703" s="31"/>
    </row>
    <row r="1704" ht="15.75" customHeight="1">
      <c r="B1704" s="31"/>
      <c r="N1704" s="127"/>
      <c r="S1704" s="31" t="str">
        <f>IF($C1704="","",IF(OR($M1704="",$N1704=""),'Lists &amp; Settings'!$O$10,IF($N1704="Fail",'Lists &amp; Settings'!$O$9,IF($N1704="Insufficient Evidence",'Lists &amp; Settings'!$O$10,IF($N1704="Pass",IF($M1704&gt;='Lists &amp; Settings'!$N$2,'Lists &amp; Settings'!$O$2,IF($M1704&gt;='Lists &amp; Settings'!$N$3,'Lists &amp; Settings'!$O$3,'Lists &amp; Settings'!$O$4)),IF($N1704="Partial",IF($M1704&gt;='Lists &amp; Settings'!$N$6,'Lists &amp; Settings'!$O$6,IF($M1704&gt;='Lists &amp; Settings'!$N$7,'Lists &amp; Settings'!$O$7,'Lists &amp; Settings'!$O$8)),'Lists &amp; Settings'!$O$10))))))</f>
        <v/>
      </c>
      <c r="T1704" s="31"/>
      <c r="U1704" s="31"/>
      <c r="V1704" s="31"/>
    </row>
    <row r="1705" ht="15.75" customHeight="1">
      <c r="B1705" s="31"/>
      <c r="N1705" s="127"/>
      <c r="S1705" s="31" t="str">
        <f>IF($C1705="","",IF(OR($M1705="",$N1705=""),'Lists &amp; Settings'!$O$10,IF($N1705="Fail",'Lists &amp; Settings'!$O$9,IF($N1705="Insufficient Evidence",'Lists &amp; Settings'!$O$10,IF($N1705="Pass",IF($M1705&gt;='Lists &amp; Settings'!$N$2,'Lists &amp; Settings'!$O$2,IF($M1705&gt;='Lists &amp; Settings'!$N$3,'Lists &amp; Settings'!$O$3,'Lists &amp; Settings'!$O$4)),IF($N1705="Partial",IF($M1705&gt;='Lists &amp; Settings'!$N$6,'Lists &amp; Settings'!$O$6,IF($M1705&gt;='Lists &amp; Settings'!$N$7,'Lists &amp; Settings'!$O$7,'Lists &amp; Settings'!$O$8)),'Lists &amp; Settings'!$O$10))))))</f>
        <v/>
      </c>
      <c r="T1705" s="31"/>
      <c r="U1705" s="31"/>
      <c r="V1705" s="31"/>
    </row>
    <row r="1706" ht="15.75" customHeight="1">
      <c r="B1706" s="31"/>
      <c r="N1706" s="127"/>
      <c r="S1706" s="31" t="str">
        <f>IF($C1706="","",IF(OR($M1706="",$N1706=""),'Lists &amp; Settings'!$O$10,IF($N1706="Fail",'Lists &amp; Settings'!$O$9,IF($N1706="Insufficient Evidence",'Lists &amp; Settings'!$O$10,IF($N1706="Pass",IF($M1706&gt;='Lists &amp; Settings'!$N$2,'Lists &amp; Settings'!$O$2,IF($M1706&gt;='Lists &amp; Settings'!$N$3,'Lists &amp; Settings'!$O$3,'Lists &amp; Settings'!$O$4)),IF($N1706="Partial",IF($M1706&gt;='Lists &amp; Settings'!$N$6,'Lists &amp; Settings'!$O$6,IF($M1706&gt;='Lists &amp; Settings'!$N$7,'Lists &amp; Settings'!$O$7,'Lists &amp; Settings'!$O$8)),'Lists &amp; Settings'!$O$10))))))</f>
        <v/>
      </c>
      <c r="T1706" s="31"/>
      <c r="U1706" s="31"/>
      <c r="V1706" s="31"/>
    </row>
    <row r="1707" ht="15.75" customHeight="1">
      <c r="B1707" s="31"/>
      <c r="N1707" s="127"/>
      <c r="S1707" s="31" t="str">
        <f>IF($C1707="","",IF(OR($M1707="",$N1707=""),'Lists &amp; Settings'!$O$10,IF($N1707="Fail",'Lists &amp; Settings'!$O$9,IF($N1707="Insufficient Evidence",'Lists &amp; Settings'!$O$10,IF($N1707="Pass",IF($M1707&gt;='Lists &amp; Settings'!$N$2,'Lists &amp; Settings'!$O$2,IF($M1707&gt;='Lists &amp; Settings'!$N$3,'Lists &amp; Settings'!$O$3,'Lists &amp; Settings'!$O$4)),IF($N1707="Partial",IF($M1707&gt;='Lists &amp; Settings'!$N$6,'Lists &amp; Settings'!$O$6,IF($M1707&gt;='Lists &amp; Settings'!$N$7,'Lists &amp; Settings'!$O$7,'Lists &amp; Settings'!$O$8)),'Lists &amp; Settings'!$O$10))))))</f>
        <v/>
      </c>
      <c r="T1707" s="31"/>
      <c r="U1707" s="31"/>
      <c r="V1707" s="31"/>
    </row>
    <row r="1708" ht="15.75" customHeight="1">
      <c r="B1708" s="31"/>
      <c r="N1708" s="127"/>
      <c r="S1708" s="31" t="str">
        <f>IF($C1708="","",IF(OR($M1708="",$N1708=""),'Lists &amp; Settings'!$O$10,IF($N1708="Fail",'Lists &amp; Settings'!$O$9,IF($N1708="Insufficient Evidence",'Lists &amp; Settings'!$O$10,IF($N1708="Pass",IF($M1708&gt;='Lists &amp; Settings'!$N$2,'Lists &amp; Settings'!$O$2,IF($M1708&gt;='Lists &amp; Settings'!$N$3,'Lists &amp; Settings'!$O$3,'Lists &amp; Settings'!$O$4)),IF($N1708="Partial",IF($M1708&gt;='Lists &amp; Settings'!$N$6,'Lists &amp; Settings'!$O$6,IF($M1708&gt;='Lists &amp; Settings'!$N$7,'Lists &amp; Settings'!$O$7,'Lists &amp; Settings'!$O$8)),'Lists &amp; Settings'!$O$10))))))</f>
        <v/>
      </c>
      <c r="T1708" s="31"/>
      <c r="U1708" s="31"/>
      <c r="V1708" s="31"/>
    </row>
    <row r="1709" ht="15.75" customHeight="1">
      <c r="B1709" s="31"/>
      <c r="N1709" s="127"/>
      <c r="S1709" s="31" t="str">
        <f>IF($C1709="","",IF(OR($M1709="",$N1709=""),'Lists &amp; Settings'!$O$10,IF($N1709="Fail",'Lists &amp; Settings'!$O$9,IF($N1709="Insufficient Evidence",'Lists &amp; Settings'!$O$10,IF($N1709="Pass",IF($M1709&gt;='Lists &amp; Settings'!$N$2,'Lists &amp; Settings'!$O$2,IF($M1709&gt;='Lists &amp; Settings'!$N$3,'Lists &amp; Settings'!$O$3,'Lists &amp; Settings'!$O$4)),IF($N1709="Partial",IF($M1709&gt;='Lists &amp; Settings'!$N$6,'Lists &amp; Settings'!$O$6,IF($M1709&gt;='Lists &amp; Settings'!$N$7,'Lists &amp; Settings'!$O$7,'Lists &amp; Settings'!$O$8)),'Lists &amp; Settings'!$O$10))))))</f>
        <v/>
      </c>
      <c r="T1709" s="31"/>
      <c r="U1709" s="31"/>
      <c r="V1709" s="31"/>
    </row>
    <row r="1710" ht="15.75" customHeight="1">
      <c r="B1710" s="31"/>
      <c r="N1710" s="127"/>
      <c r="S1710" s="31" t="str">
        <f>IF($C1710="","",IF(OR($M1710="",$N1710=""),'Lists &amp; Settings'!$O$10,IF($N1710="Fail",'Lists &amp; Settings'!$O$9,IF($N1710="Insufficient Evidence",'Lists &amp; Settings'!$O$10,IF($N1710="Pass",IF($M1710&gt;='Lists &amp; Settings'!$N$2,'Lists &amp; Settings'!$O$2,IF($M1710&gt;='Lists &amp; Settings'!$N$3,'Lists &amp; Settings'!$O$3,'Lists &amp; Settings'!$O$4)),IF($N1710="Partial",IF($M1710&gt;='Lists &amp; Settings'!$N$6,'Lists &amp; Settings'!$O$6,IF($M1710&gt;='Lists &amp; Settings'!$N$7,'Lists &amp; Settings'!$O$7,'Lists &amp; Settings'!$O$8)),'Lists &amp; Settings'!$O$10))))))</f>
        <v/>
      </c>
      <c r="T1710" s="31"/>
      <c r="U1710" s="31"/>
      <c r="V1710" s="31"/>
    </row>
    <row r="1711" ht="15.75" customHeight="1">
      <c r="B1711" s="31"/>
      <c r="N1711" s="127"/>
      <c r="S1711" s="31" t="str">
        <f>IF($C1711="","",IF(OR($M1711="",$N1711=""),'Lists &amp; Settings'!$O$10,IF($N1711="Fail",'Lists &amp; Settings'!$O$9,IF($N1711="Insufficient Evidence",'Lists &amp; Settings'!$O$10,IF($N1711="Pass",IF($M1711&gt;='Lists &amp; Settings'!$N$2,'Lists &amp; Settings'!$O$2,IF($M1711&gt;='Lists &amp; Settings'!$N$3,'Lists &amp; Settings'!$O$3,'Lists &amp; Settings'!$O$4)),IF($N1711="Partial",IF($M1711&gt;='Lists &amp; Settings'!$N$6,'Lists &amp; Settings'!$O$6,IF($M1711&gt;='Lists &amp; Settings'!$N$7,'Lists &amp; Settings'!$O$7,'Lists &amp; Settings'!$O$8)),'Lists &amp; Settings'!$O$10))))))</f>
        <v/>
      </c>
      <c r="T1711" s="31"/>
      <c r="U1711" s="31"/>
      <c r="V1711" s="31"/>
    </row>
    <row r="1712" ht="15.75" customHeight="1">
      <c r="B1712" s="31"/>
      <c r="N1712" s="127"/>
      <c r="S1712" s="31" t="str">
        <f>IF($C1712="","",IF(OR($M1712="",$N1712=""),'Lists &amp; Settings'!$O$10,IF($N1712="Fail",'Lists &amp; Settings'!$O$9,IF($N1712="Insufficient Evidence",'Lists &amp; Settings'!$O$10,IF($N1712="Pass",IF($M1712&gt;='Lists &amp; Settings'!$N$2,'Lists &amp; Settings'!$O$2,IF($M1712&gt;='Lists &amp; Settings'!$N$3,'Lists &amp; Settings'!$O$3,'Lists &amp; Settings'!$O$4)),IF($N1712="Partial",IF($M1712&gt;='Lists &amp; Settings'!$N$6,'Lists &amp; Settings'!$O$6,IF($M1712&gt;='Lists &amp; Settings'!$N$7,'Lists &amp; Settings'!$O$7,'Lists &amp; Settings'!$O$8)),'Lists &amp; Settings'!$O$10))))))</f>
        <v/>
      </c>
      <c r="T1712" s="31"/>
      <c r="U1712" s="31"/>
      <c r="V1712" s="31"/>
    </row>
    <row r="1713" ht="15.75" customHeight="1">
      <c r="B1713" s="31"/>
      <c r="N1713" s="127"/>
      <c r="S1713" s="31" t="str">
        <f>IF($C1713="","",IF(OR($M1713="",$N1713=""),'Lists &amp; Settings'!$O$10,IF($N1713="Fail",'Lists &amp; Settings'!$O$9,IF($N1713="Insufficient Evidence",'Lists &amp; Settings'!$O$10,IF($N1713="Pass",IF($M1713&gt;='Lists &amp; Settings'!$N$2,'Lists &amp; Settings'!$O$2,IF($M1713&gt;='Lists &amp; Settings'!$N$3,'Lists &amp; Settings'!$O$3,'Lists &amp; Settings'!$O$4)),IF($N1713="Partial",IF($M1713&gt;='Lists &amp; Settings'!$N$6,'Lists &amp; Settings'!$O$6,IF($M1713&gt;='Lists &amp; Settings'!$N$7,'Lists &amp; Settings'!$O$7,'Lists &amp; Settings'!$O$8)),'Lists &amp; Settings'!$O$10))))))</f>
        <v/>
      </c>
      <c r="T1713" s="31"/>
      <c r="U1713" s="31"/>
      <c r="V1713" s="31"/>
    </row>
    <row r="1714" ht="15.75" customHeight="1">
      <c r="B1714" s="31"/>
      <c r="N1714" s="127"/>
      <c r="S1714" s="31" t="str">
        <f>IF($C1714="","",IF(OR($M1714="",$N1714=""),'Lists &amp; Settings'!$O$10,IF($N1714="Fail",'Lists &amp; Settings'!$O$9,IF($N1714="Insufficient Evidence",'Lists &amp; Settings'!$O$10,IF($N1714="Pass",IF($M1714&gt;='Lists &amp; Settings'!$N$2,'Lists &amp; Settings'!$O$2,IF($M1714&gt;='Lists &amp; Settings'!$N$3,'Lists &amp; Settings'!$O$3,'Lists &amp; Settings'!$O$4)),IF($N1714="Partial",IF($M1714&gt;='Lists &amp; Settings'!$N$6,'Lists &amp; Settings'!$O$6,IF($M1714&gt;='Lists &amp; Settings'!$N$7,'Lists &amp; Settings'!$O$7,'Lists &amp; Settings'!$O$8)),'Lists &amp; Settings'!$O$10))))))</f>
        <v/>
      </c>
      <c r="T1714" s="31"/>
      <c r="U1714" s="31"/>
      <c r="V1714" s="31"/>
    </row>
    <row r="1715" ht="15.75" customHeight="1">
      <c r="B1715" s="31"/>
      <c r="N1715" s="127"/>
      <c r="S1715" s="31" t="str">
        <f>IF($C1715="","",IF(OR($M1715="",$N1715=""),'Lists &amp; Settings'!$O$10,IF($N1715="Fail",'Lists &amp; Settings'!$O$9,IF($N1715="Insufficient Evidence",'Lists &amp; Settings'!$O$10,IF($N1715="Pass",IF($M1715&gt;='Lists &amp; Settings'!$N$2,'Lists &amp; Settings'!$O$2,IF($M1715&gt;='Lists &amp; Settings'!$N$3,'Lists &amp; Settings'!$O$3,'Lists &amp; Settings'!$O$4)),IF($N1715="Partial",IF($M1715&gt;='Lists &amp; Settings'!$N$6,'Lists &amp; Settings'!$O$6,IF($M1715&gt;='Lists &amp; Settings'!$N$7,'Lists &amp; Settings'!$O$7,'Lists &amp; Settings'!$O$8)),'Lists &amp; Settings'!$O$10))))))</f>
        <v/>
      </c>
      <c r="T1715" s="31"/>
      <c r="U1715" s="31"/>
      <c r="V1715" s="31"/>
    </row>
    <row r="1716" ht="15.75" customHeight="1">
      <c r="B1716" s="31"/>
      <c r="N1716" s="127"/>
      <c r="S1716" s="31" t="str">
        <f>IF($C1716="","",IF(OR($M1716="",$N1716=""),'Lists &amp; Settings'!$O$10,IF($N1716="Fail",'Lists &amp; Settings'!$O$9,IF($N1716="Insufficient Evidence",'Lists &amp; Settings'!$O$10,IF($N1716="Pass",IF($M1716&gt;='Lists &amp; Settings'!$N$2,'Lists &amp; Settings'!$O$2,IF($M1716&gt;='Lists &amp; Settings'!$N$3,'Lists &amp; Settings'!$O$3,'Lists &amp; Settings'!$O$4)),IF($N1716="Partial",IF($M1716&gt;='Lists &amp; Settings'!$N$6,'Lists &amp; Settings'!$O$6,IF($M1716&gt;='Lists &amp; Settings'!$N$7,'Lists &amp; Settings'!$O$7,'Lists &amp; Settings'!$O$8)),'Lists &amp; Settings'!$O$10))))))</f>
        <v/>
      </c>
      <c r="T1716" s="31"/>
      <c r="U1716" s="31"/>
      <c r="V1716" s="31"/>
    </row>
    <row r="1717" ht="15.75" customHeight="1">
      <c r="B1717" s="31"/>
      <c r="N1717" s="127"/>
      <c r="S1717" s="31" t="str">
        <f>IF($C1717="","",IF(OR($M1717="",$N1717=""),'Lists &amp; Settings'!$O$10,IF($N1717="Fail",'Lists &amp; Settings'!$O$9,IF($N1717="Insufficient Evidence",'Lists &amp; Settings'!$O$10,IF($N1717="Pass",IF($M1717&gt;='Lists &amp; Settings'!$N$2,'Lists &amp; Settings'!$O$2,IF($M1717&gt;='Lists &amp; Settings'!$N$3,'Lists &amp; Settings'!$O$3,'Lists &amp; Settings'!$O$4)),IF($N1717="Partial",IF($M1717&gt;='Lists &amp; Settings'!$N$6,'Lists &amp; Settings'!$O$6,IF($M1717&gt;='Lists &amp; Settings'!$N$7,'Lists &amp; Settings'!$O$7,'Lists &amp; Settings'!$O$8)),'Lists &amp; Settings'!$O$10))))))</f>
        <v/>
      </c>
      <c r="T1717" s="31"/>
      <c r="U1717" s="31"/>
      <c r="V1717" s="31"/>
    </row>
    <row r="1718" ht="15.75" customHeight="1">
      <c r="B1718" s="31"/>
      <c r="N1718" s="127"/>
      <c r="S1718" s="31" t="str">
        <f>IF($C1718="","",IF(OR($M1718="",$N1718=""),'Lists &amp; Settings'!$O$10,IF($N1718="Fail",'Lists &amp; Settings'!$O$9,IF($N1718="Insufficient Evidence",'Lists &amp; Settings'!$O$10,IF($N1718="Pass",IF($M1718&gt;='Lists &amp; Settings'!$N$2,'Lists &amp; Settings'!$O$2,IF($M1718&gt;='Lists &amp; Settings'!$N$3,'Lists &amp; Settings'!$O$3,'Lists &amp; Settings'!$O$4)),IF($N1718="Partial",IF($M1718&gt;='Lists &amp; Settings'!$N$6,'Lists &amp; Settings'!$O$6,IF($M1718&gt;='Lists &amp; Settings'!$N$7,'Lists &amp; Settings'!$O$7,'Lists &amp; Settings'!$O$8)),'Lists &amp; Settings'!$O$10))))))</f>
        <v/>
      </c>
      <c r="T1718" s="31"/>
      <c r="U1718" s="31"/>
      <c r="V1718" s="31"/>
    </row>
    <row r="1719" ht="15.75" customHeight="1">
      <c r="B1719" s="31"/>
      <c r="N1719" s="127"/>
      <c r="S1719" s="31" t="str">
        <f>IF($C1719="","",IF(OR($M1719="",$N1719=""),'Lists &amp; Settings'!$O$10,IF($N1719="Fail",'Lists &amp; Settings'!$O$9,IF($N1719="Insufficient Evidence",'Lists &amp; Settings'!$O$10,IF($N1719="Pass",IF($M1719&gt;='Lists &amp; Settings'!$N$2,'Lists &amp; Settings'!$O$2,IF($M1719&gt;='Lists &amp; Settings'!$N$3,'Lists &amp; Settings'!$O$3,'Lists &amp; Settings'!$O$4)),IF($N1719="Partial",IF($M1719&gt;='Lists &amp; Settings'!$N$6,'Lists &amp; Settings'!$O$6,IF($M1719&gt;='Lists &amp; Settings'!$N$7,'Lists &amp; Settings'!$O$7,'Lists &amp; Settings'!$O$8)),'Lists &amp; Settings'!$O$10))))))</f>
        <v/>
      </c>
      <c r="T1719" s="31"/>
      <c r="U1719" s="31"/>
      <c r="V1719" s="31"/>
    </row>
    <row r="1720" ht="15.75" customHeight="1">
      <c r="B1720" s="31"/>
      <c r="N1720" s="127"/>
      <c r="S1720" s="31" t="str">
        <f>IF($C1720="","",IF(OR($M1720="",$N1720=""),'Lists &amp; Settings'!$O$10,IF($N1720="Fail",'Lists &amp; Settings'!$O$9,IF($N1720="Insufficient Evidence",'Lists &amp; Settings'!$O$10,IF($N1720="Pass",IF($M1720&gt;='Lists &amp; Settings'!$N$2,'Lists &amp; Settings'!$O$2,IF($M1720&gt;='Lists &amp; Settings'!$N$3,'Lists &amp; Settings'!$O$3,'Lists &amp; Settings'!$O$4)),IF($N1720="Partial",IF($M1720&gt;='Lists &amp; Settings'!$N$6,'Lists &amp; Settings'!$O$6,IF($M1720&gt;='Lists &amp; Settings'!$N$7,'Lists &amp; Settings'!$O$7,'Lists &amp; Settings'!$O$8)),'Lists &amp; Settings'!$O$10))))))</f>
        <v/>
      </c>
      <c r="T1720" s="31"/>
      <c r="U1720" s="31"/>
      <c r="V1720" s="31"/>
    </row>
    <row r="1721" ht="15.75" customHeight="1">
      <c r="B1721" s="31"/>
      <c r="N1721" s="127"/>
      <c r="S1721" s="31" t="str">
        <f>IF($C1721="","",IF(OR($M1721="",$N1721=""),'Lists &amp; Settings'!$O$10,IF($N1721="Fail",'Lists &amp; Settings'!$O$9,IF($N1721="Insufficient Evidence",'Lists &amp; Settings'!$O$10,IF($N1721="Pass",IF($M1721&gt;='Lists &amp; Settings'!$N$2,'Lists &amp; Settings'!$O$2,IF($M1721&gt;='Lists &amp; Settings'!$N$3,'Lists &amp; Settings'!$O$3,'Lists &amp; Settings'!$O$4)),IF($N1721="Partial",IF($M1721&gt;='Lists &amp; Settings'!$N$6,'Lists &amp; Settings'!$O$6,IF($M1721&gt;='Lists &amp; Settings'!$N$7,'Lists &amp; Settings'!$O$7,'Lists &amp; Settings'!$O$8)),'Lists &amp; Settings'!$O$10))))))</f>
        <v/>
      </c>
      <c r="T1721" s="31"/>
      <c r="U1721" s="31"/>
      <c r="V1721" s="31"/>
    </row>
    <row r="1722" ht="15.75" customHeight="1">
      <c r="B1722" s="31"/>
      <c r="N1722" s="127"/>
      <c r="S1722" s="31" t="str">
        <f>IF($C1722="","",IF(OR($M1722="",$N1722=""),'Lists &amp; Settings'!$O$10,IF($N1722="Fail",'Lists &amp; Settings'!$O$9,IF($N1722="Insufficient Evidence",'Lists &amp; Settings'!$O$10,IF($N1722="Pass",IF($M1722&gt;='Lists &amp; Settings'!$N$2,'Lists &amp; Settings'!$O$2,IF($M1722&gt;='Lists &amp; Settings'!$N$3,'Lists &amp; Settings'!$O$3,'Lists &amp; Settings'!$O$4)),IF($N1722="Partial",IF($M1722&gt;='Lists &amp; Settings'!$N$6,'Lists &amp; Settings'!$O$6,IF($M1722&gt;='Lists &amp; Settings'!$N$7,'Lists &amp; Settings'!$O$7,'Lists &amp; Settings'!$O$8)),'Lists &amp; Settings'!$O$10))))))</f>
        <v/>
      </c>
      <c r="T1722" s="31"/>
      <c r="U1722" s="31"/>
      <c r="V1722" s="31"/>
    </row>
    <row r="1723" ht="15.75" customHeight="1">
      <c r="B1723" s="31"/>
      <c r="N1723" s="127"/>
      <c r="S1723" s="31" t="str">
        <f>IF($C1723="","",IF(OR($M1723="",$N1723=""),'Lists &amp; Settings'!$O$10,IF($N1723="Fail",'Lists &amp; Settings'!$O$9,IF($N1723="Insufficient Evidence",'Lists &amp; Settings'!$O$10,IF($N1723="Pass",IF($M1723&gt;='Lists &amp; Settings'!$N$2,'Lists &amp; Settings'!$O$2,IF($M1723&gt;='Lists &amp; Settings'!$N$3,'Lists &amp; Settings'!$O$3,'Lists &amp; Settings'!$O$4)),IF($N1723="Partial",IF($M1723&gt;='Lists &amp; Settings'!$N$6,'Lists &amp; Settings'!$O$6,IF($M1723&gt;='Lists &amp; Settings'!$N$7,'Lists &amp; Settings'!$O$7,'Lists &amp; Settings'!$O$8)),'Lists &amp; Settings'!$O$10))))))</f>
        <v/>
      </c>
      <c r="T1723" s="31"/>
      <c r="U1723" s="31"/>
      <c r="V1723" s="31"/>
    </row>
    <row r="1724" ht="15.75" customHeight="1">
      <c r="B1724" s="31"/>
      <c r="N1724" s="127"/>
      <c r="S1724" s="31" t="str">
        <f>IF($C1724="","",IF(OR($M1724="",$N1724=""),'Lists &amp; Settings'!$O$10,IF($N1724="Fail",'Lists &amp; Settings'!$O$9,IF($N1724="Insufficient Evidence",'Lists &amp; Settings'!$O$10,IF($N1724="Pass",IF($M1724&gt;='Lists &amp; Settings'!$N$2,'Lists &amp; Settings'!$O$2,IF($M1724&gt;='Lists &amp; Settings'!$N$3,'Lists &amp; Settings'!$O$3,'Lists &amp; Settings'!$O$4)),IF($N1724="Partial",IF($M1724&gt;='Lists &amp; Settings'!$N$6,'Lists &amp; Settings'!$O$6,IF($M1724&gt;='Lists &amp; Settings'!$N$7,'Lists &amp; Settings'!$O$7,'Lists &amp; Settings'!$O$8)),'Lists &amp; Settings'!$O$10))))))</f>
        <v/>
      </c>
      <c r="T1724" s="31"/>
      <c r="U1724" s="31"/>
      <c r="V1724" s="31"/>
    </row>
    <row r="1725" ht="15.75" customHeight="1">
      <c r="B1725" s="31"/>
      <c r="N1725" s="127"/>
      <c r="S1725" s="31" t="str">
        <f>IF($C1725="","",IF(OR($M1725="",$N1725=""),'Lists &amp; Settings'!$O$10,IF($N1725="Fail",'Lists &amp; Settings'!$O$9,IF($N1725="Insufficient Evidence",'Lists &amp; Settings'!$O$10,IF($N1725="Pass",IF($M1725&gt;='Lists &amp; Settings'!$N$2,'Lists &amp; Settings'!$O$2,IF($M1725&gt;='Lists &amp; Settings'!$N$3,'Lists &amp; Settings'!$O$3,'Lists &amp; Settings'!$O$4)),IF($N1725="Partial",IF($M1725&gt;='Lists &amp; Settings'!$N$6,'Lists &amp; Settings'!$O$6,IF($M1725&gt;='Lists &amp; Settings'!$N$7,'Lists &amp; Settings'!$O$7,'Lists &amp; Settings'!$O$8)),'Lists &amp; Settings'!$O$10))))))</f>
        <v/>
      </c>
      <c r="T1725" s="31"/>
      <c r="U1725" s="31"/>
      <c r="V1725" s="31"/>
    </row>
    <row r="1726" ht="15.75" customHeight="1">
      <c r="B1726" s="31"/>
      <c r="N1726" s="127"/>
      <c r="S1726" s="31" t="str">
        <f>IF($C1726="","",IF(OR($M1726="",$N1726=""),'Lists &amp; Settings'!$O$10,IF($N1726="Fail",'Lists &amp; Settings'!$O$9,IF($N1726="Insufficient Evidence",'Lists &amp; Settings'!$O$10,IF($N1726="Pass",IF($M1726&gt;='Lists &amp; Settings'!$N$2,'Lists &amp; Settings'!$O$2,IF($M1726&gt;='Lists &amp; Settings'!$N$3,'Lists &amp; Settings'!$O$3,'Lists &amp; Settings'!$O$4)),IF($N1726="Partial",IF($M1726&gt;='Lists &amp; Settings'!$N$6,'Lists &amp; Settings'!$O$6,IF($M1726&gt;='Lists &amp; Settings'!$N$7,'Lists &amp; Settings'!$O$7,'Lists &amp; Settings'!$O$8)),'Lists &amp; Settings'!$O$10))))))</f>
        <v/>
      </c>
      <c r="T1726" s="31"/>
      <c r="U1726" s="31"/>
      <c r="V1726" s="31"/>
    </row>
    <row r="1727" ht="15.75" customHeight="1">
      <c r="B1727" s="31"/>
      <c r="N1727" s="127"/>
      <c r="S1727" s="31" t="str">
        <f>IF($C1727="","",IF(OR($M1727="",$N1727=""),'Lists &amp; Settings'!$O$10,IF($N1727="Fail",'Lists &amp; Settings'!$O$9,IF($N1727="Insufficient Evidence",'Lists &amp; Settings'!$O$10,IF($N1727="Pass",IF($M1727&gt;='Lists &amp; Settings'!$N$2,'Lists &amp; Settings'!$O$2,IF($M1727&gt;='Lists &amp; Settings'!$N$3,'Lists &amp; Settings'!$O$3,'Lists &amp; Settings'!$O$4)),IF($N1727="Partial",IF($M1727&gt;='Lists &amp; Settings'!$N$6,'Lists &amp; Settings'!$O$6,IF($M1727&gt;='Lists &amp; Settings'!$N$7,'Lists &amp; Settings'!$O$7,'Lists &amp; Settings'!$O$8)),'Lists &amp; Settings'!$O$10))))))</f>
        <v/>
      </c>
      <c r="T1727" s="31"/>
      <c r="U1727" s="31"/>
      <c r="V1727" s="31"/>
    </row>
    <row r="1728" ht="15.75" customHeight="1">
      <c r="B1728" s="31"/>
      <c r="N1728" s="127"/>
      <c r="S1728" s="31" t="str">
        <f>IF($C1728="","",IF(OR($M1728="",$N1728=""),'Lists &amp; Settings'!$O$10,IF($N1728="Fail",'Lists &amp; Settings'!$O$9,IF($N1728="Insufficient Evidence",'Lists &amp; Settings'!$O$10,IF($N1728="Pass",IF($M1728&gt;='Lists &amp; Settings'!$N$2,'Lists &amp; Settings'!$O$2,IF($M1728&gt;='Lists &amp; Settings'!$N$3,'Lists &amp; Settings'!$O$3,'Lists &amp; Settings'!$O$4)),IF($N1728="Partial",IF($M1728&gt;='Lists &amp; Settings'!$N$6,'Lists &amp; Settings'!$O$6,IF($M1728&gt;='Lists &amp; Settings'!$N$7,'Lists &amp; Settings'!$O$7,'Lists &amp; Settings'!$O$8)),'Lists &amp; Settings'!$O$10))))))</f>
        <v/>
      </c>
      <c r="T1728" s="31"/>
      <c r="U1728" s="31"/>
      <c r="V1728" s="31"/>
    </row>
    <row r="1729" ht="15.75" customHeight="1">
      <c r="B1729" s="31"/>
      <c r="N1729" s="127"/>
      <c r="S1729" s="31" t="str">
        <f>IF($C1729="","",IF(OR($M1729="",$N1729=""),'Lists &amp; Settings'!$O$10,IF($N1729="Fail",'Lists &amp; Settings'!$O$9,IF($N1729="Insufficient Evidence",'Lists &amp; Settings'!$O$10,IF($N1729="Pass",IF($M1729&gt;='Lists &amp; Settings'!$N$2,'Lists &amp; Settings'!$O$2,IF($M1729&gt;='Lists &amp; Settings'!$N$3,'Lists &amp; Settings'!$O$3,'Lists &amp; Settings'!$O$4)),IF($N1729="Partial",IF($M1729&gt;='Lists &amp; Settings'!$N$6,'Lists &amp; Settings'!$O$6,IF($M1729&gt;='Lists &amp; Settings'!$N$7,'Lists &amp; Settings'!$O$7,'Lists &amp; Settings'!$O$8)),'Lists &amp; Settings'!$O$10))))))</f>
        <v/>
      </c>
      <c r="T1729" s="31"/>
      <c r="U1729" s="31"/>
      <c r="V1729" s="31"/>
    </row>
    <row r="1730" ht="15.75" customHeight="1">
      <c r="B1730" s="31"/>
      <c r="N1730" s="127"/>
      <c r="S1730" s="31" t="str">
        <f>IF($C1730="","",IF(OR($M1730="",$N1730=""),'Lists &amp; Settings'!$O$10,IF($N1730="Fail",'Lists &amp; Settings'!$O$9,IF($N1730="Insufficient Evidence",'Lists &amp; Settings'!$O$10,IF($N1730="Pass",IF($M1730&gt;='Lists &amp; Settings'!$N$2,'Lists &amp; Settings'!$O$2,IF($M1730&gt;='Lists &amp; Settings'!$N$3,'Lists &amp; Settings'!$O$3,'Lists &amp; Settings'!$O$4)),IF($N1730="Partial",IF($M1730&gt;='Lists &amp; Settings'!$N$6,'Lists &amp; Settings'!$O$6,IF($M1730&gt;='Lists &amp; Settings'!$N$7,'Lists &amp; Settings'!$O$7,'Lists &amp; Settings'!$O$8)),'Lists &amp; Settings'!$O$10))))))</f>
        <v/>
      </c>
      <c r="T1730" s="31"/>
      <c r="U1730" s="31"/>
      <c r="V1730" s="31"/>
    </row>
    <row r="1731" ht="15.75" customHeight="1">
      <c r="B1731" s="31"/>
      <c r="N1731" s="127"/>
      <c r="S1731" s="31" t="str">
        <f>IF($C1731="","",IF(OR($M1731="",$N1731=""),'Lists &amp; Settings'!$O$10,IF($N1731="Fail",'Lists &amp; Settings'!$O$9,IF($N1731="Insufficient Evidence",'Lists &amp; Settings'!$O$10,IF($N1731="Pass",IF($M1731&gt;='Lists &amp; Settings'!$N$2,'Lists &amp; Settings'!$O$2,IF($M1731&gt;='Lists &amp; Settings'!$N$3,'Lists &amp; Settings'!$O$3,'Lists &amp; Settings'!$O$4)),IF($N1731="Partial",IF($M1731&gt;='Lists &amp; Settings'!$N$6,'Lists &amp; Settings'!$O$6,IF($M1731&gt;='Lists &amp; Settings'!$N$7,'Lists &amp; Settings'!$O$7,'Lists &amp; Settings'!$O$8)),'Lists &amp; Settings'!$O$10))))))</f>
        <v/>
      </c>
      <c r="T1731" s="31"/>
      <c r="U1731" s="31"/>
      <c r="V1731" s="31"/>
    </row>
    <row r="1732" ht="15.75" customHeight="1">
      <c r="B1732" s="31"/>
      <c r="N1732" s="127"/>
      <c r="S1732" s="31" t="str">
        <f>IF($C1732="","",IF(OR($M1732="",$N1732=""),'Lists &amp; Settings'!$O$10,IF($N1732="Fail",'Lists &amp; Settings'!$O$9,IF($N1732="Insufficient Evidence",'Lists &amp; Settings'!$O$10,IF($N1732="Pass",IF($M1732&gt;='Lists &amp; Settings'!$N$2,'Lists &amp; Settings'!$O$2,IF($M1732&gt;='Lists &amp; Settings'!$N$3,'Lists &amp; Settings'!$O$3,'Lists &amp; Settings'!$O$4)),IF($N1732="Partial",IF($M1732&gt;='Lists &amp; Settings'!$N$6,'Lists &amp; Settings'!$O$6,IF($M1732&gt;='Lists &amp; Settings'!$N$7,'Lists &amp; Settings'!$O$7,'Lists &amp; Settings'!$O$8)),'Lists &amp; Settings'!$O$10))))))</f>
        <v/>
      </c>
      <c r="T1732" s="31"/>
      <c r="U1732" s="31"/>
      <c r="V1732" s="31"/>
    </row>
    <row r="1733" ht="15.75" customHeight="1">
      <c r="B1733" s="31"/>
      <c r="N1733" s="127"/>
      <c r="S1733" s="31" t="str">
        <f>IF($C1733="","",IF(OR($M1733="",$N1733=""),'Lists &amp; Settings'!$O$10,IF($N1733="Fail",'Lists &amp; Settings'!$O$9,IF($N1733="Insufficient Evidence",'Lists &amp; Settings'!$O$10,IF($N1733="Pass",IF($M1733&gt;='Lists &amp; Settings'!$N$2,'Lists &amp; Settings'!$O$2,IF($M1733&gt;='Lists &amp; Settings'!$N$3,'Lists &amp; Settings'!$O$3,'Lists &amp; Settings'!$O$4)),IF($N1733="Partial",IF($M1733&gt;='Lists &amp; Settings'!$N$6,'Lists &amp; Settings'!$O$6,IF($M1733&gt;='Lists &amp; Settings'!$N$7,'Lists &amp; Settings'!$O$7,'Lists &amp; Settings'!$O$8)),'Lists &amp; Settings'!$O$10))))))</f>
        <v/>
      </c>
      <c r="T1733" s="31"/>
      <c r="U1733" s="31"/>
      <c r="V1733" s="31"/>
    </row>
    <row r="1734" ht="15.75" customHeight="1">
      <c r="B1734" s="31"/>
      <c r="N1734" s="127"/>
      <c r="S1734" s="31" t="str">
        <f>IF($C1734="","",IF(OR($M1734="",$N1734=""),'Lists &amp; Settings'!$O$10,IF($N1734="Fail",'Lists &amp; Settings'!$O$9,IF($N1734="Insufficient Evidence",'Lists &amp; Settings'!$O$10,IF($N1734="Pass",IF($M1734&gt;='Lists &amp; Settings'!$N$2,'Lists &amp; Settings'!$O$2,IF($M1734&gt;='Lists &amp; Settings'!$N$3,'Lists &amp; Settings'!$O$3,'Lists &amp; Settings'!$O$4)),IF($N1734="Partial",IF($M1734&gt;='Lists &amp; Settings'!$N$6,'Lists &amp; Settings'!$O$6,IF($M1734&gt;='Lists &amp; Settings'!$N$7,'Lists &amp; Settings'!$O$7,'Lists &amp; Settings'!$O$8)),'Lists &amp; Settings'!$O$10))))))</f>
        <v/>
      </c>
      <c r="T1734" s="31"/>
      <c r="U1734" s="31"/>
      <c r="V1734" s="31"/>
    </row>
    <row r="1735" ht="15.75" customHeight="1">
      <c r="B1735" s="31"/>
      <c r="N1735" s="127"/>
      <c r="S1735" s="31" t="str">
        <f>IF($C1735="","",IF(OR($M1735="",$N1735=""),'Lists &amp; Settings'!$O$10,IF($N1735="Fail",'Lists &amp; Settings'!$O$9,IF($N1735="Insufficient Evidence",'Lists &amp; Settings'!$O$10,IF($N1735="Pass",IF($M1735&gt;='Lists &amp; Settings'!$N$2,'Lists &amp; Settings'!$O$2,IF($M1735&gt;='Lists &amp; Settings'!$N$3,'Lists &amp; Settings'!$O$3,'Lists &amp; Settings'!$O$4)),IF($N1735="Partial",IF($M1735&gt;='Lists &amp; Settings'!$N$6,'Lists &amp; Settings'!$O$6,IF($M1735&gt;='Lists &amp; Settings'!$N$7,'Lists &amp; Settings'!$O$7,'Lists &amp; Settings'!$O$8)),'Lists &amp; Settings'!$O$10))))))</f>
        <v/>
      </c>
      <c r="T1735" s="31"/>
      <c r="U1735" s="31"/>
      <c r="V1735" s="31"/>
    </row>
    <row r="1736" ht="15.75" customHeight="1">
      <c r="B1736" s="31"/>
      <c r="N1736" s="127"/>
      <c r="S1736" s="31" t="str">
        <f>IF($C1736="","",IF(OR($M1736="",$N1736=""),'Lists &amp; Settings'!$O$10,IF($N1736="Fail",'Lists &amp; Settings'!$O$9,IF($N1736="Insufficient Evidence",'Lists &amp; Settings'!$O$10,IF($N1736="Pass",IF($M1736&gt;='Lists &amp; Settings'!$N$2,'Lists &amp; Settings'!$O$2,IF($M1736&gt;='Lists &amp; Settings'!$N$3,'Lists &amp; Settings'!$O$3,'Lists &amp; Settings'!$O$4)),IF($N1736="Partial",IF($M1736&gt;='Lists &amp; Settings'!$N$6,'Lists &amp; Settings'!$O$6,IF($M1736&gt;='Lists &amp; Settings'!$N$7,'Lists &amp; Settings'!$O$7,'Lists &amp; Settings'!$O$8)),'Lists &amp; Settings'!$O$10))))))</f>
        <v/>
      </c>
      <c r="T1736" s="31"/>
      <c r="U1736" s="31"/>
      <c r="V1736" s="31"/>
    </row>
    <row r="1737" ht="15.75" customHeight="1">
      <c r="B1737" s="31"/>
      <c r="N1737" s="127"/>
      <c r="S1737" s="31" t="str">
        <f>IF($C1737="","",IF(OR($M1737="",$N1737=""),'Lists &amp; Settings'!$O$10,IF($N1737="Fail",'Lists &amp; Settings'!$O$9,IF($N1737="Insufficient Evidence",'Lists &amp; Settings'!$O$10,IF($N1737="Pass",IF($M1737&gt;='Lists &amp; Settings'!$N$2,'Lists &amp; Settings'!$O$2,IF($M1737&gt;='Lists &amp; Settings'!$N$3,'Lists &amp; Settings'!$O$3,'Lists &amp; Settings'!$O$4)),IF($N1737="Partial",IF($M1737&gt;='Lists &amp; Settings'!$N$6,'Lists &amp; Settings'!$O$6,IF($M1737&gt;='Lists &amp; Settings'!$N$7,'Lists &amp; Settings'!$O$7,'Lists &amp; Settings'!$O$8)),'Lists &amp; Settings'!$O$10))))))</f>
        <v/>
      </c>
      <c r="T1737" s="31"/>
      <c r="U1737" s="31"/>
      <c r="V1737" s="31"/>
    </row>
    <row r="1738" ht="15.75" customHeight="1">
      <c r="B1738" s="31"/>
      <c r="N1738" s="127"/>
      <c r="S1738" s="31" t="str">
        <f>IF($C1738="","",IF(OR($M1738="",$N1738=""),'Lists &amp; Settings'!$O$10,IF($N1738="Fail",'Lists &amp; Settings'!$O$9,IF($N1738="Insufficient Evidence",'Lists &amp; Settings'!$O$10,IF($N1738="Pass",IF($M1738&gt;='Lists &amp; Settings'!$N$2,'Lists &amp; Settings'!$O$2,IF($M1738&gt;='Lists &amp; Settings'!$N$3,'Lists &amp; Settings'!$O$3,'Lists &amp; Settings'!$O$4)),IF($N1738="Partial",IF($M1738&gt;='Lists &amp; Settings'!$N$6,'Lists &amp; Settings'!$O$6,IF($M1738&gt;='Lists &amp; Settings'!$N$7,'Lists &amp; Settings'!$O$7,'Lists &amp; Settings'!$O$8)),'Lists &amp; Settings'!$O$10))))))</f>
        <v/>
      </c>
      <c r="T1738" s="31"/>
      <c r="U1738" s="31"/>
      <c r="V1738" s="31"/>
    </row>
    <row r="1739" ht="15.75" customHeight="1">
      <c r="B1739" s="31"/>
      <c r="N1739" s="127"/>
      <c r="S1739" s="31" t="str">
        <f>IF($C1739="","",IF(OR($M1739="",$N1739=""),'Lists &amp; Settings'!$O$10,IF($N1739="Fail",'Lists &amp; Settings'!$O$9,IF($N1739="Insufficient Evidence",'Lists &amp; Settings'!$O$10,IF($N1739="Pass",IF($M1739&gt;='Lists &amp; Settings'!$N$2,'Lists &amp; Settings'!$O$2,IF($M1739&gt;='Lists &amp; Settings'!$N$3,'Lists &amp; Settings'!$O$3,'Lists &amp; Settings'!$O$4)),IF($N1739="Partial",IF($M1739&gt;='Lists &amp; Settings'!$N$6,'Lists &amp; Settings'!$O$6,IF($M1739&gt;='Lists &amp; Settings'!$N$7,'Lists &amp; Settings'!$O$7,'Lists &amp; Settings'!$O$8)),'Lists &amp; Settings'!$O$10))))))</f>
        <v/>
      </c>
      <c r="T1739" s="31"/>
      <c r="U1739" s="31"/>
      <c r="V1739" s="31"/>
    </row>
    <row r="1740" ht="15.75" customHeight="1">
      <c r="B1740" s="31"/>
      <c r="N1740" s="127"/>
      <c r="S1740" s="31" t="str">
        <f>IF($C1740="","",IF(OR($M1740="",$N1740=""),'Lists &amp; Settings'!$O$10,IF($N1740="Fail",'Lists &amp; Settings'!$O$9,IF($N1740="Insufficient Evidence",'Lists &amp; Settings'!$O$10,IF($N1740="Pass",IF($M1740&gt;='Lists &amp; Settings'!$N$2,'Lists &amp; Settings'!$O$2,IF($M1740&gt;='Lists &amp; Settings'!$N$3,'Lists &amp; Settings'!$O$3,'Lists &amp; Settings'!$O$4)),IF($N1740="Partial",IF($M1740&gt;='Lists &amp; Settings'!$N$6,'Lists &amp; Settings'!$O$6,IF($M1740&gt;='Lists &amp; Settings'!$N$7,'Lists &amp; Settings'!$O$7,'Lists &amp; Settings'!$O$8)),'Lists &amp; Settings'!$O$10))))))</f>
        <v/>
      </c>
      <c r="T1740" s="31"/>
      <c r="U1740" s="31"/>
      <c r="V1740" s="31"/>
    </row>
    <row r="1741" ht="15.75" customHeight="1">
      <c r="B1741" s="31"/>
      <c r="N1741" s="127"/>
      <c r="S1741" s="31" t="str">
        <f>IF($C1741="","",IF(OR($M1741="",$N1741=""),'Lists &amp; Settings'!$O$10,IF($N1741="Fail",'Lists &amp; Settings'!$O$9,IF($N1741="Insufficient Evidence",'Lists &amp; Settings'!$O$10,IF($N1741="Pass",IF($M1741&gt;='Lists &amp; Settings'!$N$2,'Lists &amp; Settings'!$O$2,IF($M1741&gt;='Lists &amp; Settings'!$N$3,'Lists &amp; Settings'!$O$3,'Lists &amp; Settings'!$O$4)),IF($N1741="Partial",IF($M1741&gt;='Lists &amp; Settings'!$N$6,'Lists &amp; Settings'!$O$6,IF($M1741&gt;='Lists &amp; Settings'!$N$7,'Lists &amp; Settings'!$O$7,'Lists &amp; Settings'!$O$8)),'Lists &amp; Settings'!$O$10))))))</f>
        <v/>
      </c>
      <c r="T1741" s="31"/>
      <c r="U1741" s="31"/>
      <c r="V1741" s="31"/>
    </row>
    <row r="1742" ht="15.75" customHeight="1">
      <c r="B1742" s="31"/>
      <c r="N1742" s="127"/>
      <c r="S1742" s="31" t="str">
        <f>IF($C1742="","",IF(OR($M1742="",$N1742=""),'Lists &amp; Settings'!$O$10,IF($N1742="Fail",'Lists &amp; Settings'!$O$9,IF($N1742="Insufficient Evidence",'Lists &amp; Settings'!$O$10,IF($N1742="Pass",IF($M1742&gt;='Lists &amp; Settings'!$N$2,'Lists &amp; Settings'!$O$2,IF($M1742&gt;='Lists &amp; Settings'!$N$3,'Lists &amp; Settings'!$O$3,'Lists &amp; Settings'!$O$4)),IF($N1742="Partial",IF($M1742&gt;='Lists &amp; Settings'!$N$6,'Lists &amp; Settings'!$O$6,IF($M1742&gt;='Lists &amp; Settings'!$N$7,'Lists &amp; Settings'!$O$7,'Lists &amp; Settings'!$O$8)),'Lists &amp; Settings'!$O$10))))))</f>
        <v/>
      </c>
      <c r="T1742" s="31"/>
      <c r="U1742" s="31"/>
      <c r="V1742" s="31"/>
    </row>
    <row r="1743" ht="15.75" customHeight="1">
      <c r="B1743" s="31"/>
      <c r="N1743" s="127"/>
      <c r="S1743" s="31" t="str">
        <f>IF($C1743="","",IF(OR($M1743="",$N1743=""),'Lists &amp; Settings'!$O$10,IF($N1743="Fail",'Lists &amp; Settings'!$O$9,IF($N1743="Insufficient Evidence",'Lists &amp; Settings'!$O$10,IF($N1743="Pass",IF($M1743&gt;='Lists &amp; Settings'!$N$2,'Lists &amp; Settings'!$O$2,IF($M1743&gt;='Lists &amp; Settings'!$N$3,'Lists &amp; Settings'!$O$3,'Lists &amp; Settings'!$O$4)),IF($N1743="Partial",IF($M1743&gt;='Lists &amp; Settings'!$N$6,'Lists &amp; Settings'!$O$6,IF($M1743&gt;='Lists &amp; Settings'!$N$7,'Lists &amp; Settings'!$O$7,'Lists &amp; Settings'!$O$8)),'Lists &amp; Settings'!$O$10))))))</f>
        <v/>
      </c>
      <c r="T1743" s="31"/>
      <c r="U1743" s="31"/>
      <c r="V1743" s="31"/>
    </row>
    <row r="1744" ht="15.75" customHeight="1">
      <c r="B1744" s="31"/>
      <c r="N1744" s="127"/>
      <c r="S1744" s="31" t="str">
        <f>IF($C1744="","",IF(OR($M1744="",$N1744=""),'Lists &amp; Settings'!$O$10,IF($N1744="Fail",'Lists &amp; Settings'!$O$9,IF($N1744="Insufficient Evidence",'Lists &amp; Settings'!$O$10,IF($N1744="Pass",IF($M1744&gt;='Lists &amp; Settings'!$N$2,'Lists &amp; Settings'!$O$2,IF($M1744&gt;='Lists &amp; Settings'!$N$3,'Lists &amp; Settings'!$O$3,'Lists &amp; Settings'!$O$4)),IF($N1744="Partial",IF($M1744&gt;='Lists &amp; Settings'!$N$6,'Lists &amp; Settings'!$O$6,IF($M1744&gt;='Lists &amp; Settings'!$N$7,'Lists &amp; Settings'!$O$7,'Lists &amp; Settings'!$O$8)),'Lists &amp; Settings'!$O$10))))))</f>
        <v/>
      </c>
      <c r="T1744" s="31"/>
      <c r="U1744" s="31"/>
      <c r="V1744" s="31"/>
    </row>
    <row r="1745" ht="15.75" customHeight="1">
      <c r="B1745" s="31"/>
      <c r="N1745" s="127"/>
      <c r="S1745" s="31" t="str">
        <f>IF($C1745="","",IF(OR($M1745="",$N1745=""),'Lists &amp; Settings'!$O$10,IF($N1745="Fail",'Lists &amp; Settings'!$O$9,IF($N1745="Insufficient Evidence",'Lists &amp; Settings'!$O$10,IF($N1745="Pass",IF($M1745&gt;='Lists &amp; Settings'!$N$2,'Lists &amp; Settings'!$O$2,IF($M1745&gt;='Lists &amp; Settings'!$N$3,'Lists &amp; Settings'!$O$3,'Lists &amp; Settings'!$O$4)),IF($N1745="Partial",IF($M1745&gt;='Lists &amp; Settings'!$N$6,'Lists &amp; Settings'!$O$6,IF($M1745&gt;='Lists &amp; Settings'!$N$7,'Lists &amp; Settings'!$O$7,'Lists &amp; Settings'!$O$8)),'Lists &amp; Settings'!$O$10))))))</f>
        <v/>
      </c>
      <c r="T1745" s="31"/>
      <c r="U1745" s="31"/>
      <c r="V1745" s="31"/>
    </row>
    <row r="1746" ht="15.75" customHeight="1">
      <c r="B1746" s="31"/>
      <c r="N1746" s="127"/>
      <c r="S1746" s="31" t="str">
        <f>IF($C1746="","",IF(OR($M1746="",$N1746=""),'Lists &amp; Settings'!$O$10,IF($N1746="Fail",'Lists &amp; Settings'!$O$9,IF($N1746="Insufficient Evidence",'Lists &amp; Settings'!$O$10,IF($N1746="Pass",IF($M1746&gt;='Lists &amp; Settings'!$N$2,'Lists &amp; Settings'!$O$2,IF($M1746&gt;='Lists &amp; Settings'!$N$3,'Lists &amp; Settings'!$O$3,'Lists &amp; Settings'!$O$4)),IF($N1746="Partial",IF($M1746&gt;='Lists &amp; Settings'!$N$6,'Lists &amp; Settings'!$O$6,IF($M1746&gt;='Lists &amp; Settings'!$N$7,'Lists &amp; Settings'!$O$7,'Lists &amp; Settings'!$O$8)),'Lists &amp; Settings'!$O$10))))))</f>
        <v/>
      </c>
      <c r="T1746" s="31"/>
      <c r="U1746" s="31"/>
      <c r="V1746" s="31"/>
    </row>
    <row r="1747" ht="15.75" customHeight="1">
      <c r="B1747" s="31"/>
      <c r="N1747" s="127"/>
      <c r="S1747" s="31" t="str">
        <f>IF($C1747="","",IF(OR($M1747="",$N1747=""),'Lists &amp; Settings'!$O$10,IF($N1747="Fail",'Lists &amp; Settings'!$O$9,IF($N1747="Insufficient Evidence",'Lists &amp; Settings'!$O$10,IF($N1747="Pass",IF($M1747&gt;='Lists &amp; Settings'!$N$2,'Lists &amp; Settings'!$O$2,IF($M1747&gt;='Lists &amp; Settings'!$N$3,'Lists &amp; Settings'!$O$3,'Lists &amp; Settings'!$O$4)),IF($N1747="Partial",IF($M1747&gt;='Lists &amp; Settings'!$N$6,'Lists &amp; Settings'!$O$6,IF($M1747&gt;='Lists &amp; Settings'!$N$7,'Lists &amp; Settings'!$O$7,'Lists &amp; Settings'!$O$8)),'Lists &amp; Settings'!$O$10))))))</f>
        <v/>
      </c>
      <c r="T1747" s="31"/>
      <c r="U1747" s="31"/>
      <c r="V1747" s="31"/>
    </row>
    <row r="1748" ht="15.75" customHeight="1">
      <c r="B1748" s="31"/>
      <c r="N1748" s="127"/>
      <c r="S1748" s="31" t="str">
        <f>IF($C1748="","",IF(OR($M1748="",$N1748=""),'Lists &amp; Settings'!$O$10,IF($N1748="Fail",'Lists &amp; Settings'!$O$9,IF($N1748="Insufficient Evidence",'Lists &amp; Settings'!$O$10,IF($N1748="Pass",IF($M1748&gt;='Lists &amp; Settings'!$N$2,'Lists &amp; Settings'!$O$2,IF($M1748&gt;='Lists &amp; Settings'!$N$3,'Lists &amp; Settings'!$O$3,'Lists &amp; Settings'!$O$4)),IF($N1748="Partial",IF($M1748&gt;='Lists &amp; Settings'!$N$6,'Lists &amp; Settings'!$O$6,IF($M1748&gt;='Lists &amp; Settings'!$N$7,'Lists &amp; Settings'!$O$7,'Lists &amp; Settings'!$O$8)),'Lists &amp; Settings'!$O$10))))))</f>
        <v/>
      </c>
      <c r="T1748" s="31"/>
      <c r="U1748" s="31"/>
      <c r="V1748" s="31"/>
    </row>
    <row r="1749" ht="15.75" customHeight="1">
      <c r="B1749" s="31"/>
      <c r="N1749" s="127"/>
      <c r="S1749" s="31" t="str">
        <f>IF($C1749="","",IF(OR($M1749="",$N1749=""),'Lists &amp; Settings'!$O$10,IF($N1749="Fail",'Lists &amp; Settings'!$O$9,IF($N1749="Insufficient Evidence",'Lists &amp; Settings'!$O$10,IF($N1749="Pass",IF($M1749&gt;='Lists &amp; Settings'!$N$2,'Lists &amp; Settings'!$O$2,IF($M1749&gt;='Lists &amp; Settings'!$N$3,'Lists &amp; Settings'!$O$3,'Lists &amp; Settings'!$O$4)),IF($N1749="Partial",IF($M1749&gt;='Lists &amp; Settings'!$N$6,'Lists &amp; Settings'!$O$6,IF($M1749&gt;='Lists &amp; Settings'!$N$7,'Lists &amp; Settings'!$O$7,'Lists &amp; Settings'!$O$8)),'Lists &amp; Settings'!$O$10))))))</f>
        <v/>
      </c>
      <c r="T1749" s="31"/>
      <c r="U1749" s="31"/>
      <c r="V1749" s="31"/>
    </row>
    <row r="1750" ht="15.75" customHeight="1">
      <c r="B1750" s="31"/>
      <c r="N1750" s="127"/>
      <c r="S1750" s="31" t="str">
        <f>IF($C1750="","",IF(OR($M1750="",$N1750=""),'Lists &amp; Settings'!$O$10,IF($N1750="Fail",'Lists &amp; Settings'!$O$9,IF($N1750="Insufficient Evidence",'Lists &amp; Settings'!$O$10,IF($N1750="Pass",IF($M1750&gt;='Lists &amp; Settings'!$N$2,'Lists &amp; Settings'!$O$2,IF($M1750&gt;='Lists &amp; Settings'!$N$3,'Lists &amp; Settings'!$O$3,'Lists &amp; Settings'!$O$4)),IF($N1750="Partial",IF($M1750&gt;='Lists &amp; Settings'!$N$6,'Lists &amp; Settings'!$O$6,IF($M1750&gt;='Lists &amp; Settings'!$N$7,'Lists &amp; Settings'!$O$7,'Lists &amp; Settings'!$O$8)),'Lists &amp; Settings'!$O$10))))))</f>
        <v/>
      </c>
      <c r="T1750" s="31"/>
      <c r="U1750" s="31"/>
      <c r="V1750" s="31"/>
    </row>
    <row r="1751" ht="15.75" customHeight="1">
      <c r="B1751" s="31"/>
      <c r="N1751" s="127"/>
      <c r="S1751" s="31" t="str">
        <f>IF($C1751="","",IF(OR($M1751="",$N1751=""),'Lists &amp; Settings'!$O$10,IF($N1751="Fail",'Lists &amp; Settings'!$O$9,IF($N1751="Insufficient Evidence",'Lists &amp; Settings'!$O$10,IF($N1751="Pass",IF($M1751&gt;='Lists &amp; Settings'!$N$2,'Lists &amp; Settings'!$O$2,IF($M1751&gt;='Lists &amp; Settings'!$N$3,'Lists &amp; Settings'!$O$3,'Lists &amp; Settings'!$O$4)),IF($N1751="Partial",IF($M1751&gt;='Lists &amp; Settings'!$N$6,'Lists &amp; Settings'!$O$6,IF($M1751&gt;='Lists &amp; Settings'!$N$7,'Lists &amp; Settings'!$O$7,'Lists &amp; Settings'!$O$8)),'Lists &amp; Settings'!$O$10))))))</f>
        <v/>
      </c>
      <c r="T1751" s="31"/>
      <c r="U1751" s="31"/>
      <c r="V1751" s="31"/>
    </row>
    <row r="1752" ht="15.75" customHeight="1">
      <c r="B1752" s="31"/>
      <c r="N1752" s="127"/>
      <c r="S1752" s="31" t="str">
        <f>IF($C1752="","",IF(OR($M1752="",$N1752=""),'Lists &amp; Settings'!$O$10,IF($N1752="Fail",'Lists &amp; Settings'!$O$9,IF($N1752="Insufficient Evidence",'Lists &amp; Settings'!$O$10,IF($N1752="Pass",IF($M1752&gt;='Lists &amp; Settings'!$N$2,'Lists &amp; Settings'!$O$2,IF($M1752&gt;='Lists &amp; Settings'!$N$3,'Lists &amp; Settings'!$O$3,'Lists &amp; Settings'!$O$4)),IF($N1752="Partial",IF($M1752&gt;='Lists &amp; Settings'!$N$6,'Lists &amp; Settings'!$O$6,IF($M1752&gt;='Lists &amp; Settings'!$N$7,'Lists &amp; Settings'!$O$7,'Lists &amp; Settings'!$O$8)),'Lists &amp; Settings'!$O$10))))))</f>
        <v/>
      </c>
      <c r="T1752" s="31"/>
      <c r="U1752" s="31"/>
      <c r="V1752" s="31"/>
    </row>
    <row r="1753" ht="15.75" customHeight="1">
      <c r="B1753" s="31"/>
      <c r="N1753" s="127"/>
      <c r="S1753" s="31" t="str">
        <f>IF($C1753="","",IF(OR($M1753="",$N1753=""),'Lists &amp; Settings'!$O$10,IF($N1753="Fail",'Lists &amp; Settings'!$O$9,IF($N1753="Insufficient Evidence",'Lists &amp; Settings'!$O$10,IF($N1753="Pass",IF($M1753&gt;='Lists &amp; Settings'!$N$2,'Lists &amp; Settings'!$O$2,IF($M1753&gt;='Lists &amp; Settings'!$N$3,'Lists &amp; Settings'!$O$3,'Lists &amp; Settings'!$O$4)),IF($N1753="Partial",IF($M1753&gt;='Lists &amp; Settings'!$N$6,'Lists &amp; Settings'!$O$6,IF($M1753&gt;='Lists &amp; Settings'!$N$7,'Lists &amp; Settings'!$O$7,'Lists &amp; Settings'!$O$8)),'Lists &amp; Settings'!$O$10))))))</f>
        <v/>
      </c>
      <c r="T1753" s="31"/>
      <c r="U1753" s="31"/>
      <c r="V1753" s="31"/>
    </row>
    <row r="1754" ht="15.75" customHeight="1">
      <c r="B1754" s="31"/>
      <c r="N1754" s="127"/>
      <c r="S1754" s="31" t="str">
        <f>IF($C1754="","",IF(OR($M1754="",$N1754=""),'Lists &amp; Settings'!$O$10,IF($N1754="Fail",'Lists &amp; Settings'!$O$9,IF($N1754="Insufficient Evidence",'Lists &amp; Settings'!$O$10,IF($N1754="Pass",IF($M1754&gt;='Lists &amp; Settings'!$N$2,'Lists &amp; Settings'!$O$2,IF($M1754&gt;='Lists &amp; Settings'!$N$3,'Lists &amp; Settings'!$O$3,'Lists &amp; Settings'!$O$4)),IF($N1754="Partial",IF($M1754&gt;='Lists &amp; Settings'!$N$6,'Lists &amp; Settings'!$O$6,IF($M1754&gt;='Lists &amp; Settings'!$N$7,'Lists &amp; Settings'!$O$7,'Lists &amp; Settings'!$O$8)),'Lists &amp; Settings'!$O$10))))))</f>
        <v/>
      </c>
      <c r="T1754" s="31"/>
      <c r="U1754" s="31"/>
      <c r="V1754" s="31"/>
    </row>
    <row r="1755" ht="15.75" customHeight="1">
      <c r="B1755" s="31"/>
      <c r="N1755" s="127"/>
      <c r="S1755" s="31" t="str">
        <f>IF($C1755="","",IF(OR($M1755="",$N1755=""),'Lists &amp; Settings'!$O$10,IF($N1755="Fail",'Lists &amp; Settings'!$O$9,IF($N1755="Insufficient Evidence",'Lists &amp; Settings'!$O$10,IF($N1755="Pass",IF($M1755&gt;='Lists &amp; Settings'!$N$2,'Lists &amp; Settings'!$O$2,IF($M1755&gt;='Lists &amp; Settings'!$N$3,'Lists &amp; Settings'!$O$3,'Lists &amp; Settings'!$O$4)),IF($N1755="Partial",IF($M1755&gt;='Lists &amp; Settings'!$N$6,'Lists &amp; Settings'!$O$6,IF($M1755&gt;='Lists &amp; Settings'!$N$7,'Lists &amp; Settings'!$O$7,'Lists &amp; Settings'!$O$8)),'Lists &amp; Settings'!$O$10))))))</f>
        <v/>
      </c>
      <c r="T1755" s="31"/>
      <c r="U1755" s="31"/>
      <c r="V1755" s="31"/>
    </row>
    <row r="1756" ht="15.75" customHeight="1">
      <c r="B1756" s="31"/>
      <c r="N1756" s="127"/>
      <c r="S1756" s="31" t="str">
        <f>IF($C1756="","",IF(OR($M1756="",$N1756=""),'Lists &amp; Settings'!$O$10,IF($N1756="Fail",'Lists &amp; Settings'!$O$9,IF($N1756="Insufficient Evidence",'Lists &amp; Settings'!$O$10,IF($N1756="Pass",IF($M1756&gt;='Lists &amp; Settings'!$N$2,'Lists &amp; Settings'!$O$2,IF($M1756&gt;='Lists &amp; Settings'!$N$3,'Lists &amp; Settings'!$O$3,'Lists &amp; Settings'!$O$4)),IF($N1756="Partial",IF($M1756&gt;='Lists &amp; Settings'!$N$6,'Lists &amp; Settings'!$O$6,IF($M1756&gt;='Lists &amp; Settings'!$N$7,'Lists &amp; Settings'!$O$7,'Lists &amp; Settings'!$O$8)),'Lists &amp; Settings'!$O$10))))))</f>
        <v/>
      </c>
      <c r="T1756" s="31"/>
      <c r="U1756" s="31"/>
      <c r="V1756" s="31"/>
    </row>
    <row r="1757" ht="15.75" customHeight="1">
      <c r="B1757" s="31"/>
      <c r="N1757" s="127"/>
      <c r="S1757" s="31" t="str">
        <f>IF($C1757="","",IF(OR($M1757="",$N1757=""),'Lists &amp; Settings'!$O$10,IF($N1757="Fail",'Lists &amp; Settings'!$O$9,IF($N1757="Insufficient Evidence",'Lists &amp; Settings'!$O$10,IF($N1757="Pass",IF($M1757&gt;='Lists &amp; Settings'!$N$2,'Lists &amp; Settings'!$O$2,IF($M1757&gt;='Lists &amp; Settings'!$N$3,'Lists &amp; Settings'!$O$3,'Lists &amp; Settings'!$O$4)),IF($N1757="Partial",IF($M1757&gt;='Lists &amp; Settings'!$N$6,'Lists &amp; Settings'!$O$6,IF($M1757&gt;='Lists &amp; Settings'!$N$7,'Lists &amp; Settings'!$O$7,'Lists &amp; Settings'!$O$8)),'Lists &amp; Settings'!$O$10))))))</f>
        <v/>
      </c>
      <c r="T1757" s="31"/>
      <c r="U1757" s="31"/>
      <c r="V1757" s="31"/>
    </row>
    <row r="1758" ht="15.75" customHeight="1">
      <c r="B1758" s="31"/>
      <c r="N1758" s="127"/>
      <c r="S1758" s="31" t="str">
        <f>IF($C1758="","",IF(OR($M1758="",$N1758=""),'Lists &amp; Settings'!$O$10,IF($N1758="Fail",'Lists &amp; Settings'!$O$9,IF($N1758="Insufficient Evidence",'Lists &amp; Settings'!$O$10,IF($N1758="Pass",IF($M1758&gt;='Lists &amp; Settings'!$N$2,'Lists &amp; Settings'!$O$2,IF($M1758&gt;='Lists &amp; Settings'!$N$3,'Lists &amp; Settings'!$O$3,'Lists &amp; Settings'!$O$4)),IF($N1758="Partial",IF($M1758&gt;='Lists &amp; Settings'!$N$6,'Lists &amp; Settings'!$O$6,IF($M1758&gt;='Lists &amp; Settings'!$N$7,'Lists &amp; Settings'!$O$7,'Lists &amp; Settings'!$O$8)),'Lists &amp; Settings'!$O$10))))))</f>
        <v/>
      </c>
      <c r="T1758" s="31"/>
      <c r="U1758" s="31"/>
      <c r="V1758" s="31"/>
    </row>
    <row r="1759" ht="15.75" customHeight="1">
      <c r="B1759" s="31"/>
      <c r="N1759" s="127"/>
      <c r="S1759" s="31" t="str">
        <f>IF($C1759="","",IF(OR($M1759="",$N1759=""),'Lists &amp; Settings'!$O$10,IF($N1759="Fail",'Lists &amp; Settings'!$O$9,IF($N1759="Insufficient Evidence",'Lists &amp; Settings'!$O$10,IF($N1759="Pass",IF($M1759&gt;='Lists &amp; Settings'!$N$2,'Lists &amp; Settings'!$O$2,IF($M1759&gt;='Lists &amp; Settings'!$N$3,'Lists &amp; Settings'!$O$3,'Lists &amp; Settings'!$O$4)),IF($N1759="Partial",IF($M1759&gt;='Lists &amp; Settings'!$N$6,'Lists &amp; Settings'!$O$6,IF($M1759&gt;='Lists &amp; Settings'!$N$7,'Lists &amp; Settings'!$O$7,'Lists &amp; Settings'!$O$8)),'Lists &amp; Settings'!$O$10))))))</f>
        <v/>
      </c>
      <c r="T1759" s="31"/>
      <c r="U1759" s="31"/>
      <c r="V1759" s="31"/>
    </row>
    <row r="1760" ht="15.75" customHeight="1">
      <c r="B1760" s="31"/>
      <c r="N1760" s="127"/>
      <c r="S1760" s="31" t="str">
        <f>IF($C1760="","",IF(OR($M1760="",$N1760=""),'Lists &amp; Settings'!$O$10,IF($N1760="Fail",'Lists &amp; Settings'!$O$9,IF($N1760="Insufficient Evidence",'Lists &amp; Settings'!$O$10,IF($N1760="Pass",IF($M1760&gt;='Lists &amp; Settings'!$N$2,'Lists &amp; Settings'!$O$2,IF($M1760&gt;='Lists &amp; Settings'!$N$3,'Lists &amp; Settings'!$O$3,'Lists &amp; Settings'!$O$4)),IF($N1760="Partial",IF($M1760&gt;='Lists &amp; Settings'!$N$6,'Lists &amp; Settings'!$O$6,IF($M1760&gt;='Lists &amp; Settings'!$N$7,'Lists &amp; Settings'!$O$7,'Lists &amp; Settings'!$O$8)),'Lists &amp; Settings'!$O$10))))))</f>
        <v/>
      </c>
      <c r="T1760" s="31"/>
      <c r="U1760" s="31"/>
      <c r="V1760" s="31"/>
    </row>
    <row r="1761" ht="15.75" customHeight="1">
      <c r="B1761" s="31"/>
      <c r="N1761" s="127"/>
      <c r="S1761" s="31" t="str">
        <f>IF($C1761="","",IF(OR($M1761="",$N1761=""),'Lists &amp; Settings'!$O$10,IF($N1761="Fail",'Lists &amp; Settings'!$O$9,IF($N1761="Insufficient Evidence",'Lists &amp; Settings'!$O$10,IF($N1761="Pass",IF($M1761&gt;='Lists &amp; Settings'!$N$2,'Lists &amp; Settings'!$O$2,IF($M1761&gt;='Lists &amp; Settings'!$N$3,'Lists &amp; Settings'!$O$3,'Lists &amp; Settings'!$O$4)),IF($N1761="Partial",IF($M1761&gt;='Lists &amp; Settings'!$N$6,'Lists &amp; Settings'!$O$6,IF($M1761&gt;='Lists &amp; Settings'!$N$7,'Lists &amp; Settings'!$O$7,'Lists &amp; Settings'!$O$8)),'Lists &amp; Settings'!$O$10))))))</f>
        <v/>
      </c>
      <c r="T1761" s="31"/>
      <c r="U1761" s="31"/>
      <c r="V1761" s="31"/>
    </row>
    <row r="1762" ht="15.75" customHeight="1">
      <c r="B1762" s="31"/>
      <c r="N1762" s="127"/>
      <c r="S1762" s="31" t="str">
        <f>IF($C1762="","",IF(OR($M1762="",$N1762=""),'Lists &amp; Settings'!$O$10,IF($N1762="Fail",'Lists &amp; Settings'!$O$9,IF($N1762="Insufficient Evidence",'Lists &amp; Settings'!$O$10,IF($N1762="Pass",IF($M1762&gt;='Lists &amp; Settings'!$N$2,'Lists &amp; Settings'!$O$2,IF($M1762&gt;='Lists &amp; Settings'!$N$3,'Lists &amp; Settings'!$O$3,'Lists &amp; Settings'!$O$4)),IF($N1762="Partial",IF($M1762&gt;='Lists &amp; Settings'!$N$6,'Lists &amp; Settings'!$O$6,IF($M1762&gt;='Lists &amp; Settings'!$N$7,'Lists &amp; Settings'!$O$7,'Lists &amp; Settings'!$O$8)),'Lists &amp; Settings'!$O$10))))))</f>
        <v/>
      </c>
      <c r="T1762" s="31"/>
      <c r="U1762" s="31"/>
      <c r="V1762" s="31"/>
    </row>
    <row r="1763" ht="15.75" customHeight="1">
      <c r="B1763" s="31"/>
      <c r="N1763" s="127"/>
      <c r="S1763" s="31" t="str">
        <f>IF($C1763="","",IF(OR($M1763="",$N1763=""),'Lists &amp; Settings'!$O$10,IF($N1763="Fail",'Lists &amp; Settings'!$O$9,IF($N1763="Insufficient Evidence",'Lists &amp; Settings'!$O$10,IF($N1763="Pass",IF($M1763&gt;='Lists &amp; Settings'!$N$2,'Lists &amp; Settings'!$O$2,IF($M1763&gt;='Lists &amp; Settings'!$N$3,'Lists &amp; Settings'!$O$3,'Lists &amp; Settings'!$O$4)),IF($N1763="Partial",IF($M1763&gt;='Lists &amp; Settings'!$N$6,'Lists &amp; Settings'!$O$6,IF($M1763&gt;='Lists &amp; Settings'!$N$7,'Lists &amp; Settings'!$O$7,'Lists &amp; Settings'!$O$8)),'Lists &amp; Settings'!$O$10))))))</f>
        <v/>
      </c>
      <c r="T1763" s="31"/>
      <c r="U1763" s="31"/>
      <c r="V1763" s="31"/>
    </row>
    <row r="1764" ht="15.75" customHeight="1">
      <c r="B1764" s="31"/>
      <c r="N1764" s="127"/>
      <c r="S1764" s="31" t="str">
        <f>IF($C1764="","",IF(OR($M1764="",$N1764=""),'Lists &amp; Settings'!$O$10,IF($N1764="Fail",'Lists &amp; Settings'!$O$9,IF($N1764="Insufficient Evidence",'Lists &amp; Settings'!$O$10,IF($N1764="Pass",IF($M1764&gt;='Lists &amp; Settings'!$N$2,'Lists &amp; Settings'!$O$2,IF($M1764&gt;='Lists &amp; Settings'!$N$3,'Lists &amp; Settings'!$O$3,'Lists &amp; Settings'!$O$4)),IF($N1764="Partial",IF($M1764&gt;='Lists &amp; Settings'!$N$6,'Lists &amp; Settings'!$O$6,IF($M1764&gt;='Lists &amp; Settings'!$N$7,'Lists &amp; Settings'!$O$7,'Lists &amp; Settings'!$O$8)),'Lists &amp; Settings'!$O$10))))))</f>
        <v/>
      </c>
      <c r="T1764" s="31"/>
      <c r="U1764" s="31"/>
      <c r="V1764" s="31"/>
    </row>
    <row r="1765" ht="15.75" customHeight="1">
      <c r="B1765" s="31"/>
      <c r="N1765" s="127"/>
      <c r="S1765" s="31" t="str">
        <f>IF($C1765="","",IF(OR($M1765="",$N1765=""),'Lists &amp; Settings'!$O$10,IF($N1765="Fail",'Lists &amp; Settings'!$O$9,IF($N1765="Insufficient Evidence",'Lists &amp; Settings'!$O$10,IF($N1765="Pass",IF($M1765&gt;='Lists &amp; Settings'!$N$2,'Lists &amp; Settings'!$O$2,IF($M1765&gt;='Lists &amp; Settings'!$N$3,'Lists &amp; Settings'!$O$3,'Lists &amp; Settings'!$O$4)),IF($N1765="Partial",IF($M1765&gt;='Lists &amp; Settings'!$N$6,'Lists &amp; Settings'!$O$6,IF($M1765&gt;='Lists &amp; Settings'!$N$7,'Lists &amp; Settings'!$O$7,'Lists &amp; Settings'!$O$8)),'Lists &amp; Settings'!$O$10))))))</f>
        <v/>
      </c>
      <c r="T1765" s="31"/>
      <c r="U1765" s="31"/>
      <c r="V1765" s="31"/>
    </row>
    <row r="1766" ht="15.75" customHeight="1">
      <c r="B1766" s="31"/>
      <c r="N1766" s="127"/>
      <c r="S1766" s="31" t="str">
        <f>IF($C1766="","",IF(OR($M1766="",$N1766=""),'Lists &amp; Settings'!$O$10,IF($N1766="Fail",'Lists &amp; Settings'!$O$9,IF($N1766="Insufficient Evidence",'Lists &amp; Settings'!$O$10,IF($N1766="Pass",IF($M1766&gt;='Lists &amp; Settings'!$N$2,'Lists &amp; Settings'!$O$2,IF($M1766&gt;='Lists &amp; Settings'!$N$3,'Lists &amp; Settings'!$O$3,'Lists &amp; Settings'!$O$4)),IF($N1766="Partial",IF($M1766&gt;='Lists &amp; Settings'!$N$6,'Lists &amp; Settings'!$O$6,IF($M1766&gt;='Lists &amp; Settings'!$N$7,'Lists &amp; Settings'!$O$7,'Lists &amp; Settings'!$O$8)),'Lists &amp; Settings'!$O$10))))))</f>
        <v/>
      </c>
      <c r="T1766" s="31"/>
      <c r="U1766" s="31"/>
      <c r="V1766" s="31"/>
    </row>
    <row r="1767" ht="15.75" customHeight="1">
      <c r="B1767" s="31"/>
      <c r="N1767" s="127"/>
      <c r="S1767" s="31" t="str">
        <f>IF($C1767="","",IF(OR($M1767="",$N1767=""),'Lists &amp; Settings'!$O$10,IF($N1767="Fail",'Lists &amp; Settings'!$O$9,IF($N1767="Insufficient Evidence",'Lists &amp; Settings'!$O$10,IF($N1767="Pass",IF($M1767&gt;='Lists &amp; Settings'!$N$2,'Lists &amp; Settings'!$O$2,IF($M1767&gt;='Lists &amp; Settings'!$N$3,'Lists &amp; Settings'!$O$3,'Lists &amp; Settings'!$O$4)),IF($N1767="Partial",IF($M1767&gt;='Lists &amp; Settings'!$N$6,'Lists &amp; Settings'!$O$6,IF($M1767&gt;='Lists &amp; Settings'!$N$7,'Lists &amp; Settings'!$O$7,'Lists &amp; Settings'!$O$8)),'Lists &amp; Settings'!$O$10))))))</f>
        <v/>
      </c>
      <c r="T1767" s="31"/>
      <c r="U1767" s="31"/>
      <c r="V1767" s="31"/>
    </row>
    <row r="1768" ht="15.75" customHeight="1">
      <c r="B1768" s="31"/>
      <c r="N1768" s="127"/>
      <c r="S1768" s="31" t="str">
        <f>IF($C1768="","",IF(OR($M1768="",$N1768=""),'Lists &amp; Settings'!$O$10,IF($N1768="Fail",'Lists &amp; Settings'!$O$9,IF($N1768="Insufficient Evidence",'Lists &amp; Settings'!$O$10,IF($N1768="Pass",IF($M1768&gt;='Lists &amp; Settings'!$N$2,'Lists &amp; Settings'!$O$2,IF($M1768&gt;='Lists &amp; Settings'!$N$3,'Lists &amp; Settings'!$O$3,'Lists &amp; Settings'!$O$4)),IF($N1768="Partial",IF($M1768&gt;='Lists &amp; Settings'!$N$6,'Lists &amp; Settings'!$O$6,IF($M1768&gt;='Lists &amp; Settings'!$N$7,'Lists &amp; Settings'!$O$7,'Lists &amp; Settings'!$O$8)),'Lists &amp; Settings'!$O$10))))))</f>
        <v/>
      </c>
      <c r="T1768" s="31"/>
      <c r="U1768" s="31"/>
      <c r="V1768" s="31"/>
    </row>
    <row r="1769" ht="15.75" customHeight="1">
      <c r="B1769" s="31"/>
      <c r="N1769" s="127"/>
      <c r="S1769" s="31" t="str">
        <f>IF($C1769="","",IF(OR($M1769="",$N1769=""),'Lists &amp; Settings'!$O$10,IF($N1769="Fail",'Lists &amp; Settings'!$O$9,IF($N1769="Insufficient Evidence",'Lists &amp; Settings'!$O$10,IF($N1769="Pass",IF($M1769&gt;='Lists &amp; Settings'!$N$2,'Lists &amp; Settings'!$O$2,IF($M1769&gt;='Lists &amp; Settings'!$N$3,'Lists &amp; Settings'!$O$3,'Lists &amp; Settings'!$O$4)),IF($N1769="Partial",IF($M1769&gt;='Lists &amp; Settings'!$N$6,'Lists &amp; Settings'!$O$6,IF($M1769&gt;='Lists &amp; Settings'!$N$7,'Lists &amp; Settings'!$O$7,'Lists &amp; Settings'!$O$8)),'Lists &amp; Settings'!$O$10))))))</f>
        <v/>
      </c>
      <c r="T1769" s="31"/>
      <c r="U1769" s="31"/>
      <c r="V1769" s="31"/>
    </row>
    <row r="1770" ht="15.75" customHeight="1">
      <c r="B1770" s="31"/>
      <c r="N1770" s="127"/>
      <c r="S1770" s="31" t="str">
        <f>IF($C1770="","",IF(OR($M1770="",$N1770=""),'Lists &amp; Settings'!$O$10,IF($N1770="Fail",'Lists &amp; Settings'!$O$9,IF($N1770="Insufficient Evidence",'Lists &amp; Settings'!$O$10,IF($N1770="Pass",IF($M1770&gt;='Lists &amp; Settings'!$N$2,'Lists &amp; Settings'!$O$2,IF($M1770&gt;='Lists &amp; Settings'!$N$3,'Lists &amp; Settings'!$O$3,'Lists &amp; Settings'!$O$4)),IF($N1770="Partial",IF($M1770&gt;='Lists &amp; Settings'!$N$6,'Lists &amp; Settings'!$O$6,IF($M1770&gt;='Lists &amp; Settings'!$N$7,'Lists &amp; Settings'!$O$7,'Lists &amp; Settings'!$O$8)),'Lists &amp; Settings'!$O$10))))))</f>
        <v/>
      </c>
      <c r="T1770" s="31"/>
      <c r="U1770" s="31"/>
      <c r="V1770" s="31"/>
    </row>
    <row r="1771" ht="15.75" customHeight="1">
      <c r="B1771" s="31"/>
      <c r="N1771" s="127"/>
      <c r="S1771" s="31" t="str">
        <f>IF($C1771="","",IF(OR($M1771="",$N1771=""),'Lists &amp; Settings'!$O$10,IF($N1771="Fail",'Lists &amp; Settings'!$O$9,IF($N1771="Insufficient Evidence",'Lists &amp; Settings'!$O$10,IF($N1771="Pass",IF($M1771&gt;='Lists &amp; Settings'!$N$2,'Lists &amp; Settings'!$O$2,IF($M1771&gt;='Lists &amp; Settings'!$N$3,'Lists &amp; Settings'!$O$3,'Lists &amp; Settings'!$O$4)),IF($N1771="Partial",IF($M1771&gt;='Lists &amp; Settings'!$N$6,'Lists &amp; Settings'!$O$6,IF($M1771&gt;='Lists &amp; Settings'!$N$7,'Lists &amp; Settings'!$O$7,'Lists &amp; Settings'!$O$8)),'Lists &amp; Settings'!$O$10))))))</f>
        <v/>
      </c>
      <c r="T1771" s="31"/>
      <c r="U1771" s="31"/>
      <c r="V1771" s="31"/>
    </row>
    <row r="1772" ht="15.75" customHeight="1">
      <c r="B1772" s="31"/>
      <c r="N1772" s="127"/>
      <c r="S1772" s="31" t="str">
        <f>IF($C1772="","",IF(OR($M1772="",$N1772=""),'Lists &amp; Settings'!$O$10,IF($N1772="Fail",'Lists &amp; Settings'!$O$9,IF($N1772="Insufficient Evidence",'Lists &amp; Settings'!$O$10,IF($N1772="Pass",IF($M1772&gt;='Lists &amp; Settings'!$N$2,'Lists &amp; Settings'!$O$2,IF($M1772&gt;='Lists &amp; Settings'!$N$3,'Lists &amp; Settings'!$O$3,'Lists &amp; Settings'!$O$4)),IF($N1772="Partial",IF($M1772&gt;='Lists &amp; Settings'!$N$6,'Lists &amp; Settings'!$O$6,IF($M1772&gt;='Lists &amp; Settings'!$N$7,'Lists &amp; Settings'!$O$7,'Lists &amp; Settings'!$O$8)),'Lists &amp; Settings'!$O$10))))))</f>
        <v/>
      </c>
      <c r="T1772" s="31"/>
      <c r="U1772" s="31"/>
      <c r="V1772" s="31"/>
    </row>
    <row r="1773" ht="15.75" customHeight="1">
      <c r="B1773" s="31"/>
      <c r="N1773" s="127"/>
      <c r="S1773" s="31" t="str">
        <f>IF($C1773="","",IF(OR($M1773="",$N1773=""),'Lists &amp; Settings'!$O$10,IF($N1773="Fail",'Lists &amp; Settings'!$O$9,IF($N1773="Insufficient Evidence",'Lists &amp; Settings'!$O$10,IF($N1773="Pass",IF($M1773&gt;='Lists &amp; Settings'!$N$2,'Lists &amp; Settings'!$O$2,IF($M1773&gt;='Lists &amp; Settings'!$N$3,'Lists &amp; Settings'!$O$3,'Lists &amp; Settings'!$O$4)),IF($N1773="Partial",IF($M1773&gt;='Lists &amp; Settings'!$N$6,'Lists &amp; Settings'!$O$6,IF($M1773&gt;='Lists &amp; Settings'!$N$7,'Lists &amp; Settings'!$O$7,'Lists &amp; Settings'!$O$8)),'Lists &amp; Settings'!$O$10))))))</f>
        <v/>
      </c>
      <c r="T1773" s="31"/>
      <c r="U1773" s="31"/>
      <c r="V1773" s="31"/>
    </row>
    <row r="1774" ht="15.75" customHeight="1">
      <c r="B1774" s="31"/>
      <c r="N1774" s="127"/>
      <c r="S1774" s="31" t="str">
        <f>IF($C1774="","",IF(OR($M1774="",$N1774=""),'Lists &amp; Settings'!$O$10,IF($N1774="Fail",'Lists &amp; Settings'!$O$9,IF($N1774="Insufficient Evidence",'Lists &amp; Settings'!$O$10,IF($N1774="Pass",IF($M1774&gt;='Lists &amp; Settings'!$N$2,'Lists &amp; Settings'!$O$2,IF($M1774&gt;='Lists &amp; Settings'!$N$3,'Lists &amp; Settings'!$O$3,'Lists &amp; Settings'!$O$4)),IF($N1774="Partial",IF($M1774&gt;='Lists &amp; Settings'!$N$6,'Lists &amp; Settings'!$O$6,IF($M1774&gt;='Lists &amp; Settings'!$N$7,'Lists &amp; Settings'!$O$7,'Lists &amp; Settings'!$O$8)),'Lists &amp; Settings'!$O$10))))))</f>
        <v/>
      </c>
      <c r="T1774" s="31"/>
      <c r="U1774" s="31"/>
      <c r="V1774" s="31"/>
    </row>
    <row r="1775" ht="15.75" customHeight="1">
      <c r="B1775" s="31"/>
      <c r="N1775" s="127"/>
      <c r="S1775" s="31" t="str">
        <f>IF($C1775="","",IF(OR($M1775="",$N1775=""),'Lists &amp; Settings'!$O$10,IF($N1775="Fail",'Lists &amp; Settings'!$O$9,IF($N1775="Insufficient Evidence",'Lists &amp; Settings'!$O$10,IF($N1775="Pass",IF($M1775&gt;='Lists &amp; Settings'!$N$2,'Lists &amp; Settings'!$O$2,IF($M1775&gt;='Lists &amp; Settings'!$N$3,'Lists &amp; Settings'!$O$3,'Lists &amp; Settings'!$O$4)),IF($N1775="Partial",IF($M1775&gt;='Lists &amp; Settings'!$N$6,'Lists &amp; Settings'!$O$6,IF($M1775&gt;='Lists &amp; Settings'!$N$7,'Lists &amp; Settings'!$O$7,'Lists &amp; Settings'!$O$8)),'Lists &amp; Settings'!$O$10))))))</f>
        <v/>
      </c>
      <c r="T1775" s="31"/>
      <c r="U1775" s="31"/>
      <c r="V1775" s="31"/>
    </row>
    <row r="1776" ht="15.75" customHeight="1">
      <c r="B1776" s="31"/>
      <c r="N1776" s="127"/>
      <c r="S1776" s="31" t="str">
        <f>IF($C1776="","",IF(OR($M1776="",$N1776=""),'Lists &amp; Settings'!$O$10,IF($N1776="Fail",'Lists &amp; Settings'!$O$9,IF($N1776="Insufficient Evidence",'Lists &amp; Settings'!$O$10,IF($N1776="Pass",IF($M1776&gt;='Lists &amp; Settings'!$N$2,'Lists &amp; Settings'!$O$2,IF($M1776&gt;='Lists &amp; Settings'!$N$3,'Lists &amp; Settings'!$O$3,'Lists &amp; Settings'!$O$4)),IF($N1776="Partial",IF($M1776&gt;='Lists &amp; Settings'!$N$6,'Lists &amp; Settings'!$O$6,IF($M1776&gt;='Lists &amp; Settings'!$N$7,'Lists &amp; Settings'!$O$7,'Lists &amp; Settings'!$O$8)),'Lists &amp; Settings'!$O$10))))))</f>
        <v/>
      </c>
      <c r="T1776" s="31"/>
      <c r="U1776" s="31"/>
      <c r="V1776" s="31"/>
    </row>
    <row r="1777" ht="15.75" customHeight="1">
      <c r="B1777" s="31"/>
      <c r="N1777" s="127"/>
      <c r="S1777" s="31" t="str">
        <f>IF($C1777="","",IF(OR($M1777="",$N1777=""),'Lists &amp; Settings'!$O$10,IF($N1777="Fail",'Lists &amp; Settings'!$O$9,IF($N1777="Insufficient Evidence",'Lists &amp; Settings'!$O$10,IF($N1777="Pass",IF($M1777&gt;='Lists &amp; Settings'!$N$2,'Lists &amp; Settings'!$O$2,IF($M1777&gt;='Lists &amp; Settings'!$N$3,'Lists &amp; Settings'!$O$3,'Lists &amp; Settings'!$O$4)),IF($N1777="Partial",IF($M1777&gt;='Lists &amp; Settings'!$N$6,'Lists &amp; Settings'!$O$6,IF($M1777&gt;='Lists &amp; Settings'!$N$7,'Lists &amp; Settings'!$O$7,'Lists &amp; Settings'!$O$8)),'Lists &amp; Settings'!$O$10))))))</f>
        <v/>
      </c>
      <c r="T1777" s="31"/>
      <c r="U1777" s="31"/>
      <c r="V1777" s="31"/>
    </row>
    <row r="1778" ht="15.75" customHeight="1">
      <c r="B1778" s="31"/>
      <c r="N1778" s="127"/>
      <c r="S1778" s="31" t="str">
        <f>IF($C1778="","",IF(OR($M1778="",$N1778=""),'Lists &amp; Settings'!$O$10,IF($N1778="Fail",'Lists &amp; Settings'!$O$9,IF($N1778="Insufficient Evidence",'Lists &amp; Settings'!$O$10,IF($N1778="Pass",IF($M1778&gt;='Lists &amp; Settings'!$N$2,'Lists &amp; Settings'!$O$2,IF($M1778&gt;='Lists &amp; Settings'!$N$3,'Lists &amp; Settings'!$O$3,'Lists &amp; Settings'!$O$4)),IF($N1778="Partial",IF($M1778&gt;='Lists &amp; Settings'!$N$6,'Lists &amp; Settings'!$O$6,IF($M1778&gt;='Lists &amp; Settings'!$N$7,'Lists &amp; Settings'!$O$7,'Lists &amp; Settings'!$O$8)),'Lists &amp; Settings'!$O$10))))))</f>
        <v/>
      </c>
      <c r="T1778" s="31"/>
      <c r="U1778" s="31"/>
      <c r="V1778" s="31"/>
    </row>
    <row r="1779" ht="15.75" customHeight="1">
      <c r="B1779" s="31"/>
      <c r="N1779" s="127"/>
      <c r="S1779" s="31" t="str">
        <f>IF($C1779="","",IF(OR($M1779="",$N1779=""),'Lists &amp; Settings'!$O$10,IF($N1779="Fail",'Lists &amp; Settings'!$O$9,IF($N1779="Insufficient Evidence",'Lists &amp; Settings'!$O$10,IF($N1779="Pass",IF($M1779&gt;='Lists &amp; Settings'!$N$2,'Lists &amp; Settings'!$O$2,IF($M1779&gt;='Lists &amp; Settings'!$N$3,'Lists &amp; Settings'!$O$3,'Lists &amp; Settings'!$O$4)),IF($N1779="Partial",IF($M1779&gt;='Lists &amp; Settings'!$N$6,'Lists &amp; Settings'!$O$6,IF($M1779&gt;='Lists &amp; Settings'!$N$7,'Lists &amp; Settings'!$O$7,'Lists &amp; Settings'!$O$8)),'Lists &amp; Settings'!$O$10))))))</f>
        <v/>
      </c>
      <c r="T1779" s="31"/>
      <c r="U1779" s="31"/>
      <c r="V1779" s="31"/>
    </row>
    <row r="1780" ht="15.75" customHeight="1">
      <c r="B1780" s="31"/>
      <c r="N1780" s="127"/>
      <c r="S1780" s="31" t="str">
        <f>IF($C1780="","",IF(OR($M1780="",$N1780=""),'Lists &amp; Settings'!$O$10,IF($N1780="Fail",'Lists &amp; Settings'!$O$9,IF($N1780="Insufficient Evidence",'Lists &amp; Settings'!$O$10,IF($N1780="Pass",IF($M1780&gt;='Lists &amp; Settings'!$N$2,'Lists &amp; Settings'!$O$2,IF($M1780&gt;='Lists &amp; Settings'!$N$3,'Lists &amp; Settings'!$O$3,'Lists &amp; Settings'!$O$4)),IF($N1780="Partial",IF($M1780&gt;='Lists &amp; Settings'!$N$6,'Lists &amp; Settings'!$O$6,IF($M1780&gt;='Lists &amp; Settings'!$N$7,'Lists &amp; Settings'!$O$7,'Lists &amp; Settings'!$O$8)),'Lists &amp; Settings'!$O$10))))))</f>
        <v/>
      </c>
      <c r="T1780" s="31"/>
      <c r="U1780" s="31"/>
      <c r="V1780" s="31"/>
    </row>
    <row r="1781" ht="15.75" customHeight="1">
      <c r="B1781" s="31"/>
      <c r="N1781" s="127"/>
      <c r="S1781" s="31" t="str">
        <f>IF($C1781="","",IF(OR($M1781="",$N1781=""),'Lists &amp; Settings'!$O$10,IF($N1781="Fail",'Lists &amp; Settings'!$O$9,IF($N1781="Insufficient Evidence",'Lists &amp; Settings'!$O$10,IF($N1781="Pass",IF($M1781&gt;='Lists &amp; Settings'!$N$2,'Lists &amp; Settings'!$O$2,IF($M1781&gt;='Lists &amp; Settings'!$N$3,'Lists &amp; Settings'!$O$3,'Lists &amp; Settings'!$O$4)),IF($N1781="Partial",IF($M1781&gt;='Lists &amp; Settings'!$N$6,'Lists &amp; Settings'!$O$6,IF($M1781&gt;='Lists &amp; Settings'!$N$7,'Lists &amp; Settings'!$O$7,'Lists &amp; Settings'!$O$8)),'Lists &amp; Settings'!$O$10))))))</f>
        <v/>
      </c>
      <c r="T1781" s="31"/>
      <c r="U1781" s="31"/>
      <c r="V1781" s="31"/>
    </row>
    <row r="1782" ht="15.75" customHeight="1">
      <c r="B1782" s="31"/>
      <c r="N1782" s="127"/>
      <c r="S1782" s="31" t="str">
        <f>IF($C1782="","",IF(OR($M1782="",$N1782=""),'Lists &amp; Settings'!$O$10,IF($N1782="Fail",'Lists &amp; Settings'!$O$9,IF($N1782="Insufficient Evidence",'Lists &amp; Settings'!$O$10,IF($N1782="Pass",IF($M1782&gt;='Lists &amp; Settings'!$N$2,'Lists &amp; Settings'!$O$2,IF($M1782&gt;='Lists &amp; Settings'!$N$3,'Lists &amp; Settings'!$O$3,'Lists &amp; Settings'!$O$4)),IF($N1782="Partial",IF($M1782&gt;='Lists &amp; Settings'!$N$6,'Lists &amp; Settings'!$O$6,IF($M1782&gt;='Lists &amp; Settings'!$N$7,'Lists &amp; Settings'!$O$7,'Lists &amp; Settings'!$O$8)),'Lists &amp; Settings'!$O$10))))))</f>
        <v/>
      </c>
      <c r="T1782" s="31"/>
      <c r="U1782" s="31"/>
      <c r="V1782" s="31"/>
    </row>
    <row r="1783" ht="15.75" customHeight="1">
      <c r="B1783" s="31"/>
      <c r="N1783" s="127"/>
      <c r="S1783" s="31" t="str">
        <f>IF($C1783="","",IF(OR($M1783="",$N1783=""),'Lists &amp; Settings'!$O$10,IF($N1783="Fail",'Lists &amp; Settings'!$O$9,IF($N1783="Insufficient Evidence",'Lists &amp; Settings'!$O$10,IF($N1783="Pass",IF($M1783&gt;='Lists &amp; Settings'!$N$2,'Lists &amp; Settings'!$O$2,IF($M1783&gt;='Lists &amp; Settings'!$N$3,'Lists &amp; Settings'!$O$3,'Lists &amp; Settings'!$O$4)),IF($N1783="Partial",IF($M1783&gt;='Lists &amp; Settings'!$N$6,'Lists &amp; Settings'!$O$6,IF($M1783&gt;='Lists &amp; Settings'!$N$7,'Lists &amp; Settings'!$O$7,'Lists &amp; Settings'!$O$8)),'Lists &amp; Settings'!$O$10))))))</f>
        <v/>
      </c>
      <c r="T1783" s="31"/>
      <c r="U1783" s="31"/>
      <c r="V1783" s="31"/>
    </row>
    <row r="1784" ht="15.75" customHeight="1">
      <c r="B1784" s="31"/>
      <c r="N1784" s="127"/>
      <c r="S1784" s="31" t="str">
        <f>IF($C1784="","",IF(OR($M1784="",$N1784=""),'Lists &amp; Settings'!$O$10,IF($N1784="Fail",'Lists &amp; Settings'!$O$9,IF($N1784="Insufficient Evidence",'Lists &amp; Settings'!$O$10,IF($N1784="Pass",IF($M1784&gt;='Lists &amp; Settings'!$N$2,'Lists &amp; Settings'!$O$2,IF($M1784&gt;='Lists &amp; Settings'!$N$3,'Lists &amp; Settings'!$O$3,'Lists &amp; Settings'!$O$4)),IF($N1784="Partial",IF($M1784&gt;='Lists &amp; Settings'!$N$6,'Lists &amp; Settings'!$O$6,IF($M1784&gt;='Lists &amp; Settings'!$N$7,'Lists &amp; Settings'!$O$7,'Lists &amp; Settings'!$O$8)),'Lists &amp; Settings'!$O$10))))))</f>
        <v/>
      </c>
      <c r="T1784" s="31"/>
      <c r="U1784" s="31"/>
      <c r="V1784" s="31"/>
    </row>
    <row r="1785" ht="15.75" customHeight="1">
      <c r="B1785" s="31"/>
      <c r="N1785" s="127"/>
      <c r="S1785" s="31" t="str">
        <f>IF($C1785="","",IF(OR($M1785="",$N1785=""),'Lists &amp; Settings'!$O$10,IF($N1785="Fail",'Lists &amp; Settings'!$O$9,IF($N1785="Insufficient Evidence",'Lists &amp; Settings'!$O$10,IF($N1785="Pass",IF($M1785&gt;='Lists &amp; Settings'!$N$2,'Lists &amp; Settings'!$O$2,IF($M1785&gt;='Lists &amp; Settings'!$N$3,'Lists &amp; Settings'!$O$3,'Lists &amp; Settings'!$O$4)),IF($N1785="Partial",IF($M1785&gt;='Lists &amp; Settings'!$N$6,'Lists &amp; Settings'!$O$6,IF($M1785&gt;='Lists &amp; Settings'!$N$7,'Lists &amp; Settings'!$O$7,'Lists &amp; Settings'!$O$8)),'Lists &amp; Settings'!$O$10))))))</f>
        <v/>
      </c>
      <c r="T1785" s="31"/>
      <c r="U1785" s="31"/>
      <c r="V1785" s="31"/>
    </row>
    <row r="1786" ht="15.75" customHeight="1">
      <c r="B1786" s="31"/>
      <c r="N1786" s="127"/>
      <c r="S1786" s="31" t="str">
        <f>IF($C1786="","",IF(OR($M1786="",$N1786=""),'Lists &amp; Settings'!$O$10,IF($N1786="Fail",'Lists &amp; Settings'!$O$9,IF($N1786="Insufficient Evidence",'Lists &amp; Settings'!$O$10,IF($N1786="Pass",IF($M1786&gt;='Lists &amp; Settings'!$N$2,'Lists &amp; Settings'!$O$2,IF($M1786&gt;='Lists &amp; Settings'!$N$3,'Lists &amp; Settings'!$O$3,'Lists &amp; Settings'!$O$4)),IF($N1786="Partial",IF($M1786&gt;='Lists &amp; Settings'!$N$6,'Lists &amp; Settings'!$O$6,IF($M1786&gt;='Lists &amp; Settings'!$N$7,'Lists &amp; Settings'!$O$7,'Lists &amp; Settings'!$O$8)),'Lists &amp; Settings'!$O$10))))))</f>
        <v/>
      </c>
      <c r="T1786" s="31"/>
      <c r="U1786" s="31"/>
      <c r="V1786" s="31"/>
    </row>
    <row r="1787" ht="15.75" customHeight="1">
      <c r="B1787" s="31"/>
      <c r="N1787" s="127"/>
      <c r="S1787" s="31" t="str">
        <f>IF($C1787="","",IF(OR($M1787="",$N1787=""),'Lists &amp; Settings'!$O$10,IF($N1787="Fail",'Lists &amp; Settings'!$O$9,IF($N1787="Insufficient Evidence",'Lists &amp; Settings'!$O$10,IF($N1787="Pass",IF($M1787&gt;='Lists &amp; Settings'!$N$2,'Lists &amp; Settings'!$O$2,IF($M1787&gt;='Lists &amp; Settings'!$N$3,'Lists &amp; Settings'!$O$3,'Lists &amp; Settings'!$O$4)),IF($N1787="Partial",IF($M1787&gt;='Lists &amp; Settings'!$N$6,'Lists &amp; Settings'!$O$6,IF($M1787&gt;='Lists &amp; Settings'!$N$7,'Lists &amp; Settings'!$O$7,'Lists &amp; Settings'!$O$8)),'Lists &amp; Settings'!$O$10))))))</f>
        <v/>
      </c>
      <c r="T1787" s="31"/>
      <c r="U1787" s="31"/>
      <c r="V1787" s="31"/>
    </row>
    <row r="1788" ht="15.75" customHeight="1">
      <c r="B1788" s="31"/>
      <c r="N1788" s="127"/>
      <c r="S1788" s="31" t="str">
        <f>IF($C1788="","",IF(OR($M1788="",$N1788=""),'Lists &amp; Settings'!$O$10,IF($N1788="Fail",'Lists &amp; Settings'!$O$9,IF($N1788="Insufficient Evidence",'Lists &amp; Settings'!$O$10,IF($N1788="Pass",IF($M1788&gt;='Lists &amp; Settings'!$N$2,'Lists &amp; Settings'!$O$2,IF($M1788&gt;='Lists &amp; Settings'!$N$3,'Lists &amp; Settings'!$O$3,'Lists &amp; Settings'!$O$4)),IF($N1788="Partial",IF($M1788&gt;='Lists &amp; Settings'!$N$6,'Lists &amp; Settings'!$O$6,IF($M1788&gt;='Lists &amp; Settings'!$N$7,'Lists &amp; Settings'!$O$7,'Lists &amp; Settings'!$O$8)),'Lists &amp; Settings'!$O$10))))))</f>
        <v/>
      </c>
      <c r="T1788" s="31"/>
      <c r="U1788" s="31"/>
      <c r="V1788" s="31"/>
    </row>
    <row r="1789" ht="15.75" customHeight="1">
      <c r="B1789" s="31"/>
      <c r="N1789" s="127"/>
      <c r="S1789" s="31" t="str">
        <f>IF($C1789="","",IF(OR($M1789="",$N1789=""),'Lists &amp; Settings'!$O$10,IF($N1789="Fail",'Lists &amp; Settings'!$O$9,IF($N1789="Insufficient Evidence",'Lists &amp; Settings'!$O$10,IF($N1789="Pass",IF($M1789&gt;='Lists &amp; Settings'!$N$2,'Lists &amp; Settings'!$O$2,IF($M1789&gt;='Lists &amp; Settings'!$N$3,'Lists &amp; Settings'!$O$3,'Lists &amp; Settings'!$O$4)),IF($N1789="Partial",IF($M1789&gt;='Lists &amp; Settings'!$N$6,'Lists &amp; Settings'!$O$6,IF($M1789&gt;='Lists &amp; Settings'!$N$7,'Lists &amp; Settings'!$O$7,'Lists &amp; Settings'!$O$8)),'Lists &amp; Settings'!$O$10))))))</f>
        <v/>
      </c>
      <c r="T1789" s="31"/>
      <c r="U1789" s="31"/>
      <c r="V1789" s="31"/>
    </row>
    <row r="1790" ht="15.75" customHeight="1">
      <c r="B1790" s="31"/>
      <c r="N1790" s="127"/>
      <c r="S1790" s="31" t="str">
        <f>IF($C1790="","",IF(OR($M1790="",$N1790=""),'Lists &amp; Settings'!$O$10,IF($N1790="Fail",'Lists &amp; Settings'!$O$9,IF($N1790="Insufficient Evidence",'Lists &amp; Settings'!$O$10,IF($N1790="Pass",IF($M1790&gt;='Lists &amp; Settings'!$N$2,'Lists &amp; Settings'!$O$2,IF($M1790&gt;='Lists &amp; Settings'!$N$3,'Lists &amp; Settings'!$O$3,'Lists &amp; Settings'!$O$4)),IF($N1790="Partial",IF($M1790&gt;='Lists &amp; Settings'!$N$6,'Lists &amp; Settings'!$O$6,IF($M1790&gt;='Lists &amp; Settings'!$N$7,'Lists &amp; Settings'!$O$7,'Lists &amp; Settings'!$O$8)),'Lists &amp; Settings'!$O$10))))))</f>
        <v/>
      </c>
      <c r="T1790" s="31"/>
      <c r="U1790" s="31"/>
      <c r="V1790" s="31"/>
    </row>
    <row r="1791" ht="15.75" customHeight="1">
      <c r="B1791" s="31"/>
      <c r="N1791" s="127"/>
      <c r="S1791" s="31" t="str">
        <f>IF($C1791="","",IF(OR($M1791="",$N1791=""),'Lists &amp; Settings'!$O$10,IF($N1791="Fail",'Lists &amp; Settings'!$O$9,IF($N1791="Insufficient Evidence",'Lists &amp; Settings'!$O$10,IF($N1791="Pass",IF($M1791&gt;='Lists &amp; Settings'!$N$2,'Lists &amp; Settings'!$O$2,IF($M1791&gt;='Lists &amp; Settings'!$N$3,'Lists &amp; Settings'!$O$3,'Lists &amp; Settings'!$O$4)),IF($N1791="Partial",IF($M1791&gt;='Lists &amp; Settings'!$N$6,'Lists &amp; Settings'!$O$6,IF($M1791&gt;='Lists &amp; Settings'!$N$7,'Lists &amp; Settings'!$O$7,'Lists &amp; Settings'!$O$8)),'Lists &amp; Settings'!$O$10))))))</f>
        <v/>
      </c>
      <c r="T1791" s="31"/>
      <c r="U1791" s="31"/>
      <c r="V1791" s="31"/>
    </row>
    <row r="1792" ht="15.75" customHeight="1">
      <c r="B1792" s="31"/>
      <c r="N1792" s="127"/>
      <c r="S1792" s="31" t="str">
        <f>IF($C1792="","",IF(OR($M1792="",$N1792=""),'Lists &amp; Settings'!$O$10,IF($N1792="Fail",'Lists &amp; Settings'!$O$9,IF($N1792="Insufficient Evidence",'Lists &amp; Settings'!$O$10,IF($N1792="Pass",IF($M1792&gt;='Lists &amp; Settings'!$N$2,'Lists &amp; Settings'!$O$2,IF($M1792&gt;='Lists &amp; Settings'!$N$3,'Lists &amp; Settings'!$O$3,'Lists &amp; Settings'!$O$4)),IF($N1792="Partial",IF($M1792&gt;='Lists &amp; Settings'!$N$6,'Lists &amp; Settings'!$O$6,IF($M1792&gt;='Lists &amp; Settings'!$N$7,'Lists &amp; Settings'!$O$7,'Lists &amp; Settings'!$O$8)),'Lists &amp; Settings'!$O$10))))))</f>
        <v/>
      </c>
      <c r="T1792" s="31"/>
      <c r="U1792" s="31"/>
      <c r="V1792" s="31"/>
    </row>
    <row r="1793" ht="15.75" customHeight="1">
      <c r="B1793" s="31"/>
      <c r="N1793" s="127"/>
      <c r="S1793" s="31" t="str">
        <f>IF($C1793="","",IF(OR($M1793="",$N1793=""),'Lists &amp; Settings'!$O$10,IF($N1793="Fail",'Lists &amp; Settings'!$O$9,IF($N1793="Insufficient Evidence",'Lists &amp; Settings'!$O$10,IF($N1793="Pass",IF($M1793&gt;='Lists &amp; Settings'!$N$2,'Lists &amp; Settings'!$O$2,IF($M1793&gt;='Lists &amp; Settings'!$N$3,'Lists &amp; Settings'!$O$3,'Lists &amp; Settings'!$O$4)),IF($N1793="Partial",IF($M1793&gt;='Lists &amp; Settings'!$N$6,'Lists &amp; Settings'!$O$6,IF($M1793&gt;='Lists &amp; Settings'!$N$7,'Lists &amp; Settings'!$O$7,'Lists &amp; Settings'!$O$8)),'Lists &amp; Settings'!$O$10))))))</f>
        <v/>
      </c>
      <c r="T1793" s="31"/>
      <c r="U1793" s="31"/>
      <c r="V1793" s="31"/>
    </row>
    <row r="1794" ht="15.75" customHeight="1">
      <c r="B1794" s="31"/>
      <c r="N1794" s="127"/>
      <c r="S1794" s="31" t="str">
        <f>IF($C1794="","",IF(OR($M1794="",$N1794=""),'Lists &amp; Settings'!$O$10,IF($N1794="Fail",'Lists &amp; Settings'!$O$9,IF($N1794="Insufficient Evidence",'Lists &amp; Settings'!$O$10,IF($N1794="Pass",IF($M1794&gt;='Lists &amp; Settings'!$N$2,'Lists &amp; Settings'!$O$2,IF($M1794&gt;='Lists &amp; Settings'!$N$3,'Lists &amp; Settings'!$O$3,'Lists &amp; Settings'!$O$4)),IF($N1794="Partial",IF($M1794&gt;='Lists &amp; Settings'!$N$6,'Lists &amp; Settings'!$O$6,IF($M1794&gt;='Lists &amp; Settings'!$N$7,'Lists &amp; Settings'!$O$7,'Lists &amp; Settings'!$O$8)),'Lists &amp; Settings'!$O$10))))))</f>
        <v/>
      </c>
      <c r="T1794" s="31"/>
      <c r="U1794" s="31"/>
      <c r="V1794" s="31"/>
    </row>
    <row r="1795" ht="15.75" customHeight="1">
      <c r="B1795" s="31"/>
      <c r="N1795" s="127"/>
      <c r="S1795" s="31" t="str">
        <f>IF($C1795="","",IF(OR($M1795="",$N1795=""),'Lists &amp; Settings'!$O$10,IF($N1795="Fail",'Lists &amp; Settings'!$O$9,IF($N1795="Insufficient Evidence",'Lists &amp; Settings'!$O$10,IF($N1795="Pass",IF($M1795&gt;='Lists &amp; Settings'!$N$2,'Lists &amp; Settings'!$O$2,IF($M1795&gt;='Lists &amp; Settings'!$N$3,'Lists &amp; Settings'!$O$3,'Lists &amp; Settings'!$O$4)),IF($N1795="Partial",IF($M1795&gt;='Lists &amp; Settings'!$N$6,'Lists &amp; Settings'!$O$6,IF($M1795&gt;='Lists &amp; Settings'!$N$7,'Lists &amp; Settings'!$O$7,'Lists &amp; Settings'!$O$8)),'Lists &amp; Settings'!$O$10))))))</f>
        <v/>
      </c>
      <c r="T1795" s="31"/>
      <c r="U1795" s="31"/>
      <c r="V1795" s="31"/>
    </row>
    <row r="1796" ht="15.75" customHeight="1">
      <c r="B1796" s="31"/>
      <c r="N1796" s="127"/>
      <c r="S1796" s="31" t="str">
        <f>IF($C1796="","",IF(OR($M1796="",$N1796=""),'Lists &amp; Settings'!$O$10,IF($N1796="Fail",'Lists &amp; Settings'!$O$9,IF($N1796="Insufficient Evidence",'Lists &amp; Settings'!$O$10,IF($N1796="Pass",IF($M1796&gt;='Lists &amp; Settings'!$N$2,'Lists &amp; Settings'!$O$2,IF($M1796&gt;='Lists &amp; Settings'!$N$3,'Lists &amp; Settings'!$O$3,'Lists &amp; Settings'!$O$4)),IF($N1796="Partial",IF($M1796&gt;='Lists &amp; Settings'!$N$6,'Lists &amp; Settings'!$O$6,IF($M1796&gt;='Lists &amp; Settings'!$N$7,'Lists &amp; Settings'!$O$7,'Lists &amp; Settings'!$O$8)),'Lists &amp; Settings'!$O$10))))))</f>
        <v/>
      </c>
      <c r="T1796" s="31"/>
      <c r="U1796" s="31"/>
      <c r="V1796" s="31"/>
    </row>
    <row r="1797" ht="15.75" customHeight="1">
      <c r="B1797" s="31"/>
      <c r="N1797" s="127"/>
      <c r="S1797" s="31" t="str">
        <f>IF($C1797="","",IF(OR($M1797="",$N1797=""),'Lists &amp; Settings'!$O$10,IF($N1797="Fail",'Lists &amp; Settings'!$O$9,IF($N1797="Insufficient Evidence",'Lists &amp; Settings'!$O$10,IF($N1797="Pass",IF($M1797&gt;='Lists &amp; Settings'!$N$2,'Lists &amp; Settings'!$O$2,IF($M1797&gt;='Lists &amp; Settings'!$N$3,'Lists &amp; Settings'!$O$3,'Lists &amp; Settings'!$O$4)),IF($N1797="Partial",IF($M1797&gt;='Lists &amp; Settings'!$N$6,'Lists &amp; Settings'!$O$6,IF($M1797&gt;='Lists &amp; Settings'!$N$7,'Lists &amp; Settings'!$O$7,'Lists &amp; Settings'!$O$8)),'Lists &amp; Settings'!$O$10))))))</f>
        <v/>
      </c>
      <c r="T1797" s="31"/>
      <c r="U1797" s="31"/>
      <c r="V1797" s="31"/>
    </row>
    <row r="1798" ht="15.75" customHeight="1">
      <c r="B1798" s="31"/>
      <c r="N1798" s="127"/>
      <c r="S1798" s="31" t="str">
        <f>IF($C1798="","",IF(OR($M1798="",$N1798=""),'Lists &amp; Settings'!$O$10,IF($N1798="Fail",'Lists &amp; Settings'!$O$9,IF($N1798="Insufficient Evidence",'Lists &amp; Settings'!$O$10,IF($N1798="Pass",IF($M1798&gt;='Lists &amp; Settings'!$N$2,'Lists &amp; Settings'!$O$2,IF($M1798&gt;='Lists &amp; Settings'!$N$3,'Lists &amp; Settings'!$O$3,'Lists &amp; Settings'!$O$4)),IF($N1798="Partial",IF($M1798&gt;='Lists &amp; Settings'!$N$6,'Lists &amp; Settings'!$O$6,IF($M1798&gt;='Lists &amp; Settings'!$N$7,'Lists &amp; Settings'!$O$7,'Lists &amp; Settings'!$O$8)),'Lists &amp; Settings'!$O$10))))))</f>
        <v/>
      </c>
      <c r="T1798" s="31"/>
      <c r="U1798" s="31"/>
      <c r="V1798" s="31"/>
    </row>
    <row r="1799" ht="15.75" customHeight="1">
      <c r="B1799" s="31"/>
      <c r="N1799" s="127"/>
      <c r="S1799" s="31" t="str">
        <f>IF($C1799="","",IF(OR($M1799="",$N1799=""),'Lists &amp; Settings'!$O$10,IF($N1799="Fail",'Lists &amp; Settings'!$O$9,IF($N1799="Insufficient Evidence",'Lists &amp; Settings'!$O$10,IF($N1799="Pass",IF($M1799&gt;='Lists &amp; Settings'!$N$2,'Lists &amp; Settings'!$O$2,IF($M1799&gt;='Lists &amp; Settings'!$N$3,'Lists &amp; Settings'!$O$3,'Lists &amp; Settings'!$O$4)),IF($N1799="Partial",IF($M1799&gt;='Lists &amp; Settings'!$N$6,'Lists &amp; Settings'!$O$6,IF($M1799&gt;='Lists &amp; Settings'!$N$7,'Lists &amp; Settings'!$O$7,'Lists &amp; Settings'!$O$8)),'Lists &amp; Settings'!$O$10))))))</f>
        <v/>
      </c>
      <c r="T1799" s="31"/>
      <c r="U1799" s="31"/>
      <c r="V1799" s="31"/>
    </row>
    <row r="1800" ht="15.75" customHeight="1">
      <c r="B1800" s="31"/>
      <c r="N1800" s="127"/>
      <c r="S1800" s="31" t="str">
        <f>IF($C1800="","",IF(OR($M1800="",$N1800=""),'Lists &amp; Settings'!$O$10,IF($N1800="Fail",'Lists &amp; Settings'!$O$9,IF($N1800="Insufficient Evidence",'Lists &amp; Settings'!$O$10,IF($N1800="Pass",IF($M1800&gt;='Lists &amp; Settings'!$N$2,'Lists &amp; Settings'!$O$2,IF($M1800&gt;='Lists &amp; Settings'!$N$3,'Lists &amp; Settings'!$O$3,'Lists &amp; Settings'!$O$4)),IF($N1800="Partial",IF($M1800&gt;='Lists &amp; Settings'!$N$6,'Lists &amp; Settings'!$O$6,IF($M1800&gt;='Lists &amp; Settings'!$N$7,'Lists &amp; Settings'!$O$7,'Lists &amp; Settings'!$O$8)),'Lists &amp; Settings'!$O$10))))))</f>
        <v/>
      </c>
      <c r="T1800" s="31"/>
      <c r="U1800" s="31"/>
      <c r="V1800" s="31"/>
    </row>
    <row r="1801" ht="15.75" customHeight="1">
      <c r="B1801" s="31"/>
      <c r="N1801" s="127"/>
      <c r="S1801" s="31" t="str">
        <f>IF($C1801="","",IF(OR($M1801="",$N1801=""),'Lists &amp; Settings'!$O$10,IF($N1801="Fail",'Lists &amp; Settings'!$O$9,IF($N1801="Insufficient Evidence",'Lists &amp; Settings'!$O$10,IF($N1801="Pass",IF($M1801&gt;='Lists &amp; Settings'!$N$2,'Lists &amp; Settings'!$O$2,IF($M1801&gt;='Lists &amp; Settings'!$N$3,'Lists &amp; Settings'!$O$3,'Lists &amp; Settings'!$O$4)),IF($N1801="Partial",IF($M1801&gt;='Lists &amp; Settings'!$N$6,'Lists &amp; Settings'!$O$6,IF($M1801&gt;='Lists &amp; Settings'!$N$7,'Lists &amp; Settings'!$O$7,'Lists &amp; Settings'!$O$8)),'Lists &amp; Settings'!$O$10))))))</f>
        <v/>
      </c>
      <c r="T1801" s="31"/>
      <c r="U1801" s="31"/>
      <c r="V1801" s="31"/>
    </row>
    <row r="1802" ht="15.75" customHeight="1">
      <c r="B1802" s="31"/>
      <c r="N1802" s="127"/>
      <c r="S1802" s="31" t="str">
        <f>IF($C1802="","",IF(OR($M1802="",$N1802=""),'Lists &amp; Settings'!$O$10,IF($N1802="Fail",'Lists &amp; Settings'!$O$9,IF($N1802="Insufficient Evidence",'Lists &amp; Settings'!$O$10,IF($N1802="Pass",IF($M1802&gt;='Lists &amp; Settings'!$N$2,'Lists &amp; Settings'!$O$2,IF($M1802&gt;='Lists &amp; Settings'!$N$3,'Lists &amp; Settings'!$O$3,'Lists &amp; Settings'!$O$4)),IF($N1802="Partial",IF($M1802&gt;='Lists &amp; Settings'!$N$6,'Lists &amp; Settings'!$O$6,IF($M1802&gt;='Lists &amp; Settings'!$N$7,'Lists &amp; Settings'!$O$7,'Lists &amp; Settings'!$O$8)),'Lists &amp; Settings'!$O$10))))))</f>
        <v/>
      </c>
      <c r="T1802" s="31"/>
      <c r="U1802" s="31"/>
      <c r="V1802" s="31"/>
    </row>
    <row r="1803" ht="15.75" customHeight="1">
      <c r="B1803" s="31"/>
      <c r="N1803" s="127"/>
      <c r="S1803" s="31" t="str">
        <f>IF($C1803="","",IF(OR($M1803="",$N1803=""),'Lists &amp; Settings'!$O$10,IF($N1803="Fail",'Lists &amp; Settings'!$O$9,IF($N1803="Insufficient Evidence",'Lists &amp; Settings'!$O$10,IF($N1803="Pass",IF($M1803&gt;='Lists &amp; Settings'!$N$2,'Lists &amp; Settings'!$O$2,IF($M1803&gt;='Lists &amp; Settings'!$N$3,'Lists &amp; Settings'!$O$3,'Lists &amp; Settings'!$O$4)),IF($N1803="Partial",IF($M1803&gt;='Lists &amp; Settings'!$N$6,'Lists &amp; Settings'!$O$6,IF($M1803&gt;='Lists &amp; Settings'!$N$7,'Lists &amp; Settings'!$O$7,'Lists &amp; Settings'!$O$8)),'Lists &amp; Settings'!$O$10))))))</f>
        <v/>
      </c>
      <c r="T1803" s="31"/>
      <c r="U1803" s="31"/>
      <c r="V1803" s="31"/>
    </row>
    <row r="1804" ht="15.75" customHeight="1">
      <c r="B1804" s="31"/>
      <c r="N1804" s="127"/>
      <c r="S1804" s="31" t="str">
        <f>IF($C1804="","",IF(OR($M1804="",$N1804=""),'Lists &amp; Settings'!$O$10,IF($N1804="Fail",'Lists &amp; Settings'!$O$9,IF($N1804="Insufficient Evidence",'Lists &amp; Settings'!$O$10,IF($N1804="Pass",IF($M1804&gt;='Lists &amp; Settings'!$N$2,'Lists &amp; Settings'!$O$2,IF($M1804&gt;='Lists &amp; Settings'!$N$3,'Lists &amp; Settings'!$O$3,'Lists &amp; Settings'!$O$4)),IF($N1804="Partial",IF($M1804&gt;='Lists &amp; Settings'!$N$6,'Lists &amp; Settings'!$O$6,IF($M1804&gt;='Lists &amp; Settings'!$N$7,'Lists &amp; Settings'!$O$7,'Lists &amp; Settings'!$O$8)),'Lists &amp; Settings'!$O$10))))))</f>
        <v/>
      </c>
      <c r="T1804" s="31"/>
      <c r="U1804" s="31"/>
      <c r="V1804" s="31"/>
    </row>
    <row r="1805" ht="15.75" customHeight="1">
      <c r="B1805" s="31"/>
      <c r="N1805" s="127"/>
      <c r="S1805" s="31" t="str">
        <f>IF($C1805="","",IF(OR($M1805="",$N1805=""),'Lists &amp; Settings'!$O$10,IF($N1805="Fail",'Lists &amp; Settings'!$O$9,IF($N1805="Insufficient Evidence",'Lists &amp; Settings'!$O$10,IF($N1805="Pass",IF($M1805&gt;='Lists &amp; Settings'!$N$2,'Lists &amp; Settings'!$O$2,IF($M1805&gt;='Lists &amp; Settings'!$N$3,'Lists &amp; Settings'!$O$3,'Lists &amp; Settings'!$O$4)),IF($N1805="Partial",IF($M1805&gt;='Lists &amp; Settings'!$N$6,'Lists &amp; Settings'!$O$6,IF($M1805&gt;='Lists &amp; Settings'!$N$7,'Lists &amp; Settings'!$O$7,'Lists &amp; Settings'!$O$8)),'Lists &amp; Settings'!$O$10))))))</f>
        <v/>
      </c>
      <c r="T1805" s="31"/>
      <c r="U1805" s="31"/>
      <c r="V1805" s="31"/>
    </row>
    <row r="1806" ht="15.75" customHeight="1">
      <c r="B1806" s="31"/>
      <c r="N1806" s="127"/>
      <c r="S1806" s="31" t="str">
        <f>IF($C1806="","",IF(OR($M1806="",$N1806=""),'Lists &amp; Settings'!$O$10,IF($N1806="Fail",'Lists &amp; Settings'!$O$9,IF($N1806="Insufficient Evidence",'Lists &amp; Settings'!$O$10,IF($N1806="Pass",IF($M1806&gt;='Lists &amp; Settings'!$N$2,'Lists &amp; Settings'!$O$2,IF($M1806&gt;='Lists &amp; Settings'!$N$3,'Lists &amp; Settings'!$O$3,'Lists &amp; Settings'!$O$4)),IF($N1806="Partial",IF($M1806&gt;='Lists &amp; Settings'!$N$6,'Lists &amp; Settings'!$O$6,IF($M1806&gt;='Lists &amp; Settings'!$N$7,'Lists &amp; Settings'!$O$7,'Lists &amp; Settings'!$O$8)),'Lists &amp; Settings'!$O$10))))))</f>
        <v/>
      </c>
      <c r="T1806" s="31"/>
      <c r="U1806" s="31"/>
      <c r="V1806" s="31"/>
    </row>
    <row r="1807" ht="15.75" customHeight="1">
      <c r="B1807" s="31"/>
      <c r="N1807" s="127"/>
      <c r="S1807" s="31" t="str">
        <f>IF($C1807="","",IF(OR($M1807="",$N1807=""),'Lists &amp; Settings'!$O$10,IF($N1807="Fail",'Lists &amp; Settings'!$O$9,IF($N1807="Insufficient Evidence",'Lists &amp; Settings'!$O$10,IF($N1807="Pass",IF($M1807&gt;='Lists &amp; Settings'!$N$2,'Lists &amp; Settings'!$O$2,IF($M1807&gt;='Lists &amp; Settings'!$N$3,'Lists &amp; Settings'!$O$3,'Lists &amp; Settings'!$O$4)),IF($N1807="Partial",IF($M1807&gt;='Lists &amp; Settings'!$N$6,'Lists &amp; Settings'!$O$6,IF($M1807&gt;='Lists &amp; Settings'!$N$7,'Lists &amp; Settings'!$O$7,'Lists &amp; Settings'!$O$8)),'Lists &amp; Settings'!$O$10))))))</f>
        <v/>
      </c>
      <c r="T1807" s="31"/>
      <c r="U1807" s="31"/>
      <c r="V1807" s="31"/>
    </row>
    <row r="1808" ht="15.75" customHeight="1">
      <c r="B1808" s="31"/>
      <c r="N1808" s="127"/>
      <c r="S1808" s="31" t="str">
        <f>IF($C1808="","",IF(OR($M1808="",$N1808=""),'Lists &amp; Settings'!$O$10,IF($N1808="Fail",'Lists &amp; Settings'!$O$9,IF($N1808="Insufficient Evidence",'Lists &amp; Settings'!$O$10,IF($N1808="Pass",IF($M1808&gt;='Lists &amp; Settings'!$N$2,'Lists &amp; Settings'!$O$2,IF($M1808&gt;='Lists &amp; Settings'!$N$3,'Lists &amp; Settings'!$O$3,'Lists &amp; Settings'!$O$4)),IF($N1808="Partial",IF($M1808&gt;='Lists &amp; Settings'!$N$6,'Lists &amp; Settings'!$O$6,IF($M1808&gt;='Lists &amp; Settings'!$N$7,'Lists &amp; Settings'!$O$7,'Lists &amp; Settings'!$O$8)),'Lists &amp; Settings'!$O$10))))))</f>
        <v/>
      </c>
      <c r="T1808" s="31"/>
      <c r="U1808" s="31"/>
      <c r="V1808" s="31"/>
    </row>
    <row r="1809" ht="15.75" customHeight="1">
      <c r="B1809" s="31"/>
      <c r="N1809" s="127"/>
      <c r="S1809" s="31" t="str">
        <f>IF($C1809="","",IF(OR($M1809="",$N1809=""),'Lists &amp; Settings'!$O$10,IF($N1809="Fail",'Lists &amp; Settings'!$O$9,IF($N1809="Insufficient Evidence",'Lists &amp; Settings'!$O$10,IF($N1809="Pass",IF($M1809&gt;='Lists &amp; Settings'!$N$2,'Lists &amp; Settings'!$O$2,IF($M1809&gt;='Lists &amp; Settings'!$N$3,'Lists &amp; Settings'!$O$3,'Lists &amp; Settings'!$O$4)),IF($N1809="Partial",IF($M1809&gt;='Lists &amp; Settings'!$N$6,'Lists &amp; Settings'!$O$6,IF($M1809&gt;='Lists &amp; Settings'!$N$7,'Lists &amp; Settings'!$O$7,'Lists &amp; Settings'!$O$8)),'Lists &amp; Settings'!$O$10))))))</f>
        <v/>
      </c>
      <c r="T1809" s="31"/>
      <c r="U1809" s="31"/>
      <c r="V1809" s="31"/>
    </row>
    <row r="1810" ht="15.75" customHeight="1">
      <c r="B1810" s="31"/>
      <c r="N1810" s="127"/>
      <c r="S1810" s="31" t="str">
        <f>IF($C1810="","",IF(OR($M1810="",$N1810=""),'Lists &amp; Settings'!$O$10,IF($N1810="Fail",'Lists &amp; Settings'!$O$9,IF($N1810="Insufficient Evidence",'Lists &amp; Settings'!$O$10,IF($N1810="Pass",IF($M1810&gt;='Lists &amp; Settings'!$N$2,'Lists &amp; Settings'!$O$2,IF($M1810&gt;='Lists &amp; Settings'!$N$3,'Lists &amp; Settings'!$O$3,'Lists &amp; Settings'!$O$4)),IF($N1810="Partial",IF($M1810&gt;='Lists &amp; Settings'!$N$6,'Lists &amp; Settings'!$O$6,IF($M1810&gt;='Lists &amp; Settings'!$N$7,'Lists &amp; Settings'!$O$7,'Lists &amp; Settings'!$O$8)),'Lists &amp; Settings'!$O$10))))))</f>
        <v/>
      </c>
      <c r="T1810" s="31"/>
      <c r="U1810" s="31"/>
      <c r="V1810" s="31"/>
    </row>
    <row r="1811" ht="15.75" customHeight="1">
      <c r="B1811" s="31"/>
      <c r="N1811" s="127"/>
      <c r="S1811" s="31" t="str">
        <f>IF($C1811="","",IF(OR($M1811="",$N1811=""),'Lists &amp; Settings'!$O$10,IF($N1811="Fail",'Lists &amp; Settings'!$O$9,IF($N1811="Insufficient Evidence",'Lists &amp; Settings'!$O$10,IF($N1811="Pass",IF($M1811&gt;='Lists &amp; Settings'!$N$2,'Lists &amp; Settings'!$O$2,IF($M1811&gt;='Lists &amp; Settings'!$N$3,'Lists &amp; Settings'!$O$3,'Lists &amp; Settings'!$O$4)),IF($N1811="Partial",IF($M1811&gt;='Lists &amp; Settings'!$N$6,'Lists &amp; Settings'!$O$6,IF($M1811&gt;='Lists &amp; Settings'!$N$7,'Lists &amp; Settings'!$O$7,'Lists &amp; Settings'!$O$8)),'Lists &amp; Settings'!$O$10))))))</f>
        <v/>
      </c>
      <c r="T1811" s="31"/>
      <c r="U1811" s="31"/>
      <c r="V1811" s="31"/>
    </row>
    <row r="1812" ht="15.75" customHeight="1">
      <c r="B1812" s="31"/>
      <c r="N1812" s="127"/>
      <c r="S1812" s="31" t="str">
        <f>IF($C1812="","",IF(OR($M1812="",$N1812=""),'Lists &amp; Settings'!$O$10,IF($N1812="Fail",'Lists &amp; Settings'!$O$9,IF($N1812="Insufficient Evidence",'Lists &amp; Settings'!$O$10,IF($N1812="Pass",IF($M1812&gt;='Lists &amp; Settings'!$N$2,'Lists &amp; Settings'!$O$2,IF($M1812&gt;='Lists &amp; Settings'!$N$3,'Lists &amp; Settings'!$O$3,'Lists &amp; Settings'!$O$4)),IF($N1812="Partial",IF($M1812&gt;='Lists &amp; Settings'!$N$6,'Lists &amp; Settings'!$O$6,IF($M1812&gt;='Lists &amp; Settings'!$N$7,'Lists &amp; Settings'!$O$7,'Lists &amp; Settings'!$O$8)),'Lists &amp; Settings'!$O$10))))))</f>
        <v/>
      </c>
      <c r="T1812" s="31"/>
      <c r="U1812" s="31"/>
      <c r="V1812" s="31"/>
    </row>
    <row r="1813" ht="15.75" customHeight="1">
      <c r="B1813" s="31"/>
      <c r="N1813" s="127"/>
      <c r="S1813" s="31" t="str">
        <f>IF($C1813="","",IF(OR($M1813="",$N1813=""),'Lists &amp; Settings'!$O$10,IF($N1813="Fail",'Lists &amp; Settings'!$O$9,IF($N1813="Insufficient Evidence",'Lists &amp; Settings'!$O$10,IF($N1813="Pass",IF($M1813&gt;='Lists &amp; Settings'!$N$2,'Lists &amp; Settings'!$O$2,IF($M1813&gt;='Lists &amp; Settings'!$N$3,'Lists &amp; Settings'!$O$3,'Lists &amp; Settings'!$O$4)),IF($N1813="Partial",IF($M1813&gt;='Lists &amp; Settings'!$N$6,'Lists &amp; Settings'!$O$6,IF($M1813&gt;='Lists &amp; Settings'!$N$7,'Lists &amp; Settings'!$O$7,'Lists &amp; Settings'!$O$8)),'Lists &amp; Settings'!$O$10))))))</f>
        <v/>
      </c>
      <c r="T1813" s="31"/>
      <c r="U1813" s="31"/>
      <c r="V1813" s="31"/>
    </row>
    <row r="1814" ht="15.75" customHeight="1">
      <c r="B1814" s="31"/>
      <c r="N1814" s="127"/>
      <c r="S1814" s="31" t="str">
        <f>IF($C1814="","",IF(OR($M1814="",$N1814=""),'Lists &amp; Settings'!$O$10,IF($N1814="Fail",'Lists &amp; Settings'!$O$9,IF($N1814="Insufficient Evidence",'Lists &amp; Settings'!$O$10,IF($N1814="Pass",IF($M1814&gt;='Lists &amp; Settings'!$N$2,'Lists &amp; Settings'!$O$2,IF($M1814&gt;='Lists &amp; Settings'!$N$3,'Lists &amp; Settings'!$O$3,'Lists &amp; Settings'!$O$4)),IF($N1814="Partial",IF($M1814&gt;='Lists &amp; Settings'!$N$6,'Lists &amp; Settings'!$O$6,IF($M1814&gt;='Lists &amp; Settings'!$N$7,'Lists &amp; Settings'!$O$7,'Lists &amp; Settings'!$O$8)),'Lists &amp; Settings'!$O$10))))))</f>
        <v/>
      </c>
      <c r="T1814" s="31"/>
      <c r="U1814" s="31"/>
      <c r="V1814" s="31"/>
    </row>
    <row r="1815" ht="15.75" customHeight="1">
      <c r="B1815" s="31"/>
      <c r="N1815" s="127"/>
      <c r="S1815" s="31" t="str">
        <f>IF($C1815="","",IF(OR($M1815="",$N1815=""),'Lists &amp; Settings'!$O$10,IF($N1815="Fail",'Lists &amp; Settings'!$O$9,IF($N1815="Insufficient Evidence",'Lists &amp; Settings'!$O$10,IF($N1815="Pass",IF($M1815&gt;='Lists &amp; Settings'!$N$2,'Lists &amp; Settings'!$O$2,IF($M1815&gt;='Lists &amp; Settings'!$N$3,'Lists &amp; Settings'!$O$3,'Lists &amp; Settings'!$O$4)),IF($N1815="Partial",IF($M1815&gt;='Lists &amp; Settings'!$N$6,'Lists &amp; Settings'!$O$6,IF($M1815&gt;='Lists &amp; Settings'!$N$7,'Lists &amp; Settings'!$O$7,'Lists &amp; Settings'!$O$8)),'Lists &amp; Settings'!$O$10))))))</f>
        <v/>
      </c>
      <c r="T1815" s="31"/>
      <c r="U1815" s="31"/>
      <c r="V1815" s="31"/>
    </row>
    <row r="1816" ht="15.75" customHeight="1">
      <c r="B1816" s="31"/>
      <c r="N1816" s="127"/>
      <c r="S1816" s="31" t="str">
        <f>IF($C1816="","",IF(OR($M1816="",$N1816=""),'Lists &amp; Settings'!$O$10,IF($N1816="Fail",'Lists &amp; Settings'!$O$9,IF($N1816="Insufficient Evidence",'Lists &amp; Settings'!$O$10,IF($N1816="Pass",IF($M1816&gt;='Lists &amp; Settings'!$N$2,'Lists &amp; Settings'!$O$2,IF($M1816&gt;='Lists &amp; Settings'!$N$3,'Lists &amp; Settings'!$O$3,'Lists &amp; Settings'!$O$4)),IF($N1816="Partial",IF($M1816&gt;='Lists &amp; Settings'!$N$6,'Lists &amp; Settings'!$O$6,IF($M1816&gt;='Lists &amp; Settings'!$N$7,'Lists &amp; Settings'!$O$7,'Lists &amp; Settings'!$O$8)),'Lists &amp; Settings'!$O$10))))))</f>
        <v/>
      </c>
      <c r="T1816" s="31"/>
      <c r="U1816" s="31"/>
      <c r="V1816" s="31"/>
    </row>
    <row r="1817" ht="15.75" customHeight="1">
      <c r="B1817" s="31"/>
      <c r="N1817" s="127"/>
      <c r="S1817" s="31" t="str">
        <f>IF($C1817="","",IF(OR($M1817="",$N1817=""),'Lists &amp; Settings'!$O$10,IF($N1817="Fail",'Lists &amp; Settings'!$O$9,IF($N1817="Insufficient Evidence",'Lists &amp; Settings'!$O$10,IF($N1817="Pass",IF($M1817&gt;='Lists &amp; Settings'!$N$2,'Lists &amp; Settings'!$O$2,IF($M1817&gt;='Lists &amp; Settings'!$N$3,'Lists &amp; Settings'!$O$3,'Lists &amp; Settings'!$O$4)),IF($N1817="Partial",IF($M1817&gt;='Lists &amp; Settings'!$N$6,'Lists &amp; Settings'!$O$6,IF($M1817&gt;='Lists &amp; Settings'!$N$7,'Lists &amp; Settings'!$O$7,'Lists &amp; Settings'!$O$8)),'Lists &amp; Settings'!$O$10))))))</f>
        <v/>
      </c>
      <c r="T1817" s="31"/>
      <c r="U1817" s="31"/>
      <c r="V1817" s="31"/>
    </row>
    <row r="1818" ht="15.75" customHeight="1">
      <c r="B1818" s="31"/>
      <c r="N1818" s="127"/>
      <c r="S1818" s="31" t="str">
        <f>IF($C1818="","",IF(OR($M1818="",$N1818=""),'Lists &amp; Settings'!$O$10,IF($N1818="Fail",'Lists &amp; Settings'!$O$9,IF($N1818="Insufficient Evidence",'Lists &amp; Settings'!$O$10,IF($N1818="Pass",IF($M1818&gt;='Lists &amp; Settings'!$N$2,'Lists &amp; Settings'!$O$2,IF($M1818&gt;='Lists &amp; Settings'!$N$3,'Lists &amp; Settings'!$O$3,'Lists &amp; Settings'!$O$4)),IF($N1818="Partial",IF($M1818&gt;='Lists &amp; Settings'!$N$6,'Lists &amp; Settings'!$O$6,IF($M1818&gt;='Lists &amp; Settings'!$N$7,'Lists &amp; Settings'!$O$7,'Lists &amp; Settings'!$O$8)),'Lists &amp; Settings'!$O$10))))))</f>
        <v/>
      </c>
      <c r="T1818" s="31"/>
      <c r="U1818" s="31"/>
      <c r="V1818" s="31"/>
    </row>
    <row r="1819" ht="15.75" customHeight="1">
      <c r="B1819" s="31"/>
      <c r="N1819" s="127"/>
      <c r="S1819" s="31" t="str">
        <f>IF($C1819="","",IF(OR($M1819="",$N1819=""),'Lists &amp; Settings'!$O$10,IF($N1819="Fail",'Lists &amp; Settings'!$O$9,IF($N1819="Insufficient Evidence",'Lists &amp; Settings'!$O$10,IF($N1819="Pass",IF($M1819&gt;='Lists &amp; Settings'!$N$2,'Lists &amp; Settings'!$O$2,IF($M1819&gt;='Lists &amp; Settings'!$N$3,'Lists &amp; Settings'!$O$3,'Lists &amp; Settings'!$O$4)),IF($N1819="Partial",IF($M1819&gt;='Lists &amp; Settings'!$N$6,'Lists &amp; Settings'!$O$6,IF($M1819&gt;='Lists &amp; Settings'!$N$7,'Lists &amp; Settings'!$O$7,'Lists &amp; Settings'!$O$8)),'Lists &amp; Settings'!$O$10))))))</f>
        <v/>
      </c>
      <c r="T1819" s="31"/>
      <c r="U1819" s="31"/>
      <c r="V1819" s="31"/>
    </row>
    <row r="1820" ht="15.75" customHeight="1">
      <c r="B1820" s="31"/>
      <c r="N1820" s="127"/>
      <c r="S1820" s="31" t="str">
        <f>IF($C1820="","",IF(OR($M1820="",$N1820=""),'Lists &amp; Settings'!$O$10,IF($N1820="Fail",'Lists &amp; Settings'!$O$9,IF($N1820="Insufficient Evidence",'Lists &amp; Settings'!$O$10,IF($N1820="Pass",IF($M1820&gt;='Lists &amp; Settings'!$N$2,'Lists &amp; Settings'!$O$2,IF($M1820&gt;='Lists &amp; Settings'!$N$3,'Lists &amp; Settings'!$O$3,'Lists &amp; Settings'!$O$4)),IF($N1820="Partial",IF($M1820&gt;='Lists &amp; Settings'!$N$6,'Lists &amp; Settings'!$O$6,IF($M1820&gt;='Lists &amp; Settings'!$N$7,'Lists &amp; Settings'!$O$7,'Lists &amp; Settings'!$O$8)),'Lists &amp; Settings'!$O$10))))))</f>
        <v/>
      </c>
      <c r="T1820" s="31"/>
      <c r="U1820" s="31"/>
      <c r="V1820" s="31"/>
    </row>
    <row r="1821" ht="15.75" customHeight="1">
      <c r="B1821" s="31"/>
      <c r="N1821" s="127"/>
      <c r="S1821" s="31" t="str">
        <f>IF($C1821="","",IF(OR($M1821="",$N1821=""),'Lists &amp; Settings'!$O$10,IF($N1821="Fail",'Lists &amp; Settings'!$O$9,IF($N1821="Insufficient Evidence",'Lists &amp; Settings'!$O$10,IF($N1821="Pass",IF($M1821&gt;='Lists &amp; Settings'!$N$2,'Lists &amp; Settings'!$O$2,IF($M1821&gt;='Lists &amp; Settings'!$N$3,'Lists &amp; Settings'!$O$3,'Lists &amp; Settings'!$O$4)),IF($N1821="Partial",IF($M1821&gt;='Lists &amp; Settings'!$N$6,'Lists &amp; Settings'!$O$6,IF($M1821&gt;='Lists &amp; Settings'!$N$7,'Lists &amp; Settings'!$O$7,'Lists &amp; Settings'!$O$8)),'Lists &amp; Settings'!$O$10))))))</f>
        <v/>
      </c>
      <c r="T1821" s="31"/>
      <c r="U1821" s="31"/>
      <c r="V1821" s="31"/>
    </row>
    <row r="1822" ht="15.75" customHeight="1">
      <c r="B1822" s="31"/>
      <c r="N1822" s="127"/>
      <c r="S1822" s="31" t="str">
        <f>IF($C1822="","",IF(OR($M1822="",$N1822=""),'Lists &amp; Settings'!$O$10,IF($N1822="Fail",'Lists &amp; Settings'!$O$9,IF($N1822="Insufficient Evidence",'Lists &amp; Settings'!$O$10,IF($N1822="Pass",IF($M1822&gt;='Lists &amp; Settings'!$N$2,'Lists &amp; Settings'!$O$2,IF($M1822&gt;='Lists &amp; Settings'!$N$3,'Lists &amp; Settings'!$O$3,'Lists &amp; Settings'!$O$4)),IF($N1822="Partial",IF($M1822&gt;='Lists &amp; Settings'!$N$6,'Lists &amp; Settings'!$O$6,IF($M1822&gt;='Lists &amp; Settings'!$N$7,'Lists &amp; Settings'!$O$7,'Lists &amp; Settings'!$O$8)),'Lists &amp; Settings'!$O$10))))))</f>
        <v/>
      </c>
      <c r="T1822" s="31"/>
      <c r="U1822" s="31"/>
      <c r="V1822" s="31"/>
    </row>
    <row r="1823" ht="15.75" customHeight="1">
      <c r="B1823" s="31"/>
      <c r="N1823" s="127"/>
      <c r="S1823" s="31" t="str">
        <f>IF($C1823="","",IF(OR($M1823="",$N1823=""),'Lists &amp; Settings'!$O$10,IF($N1823="Fail",'Lists &amp; Settings'!$O$9,IF($N1823="Insufficient Evidence",'Lists &amp; Settings'!$O$10,IF($N1823="Pass",IF($M1823&gt;='Lists &amp; Settings'!$N$2,'Lists &amp; Settings'!$O$2,IF($M1823&gt;='Lists &amp; Settings'!$N$3,'Lists &amp; Settings'!$O$3,'Lists &amp; Settings'!$O$4)),IF($N1823="Partial",IF($M1823&gt;='Lists &amp; Settings'!$N$6,'Lists &amp; Settings'!$O$6,IF($M1823&gt;='Lists &amp; Settings'!$N$7,'Lists &amp; Settings'!$O$7,'Lists &amp; Settings'!$O$8)),'Lists &amp; Settings'!$O$10))))))</f>
        <v/>
      </c>
      <c r="T1823" s="31"/>
      <c r="U1823" s="31"/>
      <c r="V1823" s="31"/>
    </row>
    <row r="1824" ht="15.75" customHeight="1">
      <c r="B1824" s="31"/>
      <c r="N1824" s="127"/>
      <c r="S1824" s="31" t="str">
        <f>IF($C1824="","",IF(OR($M1824="",$N1824=""),'Lists &amp; Settings'!$O$10,IF($N1824="Fail",'Lists &amp; Settings'!$O$9,IF($N1824="Insufficient Evidence",'Lists &amp; Settings'!$O$10,IF($N1824="Pass",IF($M1824&gt;='Lists &amp; Settings'!$N$2,'Lists &amp; Settings'!$O$2,IF($M1824&gt;='Lists &amp; Settings'!$N$3,'Lists &amp; Settings'!$O$3,'Lists &amp; Settings'!$O$4)),IF($N1824="Partial",IF($M1824&gt;='Lists &amp; Settings'!$N$6,'Lists &amp; Settings'!$O$6,IF($M1824&gt;='Lists &amp; Settings'!$N$7,'Lists &amp; Settings'!$O$7,'Lists &amp; Settings'!$O$8)),'Lists &amp; Settings'!$O$10))))))</f>
        <v/>
      </c>
      <c r="T1824" s="31"/>
      <c r="U1824" s="31"/>
      <c r="V1824" s="31"/>
    </row>
    <row r="1825" ht="15.75" customHeight="1">
      <c r="B1825" s="31"/>
      <c r="N1825" s="127"/>
      <c r="S1825" s="31" t="str">
        <f>IF($C1825="","",IF(OR($M1825="",$N1825=""),'Lists &amp; Settings'!$O$10,IF($N1825="Fail",'Lists &amp; Settings'!$O$9,IF($N1825="Insufficient Evidence",'Lists &amp; Settings'!$O$10,IF($N1825="Pass",IF($M1825&gt;='Lists &amp; Settings'!$N$2,'Lists &amp; Settings'!$O$2,IF($M1825&gt;='Lists &amp; Settings'!$N$3,'Lists &amp; Settings'!$O$3,'Lists &amp; Settings'!$O$4)),IF($N1825="Partial",IF($M1825&gt;='Lists &amp; Settings'!$N$6,'Lists &amp; Settings'!$O$6,IF($M1825&gt;='Lists &amp; Settings'!$N$7,'Lists &amp; Settings'!$O$7,'Lists &amp; Settings'!$O$8)),'Lists &amp; Settings'!$O$10))))))</f>
        <v/>
      </c>
      <c r="T1825" s="31"/>
      <c r="U1825" s="31"/>
      <c r="V1825" s="31"/>
    </row>
    <row r="1826" ht="15.75" customHeight="1">
      <c r="B1826" s="31"/>
      <c r="N1826" s="127"/>
      <c r="S1826" s="31" t="str">
        <f>IF($C1826="","",IF(OR($M1826="",$N1826=""),'Lists &amp; Settings'!$O$10,IF($N1826="Fail",'Lists &amp; Settings'!$O$9,IF($N1826="Insufficient Evidence",'Lists &amp; Settings'!$O$10,IF($N1826="Pass",IF($M1826&gt;='Lists &amp; Settings'!$N$2,'Lists &amp; Settings'!$O$2,IF($M1826&gt;='Lists &amp; Settings'!$N$3,'Lists &amp; Settings'!$O$3,'Lists &amp; Settings'!$O$4)),IF($N1826="Partial",IF($M1826&gt;='Lists &amp; Settings'!$N$6,'Lists &amp; Settings'!$O$6,IF($M1826&gt;='Lists &amp; Settings'!$N$7,'Lists &amp; Settings'!$O$7,'Lists &amp; Settings'!$O$8)),'Lists &amp; Settings'!$O$10))))))</f>
        <v/>
      </c>
      <c r="T1826" s="31"/>
      <c r="U1826" s="31"/>
      <c r="V1826" s="31"/>
    </row>
    <row r="1827" ht="15.75" customHeight="1">
      <c r="B1827" s="31"/>
      <c r="N1827" s="127"/>
      <c r="S1827" s="31" t="str">
        <f>IF($C1827="","",IF(OR($M1827="",$N1827=""),'Lists &amp; Settings'!$O$10,IF($N1827="Fail",'Lists &amp; Settings'!$O$9,IF($N1827="Insufficient Evidence",'Lists &amp; Settings'!$O$10,IF($N1827="Pass",IF($M1827&gt;='Lists &amp; Settings'!$N$2,'Lists &amp; Settings'!$O$2,IF($M1827&gt;='Lists &amp; Settings'!$N$3,'Lists &amp; Settings'!$O$3,'Lists &amp; Settings'!$O$4)),IF($N1827="Partial",IF($M1827&gt;='Lists &amp; Settings'!$N$6,'Lists &amp; Settings'!$O$6,IF($M1827&gt;='Lists &amp; Settings'!$N$7,'Lists &amp; Settings'!$O$7,'Lists &amp; Settings'!$O$8)),'Lists &amp; Settings'!$O$10))))))</f>
        <v/>
      </c>
      <c r="T1827" s="31"/>
      <c r="U1827" s="31"/>
      <c r="V1827" s="31"/>
    </row>
    <row r="1828" ht="15.75" customHeight="1">
      <c r="B1828" s="31"/>
      <c r="N1828" s="127"/>
      <c r="S1828" s="31" t="str">
        <f>IF($C1828="","",IF(OR($M1828="",$N1828=""),'Lists &amp; Settings'!$O$10,IF($N1828="Fail",'Lists &amp; Settings'!$O$9,IF($N1828="Insufficient Evidence",'Lists &amp; Settings'!$O$10,IF($N1828="Pass",IF($M1828&gt;='Lists &amp; Settings'!$N$2,'Lists &amp; Settings'!$O$2,IF($M1828&gt;='Lists &amp; Settings'!$N$3,'Lists &amp; Settings'!$O$3,'Lists &amp; Settings'!$O$4)),IF($N1828="Partial",IF($M1828&gt;='Lists &amp; Settings'!$N$6,'Lists &amp; Settings'!$O$6,IF($M1828&gt;='Lists &amp; Settings'!$N$7,'Lists &amp; Settings'!$O$7,'Lists &amp; Settings'!$O$8)),'Lists &amp; Settings'!$O$10))))))</f>
        <v/>
      </c>
      <c r="T1828" s="31"/>
      <c r="U1828" s="31"/>
      <c r="V1828" s="31"/>
    </row>
    <row r="1829" ht="15.75" customHeight="1">
      <c r="B1829" s="31"/>
      <c r="N1829" s="127"/>
      <c r="S1829" s="31" t="str">
        <f>IF($C1829="","",IF(OR($M1829="",$N1829=""),'Lists &amp; Settings'!$O$10,IF($N1829="Fail",'Lists &amp; Settings'!$O$9,IF($N1829="Insufficient Evidence",'Lists &amp; Settings'!$O$10,IF($N1829="Pass",IF($M1829&gt;='Lists &amp; Settings'!$N$2,'Lists &amp; Settings'!$O$2,IF($M1829&gt;='Lists &amp; Settings'!$N$3,'Lists &amp; Settings'!$O$3,'Lists &amp; Settings'!$O$4)),IF($N1829="Partial",IF($M1829&gt;='Lists &amp; Settings'!$N$6,'Lists &amp; Settings'!$O$6,IF($M1829&gt;='Lists &amp; Settings'!$N$7,'Lists &amp; Settings'!$O$7,'Lists &amp; Settings'!$O$8)),'Lists &amp; Settings'!$O$10))))))</f>
        <v/>
      </c>
      <c r="T1829" s="31"/>
      <c r="U1829" s="31"/>
      <c r="V1829" s="31"/>
    </row>
    <row r="1830" ht="15.75" customHeight="1">
      <c r="B1830" s="31"/>
      <c r="N1830" s="127"/>
      <c r="S1830" s="31" t="str">
        <f>IF($C1830="","",IF(OR($M1830="",$N1830=""),'Lists &amp; Settings'!$O$10,IF($N1830="Fail",'Lists &amp; Settings'!$O$9,IF($N1830="Insufficient Evidence",'Lists &amp; Settings'!$O$10,IF($N1830="Pass",IF($M1830&gt;='Lists &amp; Settings'!$N$2,'Lists &amp; Settings'!$O$2,IF($M1830&gt;='Lists &amp; Settings'!$N$3,'Lists &amp; Settings'!$O$3,'Lists &amp; Settings'!$O$4)),IF($N1830="Partial",IF($M1830&gt;='Lists &amp; Settings'!$N$6,'Lists &amp; Settings'!$O$6,IF($M1830&gt;='Lists &amp; Settings'!$N$7,'Lists &amp; Settings'!$O$7,'Lists &amp; Settings'!$O$8)),'Lists &amp; Settings'!$O$10))))))</f>
        <v/>
      </c>
      <c r="T1830" s="31"/>
      <c r="U1830" s="31"/>
      <c r="V1830" s="31"/>
    </row>
    <row r="1831" ht="15.75" customHeight="1">
      <c r="B1831" s="31"/>
      <c r="N1831" s="127"/>
      <c r="S1831" s="31" t="str">
        <f>IF($C1831="","",IF(OR($M1831="",$N1831=""),'Lists &amp; Settings'!$O$10,IF($N1831="Fail",'Lists &amp; Settings'!$O$9,IF($N1831="Insufficient Evidence",'Lists &amp; Settings'!$O$10,IF($N1831="Pass",IF($M1831&gt;='Lists &amp; Settings'!$N$2,'Lists &amp; Settings'!$O$2,IF($M1831&gt;='Lists &amp; Settings'!$N$3,'Lists &amp; Settings'!$O$3,'Lists &amp; Settings'!$O$4)),IF($N1831="Partial",IF($M1831&gt;='Lists &amp; Settings'!$N$6,'Lists &amp; Settings'!$O$6,IF($M1831&gt;='Lists &amp; Settings'!$N$7,'Lists &amp; Settings'!$O$7,'Lists &amp; Settings'!$O$8)),'Lists &amp; Settings'!$O$10))))))</f>
        <v/>
      </c>
      <c r="T1831" s="31"/>
      <c r="U1831" s="31"/>
      <c r="V1831" s="31"/>
    </row>
    <row r="1832" ht="15.75" customHeight="1">
      <c r="B1832" s="31"/>
      <c r="N1832" s="127"/>
      <c r="S1832" s="31" t="str">
        <f>IF($C1832="","",IF(OR($M1832="",$N1832=""),'Lists &amp; Settings'!$O$10,IF($N1832="Fail",'Lists &amp; Settings'!$O$9,IF($N1832="Insufficient Evidence",'Lists &amp; Settings'!$O$10,IF($N1832="Pass",IF($M1832&gt;='Lists &amp; Settings'!$N$2,'Lists &amp; Settings'!$O$2,IF($M1832&gt;='Lists &amp; Settings'!$N$3,'Lists &amp; Settings'!$O$3,'Lists &amp; Settings'!$O$4)),IF($N1832="Partial",IF($M1832&gt;='Lists &amp; Settings'!$N$6,'Lists &amp; Settings'!$O$6,IF($M1832&gt;='Lists &amp; Settings'!$N$7,'Lists &amp; Settings'!$O$7,'Lists &amp; Settings'!$O$8)),'Lists &amp; Settings'!$O$10))))))</f>
        <v/>
      </c>
      <c r="T1832" s="31"/>
      <c r="U1832" s="31"/>
      <c r="V1832" s="31"/>
    </row>
    <row r="1833" ht="15.75" customHeight="1">
      <c r="B1833" s="31"/>
      <c r="N1833" s="127"/>
      <c r="S1833" s="31" t="str">
        <f>IF($C1833="","",IF(OR($M1833="",$N1833=""),'Lists &amp; Settings'!$O$10,IF($N1833="Fail",'Lists &amp; Settings'!$O$9,IF($N1833="Insufficient Evidence",'Lists &amp; Settings'!$O$10,IF($N1833="Pass",IF($M1833&gt;='Lists &amp; Settings'!$N$2,'Lists &amp; Settings'!$O$2,IF($M1833&gt;='Lists &amp; Settings'!$N$3,'Lists &amp; Settings'!$O$3,'Lists &amp; Settings'!$O$4)),IF($N1833="Partial",IF($M1833&gt;='Lists &amp; Settings'!$N$6,'Lists &amp; Settings'!$O$6,IF($M1833&gt;='Lists &amp; Settings'!$N$7,'Lists &amp; Settings'!$O$7,'Lists &amp; Settings'!$O$8)),'Lists &amp; Settings'!$O$10))))))</f>
        <v/>
      </c>
      <c r="T1833" s="31"/>
      <c r="U1833" s="31"/>
      <c r="V1833" s="31"/>
    </row>
    <row r="1834" ht="15.75" customHeight="1">
      <c r="B1834" s="31"/>
      <c r="N1834" s="127"/>
      <c r="S1834" s="31" t="str">
        <f>IF($C1834="","",IF(OR($M1834="",$N1834=""),'Lists &amp; Settings'!$O$10,IF($N1834="Fail",'Lists &amp; Settings'!$O$9,IF($N1834="Insufficient Evidence",'Lists &amp; Settings'!$O$10,IF($N1834="Pass",IF($M1834&gt;='Lists &amp; Settings'!$N$2,'Lists &amp; Settings'!$O$2,IF($M1834&gt;='Lists &amp; Settings'!$N$3,'Lists &amp; Settings'!$O$3,'Lists &amp; Settings'!$O$4)),IF($N1834="Partial",IF($M1834&gt;='Lists &amp; Settings'!$N$6,'Lists &amp; Settings'!$O$6,IF($M1834&gt;='Lists &amp; Settings'!$N$7,'Lists &amp; Settings'!$O$7,'Lists &amp; Settings'!$O$8)),'Lists &amp; Settings'!$O$10))))))</f>
        <v/>
      </c>
      <c r="T1834" s="31"/>
      <c r="U1834" s="31"/>
      <c r="V1834" s="31"/>
    </row>
    <row r="1835" ht="15.75" customHeight="1">
      <c r="B1835" s="31"/>
      <c r="N1835" s="127"/>
      <c r="S1835" s="31" t="str">
        <f>IF($C1835="","",IF(OR($M1835="",$N1835=""),'Lists &amp; Settings'!$O$10,IF($N1835="Fail",'Lists &amp; Settings'!$O$9,IF($N1835="Insufficient Evidence",'Lists &amp; Settings'!$O$10,IF($N1835="Pass",IF($M1835&gt;='Lists &amp; Settings'!$N$2,'Lists &amp; Settings'!$O$2,IF($M1835&gt;='Lists &amp; Settings'!$N$3,'Lists &amp; Settings'!$O$3,'Lists &amp; Settings'!$O$4)),IF($N1835="Partial",IF($M1835&gt;='Lists &amp; Settings'!$N$6,'Lists &amp; Settings'!$O$6,IF($M1835&gt;='Lists &amp; Settings'!$N$7,'Lists &amp; Settings'!$O$7,'Lists &amp; Settings'!$O$8)),'Lists &amp; Settings'!$O$10))))))</f>
        <v/>
      </c>
      <c r="T1835" s="31"/>
      <c r="U1835" s="31"/>
      <c r="V1835" s="31"/>
    </row>
    <row r="1836" ht="15.75" customHeight="1">
      <c r="B1836" s="31"/>
      <c r="N1836" s="127"/>
      <c r="S1836" s="31" t="str">
        <f>IF($C1836="","",IF(OR($M1836="",$N1836=""),'Lists &amp; Settings'!$O$10,IF($N1836="Fail",'Lists &amp; Settings'!$O$9,IF($N1836="Insufficient Evidence",'Lists &amp; Settings'!$O$10,IF($N1836="Pass",IF($M1836&gt;='Lists &amp; Settings'!$N$2,'Lists &amp; Settings'!$O$2,IF($M1836&gt;='Lists &amp; Settings'!$N$3,'Lists &amp; Settings'!$O$3,'Lists &amp; Settings'!$O$4)),IF($N1836="Partial",IF($M1836&gt;='Lists &amp; Settings'!$N$6,'Lists &amp; Settings'!$O$6,IF($M1836&gt;='Lists &amp; Settings'!$N$7,'Lists &amp; Settings'!$O$7,'Lists &amp; Settings'!$O$8)),'Lists &amp; Settings'!$O$10))))))</f>
        <v/>
      </c>
      <c r="T1836" s="31"/>
      <c r="U1836" s="31"/>
      <c r="V1836" s="31"/>
    </row>
    <row r="1837" ht="15.75" customHeight="1">
      <c r="B1837" s="31"/>
      <c r="N1837" s="127"/>
      <c r="S1837" s="31" t="str">
        <f>IF($C1837="","",IF(OR($M1837="",$N1837=""),'Lists &amp; Settings'!$O$10,IF($N1837="Fail",'Lists &amp; Settings'!$O$9,IF($N1837="Insufficient Evidence",'Lists &amp; Settings'!$O$10,IF($N1837="Pass",IF($M1837&gt;='Lists &amp; Settings'!$N$2,'Lists &amp; Settings'!$O$2,IF($M1837&gt;='Lists &amp; Settings'!$N$3,'Lists &amp; Settings'!$O$3,'Lists &amp; Settings'!$O$4)),IF($N1837="Partial",IF($M1837&gt;='Lists &amp; Settings'!$N$6,'Lists &amp; Settings'!$O$6,IF($M1837&gt;='Lists &amp; Settings'!$N$7,'Lists &amp; Settings'!$O$7,'Lists &amp; Settings'!$O$8)),'Lists &amp; Settings'!$O$10))))))</f>
        <v/>
      </c>
      <c r="T1837" s="31"/>
      <c r="U1837" s="31"/>
      <c r="V1837" s="31"/>
    </row>
    <row r="1838" ht="15.75" customHeight="1">
      <c r="B1838" s="31"/>
      <c r="N1838" s="127"/>
      <c r="S1838" s="31" t="str">
        <f>IF($C1838="","",IF(OR($M1838="",$N1838=""),'Lists &amp; Settings'!$O$10,IF($N1838="Fail",'Lists &amp; Settings'!$O$9,IF($N1838="Insufficient Evidence",'Lists &amp; Settings'!$O$10,IF($N1838="Pass",IF($M1838&gt;='Lists &amp; Settings'!$N$2,'Lists &amp; Settings'!$O$2,IF($M1838&gt;='Lists &amp; Settings'!$N$3,'Lists &amp; Settings'!$O$3,'Lists &amp; Settings'!$O$4)),IF($N1838="Partial",IF($M1838&gt;='Lists &amp; Settings'!$N$6,'Lists &amp; Settings'!$O$6,IF($M1838&gt;='Lists &amp; Settings'!$N$7,'Lists &amp; Settings'!$O$7,'Lists &amp; Settings'!$O$8)),'Lists &amp; Settings'!$O$10))))))</f>
        <v/>
      </c>
      <c r="T1838" s="31"/>
      <c r="U1838" s="31"/>
      <c r="V1838" s="31"/>
    </row>
    <row r="1839" ht="15.75" customHeight="1">
      <c r="B1839" s="31"/>
      <c r="N1839" s="127"/>
      <c r="S1839" s="31" t="str">
        <f>IF($C1839="","",IF(OR($M1839="",$N1839=""),'Lists &amp; Settings'!$O$10,IF($N1839="Fail",'Lists &amp; Settings'!$O$9,IF($N1839="Insufficient Evidence",'Lists &amp; Settings'!$O$10,IF($N1839="Pass",IF($M1839&gt;='Lists &amp; Settings'!$N$2,'Lists &amp; Settings'!$O$2,IF($M1839&gt;='Lists &amp; Settings'!$N$3,'Lists &amp; Settings'!$O$3,'Lists &amp; Settings'!$O$4)),IF($N1839="Partial",IF($M1839&gt;='Lists &amp; Settings'!$N$6,'Lists &amp; Settings'!$O$6,IF($M1839&gt;='Lists &amp; Settings'!$N$7,'Lists &amp; Settings'!$O$7,'Lists &amp; Settings'!$O$8)),'Lists &amp; Settings'!$O$10))))))</f>
        <v/>
      </c>
      <c r="T1839" s="31"/>
      <c r="U1839" s="31"/>
      <c r="V1839" s="31"/>
    </row>
    <row r="1840" ht="15.75" customHeight="1">
      <c r="B1840" s="31"/>
      <c r="N1840" s="127"/>
      <c r="S1840" s="31" t="str">
        <f>IF($C1840="","",IF(OR($M1840="",$N1840=""),'Lists &amp; Settings'!$O$10,IF($N1840="Fail",'Lists &amp; Settings'!$O$9,IF($N1840="Insufficient Evidence",'Lists &amp; Settings'!$O$10,IF($N1840="Pass",IF($M1840&gt;='Lists &amp; Settings'!$N$2,'Lists &amp; Settings'!$O$2,IF($M1840&gt;='Lists &amp; Settings'!$N$3,'Lists &amp; Settings'!$O$3,'Lists &amp; Settings'!$O$4)),IF($N1840="Partial",IF($M1840&gt;='Lists &amp; Settings'!$N$6,'Lists &amp; Settings'!$O$6,IF($M1840&gt;='Lists &amp; Settings'!$N$7,'Lists &amp; Settings'!$O$7,'Lists &amp; Settings'!$O$8)),'Lists &amp; Settings'!$O$10))))))</f>
        <v/>
      </c>
      <c r="T1840" s="31"/>
      <c r="U1840" s="31"/>
      <c r="V1840" s="31"/>
    </row>
    <row r="1841" ht="15.75" customHeight="1">
      <c r="B1841" s="31"/>
      <c r="N1841" s="127"/>
      <c r="S1841" s="31" t="str">
        <f>IF($C1841="","",IF(OR($M1841="",$N1841=""),'Lists &amp; Settings'!$O$10,IF($N1841="Fail",'Lists &amp; Settings'!$O$9,IF($N1841="Insufficient Evidence",'Lists &amp; Settings'!$O$10,IF($N1841="Pass",IF($M1841&gt;='Lists &amp; Settings'!$N$2,'Lists &amp; Settings'!$O$2,IF($M1841&gt;='Lists &amp; Settings'!$N$3,'Lists &amp; Settings'!$O$3,'Lists &amp; Settings'!$O$4)),IF($N1841="Partial",IF($M1841&gt;='Lists &amp; Settings'!$N$6,'Lists &amp; Settings'!$O$6,IF($M1841&gt;='Lists &amp; Settings'!$N$7,'Lists &amp; Settings'!$O$7,'Lists &amp; Settings'!$O$8)),'Lists &amp; Settings'!$O$10))))))</f>
        <v/>
      </c>
      <c r="T1841" s="31"/>
      <c r="U1841" s="31"/>
      <c r="V1841" s="31"/>
    </row>
    <row r="1842" ht="15.75" customHeight="1">
      <c r="B1842" s="31"/>
      <c r="N1842" s="127"/>
      <c r="S1842" s="31" t="str">
        <f>IF($C1842="","",IF(OR($M1842="",$N1842=""),'Lists &amp; Settings'!$O$10,IF($N1842="Fail",'Lists &amp; Settings'!$O$9,IF($N1842="Insufficient Evidence",'Lists &amp; Settings'!$O$10,IF($N1842="Pass",IF($M1842&gt;='Lists &amp; Settings'!$N$2,'Lists &amp; Settings'!$O$2,IF($M1842&gt;='Lists &amp; Settings'!$N$3,'Lists &amp; Settings'!$O$3,'Lists &amp; Settings'!$O$4)),IF($N1842="Partial",IF($M1842&gt;='Lists &amp; Settings'!$N$6,'Lists &amp; Settings'!$O$6,IF($M1842&gt;='Lists &amp; Settings'!$N$7,'Lists &amp; Settings'!$O$7,'Lists &amp; Settings'!$O$8)),'Lists &amp; Settings'!$O$10))))))</f>
        <v/>
      </c>
      <c r="T1842" s="31"/>
      <c r="U1842" s="31"/>
      <c r="V1842" s="31"/>
    </row>
    <row r="1843" ht="15.75" customHeight="1">
      <c r="B1843" s="31"/>
      <c r="N1843" s="127"/>
      <c r="S1843" s="31" t="str">
        <f>IF($C1843="","",IF(OR($M1843="",$N1843=""),'Lists &amp; Settings'!$O$10,IF($N1843="Fail",'Lists &amp; Settings'!$O$9,IF($N1843="Insufficient Evidence",'Lists &amp; Settings'!$O$10,IF($N1843="Pass",IF($M1843&gt;='Lists &amp; Settings'!$N$2,'Lists &amp; Settings'!$O$2,IF($M1843&gt;='Lists &amp; Settings'!$N$3,'Lists &amp; Settings'!$O$3,'Lists &amp; Settings'!$O$4)),IF($N1843="Partial",IF($M1843&gt;='Lists &amp; Settings'!$N$6,'Lists &amp; Settings'!$O$6,IF($M1843&gt;='Lists &amp; Settings'!$N$7,'Lists &amp; Settings'!$O$7,'Lists &amp; Settings'!$O$8)),'Lists &amp; Settings'!$O$10))))))</f>
        <v/>
      </c>
      <c r="T1843" s="31"/>
      <c r="U1843" s="31"/>
      <c r="V1843" s="31"/>
    </row>
    <row r="1844" ht="15.75" customHeight="1">
      <c r="B1844" s="31"/>
      <c r="N1844" s="127"/>
      <c r="S1844" s="31" t="str">
        <f>IF($C1844="","",IF(OR($M1844="",$N1844=""),'Lists &amp; Settings'!$O$10,IF($N1844="Fail",'Lists &amp; Settings'!$O$9,IF($N1844="Insufficient Evidence",'Lists &amp; Settings'!$O$10,IF($N1844="Pass",IF($M1844&gt;='Lists &amp; Settings'!$N$2,'Lists &amp; Settings'!$O$2,IF($M1844&gt;='Lists &amp; Settings'!$N$3,'Lists &amp; Settings'!$O$3,'Lists &amp; Settings'!$O$4)),IF($N1844="Partial",IF($M1844&gt;='Lists &amp; Settings'!$N$6,'Lists &amp; Settings'!$O$6,IF($M1844&gt;='Lists &amp; Settings'!$N$7,'Lists &amp; Settings'!$O$7,'Lists &amp; Settings'!$O$8)),'Lists &amp; Settings'!$O$10))))))</f>
        <v/>
      </c>
      <c r="T1844" s="31"/>
      <c r="U1844" s="31"/>
      <c r="V1844" s="31"/>
    </row>
    <row r="1845" ht="15.75" customHeight="1">
      <c r="B1845" s="31"/>
      <c r="N1845" s="127"/>
      <c r="S1845" s="31" t="str">
        <f>IF($C1845="","",IF(OR($M1845="",$N1845=""),'Lists &amp; Settings'!$O$10,IF($N1845="Fail",'Lists &amp; Settings'!$O$9,IF($N1845="Insufficient Evidence",'Lists &amp; Settings'!$O$10,IF($N1845="Pass",IF($M1845&gt;='Lists &amp; Settings'!$N$2,'Lists &amp; Settings'!$O$2,IF($M1845&gt;='Lists &amp; Settings'!$N$3,'Lists &amp; Settings'!$O$3,'Lists &amp; Settings'!$O$4)),IF($N1845="Partial",IF($M1845&gt;='Lists &amp; Settings'!$N$6,'Lists &amp; Settings'!$O$6,IF($M1845&gt;='Lists &amp; Settings'!$N$7,'Lists &amp; Settings'!$O$7,'Lists &amp; Settings'!$O$8)),'Lists &amp; Settings'!$O$10))))))</f>
        <v/>
      </c>
      <c r="T1845" s="31"/>
      <c r="U1845" s="31"/>
      <c r="V1845" s="31"/>
    </row>
    <row r="1846" ht="15.75" customHeight="1">
      <c r="B1846" s="31"/>
      <c r="N1846" s="127"/>
      <c r="S1846" s="31" t="str">
        <f>IF($C1846="","",IF(OR($M1846="",$N1846=""),'Lists &amp; Settings'!$O$10,IF($N1846="Fail",'Lists &amp; Settings'!$O$9,IF($N1846="Insufficient Evidence",'Lists &amp; Settings'!$O$10,IF($N1846="Pass",IF($M1846&gt;='Lists &amp; Settings'!$N$2,'Lists &amp; Settings'!$O$2,IF($M1846&gt;='Lists &amp; Settings'!$N$3,'Lists &amp; Settings'!$O$3,'Lists &amp; Settings'!$O$4)),IF($N1846="Partial",IF($M1846&gt;='Lists &amp; Settings'!$N$6,'Lists &amp; Settings'!$O$6,IF($M1846&gt;='Lists &amp; Settings'!$N$7,'Lists &amp; Settings'!$O$7,'Lists &amp; Settings'!$O$8)),'Lists &amp; Settings'!$O$10))))))</f>
        <v/>
      </c>
      <c r="T1846" s="31"/>
      <c r="U1846" s="31"/>
      <c r="V1846" s="31"/>
    </row>
    <row r="1847" ht="15.75" customHeight="1">
      <c r="B1847" s="31"/>
      <c r="N1847" s="127"/>
      <c r="S1847" s="31" t="str">
        <f>IF($C1847="","",IF(OR($M1847="",$N1847=""),'Lists &amp; Settings'!$O$10,IF($N1847="Fail",'Lists &amp; Settings'!$O$9,IF($N1847="Insufficient Evidence",'Lists &amp; Settings'!$O$10,IF($N1847="Pass",IF($M1847&gt;='Lists &amp; Settings'!$N$2,'Lists &amp; Settings'!$O$2,IF($M1847&gt;='Lists &amp; Settings'!$N$3,'Lists &amp; Settings'!$O$3,'Lists &amp; Settings'!$O$4)),IF($N1847="Partial",IF($M1847&gt;='Lists &amp; Settings'!$N$6,'Lists &amp; Settings'!$O$6,IF($M1847&gt;='Lists &amp; Settings'!$N$7,'Lists &amp; Settings'!$O$7,'Lists &amp; Settings'!$O$8)),'Lists &amp; Settings'!$O$10))))))</f>
        <v/>
      </c>
      <c r="T1847" s="31"/>
      <c r="U1847" s="31"/>
      <c r="V1847" s="31"/>
    </row>
    <row r="1848" ht="15.75" customHeight="1">
      <c r="B1848" s="31"/>
      <c r="N1848" s="127"/>
      <c r="S1848" s="31" t="str">
        <f>IF($C1848="","",IF(OR($M1848="",$N1848=""),'Lists &amp; Settings'!$O$10,IF($N1848="Fail",'Lists &amp; Settings'!$O$9,IF($N1848="Insufficient Evidence",'Lists &amp; Settings'!$O$10,IF($N1848="Pass",IF($M1848&gt;='Lists &amp; Settings'!$N$2,'Lists &amp; Settings'!$O$2,IF($M1848&gt;='Lists &amp; Settings'!$N$3,'Lists &amp; Settings'!$O$3,'Lists &amp; Settings'!$O$4)),IF($N1848="Partial",IF($M1848&gt;='Lists &amp; Settings'!$N$6,'Lists &amp; Settings'!$O$6,IF($M1848&gt;='Lists &amp; Settings'!$N$7,'Lists &amp; Settings'!$O$7,'Lists &amp; Settings'!$O$8)),'Lists &amp; Settings'!$O$10))))))</f>
        <v/>
      </c>
      <c r="T1848" s="31"/>
      <c r="U1848" s="31"/>
      <c r="V1848" s="31"/>
    </row>
    <row r="1849" ht="15.75" customHeight="1">
      <c r="B1849" s="31"/>
      <c r="N1849" s="127"/>
      <c r="S1849" s="31" t="str">
        <f>IF($C1849="","",IF(OR($M1849="",$N1849=""),'Lists &amp; Settings'!$O$10,IF($N1849="Fail",'Lists &amp; Settings'!$O$9,IF($N1849="Insufficient Evidence",'Lists &amp; Settings'!$O$10,IF($N1849="Pass",IF($M1849&gt;='Lists &amp; Settings'!$N$2,'Lists &amp; Settings'!$O$2,IF($M1849&gt;='Lists &amp; Settings'!$N$3,'Lists &amp; Settings'!$O$3,'Lists &amp; Settings'!$O$4)),IF($N1849="Partial",IF($M1849&gt;='Lists &amp; Settings'!$N$6,'Lists &amp; Settings'!$O$6,IF($M1849&gt;='Lists &amp; Settings'!$N$7,'Lists &amp; Settings'!$O$7,'Lists &amp; Settings'!$O$8)),'Lists &amp; Settings'!$O$10))))))</f>
        <v/>
      </c>
      <c r="T1849" s="31"/>
      <c r="U1849" s="31"/>
      <c r="V1849" s="31"/>
    </row>
    <row r="1850" ht="15.75" customHeight="1">
      <c r="B1850" s="31"/>
      <c r="N1850" s="127"/>
      <c r="S1850" s="31" t="str">
        <f>IF($C1850="","",IF(OR($M1850="",$N1850=""),'Lists &amp; Settings'!$O$10,IF($N1850="Fail",'Lists &amp; Settings'!$O$9,IF($N1850="Insufficient Evidence",'Lists &amp; Settings'!$O$10,IF($N1850="Pass",IF($M1850&gt;='Lists &amp; Settings'!$N$2,'Lists &amp; Settings'!$O$2,IF($M1850&gt;='Lists &amp; Settings'!$N$3,'Lists &amp; Settings'!$O$3,'Lists &amp; Settings'!$O$4)),IF($N1850="Partial",IF($M1850&gt;='Lists &amp; Settings'!$N$6,'Lists &amp; Settings'!$O$6,IF($M1850&gt;='Lists &amp; Settings'!$N$7,'Lists &amp; Settings'!$O$7,'Lists &amp; Settings'!$O$8)),'Lists &amp; Settings'!$O$10))))))</f>
        <v/>
      </c>
      <c r="T1850" s="31"/>
      <c r="U1850" s="31"/>
      <c r="V1850" s="31"/>
    </row>
    <row r="1851" ht="15.75" customHeight="1">
      <c r="B1851" s="31"/>
      <c r="N1851" s="127"/>
      <c r="S1851" s="31" t="str">
        <f>IF($C1851="","",IF(OR($M1851="",$N1851=""),'Lists &amp; Settings'!$O$10,IF($N1851="Fail",'Lists &amp; Settings'!$O$9,IF($N1851="Insufficient Evidence",'Lists &amp; Settings'!$O$10,IF($N1851="Pass",IF($M1851&gt;='Lists &amp; Settings'!$N$2,'Lists &amp; Settings'!$O$2,IF($M1851&gt;='Lists &amp; Settings'!$N$3,'Lists &amp; Settings'!$O$3,'Lists &amp; Settings'!$O$4)),IF($N1851="Partial",IF($M1851&gt;='Lists &amp; Settings'!$N$6,'Lists &amp; Settings'!$O$6,IF($M1851&gt;='Lists &amp; Settings'!$N$7,'Lists &amp; Settings'!$O$7,'Lists &amp; Settings'!$O$8)),'Lists &amp; Settings'!$O$10))))))</f>
        <v/>
      </c>
      <c r="T1851" s="31"/>
      <c r="U1851" s="31"/>
      <c r="V1851" s="31"/>
    </row>
    <row r="1852" ht="15.75" customHeight="1">
      <c r="B1852" s="31"/>
      <c r="N1852" s="127"/>
      <c r="S1852" s="31" t="str">
        <f>IF($C1852="","",IF(OR($M1852="",$N1852=""),'Lists &amp; Settings'!$O$10,IF($N1852="Fail",'Lists &amp; Settings'!$O$9,IF($N1852="Insufficient Evidence",'Lists &amp; Settings'!$O$10,IF($N1852="Pass",IF($M1852&gt;='Lists &amp; Settings'!$N$2,'Lists &amp; Settings'!$O$2,IF($M1852&gt;='Lists &amp; Settings'!$N$3,'Lists &amp; Settings'!$O$3,'Lists &amp; Settings'!$O$4)),IF($N1852="Partial",IF($M1852&gt;='Lists &amp; Settings'!$N$6,'Lists &amp; Settings'!$O$6,IF($M1852&gt;='Lists &amp; Settings'!$N$7,'Lists &amp; Settings'!$O$7,'Lists &amp; Settings'!$O$8)),'Lists &amp; Settings'!$O$10))))))</f>
        <v/>
      </c>
      <c r="T1852" s="31"/>
      <c r="U1852" s="31"/>
      <c r="V1852" s="31"/>
    </row>
    <row r="1853" ht="15.75" customHeight="1">
      <c r="B1853" s="31"/>
      <c r="N1853" s="127"/>
      <c r="S1853" s="31" t="str">
        <f>IF($C1853="","",IF(OR($M1853="",$N1853=""),'Lists &amp; Settings'!$O$10,IF($N1853="Fail",'Lists &amp; Settings'!$O$9,IF($N1853="Insufficient Evidence",'Lists &amp; Settings'!$O$10,IF($N1853="Pass",IF($M1853&gt;='Lists &amp; Settings'!$N$2,'Lists &amp; Settings'!$O$2,IF($M1853&gt;='Lists &amp; Settings'!$N$3,'Lists &amp; Settings'!$O$3,'Lists &amp; Settings'!$O$4)),IF($N1853="Partial",IF($M1853&gt;='Lists &amp; Settings'!$N$6,'Lists &amp; Settings'!$O$6,IF($M1853&gt;='Lists &amp; Settings'!$N$7,'Lists &amp; Settings'!$O$7,'Lists &amp; Settings'!$O$8)),'Lists &amp; Settings'!$O$10))))))</f>
        <v/>
      </c>
      <c r="T1853" s="31"/>
      <c r="U1853" s="31"/>
      <c r="V1853" s="31"/>
    </row>
    <row r="1854" ht="15.75" customHeight="1">
      <c r="B1854" s="31"/>
      <c r="N1854" s="127"/>
      <c r="S1854" s="31" t="str">
        <f>IF($C1854="","",IF(OR($M1854="",$N1854=""),'Lists &amp; Settings'!$O$10,IF($N1854="Fail",'Lists &amp; Settings'!$O$9,IF($N1854="Insufficient Evidence",'Lists &amp; Settings'!$O$10,IF($N1854="Pass",IF($M1854&gt;='Lists &amp; Settings'!$N$2,'Lists &amp; Settings'!$O$2,IF($M1854&gt;='Lists &amp; Settings'!$N$3,'Lists &amp; Settings'!$O$3,'Lists &amp; Settings'!$O$4)),IF($N1854="Partial",IF($M1854&gt;='Lists &amp; Settings'!$N$6,'Lists &amp; Settings'!$O$6,IF($M1854&gt;='Lists &amp; Settings'!$N$7,'Lists &amp; Settings'!$O$7,'Lists &amp; Settings'!$O$8)),'Lists &amp; Settings'!$O$10))))))</f>
        <v/>
      </c>
      <c r="T1854" s="31"/>
      <c r="U1854" s="31"/>
      <c r="V1854" s="31"/>
    </row>
    <row r="1855" ht="15.75" customHeight="1">
      <c r="B1855" s="31"/>
      <c r="N1855" s="127"/>
      <c r="S1855" s="31" t="str">
        <f>IF($C1855="","",IF(OR($M1855="",$N1855=""),'Lists &amp; Settings'!$O$10,IF($N1855="Fail",'Lists &amp; Settings'!$O$9,IF($N1855="Insufficient Evidence",'Lists &amp; Settings'!$O$10,IF($N1855="Pass",IF($M1855&gt;='Lists &amp; Settings'!$N$2,'Lists &amp; Settings'!$O$2,IF($M1855&gt;='Lists &amp; Settings'!$N$3,'Lists &amp; Settings'!$O$3,'Lists &amp; Settings'!$O$4)),IF($N1855="Partial",IF($M1855&gt;='Lists &amp; Settings'!$N$6,'Lists &amp; Settings'!$O$6,IF($M1855&gt;='Lists &amp; Settings'!$N$7,'Lists &amp; Settings'!$O$7,'Lists &amp; Settings'!$O$8)),'Lists &amp; Settings'!$O$10))))))</f>
        <v/>
      </c>
      <c r="T1855" s="31"/>
      <c r="U1855" s="31"/>
      <c r="V1855" s="31"/>
    </row>
    <row r="1856" ht="15.75" customHeight="1">
      <c r="B1856" s="31"/>
      <c r="N1856" s="127"/>
      <c r="S1856" s="31" t="str">
        <f>IF($C1856="","",IF(OR($M1856="",$N1856=""),'Lists &amp; Settings'!$O$10,IF($N1856="Fail",'Lists &amp; Settings'!$O$9,IF($N1856="Insufficient Evidence",'Lists &amp; Settings'!$O$10,IF($N1856="Pass",IF($M1856&gt;='Lists &amp; Settings'!$N$2,'Lists &amp; Settings'!$O$2,IF($M1856&gt;='Lists &amp; Settings'!$N$3,'Lists &amp; Settings'!$O$3,'Lists &amp; Settings'!$O$4)),IF($N1856="Partial",IF($M1856&gt;='Lists &amp; Settings'!$N$6,'Lists &amp; Settings'!$O$6,IF($M1856&gt;='Lists &amp; Settings'!$N$7,'Lists &amp; Settings'!$O$7,'Lists &amp; Settings'!$O$8)),'Lists &amp; Settings'!$O$10))))))</f>
        <v/>
      </c>
      <c r="T1856" s="31"/>
      <c r="U1856" s="31"/>
      <c r="V1856" s="31"/>
    </row>
    <row r="1857" ht="15.75" customHeight="1">
      <c r="B1857" s="31"/>
      <c r="N1857" s="127"/>
      <c r="S1857" s="31" t="str">
        <f>IF($C1857="","",IF(OR($M1857="",$N1857=""),'Lists &amp; Settings'!$O$10,IF($N1857="Fail",'Lists &amp; Settings'!$O$9,IF($N1857="Insufficient Evidence",'Lists &amp; Settings'!$O$10,IF($N1857="Pass",IF($M1857&gt;='Lists &amp; Settings'!$N$2,'Lists &amp; Settings'!$O$2,IF($M1857&gt;='Lists &amp; Settings'!$N$3,'Lists &amp; Settings'!$O$3,'Lists &amp; Settings'!$O$4)),IF($N1857="Partial",IF($M1857&gt;='Lists &amp; Settings'!$N$6,'Lists &amp; Settings'!$O$6,IF($M1857&gt;='Lists &amp; Settings'!$N$7,'Lists &amp; Settings'!$O$7,'Lists &amp; Settings'!$O$8)),'Lists &amp; Settings'!$O$10))))))</f>
        <v/>
      </c>
      <c r="T1857" s="31"/>
      <c r="U1857" s="31"/>
      <c r="V1857" s="31"/>
    </row>
    <row r="1858" ht="15.75" customHeight="1">
      <c r="B1858" s="31"/>
      <c r="N1858" s="127"/>
      <c r="S1858" s="31" t="str">
        <f>IF($C1858="","",IF(OR($M1858="",$N1858=""),'Lists &amp; Settings'!$O$10,IF($N1858="Fail",'Lists &amp; Settings'!$O$9,IF($N1858="Insufficient Evidence",'Lists &amp; Settings'!$O$10,IF($N1858="Pass",IF($M1858&gt;='Lists &amp; Settings'!$N$2,'Lists &amp; Settings'!$O$2,IF($M1858&gt;='Lists &amp; Settings'!$N$3,'Lists &amp; Settings'!$O$3,'Lists &amp; Settings'!$O$4)),IF($N1858="Partial",IF($M1858&gt;='Lists &amp; Settings'!$N$6,'Lists &amp; Settings'!$O$6,IF($M1858&gt;='Lists &amp; Settings'!$N$7,'Lists &amp; Settings'!$O$7,'Lists &amp; Settings'!$O$8)),'Lists &amp; Settings'!$O$10))))))</f>
        <v/>
      </c>
      <c r="T1858" s="31"/>
      <c r="U1858" s="31"/>
      <c r="V1858" s="31"/>
    </row>
    <row r="1859" ht="15.75" customHeight="1">
      <c r="B1859" s="31"/>
      <c r="N1859" s="127"/>
      <c r="S1859" s="31" t="str">
        <f>IF($C1859="","",IF(OR($M1859="",$N1859=""),'Lists &amp; Settings'!$O$10,IF($N1859="Fail",'Lists &amp; Settings'!$O$9,IF($N1859="Insufficient Evidence",'Lists &amp; Settings'!$O$10,IF($N1859="Pass",IF($M1859&gt;='Lists &amp; Settings'!$N$2,'Lists &amp; Settings'!$O$2,IF($M1859&gt;='Lists &amp; Settings'!$N$3,'Lists &amp; Settings'!$O$3,'Lists &amp; Settings'!$O$4)),IF($N1859="Partial",IF($M1859&gt;='Lists &amp; Settings'!$N$6,'Lists &amp; Settings'!$O$6,IF($M1859&gt;='Lists &amp; Settings'!$N$7,'Lists &amp; Settings'!$O$7,'Lists &amp; Settings'!$O$8)),'Lists &amp; Settings'!$O$10))))))</f>
        <v/>
      </c>
      <c r="T1859" s="31"/>
      <c r="U1859" s="31"/>
      <c r="V1859" s="31"/>
    </row>
    <row r="1860" ht="15.75" customHeight="1">
      <c r="B1860" s="31"/>
      <c r="N1860" s="127"/>
      <c r="S1860" s="31" t="str">
        <f>IF($C1860="","",IF(OR($M1860="",$N1860=""),'Lists &amp; Settings'!$O$10,IF($N1860="Fail",'Lists &amp; Settings'!$O$9,IF($N1860="Insufficient Evidence",'Lists &amp; Settings'!$O$10,IF($N1860="Pass",IF($M1860&gt;='Lists &amp; Settings'!$N$2,'Lists &amp; Settings'!$O$2,IF($M1860&gt;='Lists &amp; Settings'!$N$3,'Lists &amp; Settings'!$O$3,'Lists &amp; Settings'!$O$4)),IF($N1860="Partial",IF($M1860&gt;='Lists &amp; Settings'!$N$6,'Lists &amp; Settings'!$O$6,IF($M1860&gt;='Lists &amp; Settings'!$N$7,'Lists &amp; Settings'!$O$7,'Lists &amp; Settings'!$O$8)),'Lists &amp; Settings'!$O$10))))))</f>
        <v/>
      </c>
      <c r="T1860" s="31"/>
      <c r="U1860" s="31"/>
      <c r="V1860" s="31"/>
    </row>
    <row r="1861" ht="15.75" customHeight="1">
      <c r="B1861" s="31"/>
      <c r="N1861" s="127"/>
      <c r="S1861" s="31" t="str">
        <f>IF($C1861="","",IF(OR($M1861="",$N1861=""),'Lists &amp; Settings'!$O$10,IF($N1861="Fail",'Lists &amp; Settings'!$O$9,IF($N1861="Insufficient Evidence",'Lists &amp; Settings'!$O$10,IF($N1861="Pass",IF($M1861&gt;='Lists &amp; Settings'!$N$2,'Lists &amp; Settings'!$O$2,IF($M1861&gt;='Lists &amp; Settings'!$N$3,'Lists &amp; Settings'!$O$3,'Lists &amp; Settings'!$O$4)),IF($N1861="Partial",IF($M1861&gt;='Lists &amp; Settings'!$N$6,'Lists &amp; Settings'!$O$6,IF($M1861&gt;='Lists &amp; Settings'!$N$7,'Lists &amp; Settings'!$O$7,'Lists &amp; Settings'!$O$8)),'Lists &amp; Settings'!$O$10))))))</f>
        <v/>
      </c>
      <c r="T1861" s="31"/>
      <c r="U1861" s="31"/>
      <c r="V1861" s="31"/>
    </row>
    <row r="1862" ht="15.75" customHeight="1">
      <c r="B1862" s="31"/>
      <c r="N1862" s="127"/>
      <c r="S1862" s="31" t="str">
        <f>IF($C1862="","",IF(OR($M1862="",$N1862=""),'Lists &amp; Settings'!$O$10,IF($N1862="Fail",'Lists &amp; Settings'!$O$9,IF($N1862="Insufficient Evidence",'Lists &amp; Settings'!$O$10,IF($N1862="Pass",IF($M1862&gt;='Lists &amp; Settings'!$N$2,'Lists &amp; Settings'!$O$2,IF($M1862&gt;='Lists &amp; Settings'!$N$3,'Lists &amp; Settings'!$O$3,'Lists &amp; Settings'!$O$4)),IF($N1862="Partial",IF($M1862&gt;='Lists &amp; Settings'!$N$6,'Lists &amp; Settings'!$O$6,IF($M1862&gt;='Lists &amp; Settings'!$N$7,'Lists &amp; Settings'!$O$7,'Lists &amp; Settings'!$O$8)),'Lists &amp; Settings'!$O$10))))))</f>
        <v/>
      </c>
      <c r="T1862" s="31"/>
      <c r="U1862" s="31"/>
      <c r="V1862" s="31"/>
    </row>
    <row r="1863" ht="15.75" customHeight="1">
      <c r="B1863" s="31"/>
      <c r="N1863" s="127"/>
      <c r="S1863" s="31" t="str">
        <f>IF($C1863="","",IF(OR($M1863="",$N1863=""),'Lists &amp; Settings'!$O$10,IF($N1863="Fail",'Lists &amp; Settings'!$O$9,IF($N1863="Insufficient Evidence",'Lists &amp; Settings'!$O$10,IF($N1863="Pass",IF($M1863&gt;='Lists &amp; Settings'!$N$2,'Lists &amp; Settings'!$O$2,IF($M1863&gt;='Lists &amp; Settings'!$N$3,'Lists &amp; Settings'!$O$3,'Lists &amp; Settings'!$O$4)),IF($N1863="Partial",IF($M1863&gt;='Lists &amp; Settings'!$N$6,'Lists &amp; Settings'!$O$6,IF($M1863&gt;='Lists &amp; Settings'!$N$7,'Lists &amp; Settings'!$O$7,'Lists &amp; Settings'!$O$8)),'Lists &amp; Settings'!$O$10))))))</f>
        <v/>
      </c>
      <c r="T1863" s="31"/>
      <c r="U1863" s="31"/>
      <c r="V1863" s="31"/>
    </row>
    <row r="1864" ht="15.75" customHeight="1">
      <c r="B1864" s="31"/>
      <c r="N1864" s="127"/>
      <c r="S1864" s="31" t="str">
        <f>IF($C1864="","",IF(OR($M1864="",$N1864=""),'Lists &amp; Settings'!$O$10,IF($N1864="Fail",'Lists &amp; Settings'!$O$9,IF($N1864="Insufficient Evidence",'Lists &amp; Settings'!$O$10,IF($N1864="Pass",IF($M1864&gt;='Lists &amp; Settings'!$N$2,'Lists &amp; Settings'!$O$2,IF($M1864&gt;='Lists &amp; Settings'!$N$3,'Lists &amp; Settings'!$O$3,'Lists &amp; Settings'!$O$4)),IF($N1864="Partial",IF($M1864&gt;='Lists &amp; Settings'!$N$6,'Lists &amp; Settings'!$O$6,IF($M1864&gt;='Lists &amp; Settings'!$N$7,'Lists &amp; Settings'!$O$7,'Lists &amp; Settings'!$O$8)),'Lists &amp; Settings'!$O$10))))))</f>
        <v/>
      </c>
      <c r="T1864" s="31"/>
      <c r="U1864" s="31"/>
      <c r="V1864" s="31"/>
    </row>
    <row r="1865" ht="15.75" customHeight="1">
      <c r="B1865" s="31"/>
      <c r="N1865" s="127"/>
      <c r="S1865" s="31" t="str">
        <f>IF($C1865="","",IF(OR($M1865="",$N1865=""),'Lists &amp; Settings'!$O$10,IF($N1865="Fail",'Lists &amp; Settings'!$O$9,IF($N1865="Insufficient Evidence",'Lists &amp; Settings'!$O$10,IF($N1865="Pass",IF($M1865&gt;='Lists &amp; Settings'!$N$2,'Lists &amp; Settings'!$O$2,IF($M1865&gt;='Lists &amp; Settings'!$N$3,'Lists &amp; Settings'!$O$3,'Lists &amp; Settings'!$O$4)),IF($N1865="Partial",IF($M1865&gt;='Lists &amp; Settings'!$N$6,'Lists &amp; Settings'!$O$6,IF($M1865&gt;='Lists &amp; Settings'!$N$7,'Lists &amp; Settings'!$O$7,'Lists &amp; Settings'!$O$8)),'Lists &amp; Settings'!$O$10))))))</f>
        <v/>
      </c>
      <c r="T1865" s="31"/>
      <c r="U1865" s="31"/>
      <c r="V1865" s="31"/>
    </row>
    <row r="1866" ht="15.75" customHeight="1">
      <c r="B1866" s="31"/>
      <c r="N1866" s="127"/>
      <c r="S1866" s="31" t="str">
        <f>IF($C1866="","",IF(OR($M1866="",$N1866=""),'Lists &amp; Settings'!$O$10,IF($N1866="Fail",'Lists &amp; Settings'!$O$9,IF($N1866="Insufficient Evidence",'Lists &amp; Settings'!$O$10,IF($N1866="Pass",IF($M1866&gt;='Lists &amp; Settings'!$N$2,'Lists &amp; Settings'!$O$2,IF($M1866&gt;='Lists &amp; Settings'!$N$3,'Lists &amp; Settings'!$O$3,'Lists &amp; Settings'!$O$4)),IF($N1866="Partial",IF($M1866&gt;='Lists &amp; Settings'!$N$6,'Lists &amp; Settings'!$O$6,IF($M1866&gt;='Lists &amp; Settings'!$N$7,'Lists &amp; Settings'!$O$7,'Lists &amp; Settings'!$O$8)),'Lists &amp; Settings'!$O$10))))))</f>
        <v/>
      </c>
      <c r="T1866" s="31"/>
      <c r="U1866" s="31"/>
      <c r="V1866" s="31"/>
    </row>
    <row r="1867" ht="15.75" customHeight="1">
      <c r="B1867" s="31"/>
      <c r="N1867" s="127"/>
      <c r="S1867" s="31" t="str">
        <f>IF($C1867="","",IF(OR($M1867="",$N1867=""),'Lists &amp; Settings'!$O$10,IF($N1867="Fail",'Lists &amp; Settings'!$O$9,IF($N1867="Insufficient Evidence",'Lists &amp; Settings'!$O$10,IF($N1867="Pass",IF($M1867&gt;='Lists &amp; Settings'!$N$2,'Lists &amp; Settings'!$O$2,IF($M1867&gt;='Lists &amp; Settings'!$N$3,'Lists &amp; Settings'!$O$3,'Lists &amp; Settings'!$O$4)),IF($N1867="Partial",IF($M1867&gt;='Lists &amp; Settings'!$N$6,'Lists &amp; Settings'!$O$6,IF($M1867&gt;='Lists &amp; Settings'!$N$7,'Lists &amp; Settings'!$O$7,'Lists &amp; Settings'!$O$8)),'Lists &amp; Settings'!$O$10))))))</f>
        <v/>
      </c>
      <c r="T1867" s="31"/>
      <c r="U1867" s="31"/>
      <c r="V1867" s="31"/>
    </row>
    <row r="1868" ht="15.75" customHeight="1">
      <c r="B1868" s="31"/>
      <c r="N1868" s="127"/>
      <c r="S1868" s="31" t="str">
        <f>IF($C1868="","",IF(OR($M1868="",$N1868=""),'Lists &amp; Settings'!$O$10,IF($N1868="Fail",'Lists &amp; Settings'!$O$9,IF($N1868="Insufficient Evidence",'Lists &amp; Settings'!$O$10,IF($N1868="Pass",IF($M1868&gt;='Lists &amp; Settings'!$N$2,'Lists &amp; Settings'!$O$2,IF($M1868&gt;='Lists &amp; Settings'!$N$3,'Lists &amp; Settings'!$O$3,'Lists &amp; Settings'!$O$4)),IF($N1868="Partial",IF($M1868&gt;='Lists &amp; Settings'!$N$6,'Lists &amp; Settings'!$O$6,IF($M1868&gt;='Lists &amp; Settings'!$N$7,'Lists &amp; Settings'!$O$7,'Lists &amp; Settings'!$O$8)),'Lists &amp; Settings'!$O$10))))))</f>
        <v/>
      </c>
      <c r="T1868" s="31"/>
      <c r="U1868" s="31"/>
      <c r="V1868" s="31"/>
    </row>
    <row r="1869" ht="15.75" customHeight="1">
      <c r="B1869" s="31"/>
      <c r="N1869" s="127"/>
      <c r="S1869" s="31" t="str">
        <f>IF($C1869="","",IF(OR($M1869="",$N1869=""),'Lists &amp; Settings'!$O$10,IF($N1869="Fail",'Lists &amp; Settings'!$O$9,IF($N1869="Insufficient Evidence",'Lists &amp; Settings'!$O$10,IF($N1869="Pass",IF($M1869&gt;='Lists &amp; Settings'!$N$2,'Lists &amp; Settings'!$O$2,IF($M1869&gt;='Lists &amp; Settings'!$N$3,'Lists &amp; Settings'!$O$3,'Lists &amp; Settings'!$O$4)),IF($N1869="Partial",IF($M1869&gt;='Lists &amp; Settings'!$N$6,'Lists &amp; Settings'!$O$6,IF($M1869&gt;='Lists &amp; Settings'!$N$7,'Lists &amp; Settings'!$O$7,'Lists &amp; Settings'!$O$8)),'Lists &amp; Settings'!$O$10))))))</f>
        <v/>
      </c>
      <c r="T1869" s="31"/>
      <c r="U1869" s="31"/>
      <c r="V1869" s="31"/>
    </row>
    <row r="1870" ht="15.75" customHeight="1">
      <c r="B1870" s="31"/>
      <c r="N1870" s="127"/>
      <c r="S1870" s="31" t="str">
        <f>IF($C1870="","",IF(OR($M1870="",$N1870=""),'Lists &amp; Settings'!$O$10,IF($N1870="Fail",'Lists &amp; Settings'!$O$9,IF($N1870="Insufficient Evidence",'Lists &amp; Settings'!$O$10,IF($N1870="Pass",IF($M1870&gt;='Lists &amp; Settings'!$N$2,'Lists &amp; Settings'!$O$2,IF($M1870&gt;='Lists &amp; Settings'!$N$3,'Lists &amp; Settings'!$O$3,'Lists &amp; Settings'!$O$4)),IF($N1870="Partial",IF($M1870&gt;='Lists &amp; Settings'!$N$6,'Lists &amp; Settings'!$O$6,IF($M1870&gt;='Lists &amp; Settings'!$N$7,'Lists &amp; Settings'!$O$7,'Lists &amp; Settings'!$O$8)),'Lists &amp; Settings'!$O$10))))))</f>
        <v/>
      </c>
      <c r="T1870" s="31"/>
      <c r="U1870" s="31"/>
      <c r="V1870" s="31"/>
    </row>
    <row r="1871" ht="15.75" customHeight="1">
      <c r="B1871" s="31"/>
      <c r="N1871" s="127"/>
      <c r="S1871" s="31" t="str">
        <f>IF($C1871="","",IF(OR($M1871="",$N1871=""),'Lists &amp; Settings'!$O$10,IF($N1871="Fail",'Lists &amp; Settings'!$O$9,IF($N1871="Insufficient Evidence",'Lists &amp; Settings'!$O$10,IF($N1871="Pass",IF($M1871&gt;='Lists &amp; Settings'!$N$2,'Lists &amp; Settings'!$O$2,IF($M1871&gt;='Lists &amp; Settings'!$N$3,'Lists &amp; Settings'!$O$3,'Lists &amp; Settings'!$O$4)),IF($N1871="Partial",IF($M1871&gt;='Lists &amp; Settings'!$N$6,'Lists &amp; Settings'!$O$6,IF($M1871&gt;='Lists &amp; Settings'!$N$7,'Lists &amp; Settings'!$O$7,'Lists &amp; Settings'!$O$8)),'Lists &amp; Settings'!$O$10))))))</f>
        <v/>
      </c>
      <c r="T1871" s="31"/>
      <c r="U1871" s="31"/>
      <c r="V1871" s="31"/>
    </row>
    <row r="1872" ht="15.75" customHeight="1">
      <c r="B1872" s="31"/>
      <c r="N1872" s="127"/>
      <c r="S1872" s="31" t="str">
        <f>IF($C1872="","",IF(OR($M1872="",$N1872=""),'Lists &amp; Settings'!$O$10,IF($N1872="Fail",'Lists &amp; Settings'!$O$9,IF($N1872="Insufficient Evidence",'Lists &amp; Settings'!$O$10,IF($N1872="Pass",IF($M1872&gt;='Lists &amp; Settings'!$N$2,'Lists &amp; Settings'!$O$2,IF($M1872&gt;='Lists &amp; Settings'!$N$3,'Lists &amp; Settings'!$O$3,'Lists &amp; Settings'!$O$4)),IF($N1872="Partial",IF($M1872&gt;='Lists &amp; Settings'!$N$6,'Lists &amp; Settings'!$O$6,IF($M1872&gt;='Lists &amp; Settings'!$N$7,'Lists &amp; Settings'!$O$7,'Lists &amp; Settings'!$O$8)),'Lists &amp; Settings'!$O$10))))))</f>
        <v/>
      </c>
      <c r="T1872" s="31"/>
      <c r="U1872" s="31"/>
      <c r="V1872" s="31"/>
    </row>
    <row r="1873" ht="15.75" customHeight="1">
      <c r="B1873" s="31"/>
      <c r="N1873" s="127"/>
      <c r="S1873" s="31" t="str">
        <f>IF($C1873="","",IF(OR($M1873="",$N1873=""),'Lists &amp; Settings'!$O$10,IF($N1873="Fail",'Lists &amp; Settings'!$O$9,IF($N1873="Insufficient Evidence",'Lists &amp; Settings'!$O$10,IF($N1873="Pass",IF($M1873&gt;='Lists &amp; Settings'!$N$2,'Lists &amp; Settings'!$O$2,IF($M1873&gt;='Lists &amp; Settings'!$N$3,'Lists &amp; Settings'!$O$3,'Lists &amp; Settings'!$O$4)),IF($N1873="Partial",IF($M1873&gt;='Lists &amp; Settings'!$N$6,'Lists &amp; Settings'!$O$6,IF($M1873&gt;='Lists &amp; Settings'!$N$7,'Lists &amp; Settings'!$O$7,'Lists &amp; Settings'!$O$8)),'Lists &amp; Settings'!$O$10))))))</f>
        <v/>
      </c>
      <c r="T1873" s="31"/>
      <c r="U1873" s="31"/>
      <c r="V1873" s="31"/>
    </row>
    <row r="1874" ht="15.75" customHeight="1">
      <c r="B1874" s="31"/>
      <c r="N1874" s="127"/>
      <c r="S1874" s="31" t="str">
        <f>IF($C1874="","",IF(OR($M1874="",$N1874=""),'Lists &amp; Settings'!$O$10,IF($N1874="Fail",'Lists &amp; Settings'!$O$9,IF($N1874="Insufficient Evidence",'Lists &amp; Settings'!$O$10,IF($N1874="Pass",IF($M1874&gt;='Lists &amp; Settings'!$N$2,'Lists &amp; Settings'!$O$2,IF($M1874&gt;='Lists &amp; Settings'!$N$3,'Lists &amp; Settings'!$O$3,'Lists &amp; Settings'!$O$4)),IF($N1874="Partial",IF($M1874&gt;='Lists &amp; Settings'!$N$6,'Lists &amp; Settings'!$O$6,IF($M1874&gt;='Lists &amp; Settings'!$N$7,'Lists &amp; Settings'!$O$7,'Lists &amp; Settings'!$O$8)),'Lists &amp; Settings'!$O$10))))))</f>
        <v/>
      </c>
      <c r="T1874" s="31"/>
      <c r="U1874" s="31"/>
      <c r="V1874" s="31"/>
    </row>
    <row r="1875" ht="15.75" customHeight="1">
      <c r="B1875" s="31"/>
      <c r="N1875" s="127"/>
      <c r="S1875" s="31" t="str">
        <f>IF($C1875="","",IF(OR($M1875="",$N1875=""),'Lists &amp; Settings'!$O$10,IF($N1875="Fail",'Lists &amp; Settings'!$O$9,IF($N1875="Insufficient Evidence",'Lists &amp; Settings'!$O$10,IF($N1875="Pass",IF($M1875&gt;='Lists &amp; Settings'!$N$2,'Lists &amp; Settings'!$O$2,IF($M1875&gt;='Lists &amp; Settings'!$N$3,'Lists &amp; Settings'!$O$3,'Lists &amp; Settings'!$O$4)),IF($N1875="Partial",IF($M1875&gt;='Lists &amp; Settings'!$N$6,'Lists &amp; Settings'!$O$6,IF($M1875&gt;='Lists &amp; Settings'!$N$7,'Lists &amp; Settings'!$O$7,'Lists &amp; Settings'!$O$8)),'Lists &amp; Settings'!$O$10))))))</f>
        <v/>
      </c>
      <c r="T1875" s="31"/>
      <c r="U1875" s="31"/>
      <c r="V1875" s="31"/>
    </row>
    <row r="1876" ht="15.75" customHeight="1">
      <c r="B1876" s="31"/>
      <c r="N1876" s="127"/>
      <c r="S1876" s="31" t="str">
        <f>IF($C1876="","",IF(OR($M1876="",$N1876=""),'Lists &amp; Settings'!$O$10,IF($N1876="Fail",'Lists &amp; Settings'!$O$9,IF($N1876="Insufficient Evidence",'Lists &amp; Settings'!$O$10,IF($N1876="Pass",IF($M1876&gt;='Lists &amp; Settings'!$N$2,'Lists &amp; Settings'!$O$2,IF($M1876&gt;='Lists &amp; Settings'!$N$3,'Lists &amp; Settings'!$O$3,'Lists &amp; Settings'!$O$4)),IF($N1876="Partial",IF($M1876&gt;='Lists &amp; Settings'!$N$6,'Lists &amp; Settings'!$O$6,IF($M1876&gt;='Lists &amp; Settings'!$N$7,'Lists &amp; Settings'!$O$7,'Lists &amp; Settings'!$O$8)),'Lists &amp; Settings'!$O$10))))))</f>
        <v/>
      </c>
      <c r="T1876" s="31"/>
      <c r="U1876" s="31"/>
      <c r="V1876" s="31"/>
    </row>
    <row r="1877" ht="15.75" customHeight="1">
      <c r="B1877" s="31"/>
      <c r="N1877" s="127"/>
      <c r="S1877" s="31" t="str">
        <f>IF($C1877="","",IF(OR($M1877="",$N1877=""),'Lists &amp; Settings'!$O$10,IF($N1877="Fail",'Lists &amp; Settings'!$O$9,IF($N1877="Insufficient Evidence",'Lists &amp; Settings'!$O$10,IF($N1877="Pass",IF($M1877&gt;='Lists &amp; Settings'!$N$2,'Lists &amp; Settings'!$O$2,IF($M1877&gt;='Lists &amp; Settings'!$N$3,'Lists &amp; Settings'!$O$3,'Lists &amp; Settings'!$O$4)),IF($N1877="Partial",IF($M1877&gt;='Lists &amp; Settings'!$N$6,'Lists &amp; Settings'!$O$6,IF($M1877&gt;='Lists &amp; Settings'!$N$7,'Lists &amp; Settings'!$O$7,'Lists &amp; Settings'!$O$8)),'Lists &amp; Settings'!$O$10))))))</f>
        <v/>
      </c>
      <c r="T1877" s="31"/>
      <c r="U1877" s="31"/>
      <c r="V1877" s="31"/>
    </row>
    <row r="1878" ht="15.75" customHeight="1">
      <c r="B1878" s="31"/>
      <c r="N1878" s="127"/>
      <c r="S1878" s="31" t="str">
        <f>IF($C1878="","",IF(OR($M1878="",$N1878=""),'Lists &amp; Settings'!$O$10,IF($N1878="Fail",'Lists &amp; Settings'!$O$9,IF($N1878="Insufficient Evidence",'Lists &amp; Settings'!$O$10,IF($N1878="Pass",IF($M1878&gt;='Lists &amp; Settings'!$N$2,'Lists &amp; Settings'!$O$2,IF($M1878&gt;='Lists &amp; Settings'!$N$3,'Lists &amp; Settings'!$O$3,'Lists &amp; Settings'!$O$4)),IF($N1878="Partial",IF($M1878&gt;='Lists &amp; Settings'!$N$6,'Lists &amp; Settings'!$O$6,IF($M1878&gt;='Lists &amp; Settings'!$N$7,'Lists &amp; Settings'!$O$7,'Lists &amp; Settings'!$O$8)),'Lists &amp; Settings'!$O$10))))))</f>
        <v/>
      </c>
      <c r="T1878" s="31"/>
      <c r="U1878" s="31"/>
      <c r="V1878" s="31"/>
    </row>
    <row r="1879" ht="15.75" customHeight="1">
      <c r="B1879" s="31"/>
      <c r="N1879" s="127"/>
      <c r="S1879" s="31" t="str">
        <f>IF($C1879="","",IF(OR($M1879="",$N1879=""),'Lists &amp; Settings'!$O$10,IF($N1879="Fail",'Lists &amp; Settings'!$O$9,IF($N1879="Insufficient Evidence",'Lists &amp; Settings'!$O$10,IF($N1879="Pass",IF($M1879&gt;='Lists &amp; Settings'!$N$2,'Lists &amp; Settings'!$O$2,IF($M1879&gt;='Lists &amp; Settings'!$N$3,'Lists &amp; Settings'!$O$3,'Lists &amp; Settings'!$O$4)),IF($N1879="Partial",IF($M1879&gt;='Lists &amp; Settings'!$N$6,'Lists &amp; Settings'!$O$6,IF($M1879&gt;='Lists &amp; Settings'!$N$7,'Lists &amp; Settings'!$O$7,'Lists &amp; Settings'!$O$8)),'Lists &amp; Settings'!$O$10))))))</f>
        <v/>
      </c>
      <c r="T1879" s="31"/>
      <c r="U1879" s="31"/>
      <c r="V1879" s="31"/>
    </row>
    <row r="1880" ht="15.75" customHeight="1">
      <c r="B1880" s="31"/>
      <c r="N1880" s="127"/>
      <c r="S1880" s="31" t="str">
        <f>IF($C1880="","",IF(OR($M1880="",$N1880=""),'Lists &amp; Settings'!$O$10,IF($N1880="Fail",'Lists &amp; Settings'!$O$9,IF($N1880="Insufficient Evidence",'Lists &amp; Settings'!$O$10,IF($N1880="Pass",IF($M1880&gt;='Lists &amp; Settings'!$N$2,'Lists &amp; Settings'!$O$2,IF($M1880&gt;='Lists &amp; Settings'!$N$3,'Lists &amp; Settings'!$O$3,'Lists &amp; Settings'!$O$4)),IF($N1880="Partial",IF($M1880&gt;='Lists &amp; Settings'!$N$6,'Lists &amp; Settings'!$O$6,IF($M1880&gt;='Lists &amp; Settings'!$N$7,'Lists &amp; Settings'!$O$7,'Lists &amp; Settings'!$O$8)),'Lists &amp; Settings'!$O$10))))))</f>
        <v/>
      </c>
      <c r="T1880" s="31"/>
      <c r="U1880" s="31"/>
      <c r="V1880" s="31"/>
    </row>
    <row r="1881" ht="15.75" customHeight="1">
      <c r="B1881" s="31"/>
      <c r="N1881" s="127"/>
      <c r="S1881" s="31" t="str">
        <f>IF($C1881="","",IF(OR($M1881="",$N1881=""),'Lists &amp; Settings'!$O$10,IF($N1881="Fail",'Lists &amp; Settings'!$O$9,IF($N1881="Insufficient Evidence",'Lists &amp; Settings'!$O$10,IF($N1881="Pass",IF($M1881&gt;='Lists &amp; Settings'!$N$2,'Lists &amp; Settings'!$O$2,IF($M1881&gt;='Lists &amp; Settings'!$N$3,'Lists &amp; Settings'!$O$3,'Lists &amp; Settings'!$O$4)),IF($N1881="Partial",IF($M1881&gt;='Lists &amp; Settings'!$N$6,'Lists &amp; Settings'!$O$6,IF($M1881&gt;='Lists &amp; Settings'!$N$7,'Lists &amp; Settings'!$O$7,'Lists &amp; Settings'!$O$8)),'Lists &amp; Settings'!$O$10))))))</f>
        <v/>
      </c>
      <c r="T1881" s="31"/>
      <c r="U1881" s="31"/>
      <c r="V1881" s="31"/>
    </row>
    <row r="1882" ht="15.75" customHeight="1">
      <c r="B1882" s="31"/>
      <c r="N1882" s="127"/>
      <c r="S1882" s="31" t="str">
        <f>IF($C1882="","",IF(OR($M1882="",$N1882=""),'Lists &amp; Settings'!$O$10,IF($N1882="Fail",'Lists &amp; Settings'!$O$9,IF($N1882="Insufficient Evidence",'Lists &amp; Settings'!$O$10,IF($N1882="Pass",IF($M1882&gt;='Lists &amp; Settings'!$N$2,'Lists &amp; Settings'!$O$2,IF($M1882&gt;='Lists &amp; Settings'!$N$3,'Lists &amp; Settings'!$O$3,'Lists &amp; Settings'!$O$4)),IF($N1882="Partial",IF($M1882&gt;='Lists &amp; Settings'!$N$6,'Lists &amp; Settings'!$O$6,IF($M1882&gt;='Lists &amp; Settings'!$N$7,'Lists &amp; Settings'!$O$7,'Lists &amp; Settings'!$O$8)),'Lists &amp; Settings'!$O$10))))))</f>
        <v/>
      </c>
      <c r="T1882" s="31"/>
      <c r="U1882" s="31"/>
      <c r="V1882" s="31"/>
    </row>
    <row r="1883" ht="15.75" customHeight="1">
      <c r="B1883" s="31"/>
      <c r="N1883" s="127"/>
      <c r="S1883" s="31" t="str">
        <f>IF($C1883="","",IF(OR($M1883="",$N1883=""),'Lists &amp; Settings'!$O$10,IF($N1883="Fail",'Lists &amp; Settings'!$O$9,IF($N1883="Insufficient Evidence",'Lists &amp; Settings'!$O$10,IF($N1883="Pass",IF($M1883&gt;='Lists &amp; Settings'!$N$2,'Lists &amp; Settings'!$O$2,IF($M1883&gt;='Lists &amp; Settings'!$N$3,'Lists &amp; Settings'!$O$3,'Lists &amp; Settings'!$O$4)),IF($N1883="Partial",IF($M1883&gt;='Lists &amp; Settings'!$N$6,'Lists &amp; Settings'!$O$6,IF($M1883&gt;='Lists &amp; Settings'!$N$7,'Lists &amp; Settings'!$O$7,'Lists &amp; Settings'!$O$8)),'Lists &amp; Settings'!$O$10))))))</f>
        <v/>
      </c>
      <c r="T1883" s="31"/>
      <c r="U1883" s="31"/>
      <c r="V1883" s="31"/>
    </row>
    <row r="1884" ht="15.75" customHeight="1">
      <c r="B1884" s="31"/>
      <c r="N1884" s="127"/>
      <c r="S1884" s="31" t="str">
        <f>IF($C1884="","",IF(OR($M1884="",$N1884=""),'Lists &amp; Settings'!$O$10,IF($N1884="Fail",'Lists &amp; Settings'!$O$9,IF($N1884="Insufficient Evidence",'Lists &amp; Settings'!$O$10,IF($N1884="Pass",IF($M1884&gt;='Lists &amp; Settings'!$N$2,'Lists &amp; Settings'!$O$2,IF($M1884&gt;='Lists &amp; Settings'!$N$3,'Lists &amp; Settings'!$O$3,'Lists &amp; Settings'!$O$4)),IF($N1884="Partial",IF($M1884&gt;='Lists &amp; Settings'!$N$6,'Lists &amp; Settings'!$O$6,IF($M1884&gt;='Lists &amp; Settings'!$N$7,'Lists &amp; Settings'!$O$7,'Lists &amp; Settings'!$O$8)),'Lists &amp; Settings'!$O$10))))))</f>
        <v/>
      </c>
      <c r="T1884" s="31"/>
      <c r="U1884" s="31"/>
      <c r="V1884" s="31"/>
    </row>
    <row r="1885" ht="15.75" customHeight="1">
      <c r="B1885" s="31"/>
      <c r="N1885" s="127"/>
      <c r="S1885" s="31" t="str">
        <f>IF($C1885="","",IF(OR($M1885="",$N1885=""),'Lists &amp; Settings'!$O$10,IF($N1885="Fail",'Lists &amp; Settings'!$O$9,IF($N1885="Insufficient Evidence",'Lists &amp; Settings'!$O$10,IF($N1885="Pass",IF($M1885&gt;='Lists &amp; Settings'!$N$2,'Lists &amp; Settings'!$O$2,IF($M1885&gt;='Lists &amp; Settings'!$N$3,'Lists &amp; Settings'!$O$3,'Lists &amp; Settings'!$O$4)),IF($N1885="Partial",IF($M1885&gt;='Lists &amp; Settings'!$N$6,'Lists &amp; Settings'!$O$6,IF($M1885&gt;='Lists &amp; Settings'!$N$7,'Lists &amp; Settings'!$O$7,'Lists &amp; Settings'!$O$8)),'Lists &amp; Settings'!$O$10))))))</f>
        <v/>
      </c>
      <c r="T1885" s="31"/>
      <c r="U1885" s="31"/>
      <c r="V1885" s="31"/>
    </row>
    <row r="1886" ht="15.75" customHeight="1">
      <c r="B1886" s="31"/>
      <c r="N1886" s="127"/>
      <c r="S1886" s="31" t="str">
        <f>IF($C1886="","",IF(OR($M1886="",$N1886=""),'Lists &amp; Settings'!$O$10,IF($N1886="Fail",'Lists &amp; Settings'!$O$9,IF($N1886="Insufficient Evidence",'Lists &amp; Settings'!$O$10,IF($N1886="Pass",IF($M1886&gt;='Lists &amp; Settings'!$N$2,'Lists &amp; Settings'!$O$2,IF($M1886&gt;='Lists &amp; Settings'!$N$3,'Lists &amp; Settings'!$O$3,'Lists &amp; Settings'!$O$4)),IF($N1886="Partial",IF($M1886&gt;='Lists &amp; Settings'!$N$6,'Lists &amp; Settings'!$O$6,IF($M1886&gt;='Lists &amp; Settings'!$N$7,'Lists &amp; Settings'!$O$7,'Lists &amp; Settings'!$O$8)),'Lists &amp; Settings'!$O$10))))))</f>
        <v/>
      </c>
      <c r="T1886" s="31"/>
      <c r="U1886" s="31"/>
      <c r="V1886" s="31"/>
    </row>
    <row r="1887" ht="15.75" customHeight="1">
      <c r="B1887" s="31"/>
      <c r="N1887" s="127"/>
      <c r="S1887" s="31" t="str">
        <f>IF($C1887="","",IF(OR($M1887="",$N1887=""),'Lists &amp; Settings'!$O$10,IF($N1887="Fail",'Lists &amp; Settings'!$O$9,IF($N1887="Insufficient Evidence",'Lists &amp; Settings'!$O$10,IF($N1887="Pass",IF($M1887&gt;='Lists &amp; Settings'!$N$2,'Lists &amp; Settings'!$O$2,IF($M1887&gt;='Lists &amp; Settings'!$N$3,'Lists &amp; Settings'!$O$3,'Lists &amp; Settings'!$O$4)),IF($N1887="Partial",IF($M1887&gt;='Lists &amp; Settings'!$N$6,'Lists &amp; Settings'!$O$6,IF($M1887&gt;='Lists &amp; Settings'!$N$7,'Lists &amp; Settings'!$O$7,'Lists &amp; Settings'!$O$8)),'Lists &amp; Settings'!$O$10))))))</f>
        <v/>
      </c>
      <c r="T1887" s="31"/>
      <c r="U1887" s="31"/>
      <c r="V1887" s="31"/>
    </row>
    <row r="1888" ht="15.75" customHeight="1">
      <c r="B1888" s="31"/>
      <c r="N1888" s="127"/>
      <c r="S1888" s="31" t="str">
        <f>IF($C1888="","",IF(OR($M1888="",$N1888=""),'Lists &amp; Settings'!$O$10,IF($N1888="Fail",'Lists &amp; Settings'!$O$9,IF($N1888="Insufficient Evidence",'Lists &amp; Settings'!$O$10,IF($N1888="Pass",IF($M1888&gt;='Lists &amp; Settings'!$N$2,'Lists &amp; Settings'!$O$2,IF($M1888&gt;='Lists &amp; Settings'!$N$3,'Lists &amp; Settings'!$O$3,'Lists &amp; Settings'!$O$4)),IF($N1888="Partial",IF($M1888&gt;='Lists &amp; Settings'!$N$6,'Lists &amp; Settings'!$O$6,IF($M1888&gt;='Lists &amp; Settings'!$N$7,'Lists &amp; Settings'!$O$7,'Lists &amp; Settings'!$O$8)),'Lists &amp; Settings'!$O$10))))))</f>
        <v/>
      </c>
      <c r="T1888" s="31"/>
      <c r="U1888" s="31"/>
      <c r="V1888" s="31"/>
    </row>
    <row r="1889" ht="15.75" customHeight="1">
      <c r="B1889" s="31"/>
      <c r="N1889" s="127"/>
      <c r="S1889" s="31" t="str">
        <f>IF($C1889="","",IF(OR($M1889="",$N1889=""),'Lists &amp; Settings'!$O$10,IF($N1889="Fail",'Lists &amp; Settings'!$O$9,IF($N1889="Insufficient Evidence",'Lists &amp; Settings'!$O$10,IF($N1889="Pass",IF($M1889&gt;='Lists &amp; Settings'!$N$2,'Lists &amp; Settings'!$O$2,IF($M1889&gt;='Lists &amp; Settings'!$N$3,'Lists &amp; Settings'!$O$3,'Lists &amp; Settings'!$O$4)),IF($N1889="Partial",IF($M1889&gt;='Lists &amp; Settings'!$N$6,'Lists &amp; Settings'!$O$6,IF($M1889&gt;='Lists &amp; Settings'!$N$7,'Lists &amp; Settings'!$O$7,'Lists &amp; Settings'!$O$8)),'Lists &amp; Settings'!$O$10))))))</f>
        <v/>
      </c>
      <c r="T1889" s="31"/>
      <c r="U1889" s="31"/>
      <c r="V1889" s="31"/>
    </row>
    <row r="1890" ht="15.75" customHeight="1">
      <c r="B1890" s="31"/>
      <c r="N1890" s="127"/>
      <c r="S1890" s="31" t="str">
        <f>IF($C1890="","",IF(OR($M1890="",$N1890=""),'Lists &amp; Settings'!$O$10,IF($N1890="Fail",'Lists &amp; Settings'!$O$9,IF($N1890="Insufficient Evidence",'Lists &amp; Settings'!$O$10,IF($N1890="Pass",IF($M1890&gt;='Lists &amp; Settings'!$N$2,'Lists &amp; Settings'!$O$2,IF($M1890&gt;='Lists &amp; Settings'!$N$3,'Lists &amp; Settings'!$O$3,'Lists &amp; Settings'!$O$4)),IF($N1890="Partial",IF($M1890&gt;='Lists &amp; Settings'!$N$6,'Lists &amp; Settings'!$O$6,IF($M1890&gt;='Lists &amp; Settings'!$N$7,'Lists &amp; Settings'!$O$7,'Lists &amp; Settings'!$O$8)),'Lists &amp; Settings'!$O$10))))))</f>
        <v/>
      </c>
      <c r="T1890" s="31"/>
      <c r="U1890" s="31"/>
      <c r="V1890" s="31"/>
    </row>
    <row r="1891" ht="15.75" customHeight="1">
      <c r="B1891" s="31"/>
      <c r="N1891" s="127"/>
      <c r="S1891" s="31" t="str">
        <f>IF($C1891="","",IF(OR($M1891="",$N1891=""),'Lists &amp; Settings'!$O$10,IF($N1891="Fail",'Lists &amp; Settings'!$O$9,IF($N1891="Insufficient Evidence",'Lists &amp; Settings'!$O$10,IF($N1891="Pass",IF($M1891&gt;='Lists &amp; Settings'!$N$2,'Lists &amp; Settings'!$O$2,IF($M1891&gt;='Lists &amp; Settings'!$N$3,'Lists &amp; Settings'!$O$3,'Lists &amp; Settings'!$O$4)),IF($N1891="Partial",IF($M1891&gt;='Lists &amp; Settings'!$N$6,'Lists &amp; Settings'!$O$6,IF($M1891&gt;='Lists &amp; Settings'!$N$7,'Lists &amp; Settings'!$O$7,'Lists &amp; Settings'!$O$8)),'Lists &amp; Settings'!$O$10))))))</f>
        <v/>
      </c>
      <c r="T1891" s="31"/>
      <c r="U1891" s="31"/>
      <c r="V1891" s="31"/>
    </row>
    <row r="1892" ht="15.75" customHeight="1">
      <c r="B1892" s="31"/>
      <c r="N1892" s="127"/>
      <c r="S1892" s="31" t="str">
        <f>IF($C1892="","",IF(OR($M1892="",$N1892=""),'Lists &amp; Settings'!$O$10,IF($N1892="Fail",'Lists &amp; Settings'!$O$9,IF($N1892="Insufficient Evidence",'Lists &amp; Settings'!$O$10,IF($N1892="Pass",IF($M1892&gt;='Lists &amp; Settings'!$N$2,'Lists &amp; Settings'!$O$2,IF($M1892&gt;='Lists &amp; Settings'!$N$3,'Lists &amp; Settings'!$O$3,'Lists &amp; Settings'!$O$4)),IF($N1892="Partial",IF($M1892&gt;='Lists &amp; Settings'!$N$6,'Lists &amp; Settings'!$O$6,IF($M1892&gt;='Lists &amp; Settings'!$N$7,'Lists &amp; Settings'!$O$7,'Lists &amp; Settings'!$O$8)),'Lists &amp; Settings'!$O$10))))))</f>
        <v/>
      </c>
      <c r="T1892" s="31"/>
      <c r="U1892" s="31"/>
      <c r="V1892" s="31"/>
    </row>
    <row r="1893" ht="15.75" customHeight="1">
      <c r="B1893" s="31"/>
      <c r="N1893" s="127"/>
      <c r="S1893" s="31" t="str">
        <f>IF($C1893="","",IF(OR($M1893="",$N1893=""),'Lists &amp; Settings'!$O$10,IF($N1893="Fail",'Lists &amp; Settings'!$O$9,IF($N1893="Insufficient Evidence",'Lists &amp; Settings'!$O$10,IF($N1893="Pass",IF($M1893&gt;='Lists &amp; Settings'!$N$2,'Lists &amp; Settings'!$O$2,IF($M1893&gt;='Lists &amp; Settings'!$N$3,'Lists &amp; Settings'!$O$3,'Lists &amp; Settings'!$O$4)),IF($N1893="Partial",IF($M1893&gt;='Lists &amp; Settings'!$N$6,'Lists &amp; Settings'!$O$6,IF($M1893&gt;='Lists &amp; Settings'!$N$7,'Lists &amp; Settings'!$O$7,'Lists &amp; Settings'!$O$8)),'Lists &amp; Settings'!$O$10))))))</f>
        <v/>
      </c>
      <c r="T1893" s="31"/>
      <c r="U1893" s="31"/>
      <c r="V1893" s="31"/>
    </row>
    <row r="1894" ht="15.75" customHeight="1">
      <c r="B1894" s="31"/>
      <c r="N1894" s="127"/>
      <c r="S1894" s="31" t="str">
        <f>IF($C1894="","",IF(OR($M1894="",$N1894=""),'Lists &amp; Settings'!$O$10,IF($N1894="Fail",'Lists &amp; Settings'!$O$9,IF($N1894="Insufficient Evidence",'Lists &amp; Settings'!$O$10,IF($N1894="Pass",IF($M1894&gt;='Lists &amp; Settings'!$N$2,'Lists &amp; Settings'!$O$2,IF($M1894&gt;='Lists &amp; Settings'!$N$3,'Lists &amp; Settings'!$O$3,'Lists &amp; Settings'!$O$4)),IF($N1894="Partial",IF($M1894&gt;='Lists &amp; Settings'!$N$6,'Lists &amp; Settings'!$O$6,IF($M1894&gt;='Lists &amp; Settings'!$N$7,'Lists &amp; Settings'!$O$7,'Lists &amp; Settings'!$O$8)),'Lists &amp; Settings'!$O$10))))))</f>
        <v/>
      </c>
      <c r="T1894" s="31"/>
      <c r="U1894" s="31"/>
      <c r="V1894" s="31"/>
    </row>
    <row r="1895" ht="15.75" customHeight="1">
      <c r="B1895" s="31"/>
      <c r="N1895" s="127"/>
      <c r="S1895" s="31" t="str">
        <f>IF($C1895="","",IF(OR($M1895="",$N1895=""),'Lists &amp; Settings'!$O$10,IF($N1895="Fail",'Lists &amp; Settings'!$O$9,IF($N1895="Insufficient Evidence",'Lists &amp; Settings'!$O$10,IF($N1895="Pass",IF($M1895&gt;='Lists &amp; Settings'!$N$2,'Lists &amp; Settings'!$O$2,IF($M1895&gt;='Lists &amp; Settings'!$N$3,'Lists &amp; Settings'!$O$3,'Lists &amp; Settings'!$O$4)),IF($N1895="Partial",IF($M1895&gt;='Lists &amp; Settings'!$N$6,'Lists &amp; Settings'!$O$6,IF($M1895&gt;='Lists &amp; Settings'!$N$7,'Lists &amp; Settings'!$O$7,'Lists &amp; Settings'!$O$8)),'Lists &amp; Settings'!$O$10))))))</f>
        <v/>
      </c>
      <c r="T1895" s="31"/>
      <c r="U1895" s="31"/>
      <c r="V1895" s="31"/>
    </row>
    <row r="1896" ht="15.75" customHeight="1">
      <c r="B1896" s="31"/>
      <c r="N1896" s="127"/>
      <c r="S1896" s="31" t="str">
        <f>IF($C1896="","",IF(OR($M1896="",$N1896=""),'Lists &amp; Settings'!$O$10,IF($N1896="Fail",'Lists &amp; Settings'!$O$9,IF($N1896="Insufficient Evidence",'Lists &amp; Settings'!$O$10,IF($N1896="Pass",IF($M1896&gt;='Lists &amp; Settings'!$N$2,'Lists &amp; Settings'!$O$2,IF($M1896&gt;='Lists &amp; Settings'!$N$3,'Lists &amp; Settings'!$O$3,'Lists &amp; Settings'!$O$4)),IF($N1896="Partial",IF($M1896&gt;='Lists &amp; Settings'!$N$6,'Lists &amp; Settings'!$O$6,IF($M1896&gt;='Lists &amp; Settings'!$N$7,'Lists &amp; Settings'!$O$7,'Lists &amp; Settings'!$O$8)),'Lists &amp; Settings'!$O$10))))))</f>
        <v/>
      </c>
      <c r="T1896" s="31"/>
      <c r="U1896" s="31"/>
      <c r="V1896" s="31"/>
    </row>
    <row r="1897" ht="15.75" customHeight="1">
      <c r="B1897" s="31"/>
      <c r="N1897" s="127"/>
      <c r="S1897" s="31" t="str">
        <f>IF($C1897="","",IF(OR($M1897="",$N1897=""),'Lists &amp; Settings'!$O$10,IF($N1897="Fail",'Lists &amp; Settings'!$O$9,IF($N1897="Insufficient Evidence",'Lists &amp; Settings'!$O$10,IF($N1897="Pass",IF($M1897&gt;='Lists &amp; Settings'!$N$2,'Lists &amp; Settings'!$O$2,IF($M1897&gt;='Lists &amp; Settings'!$N$3,'Lists &amp; Settings'!$O$3,'Lists &amp; Settings'!$O$4)),IF($N1897="Partial",IF($M1897&gt;='Lists &amp; Settings'!$N$6,'Lists &amp; Settings'!$O$6,IF($M1897&gt;='Lists &amp; Settings'!$N$7,'Lists &amp; Settings'!$O$7,'Lists &amp; Settings'!$O$8)),'Lists &amp; Settings'!$O$10))))))</f>
        <v/>
      </c>
      <c r="T1897" s="31"/>
      <c r="U1897" s="31"/>
      <c r="V1897" s="31"/>
    </row>
    <row r="1898" ht="15.75" customHeight="1">
      <c r="B1898" s="31"/>
      <c r="N1898" s="127"/>
      <c r="S1898" s="31" t="str">
        <f>IF($C1898="","",IF(OR($M1898="",$N1898=""),'Lists &amp; Settings'!$O$10,IF($N1898="Fail",'Lists &amp; Settings'!$O$9,IF($N1898="Insufficient Evidence",'Lists &amp; Settings'!$O$10,IF($N1898="Pass",IF($M1898&gt;='Lists &amp; Settings'!$N$2,'Lists &amp; Settings'!$O$2,IF($M1898&gt;='Lists &amp; Settings'!$N$3,'Lists &amp; Settings'!$O$3,'Lists &amp; Settings'!$O$4)),IF($N1898="Partial",IF($M1898&gt;='Lists &amp; Settings'!$N$6,'Lists &amp; Settings'!$O$6,IF($M1898&gt;='Lists &amp; Settings'!$N$7,'Lists &amp; Settings'!$O$7,'Lists &amp; Settings'!$O$8)),'Lists &amp; Settings'!$O$10))))))</f>
        <v/>
      </c>
      <c r="T1898" s="31"/>
      <c r="U1898" s="31"/>
      <c r="V1898" s="31"/>
    </row>
    <row r="1899" ht="15.75" customHeight="1">
      <c r="B1899" s="31"/>
      <c r="N1899" s="127"/>
      <c r="S1899" s="31" t="str">
        <f>IF($C1899="","",IF(OR($M1899="",$N1899=""),'Lists &amp; Settings'!$O$10,IF($N1899="Fail",'Lists &amp; Settings'!$O$9,IF($N1899="Insufficient Evidence",'Lists &amp; Settings'!$O$10,IF($N1899="Pass",IF($M1899&gt;='Lists &amp; Settings'!$N$2,'Lists &amp; Settings'!$O$2,IF($M1899&gt;='Lists &amp; Settings'!$N$3,'Lists &amp; Settings'!$O$3,'Lists &amp; Settings'!$O$4)),IF($N1899="Partial",IF($M1899&gt;='Lists &amp; Settings'!$N$6,'Lists &amp; Settings'!$O$6,IF($M1899&gt;='Lists &amp; Settings'!$N$7,'Lists &amp; Settings'!$O$7,'Lists &amp; Settings'!$O$8)),'Lists &amp; Settings'!$O$10))))))</f>
        <v/>
      </c>
      <c r="T1899" s="31"/>
      <c r="U1899" s="31"/>
      <c r="V1899" s="31"/>
    </row>
    <row r="1900" ht="15.75" customHeight="1">
      <c r="B1900" s="31"/>
      <c r="N1900" s="127"/>
      <c r="S1900" s="31" t="str">
        <f>IF($C1900="","",IF(OR($M1900="",$N1900=""),'Lists &amp; Settings'!$O$10,IF($N1900="Fail",'Lists &amp; Settings'!$O$9,IF($N1900="Insufficient Evidence",'Lists &amp; Settings'!$O$10,IF($N1900="Pass",IF($M1900&gt;='Lists &amp; Settings'!$N$2,'Lists &amp; Settings'!$O$2,IF($M1900&gt;='Lists &amp; Settings'!$N$3,'Lists &amp; Settings'!$O$3,'Lists &amp; Settings'!$O$4)),IF($N1900="Partial",IF($M1900&gt;='Lists &amp; Settings'!$N$6,'Lists &amp; Settings'!$O$6,IF($M1900&gt;='Lists &amp; Settings'!$N$7,'Lists &amp; Settings'!$O$7,'Lists &amp; Settings'!$O$8)),'Lists &amp; Settings'!$O$10))))))</f>
        <v/>
      </c>
      <c r="T1900" s="31"/>
      <c r="U1900" s="31"/>
      <c r="V1900" s="31"/>
    </row>
    <row r="1901" ht="15.75" customHeight="1">
      <c r="B1901" s="31"/>
      <c r="N1901" s="127"/>
      <c r="S1901" s="31" t="str">
        <f>IF($C1901="","",IF(OR($M1901="",$N1901=""),'Lists &amp; Settings'!$O$10,IF($N1901="Fail",'Lists &amp; Settings'!$O$9,IF($N1901="Insufficient Evidence",'Lists &amp; Settings'!$O$10,IF($N1901="Pass",IF($M1901&gt;='Lists &amp; Settings'!$N$2,'Lists &amp; Settings'!$O$2,IF($M1901&gt;='Lists &amp; Settings'!$N$3,'Lists &amp; Settings'!$O$3,'Lists &amp; Settings'!$O$4)),IF($N1901="Partial",IF($M1901&gt;='Lists &amp; Settings'!$N$6,'Lists &amp; Settings'!$O$6,IF($M1901&gt;='Lists &amp; Settings'!$N$7,'Lists &amp; Settings'!$O$7,'Lists &amp; Settings'!$O$8)),'Lists &amp; Settings'!$O$10))))))</f>
        <v/>
      </c>
      <c r="T1901" s="31"/>
      <c r="U1901" s="31"/>
      <c r="V1901" s="31"/>
    </row>
    <row r="1902" ht="15.75" customHeight="1">
      <c r="B1902" s="31"/>
      <c r="N1902" s="127"/>
      <c r="S1902" s="31" t="str">
        <f>IF($C1902="","",IF(OR($M1902="",$N1902=""),'Lists &amp; Settings'!$O$10,IF($N1902="Fail",'Lists &amp; Settings'!$O$9,IF($N1902="Insufficient Evidence",'Lists &amp; Settings'!$O$10,IF($N1902="Pass",IF($M1902&gt;='Lists &amp; Settings'!$N$2,'Lists &amp; Settings'!$O$2,IF($M1902&gt;='Lists &amp; Settings'!$N$3,'Lists &amp; Settings'!$O$3,'Lists &amp; Settings'!$O$4)),IF($N1902="Partial",IF($M1902&gt;='Lists &amp; Settings'!$N$6,'Lists &amp; Settings'!$O$6,IF($M1902&gt;='Lists &amp; Settings'!$N$7,'Lists &amp; Settings'!$O$7,'Lists &amp; Settings'!$O$8)),'Lists &amp; Settings'!$O$10))))))</f>
        <v/>
      </c>
      <c r="T1902" s="31"/>
      <c r="U1902" s="31"/>
      <c r="V1902" s="31"/>
    </row>
    <row r="1903" ht="15.75" customHeight="1">
      <c r="B1903" s="31"/>
      <c r="N1903" s="127"/>
      <c r="S1903" s="31" t="str">
        <f>IF($C1903="","",IF(OR($M1903="",$N1903=""),'Lists &amp; Settings'!$O$10,IF($N1903="Fail",'Lists &amp; Settings'!$O$9,IF($N1903="Insufficient Evidence",'Lists &amp; Settings'!$O$10,IF($N1903="Pass",IF($M1903&gt;='Lists &amp; Settings'!$N$2,'Lists &amp; Settings'!$O$2,IF($M1903&gt;='Lists &amp; Settings'!$N$3,'Lists &amp; Settings'!$O$3,'Lists &amp; Settings'!$O$4)),IF($N1903="Partial",IF($M1903&gt;='Lists &amp; Settings'!$N$6,'Lists &amp; Settings'!$O$6,IF($M1903&gt;='Lists &amp; Settings'!$N$7,'Lists &amp; Settings'!$O$7,'Lists &amp; Settings'!$O$8)),'Lists &amp; Settings'!$O$10))))))</f>
        <v/>
      </c>
      <c r="T1903" s="31"/>
      <c r="U1903" s="31"/>
      <c r="V1903" s="31"/>
    </row>
    <row r="1904" ht="15.75" customHeight="1">
      <c r="B1904" s="31"/>
      <c r="N1904" s="127"/>
      <c r="S1904" s="31" t="str">
        <f>IF($C1904="","",IF(OR($M1904="",$N1904=""),'Lists &amp; Settings'!$O$10,IF($N1904="Fail",'Lists &amp; Settings'!$O$9,IF($N1904="Insufficient Evidence",'Lists &amp; Settings'!$O$10,IF($N1904="Pass",IF($M1904&gt;='Lists &amp; Settings'!$N$2,'Lists &amp; Settings'!$O$2,IF($M1904&gt;='Lists &amp; Settings'!$N$3,'Lists &amp; Settings'!$O$3,'Lists &amp; Settings'!$O$4)),IF($N1904="Partial",IF($M1904&gt;='Lists &amp; Settings'!$N$6,'Lists &amp; Settings'!$O$6,IF($M1904&gt;='Lists &amp; Settings'!$N$7,'Lists &amp; Settings'!$O$7,'Lists &amp; Settings'!$O$8)),'Lists &amp; Settings'!$O$10))))))</f>
        <v/>
      </c>
      <c r="T1904" s="31"/>
      <c r="U1904" s="31"/>
      <c r="V1904" s="31"/>
    </row>
    <row r="1905" ht="15.75" customHeight="1">
      <c r="B1905" s="31"/>
      <c r="N1905" s="127"/>
      <c r="S1905" s="31" t="str">
        <f>IF($C1905="","",IF(OR($M1905="",$N1905=""),'Lists &amp; Settings'!$O$10,IF($N1905="Fail",'Lists &amp; Settings'!$O$9,IF($N1905="Insufficient Evidence",'Lists &amp; Settings'!$O$10,IF($N1905="Pass",IF($M1905&gt;='Lists &amp; Settings'!$N$2,'Lists &amp; Settings'!$O$2,IF($M1905&gt;='Lists &amp; Settings'!$N$3,'Lists &amp; Settings'!$O$3,'Lists &amp; Settings'!$O$4)),IF($N1905="Partial",IF($M1905&gt;='Lists &amp; Settings'!$N$6,'Lists &amp; Settings'!$O$6,IF($M1905&gt;='Lists &amp; Settings'!$N$7,'Lists &amp; Settings'!$O$7,'Lists &amp; Settings'!$O$8)),'Lists &amp; Settings'!$O$10))))))</f>
        <v/>
      </c>
      <c r="T1905" s="31"/>
      <c r="U1905" s="31"/>
      <c r="V1905" s="31"/>
    </row>
    <row r="1906" ht="15.75" customHeight="1">
      <c r="B1906" s="31"/>
      <c r="N1906" s="127"/>
      <c r="S1906" s="31" t="str">
        <f>IF($C1906="","",IF(OR($M1906="",$N1906=""),'Lists &amp; Settings'!$O$10,IF($N1906="Fail",'Lists &amp; Settings'!$O$9,IF($N1906="Insufficient Evidence",'Lists &amp; Settings'!$O$10,IF($N1906="Pass",IF($M1906&gt;='Lists &amp; Settings'!$N$2,'Lists &amp; Settings'!$O$2,IF($M1906&gt;='Lists &amp; Settings'!$N$3,'Lists &amp; Settings'!$O$3,'Lists &amp; Settings'!$O$4)),IF($N1906="Partial",IF($M1906&gt;='Lists &amp; Settings'!$N$6,'Lists &amp; Settings'!$O$6,IF($M1906&gt;='Lists &amp; Settings'!$N$7,'Lists &amp; Settings'!$O$7,'Lists &amp; Settings'!$O$8)),'Lists &amp; Settings'!$O$10))))))</f>
        <v/>
      </c>
      <c r="T1906" s="31"/>
      <c r="U1906" s="31"/>
      <c r="V1906" s="31"/>
    </row>
    <row r="1907" ht="15.75" customHeight="1">
      <c r="B1907" s="31"/>
      <c r="N1907" s="127"/>
      <c r="S1907" s="31" t="str">
        <f>IF($C1907="","",IF(OR($M1907="",$N1907=""),'Lists &amp; Settings'!$O$10,IF($N1907="Fail",'Lists &amp; Settings'!$O$9,IF($N1907="Insufficient Evidence",'Lists &amp; Settings'!$O$10,IF($N1907="Pass",IF($M1907&gt;='Lists &amp; Settings'!$N$2,'Lists &amp; Settings'!$O$2,IF($M1907&gt;='Lists &amp; Settings'!$N$3,'Lists &amp; Settings'!$O$3,'Lists &amp; Settings'!$O$4)),IF($N1907="Partial",IF($M1907&gt;='Lists &amp; Settings'!$N$6,'Lists &amp; Settings'!$O$6,IF($M1907&gt;='Lists &amp; Settings'!$N$7,'Lists &amp; Settings'!$O$7,'Lists &amp; Settings'!$O$8)),'Lists &amp; Settings'!$O$10))))))</f>
        <v/>
      </c>
      <c r="T1907" s="31"/>
      <c r="U1907" s="31"/>
      <c r="V1907" s="31"/>
    </row>
    <row r="1908" ht="15.75" customHeight="1">
      <c r="B1908" s="31"/>
      <c r="N1908" s="127"/>
      <c r="S1908" s="31" t="str">
        <f>IF($C1908="","",IF(OR($M1908="",$N1908=""),'Lists &amp; Settings'!$O$10,IF($N1908="Fail",'Lists &amp; Settings'!$O$9,IF($N1908="Insufficient Evidence",'Lists &amp; Settings'!$O$10,IF($N1908="Pass",IF($M1908&gt;='Lists &amp; Settings'!$N$2,'Lists &amp; Settings'!$O$2,IF($M1908&gt;='Lists &amp; Settings'!$N$3,'Lists &amp; Settings'!$O$3,'Lists &amp; Settings'!$O$4)),IF($N1908="Partial",IF($M1908&gt;='Lists &amp; Settings'!$N$6,'Lists &amp; Settings'!$O$6,IF($M1908&gt;='Lists &amp; Settings'!$N$7,'Lists &amp; Settings'!$O$7,'Lists &amp; Settings'!$O$8)),'Lists &amp; Settings'!$O$10))))))</f>
        <v/>
      </c>
      <c r="T1908" s="31"/>
      <c r="U1908" s="31"/>
      <c r="V1908" s="31"/>
    </row>
    <row r="1909" ht="15.75" customHeight="1">
      <c r="B1909" s="31"/>
      <c r="N1909" s="127"/>
      <c r="S1909" s="31" t="str">
        <f>IF($C1909="","",IF(OR($M1909="",$N1909=""),'Lists &amp; Settings'!$O$10,IF($N1909="Fail",'Lists &amp; Settings'!$O$9,IF($N1909="Insufficient Evidence",'Lists &amp; Settings'!$O$10,IF($N1909="Pass",IF($M1909&gt;='Lists &amp; Settings'!$N$2,'Lists &amp; Settings'!$O$2,IF($M1909&gt;='Lists &amp; Settings'!$N$3,'Lists &amp; Settings'!$O$3,'Lists &amp; Settings'!$O$4)),IF($N1909="Partial",IF($M1909&gt;='Lists &amp; Settings'!$N$6,'Lists &amp; Settings'!$O$6,IF($M1909&gt;='Lists &amp; Settings'!$N$7,'Lists &amp; Settings'!$O$7,'Lists &amp; Settings'!$O$8)),'Lists &amp; Settings'!$O$10))))))</f>
        <v/>
      </c>
      <c r="T1909" s="31"/>
      <c r="U1909" s="31"/>
      <c r="V1909" s="31"/>
    </row>
    <row r="1910" ht="15.75" customHeight="1">
      <c r="B1910" s="31"/>
      <c r="N1910" s="127"/>
      <c r="S1910" s="31" t="str">
        <f>IF($C1910="","",IF(OR($M1910="",$N1910=""),'Lists &amp; Settings'!$O$10,IF($N1910="Fail",'Lists &amp; Settings'!$O$9,IF($N1910="Insufficient Evidence",'Lists &amp; Settings'!$O$10,IF($N1910="Pass",IF($M1910&gt;='Lists &amp; Settings'!$N$2,'Lists &amp; Settings'!$O$2,IF($M1910&gt;='Lists &amp; Settings'!$N$3,'Lists &amp; Settings'!$O$3,'Lists &amp; Settings'!$O$4)),IF($N1910="Partial",IF($M1910&gt;='Lists &amp; Settings'!$N$6,'Lists &amp; Settings'!$O$6,IF($M1910&gt;='Lists &amp; Settings'!$N$7,'Lists &amp; Settings'!$O$7,'Lists &amp; Settings'!$O$8)),'Lists &amp; Settings'!$O$10))))))</f>
        <v/>
      </c>
      <c r="T1910" s="31"/>
      <c r="U1910" s="31"/>
      <c r="V1910" s="31"/>
    </row>
    <row r="1911" ht="15.75" customHeight="1">
      <c r="B1911" s="31"/>
      <c r="N1911" s="127"/>
      <c r="S1911" s="31" t="str">
        <f>IF($C1911="","",IF(OR($M1911="",$N1911=""),'Lists &amp; Settings'!$O$10,IF($N1911="Fail",'Lists &amp; Settings'!$O$9,IF($N1911="Insufficient Evidence",'Lists &amp; Settings'!$O$10,IF($N1911="Pass",IF($M1911&gt;='Lists &amp; Settings'!$N$2,'Lists &amp; Settings'!$O$2,IF($M1911&gt;='Lists &amp; Settings'!$N$3,'Lists &amp; Settings'!$O$3,'Lists &amp; Settings'!$O$4)),IF($N1911="Partial",IF($M1911&gt;='Lists &amp; Settings'!$N$6,'Lists &amp; Settings'!$O$6,IF($M1911&gt;='Lists &amp; Settings'!$N$7,'Lists &amp; Settings'!$O$7,'Lists &amp; Settings'!$O$8)),'Lists &amp; Settings'!$O$10))))))</f>
        <v/>
      </c>
      <c r="T1911" s="31"/>
      <c r="U1911" s="31"/>
      <c r="V1911" s="31"/>
    </row>
    <row r="1912" ht="15.75" customHeight="1">
      <c r="B1912" s="31"/>
      <c r="N1912" s="127"/>
      <c r="S1912" s="31" t="str">
        <f>IF($C1912="","",IF(OR($M1912="",$N1912=""),'Lists &amp; Settings'!$O$10,IF($N1912="Fail",'Lists &amp; Settings'!$O$9,IF($N1912="Insufficient Evidence",'Lists &amp; Settings'!$O$10,IF($N1912="Pass",IF($M1912&gt;='Lists &amp; Settings'!$N$2,'Lists &amp; Settings'!$O$2,IF($M1912&gt;='Lists &amp; Settings'!$N$3,'Lists &amp; Settings'!$O$3,'Lists &amp; Settings'!$O$4)),IF($N1912="Partial",IF($M1912&gt;='Lists &amp; Settings'!$N$6,'Lists &amp; Settings'!$O$6,IF($M1912&gt;='Lists &amp; Settings'!$N$7,'Lists &amp; Settings'!$O$7,'Lists &amp; Settings'!$O$8)),'Lists &amp; Settings'!$O$10))))))</f>
        <v/>
      </c>
      <c r="T1912" s="31"/>
      <c r="U1912" s="31"/>
      <c r="V1912" s="31"/>
    </row>
    <row r="1913" ht="15.75" customHeight="1">
      <c r="B1913" s="31"/>
      <c r="N1913" s="127"/>
      <c r="S1913" s="31" t="str">
        <f>IF($C1913="","",IF(OR($M1913="",$N1913=""),'Lists &amp; Settings'!$O$10,IF($N1913="Fail",'Lists &amp; Settings'!$O$9,IF($N1913="Insufficient Evidence",'Lists &amp; Settings'!$O$10,IF($N1913="Pass",IF($M1913&gt;='Lists &amp; Settings'!$N$2,'Lists &amp; Settings'!$O$2,IF($M1913&gt;='Lists &amp; Settings'!$N$3,'Lists &amp; Settings'!$O$3,'Lists &amp; Settings'!$O$4)),IF($N1913="Partial",IF($M1913&gt;='Lists &amp; Settings'!$N$6,'Lists &amp; Settings'!$O$6,IF($M1913&gt;='Lists &amp; Settings'!$N$7,'Lists &amp; Settings'!$O$7,'Lists &amp; Settings'!$O$8)),'Lists &amp; Settings'!$O$10))))))</f>
        <v/>
      </c>
      <c r="T1913" s="31"/>
      <c r="U1913" s="31"/>
      <c r="V1913" s="31"/>
    </row>
    <row r="1914" ht="15.75" customHeight="1">
      <c r="B1914" s="31"/>
      <c r="N1914" s="127"/>
      <c r="S1914" s="31" t="str">
        <f>IF($C1914="","",IF(OR($M1914="",$N1914=""),'Lists &amp; Settings'!$O$10,IF($N1914="Fail",'Lists &amp; Settings'!$O$9,IF($N1914="Insufficient Evidence",'Lists &amp; Settings'!$O$10,IF($N1914="Pass",IF($M1914&gt;='Lists &amp; Settings'!$N$2,'Lists &amp; Settings'!$O$2,IF($M1914&gt;='Lists &amp; Settings'!$N$3,'Lists &amp; Settings'!$O$3,'Lists &amp; Settings'!$O$4)),IF($N1914="Partial",IF($M1914&gt;='Lists &amp; Settings'!$N$6,'Lists &amp; Settings'!$O$6,IF($M1914&gt;='Lists &amp; Settings'!$N$7,'Lists &amp; Settings'!$O$7,'Lists &amp; Settings'!$O$8)),'Lists &amp; Settings'!$O$10))))))</f>
        <v/>
      </c>
      <c r="T1914" s="31"/>
      <c r="U1914" s="31"/>
      <c r="V1914" s="31"/>
    </row>
    <row r="1915" ht="15.75" customHeight="1">
      <c r="B1915" s="31"/>
      <c r="N1915" s="127"/>
      <c r="S1915" s="31" t="str">
        <f>IF($C1915="","",IF(OR($M1915="",$N1915=""),'Lists &amp; Settings'!$O$10,IF($N1915="Fail",'Lists &amp; Settings'!$O$9,IF($N1915="Insufficient Evidence",'Lists &amp; Settings'!$O$10,IF($N1915="Pass",IF($M1915&gt;='Lists &amp; Settings'!$N$2,'Lists &amp; Settings'!$O$2,IF($M1915&gt;='Lists &amp; Settings'!$N$3,'Lists &amp; Settings'!$O$3,'Lists &amp; Settings'!$O$4)),IF($N1915="Partial",IF($M1915&gt;='Lists &amp; Settings'!$N$6,'Lists &amp; Settings'!$O$6,IF($M1915&gt;='Lists &amp; Settings'!$N$7,'Lists &amp; Settings'!$O$7,'Lists &amp; Settings'!$O$8)),'Lists &amp; Settings'!$O$10))))))</f>
        <v/>
      </c>
      <c r="T1915" s="31"/>
      <c r="U1915" s="31"/>
      <c r="V1915" s="31"/>
    </row>
    <row r="1916" ht="15.75" customHeight="1">
      <c r="B1916" s="31"/>
      <c r="N1916" s="127"/>
      <c r="S1916" s="31" t="str">
        <f>IF($C1916="","",IF(OR($M1916="",$N1916=""),'Lists &amp; Settings'!$O$10,IF($N1916="Fail",'Lists &amp; Settings'!$O$9,IF($N1916="Insufficient Evidence",'Lists &amp; Settings'!$O$10,IF($N1916="Pass",IF($M1916&gt;='Lists &amp; Settings'!$N$2,'Lists &amp; Settings'!$O$2,IF($M1916&gt;='Lists &amp; Settings'!$N$3,'Lists &amp; Settings'!$O$3,'Lists &amp; Settings'!$O$4)),IF($N1916="Partial",IF($M1916&gt;='Lists &amp; Settings'!$N$6,'Lists &amp; Settings'!$O$6,IF($M1916&gt;='Lists &amp; Settings'!$N$7,'Lists &amp; Settings'!$O$7,'Lists &amp; Settings'!$O$8)),'Lists &amp; Settings'!$O$10))))))</f>
        <v/>
      </c>
      <c r="T1916" s="31"/>
      <c r="U1916" s="31"/>
      <c r="V1916" s="31"/>
    </row>
    <row r="1917" ht="15.75" customHeight="1">
      <c r="B1917" s="31"/>
      <c r="N1917" s="127"/>
      <c r="S1917" s="31" t="str">
        <f>IF($C1917="","",IF(OR($M1917="",$N1917=""),'Lists &amp; Settings'!$O$10,IF($N1917="Fail",'Lists &amp; Settings'!$O$9,IF($N1917="Insufficient Evidence",'Lists &amp; Settings'!$O$10,IF($N1917="Pass",IF($M1917&gt;='Lists &amp; Settings'!$N$2,'Lists &amp; Settings'!$O$2,IF($M1917&gt;='Lists &amp; Settings'!$N$3,'Lists &amp; Settings'!$O$3,'Lists &amp; Settings'!$O$4)),IF($N1917="Partial",IF($M1917&gt;='Lists &amp; Settings'!$N$6,'Lists &amp; Settings'!$O$6,IF($M1917&gt;='Lists &amp; Settings'!$N$7,'Lists &amp; Settings'!$O$7,'Lists &amp; Settings'!$O$8)),'Lists &amp; Settings'!$O$10))))))</f>
        <v/>
      </c>
      <c r="T1917" s="31"/>
      <c r="U1917" s="31"/>
      <c r="V1917" s="31"/>
    </row>
    <row r="1918" ht="15.75" customHeight="1">
      <c r="B1918" s="31"/>
      <c r="N1918" s="127"/>
      <c r="S1918" s="31" t="str">
        <f>IF($C1918="","",IF(OR($M1918="",$N1918=""),'Lists &amp; Settings'!$O$10,IF($N1918="Fail",'Lists &amp; Settings'!$O$9,IF($N1918="Insufficient Evidence",'Lists &amp; Settings'!$O$10,IF($N1918="Pass",IF($M1918&gt;='Lists &amp; Settings'!$N$2,'Lists &amp; Settings'!$O$2,IF($M1918&gt;='Lists &amp; Settings'!$N$3,'Lists &amp; Settings'!$O$3,'Lists &amp; Settings'!$O$4)),IF($N1918="Partial",IF($M1918&gt;='Lists &amp; Settings'!$N$6,'Lists &amp; Settings'!$O$6,IF($M1918&gt;='Lists &amp; Settings'!$N$7,'Lists &amp; Settings'!$O$7,'Lists &amp; Settings'!$O$8)),'Lists &amp; Settings'!$O$10))))))</f>
        <v/>
      </c>
      <c r="T1918" s="31"/>
      <c r="U1918" s="31"/>
      <c r="V1918" s="31"/>
    </row>
    <row r="1919" ht="15.75" customHeight="1">
      <c r="B1919" s="31"/>
      <c r="N1919" s="127"/>
      <c r="S1919" s="31" t="str">
        <f>IF($C1919="","",IF(OR($M1919="",$N1919=""),'Lists &amp; Settings'!$O$10,IF($N1919="Fail",'Lists &amp; Settings'!$O$9,IF($N1919="Insufficient Evidence",'Lists &amp; Settings'!$O$10,IF($N1919="Pass",IF($M1919&gt;='Lists &amp; Settings'!$N$2,'Lists &amp; Settings'!$O$2,IF($M1919&gt;='Lists &amp; Settings'!$N$3,'Lists &amp; Settings'!$O$3,'Lists &amp; Settings'!$O$4)),IF($N1919="Partial",IF($M1919&gt;='Lists &amp; Settings'!$N$6,'Lists &amp; Settings'!$O$6,IF($M1919&gt;='Lists &amp; Settings'!$N$7,'Lists &amp; Settings'!$O$7,'Lists &amp; Settings'!$O$8)),'Lists &amp; Settings'!$O$10))))))</f>
        <v/>
      </c>
      <c r="T1919" s="31"/>
      <c r="U1919" s="31"/>
      <c r="V1919" s="31"/>
    </row>
    <row r="1920" ht="15.75" customHeight="1">
      <c r="B1920" s="31"/>
      <c r="N1920" s="127"/>
      <c r="S1920" s="31" t="str">
        <f>IF($C1920="","",IF(OR($M1920="",$N1920=""),'Lists &amp; Settings'!$O$10,IF($N1920="Fail",'Lists &amp; Settings'!$O$9,IF($N1920="Insufficient Evidence",'Lists &amp; Settings'!$O$10,IF($N1920="Pass",IF($M1920&gt;='Lists &amp; Settings'!$N$2,'Lists &amp; Settings'!$O$2,IF($M1920&gt;='Lists &amp; Settings'!$N$3,'Lists &amp; Settings'!$O$3,'Lists &amp; Settings'!$O$4)),IF($N1920="Partial",IF($M1920&gt;='Lists &amp; Settings'!$N$6,'Lists &amp; Settings'!$O$6,IF($M1920&gt;='Lists &amp; Settings'!$N$7,'Lists &amp; Settings'!$O$7,'Lists &amp; Settings'!$O$8)),'Lists &amp; Settings'!$O$10))))))</f>
        <v/>
      </c>
      <c r="T1920" s="31"/>
      <c r="U1920" s="31"/>
      <c r="V1920" s="31"/>
    </row>
    <row r="1921" ht="15.75" customHeight="1">
      <c r="B1921" s="31"/>
      <c r="N1921" s="127"/>
      <c r="S1921" s="31" t="str">
        <f>IF($C1921="","",IF(OR($M1921="",$N1921=""),'Lists &amp; Settings'!$O$10,IF($N1921="Fail",'Lists &amp; Settings'!$O$9,IF($N1921="Insufficient Evidence",'Lists &amp; Settings'!$O$10,IF($N1921="Pass",IF($M1921&gt;='Lists &amp; Settings'!$N$2,'Lists &amp; Settings'!$O$2,IF($M1921&gt;='Lists &amp; Settings'!$N$3,'Lists &amp; Settings'!$O$3,'Lists &amp; Settings'!$O$4)),IF($N1921="Partial",IF($M1921&gt;='Lists &amp; Settings'!$N$6,'Lists &amp; Settings'!$O$6,IF($M1921&gt;='Lists &amp; Settings'!$N$7,'Lists &amp; Settings'!$O$7,'Lists &amp; Settings'!$O$8)),'Lists &amp; Settings'!$O$10))))))</f>
        <v/>
      </c>
      <c r="T1921" s="31"/>
      <c r="U1921" s="31"/>
      <c r="V1921" s="31"/>
    </row>
    <row r="1922" ht="15.75" customHeight="1">
      <c r="B1922" s="31"/>
      <c r="N1922" s="127"/>
      <c r="S1922" s="31" t="str">
        <f>IF($C1922="","",IF(OR($M1922="",$N1922=""),'Lists &amp; Settings'!$O$10,IF($N1922="Fail",'Lists &amp; Settings'!$O$9,IF($N1922="Insufficient Evidence",'Lists &amp; Settings'!$O$10,IF($N1922="Pass",IF($M1922&gt;='Lists &amp; Settings'!$N$2,'Lists &amp; Settings'!$O$2,IF($M1922&gt;='Lists &amp; Settings'!$N$3,'Lists &amp; Settings'!$O$3,'Lists &amp; Settings'!$O$4)),IF($N1922="Partial",IF($M1922&gt;='Lists &amp; Settings'!$N$6,'Lists &amp; Settings'!$O$6,IF($M1922&gt;='Lists &amp; Settings'!$N$7,'Lists &amp; Settings'!$O$7,'Lists &amp; Settings'!$O$8)),'Lists &amp; Settings'!$O$10))))))</f>
        <v/>
      </c>
      <c r="T1922" s="31"/>
      <c r="U1922" s="31"/>
      <c r="V1922" s="31"/>
    </row>
    <row r="1923" ht="15.75" customHeight="1">
      <c r="B1923" s="31"/>
      <c r="N1923" s="127"/>
      <c r="S1923" s="31" t="str">
        <f>IF($C1923="","",IF(OR($M1923="",$N1923=""),'Lists &amp; Settings'!$O$10,IF($N1923="Fail",'Lists &amp; Settings'!$O$9,IF($N1923="Insufficient Evidence",'Lists &amp; Settings'!$O$10,IF($N1923="Pass",IF($M1923&gt;='Lists &amp; Settings'!$N$2,'Lists &amp; Settings'!$O$2,IF($M1923&gt;='Lists &amp; Settings'!$N$3,'Lists &amp; Settings'!$O$3,'Lists &amp; Settings'!$O$4)),IF($N1923="Partial",IF($M1923&gt;='Lists &amp; Settings'!$N$6,'Lists &amp; Settings'!$O$6,IF($M1923&gt;='Lists &amp; Settings'!$N$7,'Lists &amp; Settings'!$O$7,'Lists &amp; Settings'!$O$8)),'Lists &amp; Settings'!$O$10))))))</f>
        <v/>
      </c>
      <c r="T1923" s="31"/>
      <c r="U1923" s="31"/>
      <c r="V1923" s="31"/>
    </row>
    <row r="1924" ht="15.75" customHeight="1">
      <c r="B1924" s="31"/>
      <c r="N1924" s="127"/>
      <c r="S1924" s="31" t="str">
        <f>IF($C1924="","",IF(OR($M1924="",$N1924=""),'Lists &amp; Settings'!$O$10,IF($N1924="Fail",'Lists &amp; Settings'!$O$9,IF($N1924="Insufficient Evidence",'Lists &amp; Settings'!$O$10,IF($N1924="Pass",IF($M1924&gt;='Lists &amp; Settings'!$N$2,'Lists &amp; Settings'!$O$2,IF($M1924&gt;='Lists &amp; Settings'!$N$3,'Lists &amp; Settings'!$O$3,'Lists &amp; Settings'!$O$4)),IF($N1924="Partial",IF($M1924&gt;='Lists &amp; Settings'!$N$6,'Lists &amp; Settings'!$O$6,IF($M1924&gt;='Lists &amp; Settings'!$N$7,'Lists &amp; Settings'!$O$7,'Lists &amp; Settings'!$O$8)),'Lists &amp; Settings'!$O$10))))))</f>
        <v/>
      </c>
      <c r="T1924" s="31"/>
      <c r="U1924" s="31"/>
      <c r="V1924" s="31"/>
    </row>
    <row r="1925" ht="15.75" customHeight="1">
      <c r="B1925" s="31"/>
      <c r="N1925" s="127"/>
      <c r="S1925" s="31" t="str">
        <f>IF($C1925="","",IF(OR($M1925="",$N1925=""),'Lists &amp; Settings'!$O$10,IF($N1925="Fail",'Lists &amp; Settings'!$O$9,IF($N1925="Insufficient Evidence",'Lists &amp; Settings'!$O$10,IF($N1925="Pass",IF($M1925&gt;='Lists &amp; Settings'!$N$2,'Lists &amp; Settings'!$O$2,IF($M1925&gt;='Lists &amp; Settings'!$N$3,'Lists &amp; Settings'!$O$3,'Lists &amp; Settings'!$O$4)),IF($N1925="Partial",IF($M1925&gt;='Lists &amp; Settings'!$N$6,'Lists &amp; Settings'!$O$6,IF($M1925&gt;='Lists &amp; Settings'!$N$7,'Lists &amp; Settings'!$O$7,'Lists &amp; Settings'!$O$8)),'Lists &amp; Settings'!$O$10))))))</f>
        <v/>
      </c>
      <c r="T1925" s="31"/>
      <c r="U1925" s="31"/>
      <c r="V1925" s="31"/>
    </row>
    <row r="1926" ht="15.75" customHeight="1">
      <c r="B1926" s="31"/>
      <c r="N1926" s="127"/>
      <c r="S1926" s="31" t="str">
        <f>IF($C1926="","",IF(OR($M1926="",$N1926=""),'Lists &amp; Settings'!$O$10,IF($N1926="Fail",'Lists &amp; Settings'!$O$9,IF($N1926="Insufficient Evidence",'Lists &amp; Settings'!$O$10,IF($N1926="Pass",IF($M1926&gt;='Lists &amp; Settings'!$N$2,'Lists &amp; Settings'!$O$2,IF($M1926&gt;='Lists &amp; Settings'!$N$3,'Lists &amp; Settings'!$O$3,'Lists &amp; Settings'!$O$4)),IF($N1926="Partial",IF($M1926&gt;='Lists &amp; Settings'!$N$6,'Lists &amp; Settings'!$O$6,IF($M1926&gt;='Lists &amp; Settings'!$N$7,'Lists &amp; Settings'!$O$7,'Lists &amp; Settings'!$O$8)),'Lists &amp; Settings'!$O$10))))))</f>
        <v/>
      </c>
      <c r="T1926" s="31"/>
      <c r="U1926" s="31"/>
      <c r="V1926" s="31"/>
    </row>
    <row r="1927" ht="15.75" customHeight="1">
      <c r="B1927" s="31"/>
      <c r="N1927" s="127"/>
      <c r="S1927" s="31" t="str">
        <f>IF($C1927="","",IF(OR($M1927="",$N1927=""),'Lists &amp; Settings'!$O$10,IF($N1927="Fail",'Lists &amp; Settings'!$O$9,IF($N1927="Insufficient Evidence",'Lists &amp; Settings'!$O$10,IF($N1927="Pass",IF($M1927&gt;='Lists &amp; Settings'!$N$2,'Lists &amp; Settings'!$O$2,IF($M1927&gt;='Lists &amp; Settings'!$N$3,'Lists &amp; Settings'!$O$3,'Lists &amp; Settings'!$O$4)),IF($N1927="Partial",IF($M1927&gt;='Lists &amp; Settings'!$N$6,'Lists &amp; Settings'!$O$6,IF($M1927&gt;='Lists &amp; Settings'!$N$7,'Lists &amp; Settings'!$O$7,'Lists &amp; Settings'!$O$8)),'Lists &amp; Settings'!$O$10))))))</f>
        <v/>
      </c>
      <c r="T1927" s="31"/>
      <c r="U1927" s="31"/>
      <c r="V1927" s="31"/>
    </row>
    <row r="1928" ht="15.75" customHeight="1">
      <c r="B1928" s="31"/>
      <c r="N1928" s="127"/>
      <c r="S1928" s="31" t="str">
        <f>IF($C1928="","",IF(OR($M1928="",$N1928=""),'Lists &amp; Settings'!$O$10,IF($N1928="Fail",'Lists &amp; Settings'!$O$9,IF($N1928="Insufficient Evidence",'Lists &amp; Settings'!$O$10,IF($N1928="Pass",IF($M1928&gt;='Lists &amp; Settings'!$N$2,'Lists &amp; Settings'!$O$2,IF($M1928&gt;='Lists &amp; Settings'!$N$3,'Lists &amp; Settings'!$O$3,'Lists &amp; Settings'!$O$4)),IF($N1928="Partial",IF($M1928&gt;='Lists &amp; Settings'!$N$6,'Lists &amp; Settings'!$O$6,IF($M1928&gt;='Lists &amp; Settings'!$N$7,'Lists &amp; Settings'!$O$7,'Lists &amp; Settings'!$O$8)),'Lists &amp; Settings'!$O$10))))))</f>
        <v/>
      </c>
      <c r="T1928" s="31"/>
      <c r="U1928" s="31"/>
      <c r="V1928" s="31"/>
    </row>
    <row r="1929" ht="15.75" customHeight="1">
      <c r="B1929" s="31"/>
      <c r="N1929" s="127"/>
      <c r="S1929" s="31" t="str">
        <f>IF($C1929="","",IF(OR($M1929="",$N1929=""),'Lists &amp; Settings'!$O$10,IF($N1929="Fail",'Lists &amp; Settings'!$O$9,IF($N1929="Insufficient Evidence",'Lists &amp; Settings'!$O$10,IF($N1929="Pass",IF($M1929&gt;='Lists &amp; Settings'!$N$2,'Lists &amp; Settings'!$O$2,IF($M1929&gt;='Lists &amp; Settings'!$N$3,'Lists &amp; Settings'!$O$3,'Lists &amp; Settings'!$O$4)),IF($N1929="Partial",IF($M1929&gt;='Lists &amp; Settings'!$N$6,'Lists &amp; Settings'!$O$6,IF($M1929&gt;='Lists &amp; Settings'!$N$7,'Lists &amp; Settings'!$O$7,'Lists &amp; Settings'!$O$8)),'Lists &amp; Settings'!$O$10))))))</f>
        <v/>
      </c>
      <c r="T1929" s="31"/>
      <c r="U1929" s="31"/>
      <c r="V1929" s="31"/>
    </row>
    <row r="1930" ht="15.75" customHeight="1">
      <c r="B1930" s="31"/>
      <c r="N1930" s="127"/>
      <c r="S1930" s="31" t="str">
        <f>IF($C1930="","",IF(OR($M1930="",$N1930=""),'Lists &amp; Settings'!$O$10,IF($N1930="Fail",'Lists &amp; Settings'!$O$9,IF($N1930="Insufficient Evidence",'Lists &amp; Settings'!$O$10,IF($N1930="Pass",IF($M1930&gt;='Lists &amp; Settings'!$N$2,'Lists &amp; Settings'!$O$2,IF($M1930&gt;='Lists &amp; Settings'!$N$3,'Lists &amp; Settings'!$O$3,'Lists &amp; Settings'!$O$4)),IF($N1930="Partial",IF($M1930&gt;='Lists &amp; Settings'!$N$6,'Lists &amp; Settings'!$O$6,IF($M1930&gt;='Lists &amp; Settings'!$N$7,'Lists &amp; Settings'!$O$7,'Lists &amp; Settings'!$O$8)),'Lists &amp; Settings'!$O$10))))))</f>
        <v/>
      </c>
      <c r="T1930" s="31"/>
      <c r="U1930" s="31"/>
      <c r="V1930" s="31"/>
    </row>
    <row r="1931" ht="15.75" customHeight="1">
      <c r="B1931" s="31"/>
      <c r="N1931" s="127"/>
      <c r="S1931" s="31" t="str">
        <f>IF($C1931="","",IF(OR($M1931="",$N1931=""),'Lists &amp; Settings'!$O$10,IF($N1931="Fail",'Lists &amp; Settings'!$O$9,IF($N1931="Insufficient Evidence",'Lists &amp; Settings'!$O$10,IF($N1931="Pass",IF($M1931&gt;='Lists &amp; Settings'!$N$2,'Lists &amp; Settings'!$O$2,IF($M1931&gt;='Lists &amp; Settings'!$N$3,'Lists &amp; Settings'!$O$3,'Lists &amp; Settings'!$O$4)),IF($N1931="Partial",IF($M1931&gt;='Lists &amp; Settings'!$N$6,'Lists &amp; Settings'!$O$6,IF($M1931&gt;='Lists &amp; Settings'!$N$7,'Lists &amp; Settings'!$O$7,'Lists &amp; Settings'!$O$8)),'Lists &amp; Settings'!$O$10))))))</f>
        <v/>
      </c>
      <c r="T1931" s="31"/>
      <c r="U1931" s="31"/>
      <c r="V1931" s="31"/>
    </row>
    <row r="1932" ht="15.75" customHeight="1">
      <c r="B1932" s="31"/>
      <c r="N1932" s="127"/>
      <c r="S1932" s="31" t="str">
        <f>IF($C1932="","",IF(OR($M1932="",$N1932=""),'Lists &amp; Settings'!$O$10,IF($N1932="Fail",'Lists &amp; Settings'!$O$9,IF($N1932="Insufficient Evidence",'Lists &amp; Settings'!$O$10,IF($N1932="Pass",IF($M1932&gt;='Lists &amp; Settings'!$N$2,'Lists &amp; Settings'!$O$2,IF($M1932&gt;='Lists &amp; Settings'!$N$3,'Lists &amp; Settings'!$O$3,'Lists &amp; Settings'!$O$4)),IF($N1932="Partial",IF($M1932&gt;='Lists &amp; Settings'!$N$6,'Lists &amp; Settings'!$O$6,IF($M1932&gt;='Lists &amp; Settings'!$N$7,'Lists &amp; Settings'!$O$7,'Lists &amp; Settings'!$O$8)),'Lists &amp; Settings'!$O$10))))))</f>
        <v/>
      </c>
      <c r="T1932" s="31"/>
      <c r="U1932" s="31"/>
      <c r="V1932" s="31"/>
    </row>
    <row r="1933" ht="15.75" customHeight="1">
      <c r="B1933" s="31"/>
      <c r="N1933" s="127"/>
      <c r="S1933" s="31" t="str">
        <f>IF($C1933="","",IF(OR($M1933="",$N1933=""),'Lists &amp; Settings'!$O$10,IF($N1933="Fail",'Lists &amp; Settings'!$O$9,IF($N1933="Insufficient Evidence",'Lists &amp; Settings'!$O$10,IF($N1933="Pass",IF($M1933&gt;='Lists &amp; Settings'!$N$2,'Lists &amp; Settings'!$O$2,IF($M1933&gt;='Lists &amp; Settings'!$N$3,'Lists &amp; Settings'!$O$3,'Lists &amp; Settings'!$O$4)),IF($N1933="Partial",IF($M1933&gt;='Lists &amp; Settings'!$N$6,'Lists &amp; Settings'!$O$6,IF($M1933&gt;='Lists &amp; Settings'!$N$7,'Lists &amp; Settings'!$O$7,'Lists &amp; Settings'!$O$8)),'Lists &amp; Settings'!$O$10))))))</f>
        <v/>
      </c>
      <c r="T1933" s="31"/>
      <c r="U1933" s="31"/>
      <c r="V1933" s="31"/>
    </row>
    <row r="1934" ht="15.75" customHeight="1">
      <c r="B1934" s="31"/>
      <c r="N1934" s="127"/>
      <c r="S1934" s="31" t="str">
        <f>IF($C1934="","",IF(OR($M1934="",$N1934=""),'Lists &amp; Settings'!$O$10,IF($N1934="Fail",'Lists &amp; Settings'!$O$9,IF($N1934="Insufficient Evidence",'Lists &amp; Settings'!$O$10,IF($N1934="Pass",IF($M1934&gt;='Lists &amp; Settings'!$N$2,'Lists &amp; Settings'!$O$2,IF($M1934&gt;='Lists &amp; Settings'!$N$3,'Lists &amp; Settings'!$O$3,'Lists &amp; Settings'!$O$4)),IF($N1934="Partial",IF($M1934&gt;='Lists &amp; Settings'!$N$6,'Lists &amp; Settings'!$O$6,IF($M1934&gt;='Lists &amp; Settings'!$N$7,'Lists &amp; Settings'!$O$7,'Lists &amp; Settings'!$O$8)),'Lists &amp; Settings'!$O$10))))))</f>
        <v/>
      </c>
      <c r="T1934" s="31"/>
      <c r="U1934" s="31"/>
      <c r="V1934" s="31"/>
    </row>
    <row r="1935" ht="15.75" customHeight="1">
      <c r="B1935" s="31"/>
      <c r="N1935" s="127"/>
      <c r="S1935" s="31" t="str">
        <f>IF($C1935="","",IF(OR($M1935="",$N1935=""),'Lists &amp; Settings'!$O$10,IF($N1935="Fail",'Lists &amp; Settings'!$O$9,IF($N1935="Insufficient Evidence",'Lists &amp; Settings'!$O$10,IF($N1935="Pass",IF($M1935&gt;='Lists &amp; Settings'!$N$2,'Lists &amp; Settings'!$O$2,IF($M1935&gt;='Lists &amp; Settings'!$N$3,'Lists &amp; Settings'!$O$3,'Lists &amp; Settings'!$O$4)),IF($N1935="Partial",IF($M1935&gt;='Lists &amp; Settings'!$N$6,'Lists &amp; Settings'!$O$6,IF($M1935&gt;='Lists &amp; Settings'!$N$7,'Lists &amp; Settings'!$O$7,'Lists &amp; Settings'!$O$8)),'Lists &amp; Settings'!$O$10))))))</f>
        <v/>
      </c>
      <c r="T1935" s="31"/>
      <c r="U1935" s="31"/>
      <c r="V1935" s="31"/>
    </row>
    <row r="1936" ht="15.75" customHeight="1">
      <c r="B1936" s="31"/>
      <c r="N1936" s="127"/>
      <c r="S1936" s="31" t="str">
        <f>IF($C1936="","",IF(OR($M1936="",$N1936=""),'Lists &amp; Settings'!$O$10,IF($N1936="Fail",'Lists &amp; Settings'!$O$9,IF($N1936="Insufficient Evidence",'Lists &amp; Settings'!$O$10,IF($N1936="Pass",IF($M1936&gt;='Lists &amp; Settings'!$N$2,'Lists &amp; Settings'!$O$2,IF($M1936&gt;='Lists &amp; Settings'!$N$3,'Lists &amp; Settings'!$O$3,'Lists &amp; Settings'!$O$4)),IF($N1936="Partial",IF($M1936&gt;='Lists &amp; Settings'!$N$6,'Lists &amp; Settings'!$O$6,IF($M1936&gt;='Lists &amp; Settings'!$N$7,'Lists &amp; Settings'!$O$7,'Lists &amp; Settings'!$O$8)),'Lists &amp; Settings'!$O$10))))))</f>
        <v/>
      </c>
      <c r="T1936" s="31"/>
      <c r="U1936" s="31"/>
      <c r="V1936" s="31"/>
    </row>
    <row r="1937" ht="15.75" customHeight="1">
      <c r="B1937" s="31"/>
      <c r="N1937" s="127"/>
      <c r="S1937" s="31" t="str">
        <f>IF($C1937="","",IF(OR($M1937="",$N1937=""),'Lists &amp; Settings'!$O$10,IF($N1937="Fail",'Lists &amp; Settings'!$O$9,IF($N1937="Insufficient Evidence",'Lists &amp; Settings'!$O$10,IF($N1937="Pass",IF($M1937&gt;='Lists &amp; Settings'!$N$2,'Lists &amp; Settings'!$O$2,IF($M1937&gt;='Lists &amp; Settings'!$N$3,'Lists &amp; Settings'!$O$3,'Lists &amp; Settings'!$O$4)),IF($N1937="Partial",IF($M1937&gt;='Lists &amp; Settings'!$N$6,'Lists &amp; Settings'!$O$6,IF($M1937&gt;='Lists &amp; Settings'!$N$7,'Lists &amp; Settings'!$O$7,'Lists &amp; Settings'!$O$8)),'Lists &amp; Settings'!$O$10))))))</f>
        <v/>
      </c>
      <c r="T1937" s="31"/>
      <c r="U1937" s="31"/>
      <c r="V1937" s="31"/>
    </row>
    <row r="1938" ht="15.75" customHeight="1">
      <c r="B1938" s="31"/>
      <c r="N1938" s="127"/>
      <c r="S1938" s="31" t="str">
        <f>IF($C1938="","",IF(OR($M1938="",$N1938=""),'Lists &amp; Settings'!$O$10,IF($N1938="Fail",'Lists &amp; Settings'!$O$9,IF($N1938="Insufficient Evidence",'Lists &amp; Settings'!$O$10,IF($N1938="Pass",IF($M1938&gt;='Lists &amp; Settings'!$N$2,'Lists &amp; Settings'!$O$2,IF($M1938&gt;='Lists &amp; Settings'!$N$3,'Lists &amp; Settings'!$O$3,'Lists &amp; Settings'!$O$4)),IF($N1938="Partial",IF($M1938&gt;='Lists &amp; Settings'!$N$6,'Lists &amp; Settings'!$O$6,IF($M1938&gt;='Lists &amp; Settings'!$N$7,'Lists &amp; Settings'!$O$7,'Lists &amp; Settings'!$O$8)),'Lists &amp; Settings'!$O$10))))))</f>
        <v/>
      </c>
      <c r="T1938" s="31"/>
      <c r="U1938" s="31"/>
      <c r="V1938" s="31"/>
    </row>
    <row r="1939" ht="15.75" customHeight="1">
      <c r="B1939" s="31"/>
      <c r="N1939" s="127"/>
      <c r="S1939" s="31" t="str">
        <f>IF($C1939="","",IF(OR($M1939="",$N1939=""),'Lists &amp; Settings'!$O$10,IF($N1939="Fail",'Lists &amp; Settings'!$O$9,IF($N1939="Insufficient Evidence",'Lists &amp; Settings'!$O$10,IF($N1939="Pass",IF($M1939&gt;='Lists &amp; Settings'!$N$2,'Lists &amp; Settings'!$O$2,IF($M1939&gt;='Lists &amp; Settings'!$N$3,'Lists &amp; Settings'!$O$3,'Lists &amp; Settings'!$O$4)),IF($N1939="Partial",IF($M1939&gt;='Lists &amp; Settings'!$N$6,'Lists &amp; Settings'!$O$6,IF($M1939&gt;='Lists &amp; Settings'!$N$7,'Lists &amp; Settings'!$O$7,'Lists &amp; Settings'!$O$8)),'Lists &amp; Settings'!$O$10))))))</f>
        <v/>
      </c>
      <c r="T1939" s="31"/>
      <c r="U1939" s="31"/>
      <c r="V1939" s="31"/>
    </row>
    <row r="1940" ht="15.75" customHeight="1">
      <c r="B1940" s="31"/>
      <c r="N1940" s="127"/>
      <c r="S1940" s="31" t="str">
        <f>IF($C1940="","",IF(OR($M1940="",$N1940=""),'Lists &amp; Settings'!$O$10,IF($N1940="Fail",'Lists &amp; Settings'!$O$9,IF($N1940="Insufficient Evidence",'Lists &amp; Settings'!$O$10,IF($N1940="Pass",IF($M1940&gt;='Lists &amp; Settings'!$N$2,'Lists &amp; Settings'!$O$2,IF($M1940&gt;='Lists &amp; Settings'!$N$3,'Lists &amp; Settings'!$O$3,'Lists &amp; Settings'!$O$4)),IF($N1940="Partial",IF($M1940&gt;='Lists &amp; Settings'!$N$6,'Lists &amp; Settings'!$O$6,IF($M1940&gt;='Lists &amp; Settings'!$N$7,'Lists &amp; Settings'!$O$7,'Lists &amp; Settings'!$O$8)),'Lists &amp; Settings'!$O$10))))))</f>
        <v/>
      </c>
      <c r="T1940" s="31"/>
      <c r="U1940" s="31"/>
      <c r="V1940" s="31"/>
    </row>
    <row r="1941" ht="15.75" customHeight="1">
      <c r="B1941" s="31"/>
      <c r="N1941" s="127"/>
      <c r="S1941" s="31" t="str">
        <f>IF($C1941="","",IF(OR($M1941="",$N1941=""),'Lists &amp; Settings'!$O$10,IF($N1941="Fail",'Lists &amp; Settings'!$O$9,IF($N1941="Insufficient Evidence",'Lists &amp; Settings'!$O$10,IF($N1941="Pass",IF($M1941&gt;='Lists &amp; Settings'!$N$2,'Lists &amp; Settings'!$O$2,IF($M1941&gt;='Lists &amp; Settings'!$N$3,'Lists &amp; Settings'!$O$3,'Lists &amp; Settings'!$O$4)),IF($N1941="Partial",IF($M1941&gt;='Lists &amp; Settings'!$N$6,'Lists &amp; Settings'!$O$6,IF($M1941&gt;='Lists &amp; Settings'!$N$7,'Lists &amp; Settings'!$O$7,'Lists &amp; Settings'!$O$8)),'Lists &amp; Settings'!$O$10))))))</f>
        <v/>
      </c>
      <c r="T1941" s="31"/>
      <c r="U1941" s="31"/>
      <c r="V1941" s="31"/>
    </row>
    <row r="1942" ht="15.75" customHeight="1">
      <c r="B1942" s="31"/>
      <c r="N1942" s="127"/>
      <c r="S1942" s="31" t="str">
        <f>IF($C1942="","",IF(OR($M1942="",$N1942=""),'Lists &amp; Settings'!$O$10,IF($N1942="Fail",'Lists &amp; Settings'!$O$9,IF($N1942="Insufficient Evidence",'Lists &amp; Settings'!$O$10,IF($N1942="Pass",IF($M1942&gt;='Lists &amp; Settings'!$N$2,'Lists &amp; Settings'!$O$2,IF($M1942&gt;='Lists &amp; Settings'!$N$3,'Lists &amp; Settings'!$O$3,'Lists &amp; Settings'!$O$4)),IF($N1942="Partial",IF($M1942&gt;='Lists &amp; Settings'!$N$6,'Lists &amp; Settings'!$O$6,IF($M1942&gt;='Lists &amp; Settings'!$N$7,'Lists &amp; Settings'!$O$7,'Lists &amp; Settings'!$O$8)),'Lists &amp; Settings'!$O$10))))))</f>
        <v/>
      </c>
      <c r="T1942" s="31"/>
      <c r="U1942" s="31"/>
      <c r="V1942" s="31"/>
    </row>
    <row r="1943" ht="15.75" customHeight="1">
      <c r="B1943" s="31"/>
      <c r="N1943" s="127"/>
      <c r="S1943" s="31" t="str">
        <f>IF($C1943="","",IF(OR($M1943="",$N1943=""),'Lists &amp; Settings'!$O$10,IF($N1943="Fail",'Lists &amp; Settings'!$O$9,IF($N1943="Insufficient Evidence",'Lists &amp; Settings'!$O$10,IF($N1943="Pass",IF($M1943&gt;='Lists &amp; Settings'!$N$2,'Lists &amp; Settings'!$O$2,IF($M1943&gt;='Lists &amp; Settings'!$N$3,'Lists &amp; Settings'!$O$3,'Lists &amp; Settings'!$O$4)),IF($N1943="Partial",IF($M1943&gt;='Lists &amp; Settings'!$N$6,'Lists &amp; Settings'!$O$6,IF($M1943&gt;='Lists &amp; Settings'!$N$7,'Lists &amp; Settings'!$O$7,'Lists &amp; Settings'!$O$8)),'Lists &amp; Settings'!$O$10))))))</f>
        <v/>
      </c>
      <c r="T1943" s="31"/>
      <c r="U1943" s="31"/>
      <c r="V1943" s="31"/>
    </row>
    <row r="1944" ht="15.75" customHeight="1">
      <c r="B1944" s="31"/>
      <c r="N1944" s="127"/>
      <c r="S1944" s="31" t="str">
        <f>IF($C1944="","",IF(OR($M1944="",$N1944=""),'Lists &amp; Settings'!$O$10,IF($N1944="Fail",'Lists &amp; Settings'!$O$9,IF($N1944="Insufficient Evidence",'Lists &amp; Settings'!$O$10,IF($N1944="Pass",IF($M1944&gt;='Lists &amp; Settings'!$N$2,'Lists &amp; Settings'!$O$2,IF($M1944&gt;='Lists &amp; Settings'!$N$3,'Lists &amp; Settings'!$O$3,'Lists &amp; Settings'!$O$4)),IF($N1944="Partial",IF($M1944&gt;='Lists &amp; Settings'!$N$6,'Lists &amp; Settings'!$O$6,IF($M1944&gt;='Lists &amp; Settings'!$N$7,'Lists &amp; Settings'!$O$7,'Lists &amp; Settings'!$O$8)),'Lists &amp; Settings'!$O$10))))))</f>
        <v/>
      </c>
      <c r="T1944" s="31"/>
      <c r="U1944" s="31"/>
      <c r="V1944" s="31"/>
    </row>
    <row r="1945" ht="15.75" customHeight="1">
      <c r="B1945" s="31"/>
      <c r="N1945" s="127"/>
      <c r="S1945" s="31" t="str">
        <f>IF($C1945="","",IF(OR($M1945="",$N1945=""),'Lists &amp; Settings'!$O$10,IF($N1945="Fail",'Lists &amp; Settings'!$O$9,IF($N1945="Insufficient Evidence",'Lists &amp; Settings'!$O$10,IF($N1945="Pass",IF($M1945&gt;='Lists &amp; Settings'!$N$2,'Lists &amp; Settings'!$O$2,IF($M1945&gt;='Lists &amp; Settings'!$N$3,'Lists &amp; Settings'!$O$3,'Lists &amp; Settings'!$O$4)),IF($N1945="Partial",IF($M1945&gt;='Lists &amp; Settings'!$N$6,'Lists &amp; Settings'!$O$6,IF($M1945&gt;='Lists &amp; Settings'!$N$7,'Lists &amp; Settings'!$O$7,'Lists &amp; Settings'!$O$8)),'Lists &amp; Settings'!$O$10))))))</f>
        <v/>
      </c>
      <c r="T1945" s="31"/>
      <c r="U1945" s="31"/>
      <c r="V1945" s="31"/>
    </row>
    <row r="1946" ht="15.75" customHeight="1">
      <c r="B1946" s="31"/>
      <c r="N1946" s="127"/>
      <c r="S1946" s="31" t="str">
        <f>IF($C1946="","",IF(OR($M1946="",$N1946=""),'Lists &amp; Settings'!$O$10,IF($N1946="Fail",'Lists &amp; Settings'!$O$9,IF($N1946="Insufficient Evidence",'Lists &amp; Settings'!$O$10,IF($N1946="Pass",IF($M1946&gt;='Lists &amp; Settings'!$N$2,'Lists &amp; Settings'!$O$2,IF($M1946&gt;='Lists &amp; Settings'!$N$3,'Lists &amp; Settings'!$O$3,'Lists &amp; Settings'!$O$4)),IF($N1946="Partial",IF($M1946&gt;='Lists &amp; Settings'!$N$6,'Lists &amp; Settings'!$O$6,IF($M1946&gt;='Lists &amp; Settings'!$N$7,'Lists &amp; Settings'!$O$7,'Lists &amp; Settings'!$O$8)),'Lists &amp; Settings'!$O$10))))))</f>
        <v/>
      </c>
      <c r="T1946" s="31"/>
      <c r="U1946" s="31"/>
      <c r="V1946" s="31"/>
    </row>
    <row r="1947" ht="15.75" customHeight="1">
      <c r="B1947" s="31"/>
      <c r="N1947" s="127"/>
      <c r="S1947" s="31" t="str">
        <f>IF($C1947="","",IF(OR($M1947="",$N1947=""),'Lists &amp; Settings'!$O$10,IF($N1947="Fail",'Lists &amp; Settings'!$O$9,IF($N1947="Insufficient Evidence",'Lists &amp; Settings'!$O$10,IF($N1947="Pass",IF($M1947&gt;='Lists &amp; Settings'!$N$2,'Lists &amp; Settings'!$O$2,IF($M1947&gt;='Lists &amp; Settings'!$N$3,'Lists &amp; Settings'!$O$3,'Lists &amp; Settings'!$O$4)),IF($N1947="Partial",IF($M1947&gt;='Lists &amp; Settings'!$N$6,'Lists &amp; Settings'!$O$6,IF($M1947&gt;='Lists &amp; Settings'!$N$7,'Lists &amp; Settings'!$O$7,'Lists &amp; Settings'!$O$8)),'Lists &amp; Settings'!$O$10))))))</f>
        <v/>
      </c>
      <c r="T1947" s="31"/>
      <c r="U1947" s="31"/>
      <c r="V1947" s="31"/>
    </row>
    <row r="1948" ht="15.75" customHeight="1">
      <c r="B1948" s="31"/>
      <c r="N1948" s="127"/>
      <c r="S1948" s="31" t="str">
        <f>IF($C1948="","",IF(OR($M1948="",$N1948=""),'Lists &amp; Settings'!$O$10,IF($N1948="Fail",'Lists &amp; Settings'!$O$9,IF($N1948="Insufficient Evidence",'Lists &amp; Settings'!$O$10,IF($N1948="Pass",IF($M1948&gt;='Lists &amp; Settings'!$N$2,'Lists &amp; Settings'!$O$2,IF($M1948&gt;='Lists &amp; Settings'!$N$3,'Lists &amp; Settings'!$O$3,'Lists &amp; Settings'!$O$4)),IF($N1948="Partial",IF($M1948&gt;='Lists &amp; Settings'!$N$6,'Lists &amp; Settings'!$O$6,IF($M1948&gt;='Lists &amp; Settings'!$N$7,'Lists &amp; Settings'!$O$7,'Lists &amp; Settings'!$O$8)),'Lists &amp; Settings'!$O$10))))))</f>
        <v/>
      </c>
      <c r="T1948" s="31"/>
      <c r="U1948" s="31"/>
      <c r="V1948" s="31"/>
    </row>
    <row r="1949" ht="15.75" customHeight="1">
      <c r="B1949" s="31"/>
      <c r="N1949" s="127"/>
      <c r="S1949" s="31" t="str">
        <f>IF($C1949="","",IF(OR($M1949="",$N1949=""),'Lists &amp; Settings'!$O$10,IF($N1949="Fail",'Lists &amp; Settings'!$O$9,IF($N1949="Insufficient Evidence",'Lists &amp; Settings'!$O$10,IF($N1949="Pass",IF($M1949&gt;='Lists &amp; Settings'!$N$2,'Lists &amp; Settings'!$O$2,IF($M1949&gt;='Lists &amp; Settings'!$N$3,'Lists &amp; Settings'!$O$3,'Lists &amp; Settings'!$O$4)),IF($N1949="Partial",IF($M1949&gt;='Lists &amp; Settings'!$N$6,'Lists &amp; Settings'!$O$6,IF($M1949&gt;='Lists &amp; Settings'!$N$7,'Lists &amp; Settings'!$O$7,'Lists &amp; Settings'!$O$8)),'Lists &amp; Settings'!$O$10))))))</f>
        <v/>
      </c>
      <c r="T1949" s="31"/>
      <c r="U1949" s="31"/>
      <c r="V1949" s="31"/>
    </row>
    <row r="1950" ht="15.75" customHeight="1">
      <c r="B1950" s="31"/>
      <c r="N1950" s="127"/>
      <c r="S1950" s="31" t="str">
        <f>IF($C1950="","",IF(OR($M1950="",$N1950=""),'Lists &amp; Settings'!$O$10,IF($N1950="Fail",'Lists &amp; Settings'!$O$9,IF($N1950="Insufficient Evidence",'Lists &amp; Settings'!$O$10,IF($N1950="Pass",IF($M1950&gt;='Lists &amp; Settings'!$N$2,'Lists &amp; Settings'!$O$2,IF($M1950&gt;='Lists &amp; Settings'!$N$3,'Lists &amp; Settings'!$O$3,'Lists &amp; Settings'!$O$4)),IF($N1950="Partial",IF($M1950&gt;='Lists &amp; Settings'!$N$6,'Lists &amp; Settings'!$O$6,IF($M1950&gt;='Lists &amp; Settings'!$N$7,'Lists &amp; Settings'!$O$7,'Lists &amp; Settings'!$O$8)),'Lists &amp; Settings'!$O$10))))))</f>
        <v/>
      </c>
      <c r="T1950" s="31"/>
      <c r="U1950" s="31"/>
      <c r="V1950" s="31"/>
    </row>
    <row r="1951" ht="15.75" customHeight="1">
      <c r="B1951" s="31"/>
      <c r="N1951" s="127"/>
      <c r="S1951" s="31" t="str">
        <f>IF($C1951="","",IF(OR($M1951="",$N1951=""),'Lists &amp; Settings'!$O$10,IF($N1951="Fail",'Lists &amp; Settings'!$O$9,IF($N1951="Insufficient Evidence",'Lists &amp; Settings'!$O$10,IF($N1951="Pass",IF($M1951&gt;='Lists &amp; Settings'!$N$2,'Lists &amp; Settings'!$O$2,IF($M1951&gt;='Lists &amp; Settings'!$N$3,'Lists &amp; Settings'!$O$3,'Lists &amp; Settings'!$O$4)),IF($N1951="Partial",IF($M1951&gt;='Lists &amp; Settings'!$N$6,'Lists &amp; Settings'!$O$6,IF($M1951&gt;='Lists &amp; Settings'!$N$7,'Lists &amp; Settings'!$O$7,'Lists &amp; Settings'!$O$8)),'Lists &amp; Settings'!$O$10))))))</f>
        <v/>
      </c>
      <c r="T1951" s="31"/>
      <c r="U1951" s="31"/>
      <c r="V1951" s="31"/>
    </row>
    <row r="1952" ht="15.75" customHeight="1">
      <c r="B1952" s="31"/>
      <c r="N1952" s="127"/>
      <c r="S1952" s="31" t="str">
        <f>IF($C1952="","",IF(OR($M1952="",$N1952=""),'Lists &amp; Settings'!$O$10,IF($N1952="Fail",'Lists &amp; Settings'!$O$9,IF($N1952="Insufficient Evidence",'Lists &amp; Settings'!$O$10,IF($N1952="Pass",IF($M1952&gt;='Lists &amp; Settings'!$N$2,'Lists &amp; Settings'!$O$2,IF($M1952&gt;='Lists &amp; Settings'!$N$3,'Lists &amp; Settings'!$O$3,'Lists &amp; Settings'!$O$4)),IF($N1952="Partial",IF($M1952&gt;='Lists &amp; Settings'!$N$6,'Lists &amp; Settings'!$O$6,IF($M1952&gt;='Lists &amp; Settings'!$N$7,'Lists &amp; Settings'!$O$7,'Lists &amp; Settings'!$O$8)),'Lists &amp; Settings'!$O$10))))))</f>
        <v/>
      </c>
      <c r="T1952" s="31"/>
      <c r="U1952" s="31"/>
      <c r="V1952" s="31"/>
    </row>
    <row r="1953" ht="15.75" customHeight="1">
      <c r="B1953" s="31"/>
      <c r="N1953" s="127"/>
      <c r="S1953" s="31" t="str">
        <f>IF($C1953="","",IF(OR($M1953="",$N1953=""),'Lists &amp; Settings'!$O$10,IF($N1953="Fail",'Lists &amp; Settings'!$O$9,IF($N1953="Insufficient Evidence",'Lists &amp; Settings'!$O$10,IF($N1953="Pass",IF($M1953&gt;='Lists &amp; Settings'!$N$2,'Lists &amp; Settings'!$O$2,IF($M1953&gt;='Lists &amp; Settings'!$N$3,'Lists &amp; Settings'!$O$3,'Lists &amp; Settings'!$O$4)),IF($N1953="Partial",IF($M1953&gt;='Lists &amp; Settings'!$N$6,'Lists &amp; Settings'!$O$6,IF($M1953&gt;='Lists &amp; Settings'!$N$7,'Lists &amp; Settings'!$O$7,'Lists &amp; Settings'!$O$8)),'Lists &amp; Settings'!$O$10))))))</f>
        <v/>
      </c>
      <c r="T1953" s="31"/>
      <c r="U1953" s="31"/>
      <c r="V1953" s="31"/>
    </row>
    <row r="1954" ht="15.75" customHeight="1">
      <c r="B1954" s="31"/>
      <c r="N1954" s="127"/>
      <c r="S1954" s="31" t="str">
        <f>IF($C1954="","",IF(OR($M1954="",$N1954=""),'Lists &amp; Settings'!$O$10,IF($N1954="Fail",'Lists &amp; Settings'!$O$9,IF($N1954="Insufficient Evidence",'Lists &amp; Settings'!$O$10,IF($N1954="Pass",IF($M1954&gt;='Lists &amp; Settings'!$N$2,'Lists &amp; Settings'!$O$2,IF($M1954&gt;='Lists &amp; Settings'!$N$3,'Lists &amp; Settings'!$O$3,'Lists &amp; Settings'!$O$4)),IF($N1954="Partial",IF($M1954&gt;='Lists &amp; Settings'!$N$6,'Lists &amp; Settings'!$O$6,IF($M1954&gt;='Lists &amp; Settings'!$N$7,'Lists &amp; Settings'!$O$7,'Lists &amp; Settings'!$O$8)),'Lists &amp; Settings'!$O$10))))))</f>
        <v/>
      </c>
      <c r="T1954" s="31"/>
      <c r="U1954" s="31"/>
      <c r="V1954" s="31"/>
    </row>
    <row r="1955" ht="15.75" customHeight="1">
      <c r="B1955" s="31"/>
      <c r="N1955" s="127"/>
      <c r="S1955" s="31" t="str">
        <f>IF($C1955="","",IF(OR($M1955="",$N1955=""),'Lists &amp; Settings'!$O$10,IF($N1955="Fail",'Lists &amp; Settings'!$O$9,IF($N1955="Insufficient Evidence",'Lists &amp; Settings'!$O$10,IF($N1955="Pass",IF($M1955&gt;='Lists &amp; Settings'!$N$2,'Lists &amp; Settings'!$O$2,IF($M1955&gt;='Lists &amp; Settings'!$N$3,'Lists &amp; Settings'!$O$3,'Lists &amp; Settings'!$O$4)),IF($N1955="Partial",IF($M1955&gt;='Lists &amp; Settings'!$N$6,'Lists &amp; Settings'!$O$6,IF($M1955&gt;='Lists &amp; Settings'!$N$7,'Lists &amp; Settings'!$O$7,'Lists &amp; Settings'!$O$8)),'Lists &amp; Settings'!$O$10))))))</f>
        <v/>
      </c>
      <c r="T1955" s="31"/>
      <c r="U1955" s="31"/>
      <c r="V1955" s="31"/>
    </row>
    <row r="1956" ht="15.75" customHeight="1">
      <c r="B1956" s="31"/>
      <c r="N1956" s="127"/>
      <c r="S1956" s="31" t="str">
        <f>IF($C1956="","",IF(OR($M1956="",$N1956=""),'Lists &amp; Settings'!$O$10,IF($N1956="Fail",'Lists &amp; Settings'!$O$9,IF($N1956="Insufficient Evidence",'Lists &amp; Settings'!$O$10,IF($N1956="Pass",IF($M1956&gt;='Lists &amp; Settings'!$N$2,'Lists &amp; Settings'!$O$2,IF($M1956&gt;='Lists &amp; Settings'!$N$3,'Lists &amp; Settings'!$O$3,'Lists &amp; Settings'!$O$4)),IF($N1956="Partial",IF($M1956&gt;='Lists &amp; Settings'!$N$6,'Lists &amp; Settings'!$O$6,IF($M1956&gt;='Lists &amp; Settings'!$N$7,'Lists &amp; Settings'!$O$7,'Lists &amp; Settings'!$O$8)),'Lists &amp; Settings'!$O$10))))))</f>
        <v/>
      </c>
      <c r="T1956" s="31"/>
      <c r="U1956" s="31"/>
      <c r="V1956" s="31"/>
    </row>
    <row r="1957" ht="15.75" customHeight="1">
      <c r="B1957" s="31"/>
      <c r="N1957" s="127"/>
      <c r="S1957" s="31" t="str">
        <f>IF($C1957="","",IF(OR($M1957="",$N1957=""),'Lists &amp; Settings'!$O$10,IF($N1957="Fail",'Lists &amp; Settings'!$O$9,IF($N1957="Insufficient Evidence",'Lists &amp; Settings'!$O$10,IF($N1957="Pass",IF($M1957&gt;='Lists &amp; Settings'!$N$2,'Lists &amp; Settings'!$O$2,IF($M1957&gt;='Lists &amp; Settings'!$N$3,'Lists &amp; Settings'!$O$3,'Lists &amp; Settings'!$O$4)),IF($N1957="Partial",IF($M1957&gt;='Lists &amp; Settings'!$N$6,'Lists &amp; Settings'!$O$6,IF($M1957&gt;='Lists &amp; Settings'!$N$7,'Lists &amp; Settings'!$O$7,'Lists &amp; Settings'!$O$8)),'Lists &amp; Settings'!$O$10))))))</f>
        <v/>
      </c>
      <c r="T1957" s="31"/>
      <c r="U1957" s="31"/>
      <c r="V1957" s="31"/>
    </row>
    <row r="1958" ht="15.75" customHeight="1">
      <c r="B1958" s="31"/>
      <c r="N1958" s="127"/>
      <c r="S1958" s="31" t="str">
        <f>IF($C1958="","",IF(OR($M1958="",$N1958=""),'Lists &amp; Settings'!$O$10,IF($N1958="Fail",'Lists &amp; Settings'!$O$9,IF($N1958="Insufficient Evidence",'Lists &amp; Settings'!$O$10,IF($N1958="Pass",IF($M1958&gt;='Lists &amp; Settings'!$N$2,'Lists &amp; Settings'!$O$2,IF($M1958&gt;='Lists &amp; Settings'!$N$3,'Lists &amp; Settings'!$O$3,'Lists &amp; Settings'!$O$4)),IF($N1958="Partial",IF($M1958&gt;='Lists &amp; Settings'!$N$6,'Lists &amp; Settings'!$O$6,IF($M1958&gt;='Lists &amp; Settings'!$N$7,'Lists &amp; Settings'!$O$7,'Lists &amp; Settings'!$O$8)),'Lists &amp; Settings'!$O$10))))))</f>
        <v/>
      </c>
      <c r="T1958" s="31"/>
      <c r="U1958" s="31"/>
      <c r="V1958" s="31"/>
    </row>
    <row r="1959" ht="15.75" customHeight="1">
      <c r="B1959" s="31"/>
      <c r="N1959" s="127"/>
      <c r="S1959" s="31" t="str">
        <f>IF($C1959="","",IF(OR($M1959="",$N1959=""),'Lists &amp; Settings'!$O$10,IF($N1959="Fail",'Lists &amp; Settings'!$O$9,IF($N1959="Insufficient Evidence",'Lists &amp; Settings'!$O$10,IF($N1959="Pass",IF($M1959&gt;='Lists &amp; Settings'!$N$2,'Lists &amp; Settings'!$O$2,IF($M1959&gt;='Lists &amp; Settings'!$N$3,'Lists &amp; Settings'!$O$3,'Lists &amp; Settings'!$O$4)),IF($N1959="Partial",IF($M1959&gt;='Lists &amp; Settings'!$N$6,'Lists &amp; Settings'!$O$6,IF($M1959&gt;='Lists &amp; Settings'!$N$7,'Lists &amp; Settings'!$O$7,'Lists &amp; Settings'!$O$8)),'Lists &amp; Settings'!$O$10))))))</f>
        <v/>
      </c>
      <c r="T1959" s="31"/>
      <c r="U1959" s="31"/>
      <c r="V1959" s="31"/>
    </row>
    <row r="1960" ht="15.75" customHeight="1">
      <c r="B1960" s="31"/>
      <c r="N1960" s="127"/>
      <c r="S1960" s="31" t="str">
        <f>IF($C1960="","",IF(OR($M1960="",$N1960=""),'Lists &amp; Settings'!$O$10,IF($N1960="Fail",'Lists &amp; Settings'!$O$9,IF($N1960="Insufficient Evidence",'Lists &amp; Settings'!$O$10,IF($N1960="Pass",IF($M1960&gt;='Lists &amp; Settings'!$N$2,'Lists &amp; Settings'!$O$2,IF($M1960&gt;='Lists &amp; Settings'!$N$3,'Lists &amp; Settings'!$O$3,'Lists &amp; Settings'!$O$4)),IF($N1960="Partial",IF($M1960&gt;='Lists &amp; Settings'!$N$6,'Lists &amp; Settings'!$O$6,IF($M1960&gt;='Lists &amp; Settings'!$N$7,'Lists &amp; Settings'!$O$7,'Lists &amp; Settings'!$O$8)),'Lists &amp; Settings'!$O$10))))))</f>
        <v/>
      </c>
      <c r="T1960" s="31"/>
      <c r="U1960" s="31"/>
      <c r="V1960" s="31"/>
    </row>
    <row r="1961" ht="15.75" customHeight="1">
      <c r="B1961" s="31"/>
      <c r="N1961" s="127"/>
      <c r="S1961" s="31" t="str">
        <f>IF($C1961="","",IF(OR($M1961="",$N1961=""),'Lists &amp; Settings'!$O$10,IF($N1961="Fail",'Lists &amp; Settings'!$O$9,IF($N1961="Insufficient Evidence",'Lists &amp; Settings'!$O$10,IF($N1961="Pass",IF($M1961&gt;='Lists &amp; Settings'!$N$2,'Lists &amp; Settings'!$O$2,IF($M1961&gt;='Lists &amp; Settings'!$N$3,'Lists &amp; Settings'!$O$3,'Lists &amp; Settings'!$O$4)),IF($N1961="Partial",IF($M1961&gt;='Lists &amp; Settings'!$N$6,'Lists &amp; Settings'!$O$6,IF($M1961&gt;='Lists &amp; Settings'!$N$7,'Lists &amp; Settings'!$O$7,'Lists &amp; Settings'!$O$8)),'Lists &amp; Settings'!$O$10))))))</f>
        <v/>
      </c>
      <c r="T1961" s="31"/>
      <c r="U1961" s="31"/>
      <c r="V1961" s="31"/>
    </row>
    <row r="1962" ht="15.75" customHeight="1">
      <c r="B1962" s="31"/>
      <c r="N1962" s="127"/>
      <c r="S1962" s="31" t="str">
        <f>IF($C1962="","",IF(OR($M1962="",$N1962=""),'Lists &amp; Settings'!$O$10,IF($N1962="Fail",'Lists &amp; Settings'!$O$9,IF($N1962="Insufficient Evidence",'Lists &amp; Settings'!$O$10,IF($N1962="Pass",IF($M1962&gt;='Lists &amp; Settings'!$N$2,'Lists &amp; Settings'!$O$2,IF($M1962&gt;='Lists &amp; Settings'!$N$3,'Lists &amp; Settings'!$O$3,'Lists &amp; Settings'!$O$4)),IF($N1962="Partial",IF($M1962&gt;='Lists &amp; Settings'!$N$6,'Lists &amp; Settings'!$O$6,IF($M1962&gt;='Lists &amp; Settings'!$N$7,'Lists &amp; Settings'!$O$7,'Lists &amp; Settings'!$O$8)),'Lists &amp; Settings'!$O$10))))))</f>
        <v/>
      </c>
      <c r="T1962" s="31"/>
      <c r="U1962" s="31"/>
      <c r="V1962" s="31"/>
    </row>
    <row r="1963" ht="15.75" customHeight="1">
      <c r="B1963" s="31"/>
      <c r="N1963" s="127"/>
      <c r="S1963" s="31" t="str">
        <f>IF($C1963="","",IF(OR($M1963="",$N1963=""),'Lists &amp; Settings'!$O$10,IF($N1963="Fail",'Lists &amp; Settings'!$O$9,IF($N1963="Insufficient Evidence",'Lists &amp; Settings'!$O$10,IF($N1963="Pass",IF($M1963&gt;='Lists &amp; Settings'!$N$2,'Lists &amp; Settings'!$O$2,IF($M1963&gt;='Lists &amp; Settings'!$N$3,'Lists &amp; Settings'!$O$3,'Lists &amp; Settings'!$O$4)),IF($N1963="Partial",IF($M1963&gt;='Lists &amp; Settings'!$N$6,'Lists &amp; Settings'!$O$6,IF($M1963&gt;='Lists &amp; Settings'!$N$7,'Lists &amp; Settings'!$O$7,'Lists &amp; Settings'!$O$8)),'Lists &amp; Settings'!$O$10))))))</f>
        <v/>
      </c>
      <c r="T1963" s="31"/>
      <c r="U1963" s="31"/>
      <c r="V1963" s="31"/>
    </row>
    <row r="1964" ht="15.75" customHeight="1">
      <c r="B1964" s="31"/>
      <c r="N1964" s="127"/>
      <c r="S1964" s="31" t="str">
        <f>IF($C1964="","",IF(OR($M1964="",$N1964=""),'Lists &amp; Settings'!$O$10,IF($N1964="Fail",'Lists &amp; Settings'!$O$9,IF($N1964="Insufficient Evidence",'Lists &amp; Settings'!$O$10,IF($N1964="Pass",IF($M1964&gt;='Lists &amp; Settings'!$N$2,'Lists &amp; Settings'!$O$2,IF($M1964&gt;='Lists &amp; Settings'!$N$3,'Lists &amp; Settings'!$O$3,'Lists &amp; Settings'!$O$4)),IF($N1964="Partial",IF($M1964&gt;='Lists &amp; Settings'!$N$6,'Lists &amp; Settings'!$O$6,IF($M1964&gt;='Lists &amp; Settings'!$N$7,'Lists &amp; Settings'!$O$7,'Lists &amp; Settings'!$O$8)),'Lists &amp; Settings'!$O$10))))))</f>
        <v/>
      </c>
      <c r="T1964" s="31"/>
      <c r="U1964" s="31"/>
      <c r="V1964" s="31"/>
    </row>
    <row r="1965" ht="15.75" customHeight="1">
      <c r="B1965" s="31"/>
      <c r="N1965" s="127"/>
      <c r="S1965" s="31" t="str">
        <f>IF($C1965="","",IF(OR($M1965="",$N1965=""),'Lists &amp; Settings'!$O$10,IF($N1965="Fail",'Lists &amp; Settings'!$O$9,IF($N1965="Insufficient Evidence",'Lists &amp; Settings'!$O$10,IF($N1965="Pass",IF($M1965&gt;='Lists &amp; Settings'!$N$2,'Lists &amp; Settings'!$O$2,IF($M1965&gt;='Lists &amp; Settings'!$N$3,'Lists &amp; Settings'!$O$3,'Lists &amp; Settings'!$O$4)),IF($N1965="Partial",IF($M1965&gt;='Lists &amp; Settings'!$N$6,'Lists &amp; Settings'!$O$6,IF($M1965&gt;='Lists &amp; Settings'!$N$7,'Lists &amp; Settings'!$O$7,'Lists &amp; Settings'!$O$8)),'Lists &amp; Settings'!$O$10))))))</f>
        <v/>
      </c>
      <c r="T1965" s="31"/>
      <c r="U1965" s="31"/>
      <c r="V1965" s="31"/>
    </row>
    <row r="1966" ht="15.75" customHeight="1">
      <c r="B1966" s="31"/>
      <c r="N1966" s="127"/>
      <c r="S1966" s="31" t="str">
        <f>IF($C1966="","",IF(OR($M1966="",$N1966=""),'Lists &amp; Settings'!$O$10,IF($N1966="Fail",'Lists &amp; Settings'!$O$9,IF($N1966="Insufficient Evidence",'Lists &amp; Settings'!$O$10,IF($N1966="Pass",IF($M1966&gt;='Lists &amp; Settings'!$N$2,'Lists &amp; Settings'!$O$2,IF($M1966&gt;='Lists &amp; Settings'!$N$3,'Lists &amp; Settings'!$O$3,'Lists &amp; Settings'!$O$4)),IF($N1966="Partial",IF($M1966&gt;='Lists &amp; Settings'!$N$6,'Lists &amp; Settings'!$O$6,IF($M1966&gt;='Lists &amp; Settings'!$N$7,'Lists &amp; Settings'!$O$7,'Lists &amp; Settings'!$O$8)),'Lists &amp; Settings'!$O$10))))))</f>
        <v/>
      </c>
      <c r="T1966" s="31"/>
      <c r="U1966" s="31"/>
      <c r="V1966" s="31"/>
    </row>
    <row r="1967" ht="15.75" customHeight="1">
      <c r="B1967" s="31"/>
      <c r="N1967" s="127"/>
      <c r="S1967" s="31" t="str">
        <f>IF($C1967="","",IF(OR($M1967="",$N1967=""),'Lists &amp; Settings'!$O$10,IF($N1967="Fail",'Lists &amp; Settings'!$O$9,IF($N1967="Insufficient Evidence",'Lists &amp; Settings'!$O$10,IF($N1967="Pass",IF($M1967&gt;='Lists &amp; Settings'!$N$2,'Lists &amp; Settings'!$O$2,IF($M1967&gt;='Lists &amp; Settings'!$N$3,'Lists &amp; Settings'!$O$3,'Lists &amp; Settings'!$O$4)),IF($N1967="Partial",IF($M1967&gt;='Lists &amp; Settings'!$N$6,'Lists &amp; Settings'!$O$6,IF($M1967&gt;='Lists &amp; Settings'!$N$7,'Lists &amp; Settings'!$O$7,'Lists &amp; Settings'!$O$8)),'Lists &amp; Settings'!$O$10))))))</f>
        <v/>
      </c>
      <c r="T1967" s="31"/>
      <c r="U1967" s="31"/>
      <c r="V1967" s="31"/>
    </row>
    <row r="1968" ht="15.75" customHeight="1">
      <c r="B1968" s="31"/>
      <c r="N1968" s="127"/>
      <c r="S1968" s="31" t="str">
        <f>IF($C1968="","",IF(OR($M1968="",$N1968=""),'Lists &amp; Settings'!$O$10,IF($N1968="Fail",'Lists &amp; Settings'!$O$9,IF($N1968="Insufficient Evidence",'Lists &amp; Settings'!$O$10,IF($N1968="Pass",IF($M1968&gt;='Lists &amp; Settings'!$N$2,'Lists &amp; Settings'!$O$2,IF($M1968&gt;='Lists &amp; Settings'!$N$3,'Lists &amp; Settings'!$O$3,'Lists &amp; Settings'!$O$4)),IF($N1968="Partial",IF($M1968&gt;='Lists &amp; Settings'!$N$6,'Lists &amp; Settings'!$O$6,IF($M1968&gt;='Lists &amp; Settings'!$N$7,'Lists &amp; Settings'!$O$7,'Lists &amp; Settings'!$O$8)),'Lists &amp; Settings'!$O$10))))))</f>
        <v/>
      </c>
      <c r="T1968" s="31"/>
      <c r="U1968" s="31"/>
      <c r="V1968" s="31"/>
    </row>
    <row r="1969" ht="15.75" customHeight="1">
      <c r="B1969" s="31"/>
      <c r="N1969" s="127"/>
      <c r="S1969" s="31" t="str">
        <f>IF($C1969="","",IF(OR($M1969="",$N1969=""),'Lists &amp; Settings'!$O$10,IF($N1969="Fail",'Lists &amp; Settings'!$O$9,IF($N1969="Insufficient Evidence",'Lists &amp; Settings'!$O$10,IF($N1969="Pass",IF($M1969&gt;='Lists &amp; Settings'!$N$2,'Lists &amp; Settings'!$O$2,IF($M1969&gt;='Lists &amp; Settings'!$N$3,'Lists &amp; Settings'!$O$3,'Lists &amp; Settings'!$O$4)),IF($N1969="Partial",IF($M1969&gt;='Lists &amp; Settings'!$N$6,'Lists &amp; Settings'!$O$6,IF($M1969&gt;='Lists &amp; Settings'!$N$7,'Lists &amp; Settings'!$O$7,'Lists &amp; Settings'!$O$8)),'Lists &amp; Settings'!$O$10))))))</f>
        <v/>
      </c>
      <c r="T1969" s="31"/>
      <c r="U1969" s="31"/>
      <c r="V1969" s="31"/>
    </row>
    <row r="1970" ht="15.75" customHeight="1">
      <c r="B1970" s="31"/>
      <c r="N1970" s="127"/>
      <c r="S1970" s="31" t="str">
        <f>IF($C1970="","",IF(OR($M1970="",$N1970=""),'Lists &amp; Settings'!$O$10,IF($N1970="Fail",'Lists &amp; Settings'!$O$9,IF($N1970="Insufficient Evidence",'Lists &amp; Settings'!$O$10,IF($N1970="Pass",IF($M1970&gt;='Lists &amp; Settings'!$N$2,'Lists &amp; Settings'!$O$2,IF($M1970&gt;='Lists &amp; Settings'!$N$3,'Lists &amp; Settings'!$O$3,'Lists &amp; Settings'!$O$4)),IF($N1970="Partial",IF($M1970&gt;='Lists &amp; Settings'!$N$6,'Lists &amp; Settings'!$O$6,IF($M1970&gt;='Lists &amp; Settings'!$N$7,'Lists &amp; Settings'!$O$7,'Lists &amp; Settings'!$O$8)),'Lists &amp; Settings'!$O$10))))))</f>
        <v/>
      </c>
      <c r="T1970" s="31"/>
      <c r="U1970" s="31"/>
      <c r="V1970" s="31"/>
    </row>
    <row r="1971" ht="15.75" customHeight="1">
      <c r="B1971" s="31"/>
      <c r="N1971" s="127"/>
      <c r="S1971" s="31" t="str">
        <f>IF($C1971="","",IF(OR($M1971="",$N1971=""),'Lists &amp; Settings'!$O$10,IF($N1971="Fail",'Lists &amp; Settings'!$O$9,IF($N1971="Insufficient Evidence",'Lists &amp; Settings'!$O$10,IF($N1971="Pass",IF($M1971&gt;='Lists &amp; Settings'!$N$2,'Lists &amp; Settings'!$O$2,IF($M1971&gt;='Lists &amp; Settings'!$N$3,'Lists &amp; Settings'!$O$3,'Lists &amp; Settings'!$O$4)),IF($N1971="Partial",IF($M1971&gt;='Lists &amp; Settings'!$N$6,'Lists &amp; Settings'!$O$6,IF($M1971&gt;='Lists &amp; Settings'!$N$7,'Lists &amp; Settings'!$O$7,'Lists &amp; Settings'!$O$8)),'Lists &amp; Settings'!$O$10))))))</f>
        <v/>
      </c>
      <c r="T1971" s="31"/>
      <c r="U1971" s="31"/>
      <c r="V1971" s="31"/>
    </row>
    <row r="1972" ht="15.75" customHeight="1">
      <c r="B1972" s="31"/>
      <c r="N1972" s="127"/>
      <c r="S1972" s="31" t="str">
        <f>IF($C1972="","",IF(OR($M1972="",$N1972=""),'Lists &amp; Settings'!$O$10,IF($N1972="Fail",'Lists &amp; Settings'!$O$9,IF($N1972="Insufficient Evidence",'Lists &amp; Settings'!$O$10,IF($N1972="Pass",IF($M1972&gt;='Lists &amp; Settings'!$N$2,'Lists &amp; Settings'!$O$2,IF($M1972&gt;='Lists &amp; Settings'!$N$3,'Lists &amp; Settings'!$O$3,'Lists &amp; Settings'!$O$4)),IF($N1972="Partial",IF($M1972&gt;='Lists &amp; Settings'!$N$6,'Lists &amp; Settings'!$O$6,IF($M1972&gt;='Lists &amp; Settings'!$N$7,'Lists &amp; Settings'!$O$7,'Lists &amp; Settings'!$O$8)),'Lists &amp; Settings'!$O$10))))))</f>
        <v/>
      </c>
      <c r="T1972" s="31"/>
      <c r="U1972" s="31"/>
      <c r="V1972" s="31"/>
    </row>
    <row r="1973" ht="15.75" customHeight="1">
      <c r="B1973" s="31"/>
      <c r="N1973" s="127"/>
      <c r="S1973" s="31" t="str">
        <f>IF($C1973="","",IF(OR($M1973="",$N1973=""),'Lists &amp; Settings'!$O$10,IF($N1973="Fail",'Lists &amp; Settings'!$O$9,IF($N1973="Insufficient Evidence",'Lists &amp; Settings'!$O$10,IF($N1973="Pass",IF($M1973&gt;='Lists &amp; Settings'!$N$2,'Lists &amp; Settings'!$O$2,IF($M1973&gt;='Lists &amp; Settings'!$N$3,'Lists &amp; Settings'!$O$3,'Lists &amp; Settings'!$O$4)),IF($N1973="Partial",IF($M1973&gt;='Lists &amp; Settings'!$N$6,'Lists &amp; Settings'!$O$6,IF($M1973&gt;='Lists &amp; Settings'!$N$7,'Lists &amp; Settings'!$O$7,'Lists &amp; Settings'!$O$8)),'Lists &amp; Settings'!$O$10))))))</f>
        <v/>
      </c>
      <c r="T1973" s="31"/>
      <c r="U1973" s="31"/>
      <c r="V1973" s="31"/>
    </row>
    <row r="1974" ht="15.75" customHeight="1">
      <c r="B1974" s="31"/>
      <c r="N1974" s="127"/>
      <c r="S1974" s="31" t="str">
        <f>IF($C1974="","",IF(OR($M1974="",$N1974=""),'Lists &amp; Settings'!$O$10,IF($N1974="Fail",'Lists &amp; Settings'!$O$9,IF($N1974="Insufficient Evidence",'Lists &amp; Settings'!$O$10,IF($N1974="Pass",IF($M1974&gt;='Lists &amp; Settings'!$N$2,'Lists &amp; Settings'!$O$2,IF($M1974&gt;='Lists &amp; Settings'!$N$3,'Lists &amp; Settings'!$O$3,'Lists &amp; Settings'!$O$4)),IF($N1974="Partial",IF($M1974&gt;='Lists &amp; Settings'!$N$6,'Lists &amp; Settings'!$O$6,IF($M1974&gt;='Lists &amp; Settings'!$N$7,'Lists &amp; Settings'!$O$7,'Lists &amp; Settings'!$O$8)),'Lists &amp; Settings'!$O$10))))))</f>
        <v/>
      </c>
      <c r="T1974" s="31"/>
      <c r="U1974" s="31"/>
      <c r="V1974" s="31"/>
    </row>
    <row r="1975" ht="15.75" customHeight="1">
      <c r="B1975" s="31"/>
      <c r="N1975" s="127"/>
      <c r="S1975" s="31" t="str">
        <f>IF($C1975="","",IF(OR($M1975="",$N1975=""),'Lists &amp; Settings'!$O$10,IF($N1975="Fail",'Lists &amp; Settings'!$O$9,IF($N1975="Insufficient Evidence",'Lists &amp; Settings'!$O$10,IF($N1975="Pass",IF($M1975&gt;='Lists &amp; Settings'!$N$2,'Lists &amp; Settings'!$O$2,IF($M1975&gt;='Lists &amp; Settings'!$N$3,'Lists &amp; Settings'!$O$3,'Lists &amp; Settings'!$O$4)),IF($N1975="Partial",IF($M1975&gt;='Lists &amp; Settings'!$N$6,'Lists &amp; Settings'!$O$6,IF($M1975&gt;='Lists &amp; Settings'!$N$7,'Lists &amp; Settings'!$O$7,'Lists &amp; Settings'!$O$8)),'Lists &amp; Settings'!$O$10))))))</f>
        <v/>
      </c>
      <c r="T1975" s="31"/>
      <c r="U1975" s="31"/>
      <c r="V1975" s="31"/>
    </row>
    <row r="1976" ht="15.75" customHeight="1">
      <c r="B1976" s="31"/>
      <c r="N1976" s="127"/>
      <c r="S1976" s="31" t="str">
        <f>IF($C1976="","",IF(OR($M1976="",$N1976=""),'Lists &amp; Settings'!$O$10,IF($N1976="Fail",'Lists &amp; Settings'!$O$9,IF($N1976="Insufficient Evidence",'Lists &amp; Settings'!$O$10,IF($N1976="Pass",IF($M1976&gt;='Lists &amp; Settings'!$N$2,'Lists &amp; Settings'!$O$2,IF($M1976&gt;='Lists &amp; Settings'!$N$3,'Lists &amp; Settings'!$O$3,'Lists &amp; Settings'!$O$4)),IF($N1976="Partial",IF($M1976&gt;='Lists &amp; Settings'!$N$6,'Lists &amp; Settings'!$O$6,IF($M1976&gt;='Lists &amp; Settings'!$N$7,'Lists &amp; Settings'!$O$7,'Lists &amp; Settings'!$O$8)),'Lists &amp; Settings'!$O$10))))))</f>
        <v/>
      </c>
      <c r="T1976" s="31"/>
      <c r="U1976" s="31"/>
      <c r="V1976" s="31"/>
    </row>
    <row r="1977" ht="15.75" customHeight="1">
      <c r="B1977" s="31"/>
      <c r="N1977" s="127"/>
      <c r="S1977" s="31" t="str">
        <f>IF($C1977="","",IF(OR($M1977="",$N1977=""),'Lists &amp; Settings'!$O$10,IF($N1977="Fail",'Lists &amp; Settings'!$O$9,IF($N1977="Insufficient Evidence",'Lists &amp; Settings'!$O$10,IF($N1977="Pass",IF($M1977&gt;='Lists &amp; Settings'!$N$2,'Lists &amp; Settings'!$O$2,IF($M1977&gt;='Lists &amp; Settings'!$N$3,'Lists &amp; Settings'!$O$3,'Lists &amp; Settings'!$O$4)),IF($N1977="Partial",IF($M1977&gt;='Lists &amp; Settings'!$N$6,'Lists &amp; Settings'!$O$6,IF($M1977&gt;='Lists &amp; Settings'!$N$7,'Lists &amp; Settings'!$O$7,'Lists &amp; Settings'!$O$8)),'Lists &amp; Settings'!$O$10))))))</f>
        <v/>
      </c>
      <c r="T1977" s="31"/>
      <c r="U1977" s="31"/>
      <c r="V1977" s="31"/>
    </row>
    <row r="1978" ht="15.75" customHeight="1">
      <c r="B1978" s="31"/>
      <c r="N1978" s="127"/>
      <c r="S1978" s="31" t="str">
        <f>IF($C1978="","",IF(OR($M1978="",$N1978=""),'Lists &amp; Settings'!$O$10,IF($N1978="Fail",'Lists &amp; Settings'!$O$9,IF($N1978="Insufficient Evidence",'Lists &amp; Settings'!$O$10,IF($N1978="Pass",IF($M1978&gt;='Lists &amp; Settings'!$N$2,'Lists &amp; Settings'!$O$2,IF($M1978&gt;='Lists &amp; Settings'!$N$3,'Lists &amp; Settings'!$O$3,'Lists &amp; Settings'!$O$4)),IF($N1978="Partial",IF($M1978&gt;='Lists &amp; Settings'!$N$6,'Lists &amp; Settings'!$O$6,IF($M1978&gt;='Lists &amp; Settings'!$N$7,'Lists &amp; Settings'!$O$7,'Lists &amp; Settings'!$O$8)),'Lists &amp; Settings'!$O$10))))))</f>
        <v/>
      </c>
      <c r="T1978" s="31"/>
      <c r="U1978" s="31"/>
      <c r="V1978" s="31"/>
    </row>
    <row r="1979" ht="15.75" customHeight="1">
      <c r="B1979" s="31"/>
      <c r="N1979" s="127"/>
      <c r="S1979" s="31" t="str">
        <f>IF($C1979="","",IF(OR($M1979="",$N1979=""),'Lists &amp; Settings'!$O$10,IF($N1979="Fail",'Lists &amp; Settings'!$O$9,IF($N1979="Insufficient Evidence",'Lists &amp; Settings'!$O$10,IF($N1979="Pass",IF($M1979&gt;='Lists &amp; Settings'!$N$2,'Lists &amp; Settings'!$O$2,IF($M1979&gt;='Lists &amp; Settings'!$N$3,'Lists &amp; Settings'!$O$3,'Lists &amp; Settings'!$O$4)),IF($N1979="Partial",IF($M1979&gt;='Lists &amp; Settings'!$N$6,'Lists &amp; Settings'!$O$6,IF($M1979&gt;='Lists &amp; Settings'!$N$7,'Lists &amp; Settings'!$O$7,'Lists &amp; Settings'!$O$8)),'Lists &amp; Settings'!$O$10))))))</f>
        <v/>
      </c>
      <c r="T1979" s="31"/>
      <c r="U1979" s="31"/>
      <c r="V1979" s="31"/>
    </row>
    <row r="1980" ht="15.75" customHeight="1">
      <c r="B1980" s="31"/>
      <c r="N1980" s="127"/>
      <c r="S1980" s="31" t="str">
        <f>IF($C1980="","",IF(OR($M1980="",$N1980=""),'Lists &amp; Settings'!$O$10,IF($N1980="Fail",'Lists &amp; Settings'!$O$9,IF($N1980="Insufficient Evidence",'Lists &amp; Settings'!$O$10,IF($N1980="Pass",IF($M1980&gt;='Lists &amp; Settings'!$N$2,'Lists &amp; Settings'!$O$2,IF($M1980&gt;='Lists &amp; Settings'!$N$3,'Lists &amp; Settings'!$O$3,'Lists &amp; Settings'!$O$4)),IF($N1980="Partial",IF($M1980&gt;='Lists &amp; Settings'!$N$6,'Lists &amp; Settings'!$O$6,IF($M1980&gt;='Lists &amp; Settings'!$N$7,'Lists &amp; Settings'!$O$7,'Lists &amp; Settings'!$O$8)),'Lists &amp; Settings'!$O$10))))))</f>
        <v/>
      </c>
      <c r="T1980" s="31"/>
      <c r="U1980" s="31"/>
      <c r="V1980" s="31"/>
    </row>
    <row r="1981" ht="15.75" customHeight="1">
      <c r="B1981" s="31"/>
      <c r="N1981" s="127"/>
      <c r="S1981" s="31" t="str">
        <f>IF($C1981="","",IF(OR($M1981="",$N1981=""),'Lists &amp; Settings'!$O$10,IF($N1981="Fail",'Lists &amp; Settings'!$O$9,IF($N1981="Insufficient Evidence",'Lists &amp; Settings'!$O$10,IF($N1981="Pass",IF($M1981&gt;='Lists &amp; Settings'!$N$2,'Lists &amp; Settings'!$O$2,IF($M1981&gt;='Lists &amp; Settings'!$N$3,'Lists &amp; Settings'!$O$3,'Lists &amp; Settings'!$O$4)),IF($N1981="Partial",IF($M1981&gt;='Lists &amp; Settings'!$N$6,'Lists &amp; Settings'!$O$6,IF($M1981&gt;='Lists &amp; Settings'!$N$7,'Lists &amp; Settings'!$O$7,'Lists &amp; Settings'!$O$8)),'Lists &amp; Settings'!$O$10))))))</f>
        <v/>
      </c>
      <c r="T1981" s="31"/>
      <c r="U1981" s="31"/>
      <c r="V1981" s="31"/>
    </row>
    <row r="1982" ht="15.75" customHeight="1">
      <c r="B1982" s="31"/>
      <c r="N1982" s="127"/>
      <c r="S1982" s="31" t="str">
        <f>IF($C1982="","",IF(OR($M1982="",$N1982=""),'Lists &amp; Settings'!$O$10,IF($N1982="Fail",'Lists &amp; Settings'!$O$9,IF($N1982="Insufficient Evidence",'Lists &amp; Settings'!$O$10,IF($N1982="Pass",IF($M1982&gt;='Lists &amp; Settings'!$N$2,'Lists &amp; Settings'!$O$2,IF($M1982&gt;='Lists &amp; Settings'!$N$3,'Lists &amp; Settings'!$O$3,'Lists &amp; Settings'!$O$4)),IF($N1982="Partial",IF($M1982&gt;='Lists &amp; Settings'!$N$6,'Lists &amp; Settings'!$O$6,IF($M1982&gt;='Lists &amp; Settings'!$N$7,'Lists &amp; Settings'!$O$7,'Lists &amp; Settings'!$O$8)),'Lists &amp; Settings'!$O$10))))))</f>
        <v/>
      </c>
      <c r="T1982" s="31"/>
      <c r="U1982" s="31"/>
      <c r="V1982" s="31"/>
    </row>
    <row r="1983" ht="15.75" customHeight="1">
      <c r="B1983" s="31"/>
      <c r="N1983" s="127"/>
      <c r="S1983" s="31" t="str">
        <f>IF($C1983="","",IF(OR($M1983="",$N1983=""),'Lists &amp; Settings'!$O$10,IF($N1983="Fail",'Lists &amp; Settings'!$O$9,IF($N1983="Insufficient Evidence",'Lists &amp; Settings'!$O$10,IF($N1983="Pass",IF($M1983&gt;='Lists &amp; Settings'!$N$2,'Lists &amp; Settings'!$O$2,IF($M1983&gt;='Lists &amp; Settings'!$N$3,'Lists &amp; Settings'!$O$3,'Lists &amp; Settings'!$O$4)),IF($N1983="Partial",IF($M1983&gt;='Lists &amp; Settings'!$N$6,'Lists &amp; Settings'!$O$6,IF($M1983&gt;='Lists &amp; Settings'!$N$7,'Lists &amp; Settings'!$O$7,'Lists &amp; Settings'!$O$8)),'Lists &amp; Settings'!$O$10))))))</f>
        <v/>
      </c>
      <c r="T1983" s="31"/>
      <c r="U1983" s="31"/>
      <c r="V1983" s="31"/>
    </row>
    <row r="1984" ht="15.75" customHeight="1">
      <c r="B1984" s="31"/>
      <c r="N1984" s="127"/>
      <c r="S1984" s="31" t="str">
        <f>IF($C1984="","",IF(OR($M1984="",$N1984=""),'Lists &amp; Settings'!$O$10,IF($N1984="Fail",'Lists &amp; Settings'!$O$9,IF($N1984="Insufficient Evidence",'Lists &amp; Settings'!$O$10,IF($N1984="Pass",IF($M1984&gt;='Lists &amp; Settings'!$N$2,'Lists &amp; Settings'!$O$2,IF($M1984&gt;='Lists &amp; Settings'!$N$3,'Lists &amp; Settings'!$O$3,'Lists &amp; Settings'!$O$4)),IF($N1984="Partial",IF($M1984&gt;='Lists &amp; Settings'!$N$6,'Lists &amp; Settings'!$O$6,IF($M1984&gt;='Lists &amp; Settings'!$N$7,'Lists &amp; Settings'!$O$7,'Lists &amp; Settings'!$O$8)),'Lists &amp; Settings'!$O$10))))))</f>
        <v/>
      </c>
      <c r="T1984" s="31"/>
      <c r="U1984" s="31"/>
      <c r="V1984" s="31"/>
    </row>
    <row r="1985" ht="15.75" customHeight="1">
      <c r="B1985" s="31"/>
      <c r="N1985" s="127"/>
      <c r="S1985" s="31" t="str">
        <f>IF($C1985="","",IF(OR($M1985="",$N1985=""),'Lists &amp; Settings'!$O$10,IF($N1985="Fail",'Lists &amp; Settings'!$O$9,IF($N1985="Insufficient Evidence",'Lists &amp; Settings'!$O$10,IF($N1985="Pass",IF($M1985&gt;='Lists &amp; Settings'!$N$2,'Lists &amp; Settings'!$O$2,IF($M1985&gt;='Lists &amp; Settings'!$N$3,'Lists &amp; Settings'!$O$3,'Lists &amp; Settings'!$O$4)),IF($N1985="Partial",IF($M1985&gt;='Lists &amp; Settings'!$N$6,'Lists &amp; Settings'!$O$6,IF($M1985&gt;='Lists &amp; Settings'!$N$7,'Lists &amp; Settings'!$O$7,'Lists &amp; Settings'!$O$8)),'Lists &amp; Settings'!$O$10))))))</f>
        <v/>
      </c>
      <c r="T1985" s="31"/>
      <c r="U1985" s="31"/>
      <c r="V1985" s="31"/>
    </row>
    <row r="1986" ht="15.75" customHeight="1">
      <c r="B1986" s="31"/>
      <c r="N1986" s="127"/>
      <c r="S1986" s="31" t="str">
        <f>IF($C1986="","",IF(OR($M1986="",$N1986=""),'Lists &amp; Settings'!$O$10,IF($N1986="Fail",'Lists &amp; Settings'!$O$9,IF($N1986="Insufficient Evidence",'Lists &amp; Settings'!$O$10,IF($N1986="Pass",IF($M1986&gt;='Lists &amp; Settings'!$N$2,'Lists &amp; Settings'!$O$2,IF($M1986&gt;='Lists &amp; Settings'!$N$3,'Lists &amp; Settings'!$O$3,'Lists &amp; Settings'!$O$4)),IF($N1986="Partial",IF($M1986&gt;='Lists &amp; Settings'!$N$6,'Lists &amp; Settings'!$O$6,IF($M1986&gt;='Lists &amp; Settings'!$N$7,'Lists &amp; Settings'!$O$7,'Lists &amp; Settings'!$O$8)),'Lists &amp; Settings'!$O$10))))))</f>
        <v/>
      </c>
      <c r="T1986" s="31"/>
      <c r="U1986" s="31"/>
      <c r="V1986" s="31"/>
    </row>
    <row r="1987" ht="15.75" customHeight="1">
      <c r="B1987" s="31"/>
      <c r="N1987" s="127"/>
      <c r="S1987" s="31" t="str">
        <f>IF($C1987="","",IF(OR($M1987="",$N1987=""),'Lists &amp; Settings'!$O$10,IF($N1987="Fail",'Lists &amp; Settings'!$O$9,IF($N1987="Insufficient Evidence",'Lists &amp; Settings'!$O$10,IF($N1987="Pass",IF($M1987&gt;='Lists &amp; Settings'!$N$2,'Lists &amp; Settings'!$O$2,IF($M1987&gt;='Lists &amp; Settings'!$N$3,'Lists &amp; Settings'!$O$3,'Lists &amp; Settings'!$O$4)),IF($N1987="Partial",IF($M1987&gt;='Lists &amp; Settings'!$N$6,'Lists &amp; Settings'!$O$6,IF($M1987&gt;='Lists &amp; Settings'!$N$7,'Lists &amp; Settings'!$O$7,'Lists &amp; Settings'!$O$8)),'Lists &amp; Settings'!$O$10))))))</f>
        <v/>
      </c>
      <c r="T1987" s="31"/>
      <c r="U1987" s="31"/>
      <c r="V1987" s="31"/>
    </row>
    <row r="1988" ht="15.75" customHeight="1">
      <c r="B1988" s="31"/>
      <c r="N1988" s="127"/>
      <c r="S1988" s="31" t="str">
        <f>IF($C1988="","",IF(OR($M1988="",$N1988=""),'Lists &amp; Settings'!$O$10,IF($N1988="Fail",'Lists &amp; Settings'!$O$9,IF($N1988="Insufficient Evidence",'Lists &amp; Settings'!$O$10,IF($N1988="Pass",IF($M1988&gt;='Lists &amp; Settings'!$N$2,'Lists &amp; Settings'!$O$2,IF($M1988&gt;='Lists &amp; Settings'!$N$3,'Lists &amp; Settings'!$O$3,'Lists &amp; Settings'!$O$4)),IF($N1988="Partial",IF($M1988&gt;='Lists &amp; Settings'!$N$6,'Lists &amp; Settings'!$O$6,IF($M1988&gt;='Lists &amp; Settings'!$N$7,'Lists &amp; Settings'!$O$7,'Lists &amp; Settings'!$O$8)),'Lists &amp; Settings'!$O$10))))))</f>
        <v/>
      </c>
      <c r="T1988" s="31"/>
      <c r="U1988" s="31"/>
      <c r="V1988" s="31"/>
    </row>
    <row r="1989" ht="15.75" customHeight="1">
      <c r="B1989" s="31"/>
      <c r="N1989" s="127"/>
      <c r="S1989" s="31" t="str">
        <f>IF($C1989="","",IF(OR($M1989="",$N1989=""),'Lists &amp; Settings'!$O$10,IF($N1989="Fail",'Lists &amp; Settings'!$O$9,IF($N1989="Insufficient Evidence",'Lists &amp; Settings'!$O$10,IF($N1989="Pass",IF($M1989&gt;='Lists &amp; Settings'!$N$2,'Lists &amp; Settings'!$O$2,IF($M1989&gt;='Lists &amp; Settings'!$N$3,'Lists &amp; Settings'!$O$3,'Lists &amp; Settings'!$O$4)),IF($N1989="Partial",IF($M1989&gt;='Lists &amp; Settings'!$N$6,'Lists &amp; Settings'!$O$6,IF($M1989&gt;='Lists &amp; Settings'!$N$7,'Lists &amp; Settings'!$O$7,'Lists &amp; Settings'!$O$8)),'Lists &amp; Settings'!$O$10))))))</f>
        <v/>
      </c>
      <c r="T1989" s="31"/>
      <c r="U1989" s="31"/>
      <c r="V1989" s="31"/>
    </row>
    <row r="1990" ht="15.75" customHeight="1">
      <c r="B1990" s="31"/>
      <c r="N1990" s="127"/>
      <c r="S1990" s="31" t="str">
        <f>IF($C1990="","",IF(OR($M1990="",$N1990=""),'Lists &amp; Settings'!$O$10,IF($N1990="Fail",'Lists &amp; Settings'!$O$9,IF($N1990="Insufficient Evidence",'Lists &amp; Settings'!$O$10,IF($N1990="Pass",IF($M1990&gt;='Lists &amp; Settings'!$N$2,'Lists &amp; Settings'!$O$2,IF($M1990&gt;='Lists &amp; Settings'!$N$3,'Lists &amp; Settings'!$O$3,'Lists &amp; Settings'!$O$4)),IF($N1990="Partial",IF($M1990&gt;='Lists &amp; Settings'!$N$6,'Lists &amp; Settings'!$O$6,IF($M1990&gt;='Lists &amp; Settings'!$N$7,'Lists &amp; Settings'!$O$7,'Lists &amp; Settings'!$O$8)),'Lists &amp; Settings'!$O$10))))))</f>
        <v/>
      </c>
      <c r="T1990" s="31"/>
      <c r="U1990" s="31"/>
      <c r="V1990" s="31"/>
    </row>
    <row r="1991" ht="15.75" customHeight="1">
      <c r="B1991" s="31"/>
      <c r="N1991" s="127"/>
      <c r="S1991" s="31" t="str">
        <f>IF($C1991="","",IF(OR($M1991="",$N1991=""),'Lists &amp; Settings'!$O$10,IF($N1991="Fail",'Lists &amp; Settings'!$O$9,IF($N1991="Insufficient Evidence",'Lists &amp; Settings'!$O$10,IF($N1991="Pass",IF($M1991&gt;='Lists &amp; Settings'!$N$2,'Lists &amp; Settings'!$O$2,IF($M1991&gt;='Lists &amp; Settings'!$N$3,'Lists &amp; Settings'!$O$3,'Lists &amp; Settings'!$O$4)),IF($N1991="Partial",IF($M1991&gt;='Lists &amp; Settings'!$N$6,'Lists &amp; Settings'!$O$6,IF($M1991&gt;='Lists &amp; Settings'!$N$7,'Lists &amp; Settings'!$O$7,'Lists &amp; Settings'!$O$8)),'Lists &amp; Settings'!$O$10))))))</f>
        <v/>
      </c>
      <c r="T1991" s="31"/>
      <c r="U1991" s="31"/>
      <c r="V1991" s="31"/>
    </row>
    <row r="1992" ht="15.75" customHeight="1">
      <c r="B1992" s="31"/>
      <c r="N1992" s="127"/>
      <c r="S1992" s="31" t="str">
        <f>IF($C1992="","",IF(OR($M1992="",$N1992=""),'Lists &amp; Settings'!$O$10,IF($N1992="Fail",'Lists &amp; Settings'!$O$9,IF($N1992="Insufficient Evidence",'Lists &amp; Settings'!$O$10,IF($N1992="Pass",IF($M1992&gt;='Lists &amp; Settings'!$N$2,'Lists &amp; Settings'!$O$2,IF($M1992&gt;='Lists &amp; Settings'!$N$3,'Lists &amp; Settings'!$O$3,'Lists &amp; Settings'!$O$4)),IF($N1992="Partial",IF($M1992&gt;='Lists &amp; Settings'!$N$6,'Lists &amp; Settings'!$O$6,IF($M1992&gt;='Lists &amp; Settings'!$N$7,'Lists &amp; Settings'!$O$7,'Lists &amp; Settings'!$O$8)),'Lists &amp; Settings'!$O$10))))))</f>
        <v/>
      </c>
      <c r="T1992" s="31"/>
      <c r="U1992" s="31"/>
      <c r="V1992" s="31"/>
    </row>
    <row r="1993" ht="15.75" customHeight="1">
      <c r="B1993" s="31"/>
      <c r="N1993" s="127"/>
      <c r="S1993" s="31" t="str">
        <f>IF($C1993="","",IF(OR($M1993="",$N1993=""),'Lists &amp; Settings'!$O$10,IF($N1993="Fail",'Lists &amp; Settings'!$O$9,IF($N1993="Insufficient Evidence",'Lists &amp; Settings'!$O$10,IF($N1993="Pass",IF($M1993&gt;='Lists &amp; Settings'!$N$2,'Lists &amp; Settings'!$O$2,IF($M1993&gt;='Lists &amp; Settings'!$N$3,'Lists &amp; Settings'!$O$3,'Lists &amp; Settings'!$O$4)),IF($N1993="Partial",IF($M1993&gt;='Lists &amp; Settings'!$N$6,'Lists &amp; Settings'!$O$6,IF($M1993&gt;='Lists &amp; Settings'!$N$7,'Lists &amp; Settings'!$O$7,'Lists &amp; Settings'!$O$8)),'Lists &amp; Settings'!$O$10))))))</f>
        <v/>
      </c>
      <c r="T1993" s="31"/>
      <c r="U1993" s="31"/>
      <c r="V1993" s="31"/>
    </row>
    <row r="1994" ht="15.75" customHeight="1">
      <c r="B1994" s="31"/>
      <c r="N1994" s="127"/>
      <c r="S1994" s="31" t="str">
        <f>IF($C1994="","",IF(OR($M1994="",$N1994=""),'Lists &amp; Settings'!$O$10,IF($N1994="Fail",'Lists &amp; Settings'!$O$9,IF($N1994="Insufficient Evidence",'Lists &amp; Settings'!$O$10,IF($N1994="Pass",IF($M1994&gt;='Lists &amp; Settings'!$N$2,'Lists &amp; Settings'!$O$2,IF($M1994&gt;='Lists &amp; Settings'!$N$3,'Lists &amp; Settings'!$O$3,'Lists &amp; Settings'!$O$4)),IF($N1994="Partial",IF($M1994&gt;='Lists &amp; Settings'!$N$6,'Lists &amp; Settings'!$O$6,IF($M1994&gt;='Lists &amp; Settings'!$N$7,'Lists &amp; Settings'!$O$7,'Lists &amp; Settings'!$O$8)),'Lists &amp; Settings'!$O$10))))))</f>
        <v/>
      </c>
      <c r="T1994" s="31"/>
      <c r="U1994" s="31"/>
      <c r="V1994" s="31"/>
    </row>
    <row r="1995" ht="15.75" customHeight="1">
      <c r="B1995" s="31"/>
      <c r="N1995" s="127"/>
      <c r="S1995" s="31" t="str">
        <f>IF($C1995="","",IF(OR($M1995="",$N1995=""),'Lists &amp; Settings'!$O$10,IF($N1995="Fail",'Lists &amp; Settings'!$O$9,IF($N1995="Insufficient Evidence",'Lists &amp; Settings'!$O$10,IF($N1995="Pass",IF($M1995&gt;='Lists &amp; Settings'!$N$2,'Lists &amp; Settings'!$O$2,IF($M1995&gt;='Lists &amp; Settings'!$N$3,'Lists &amp; Settings'!$O$3,'Lists &amp; Settings'!$O$4)),IF($N1995="Partial",IF($M1995&gt;='Lists &amp; Settings'!$N$6,'Lists &amp; Settings'!$O$6,IF($M1995&gt;='Lists &amp; Settings'!$N$7,'Lists &amp; Settings'!$O$7,'Lists &amp; Settings'!$O$8)),'Lists &amp; Settings'!$O$10))))))</f>
        <v/>
      </c>
      <c r="T1995" s="31"/>
      <c r="U1995" s="31"/>
      <c r="V1995" s="31"/>
    </row>
    <row r="1996" ht="15.75" customHeight="1">
      <c r="B1996" s="31"/>
      <c r="N1996" s="127"/>
      <c r="S1996" s="31" t="str">
        <f>IF($C1996="","",IF(OR($M1996="",$N1996=""),'Lists &amp; Settings'!$O$10,IF($N1996="Fail",'Lists &amp; Settings'!$O$9,IF($N1996="Insufficient Evidence",'Lists &amp; Settings'!$O$10,IF($N1996="Pass",IF($M1996&gt;='Lists &amp; Settings'!$N$2,'Lists &amp; Settings'!$O$2,IF($M1996&gt;='Lists &amp; Settings'!$N$3,'Lists &amp; Settings'!$O$3,'Lists &amp; Settings'!$O$4)),IF($N1996="Partial",IF($M1996&gt;='Lists &amp; Settings'!$N$6,'Lists &amp; Settings'!$O$6,IF($M1996&gt;='Lists &amp; Settings'!$N$7,'Lists &amp; Settings'!$O$7,'Lists &amp; Settings'!$O$8)),'Lists &amp; Settings'!$O$10))))))</f>
        <v/>
      </c>
      <c r="T1996" s="31"/>
      <c r="U1996" s="31"/>
      <c r="V1996" s="31"/>
    </row>
    <row r="1997" ht="15.75" customHeight="1">
      <c r="B1997" s="31"/>
      <c r="N1997" s="127"/>
      <c r="S1997" s="31" t="str">
        <f>IF($C1997="","",IF(OR($M1997="",$N1997=""),'Lists &amp; Settings'!$O$10,IF($N1997="Fail",'Lists &amp; Settings'!$O$9,IF($N1997="Insufficient Evidence",'Lists &amp; Settings'!$O$10,IF($N1997="Pass",IF($M1997&gt;='Lists &amp; Settings'!$N$2,'Lists &amp; Settings'!$O$2,IF($M1997&gt;='Lists &amp; Settings'!$N$3,'Lists &amp; Settings'!$O$3,'Lists &amp; Settings'!$O$4)),IF($N1997="Partial",IF($M1997&gt;='Lists &amp; Settings'!$N$6,'Lists &amp; Settings'!$O$6,IF($M1997&gt;='Lists &amp; Settings'!$N$7,'Lists &amp; Settings'!$O$7,'Lists &amp; Settings'!$O$8)),'Lists &amp; Settings'!$O$10))))))</f>
        <v/>
      </c>
      <c r="T1997" s="31"/>
      <c r="U1997" s="31"/>
      <c r="V1997" s="31"/>
    </row>
    <row r="1998" ht="15.75" customHeight="1">
      <c r="B1998" s="31"/>
      <c r="N1998" s="127"/>
      <c r="S1998" s="31" t="str">
        <f>IF($C1998="","",IF(OR($M1998="",$N1998=""),'Lists &amp; Settings'!$O$10,IF($N1998="Fail",'Lists &amp; Settings'!$O$9,IF($N1998="Insufficient Evidence",'Lists &amp; Settings'!$O$10,IF($N1998="Pass",IF($M1998&gt;='Lists &amp; Settings'!$N$2,'Lists &amp; Settings'!$O$2,IF($M1998&gt;='Lists &amp; Settings'!$N$3,'Lists &amp; Settings'!$O$3,'Lists &amp; Settings'!$O$4)),IF($N1998="Partial",IF($M1998&gt;='Lists &amp; Settings'!$N$6,'Lists &amp; Settings'!$O$6,IF($M1998&gt;='Lists &amp; Settings'!$N$7,'Lists &amp; Settings'!$O$7,'Lists &amp; Settings'!$O$8)),'Lists &amp; Settings'!$O$10))))))</f>
        <v/>
      </c>
      <c r="T1998" s="31"/>
      <c r="U1998" s="31"/>
      <c r="V1998" s="31"/>
    </row>
    <row r="1999" ht="15.75" customHeight="1">
      <c r="B1999" s="31"/>
      <c r="N1999" s="127"/>
      <c r="S1999" s="31" t="str">
        <f>IF($C1999="","",IF(OR($M1999="",$N1999=""),'Lists &amp; Settings'!$O$10,IF($N1999="Fail",'Lists &amp; Settings'!$O$9,IF($N1999="Insufficient Evidence",'Lists &amp; Settings'!$O$10,IF($N1999="Pass",IF($M1999&gt;='Lists &amp; Settings'!$N$2,'Lists &amp; Settings'!$O$2,IF($M1999&gt;='Lists &amp; Settings'!$N$3,'Lists &amp; Settings'!$O$3,'Lists &amp; Settings'!$O$4)),IF($N1999="Partial",IF($M1999&gt;='Lists &amp; Settings'!$N$6,'Lists &amp; Settings'!$O$6,IF($M1999&gt;='Lists &amp; Settings'!$N$7,'Lists &amp; Settings'!$O$7,'Lists &amp; Settings'!$O$8)),'Lists &amp; Settings'!$O$10))))))</f>
        <v/>
      </c>
      <c r="T1999" s="31"/>
      <c r="U1999" s="31"/>
      <c r="V1999" s="31"/>
    </row>
    <row r="2000" ht="15.75" customHeight="1">
      <c r="B2000" s="31"/>
      <c r="N2000" s="127"/>
      <c r="S2000" s="31" t="str">
        <f>IF($C2000="","",IF(OR($M2000="",$N2000=""),'Lists &amp; Settings'!$O$10,IF($N2000="Fail",'Lists &amp; Settings'!$O$9,IF($N2000="Insufficient Evidence",'Lists &amp; Settings'!$O$10,IF($N2000="Pass",IF($M2000&gt;='Lists &amp; Settings'!$N$2,'Lists &amp; Settings'!$O$2,IF($M2000&gt;='Lists &amp; Settings'!$N$3,'Lists &amp; Settings'!$O$3,'Lists &amp; Settings'!$O$4)),IF($N2000="Partial",IF($M2000&gt;='Lists &amp; Settings'!$N$6,'Lists &amp; Settings'!$O$6,IF($M2000&gt;='Lists &amp; Settings'!$N$7,'Lists &amp; Settings'!$O$7,'Lists &amp; Settings'!$O$8)),'Lists &amp; Settings'!$O$10))))))</f>
        <v/>
      </c>
      <c r="T2000" s="31"/>
      <c r="U2000" s="31"/>
      <c r="V2000" s="31"/>
    </row>
    <row r="2001" ht="15.75" customHeight="1">
      <c r="A2001" s="129"/>
      <c r="B2001" s="130"/>
      <c r="C2001" s="129"/>
      <c r="D2001" s="129"/>
      <c r="E2001" s="129"/>
      <c r="F2001" s="129"/>
      <c r="G2001" s="129"/>
      <c r="H2001" s="129"/>
      <c r="I2001" s="29"/>
      <c r="J2001" s="29"/>
      <c r="K2001" s="131"/>
      <c r="L2001" s="29"/>
      <c r="M2001" s="132"/>
      <c r="N2001" s="129"/>
      <c r="O2001" s="29"/>
      <c r="P2001" s="129"/>
      <c r="Q2001" s="129"/>
      <c r="R2001" s="129"/>
      <c r="S2001" s="129"/>
      <c r="T2001" s="129"/>
      <c r="U2001" s="129"/>
      <c r="V2001" s="129"/>
      <c r="AA2001" s="131"/>
      <c r="AB2001" s="131"/>
    </row>
  </sheetData>
  <conditionalFormatting sqref="M2:M2001">
    <cfRule type="colorScale" priority="1">
      <colorScale>
        <cfvo type="min"/>
        <cfvo type="percentile" val="50"/>
        <cfvo type="max"/>
        <color rgb="FFFECACA"/>
        <color rgb="FFFEF3C7"/>
        <color rgb="FFDCFCE7"/>
      </colorScale>
    </cfRule>
  </conditionalFormatting>
  <conditionalFormatting sqref="S2:S2001">
    <cfRule type="expression" dxfId="11" priority="2">
      <formula>OR(S2="Priority Shortlist",S2="Shortlist")</formula>
    </cfRule>
  </conditionalFormatting>
  <conditionalFormatting sqref="S2:S2001">
    <cfRule type="expression" dxfId="12" priority="3">
      <formula>S2="Hold"</formula>
    </cfRule>
  </conditionalFormatting>
  <conditionalFormatting sqref="S2:S2001">
    <cfRule type="expression" dxfId="13" priority="4">
      <formula>S2="Reject"</formula>
    </cfRule>
  </conditionalFormatting>
  <dataValidations>
    <dataValidation type="list" allowBlank="1" sqref="U2:U2001">
      <formula1>"Not Scheduled,Scheduled,Completed,No Show,Reschedule Required,Not Required"</formula1>
    </dataValidation>
    <dataValidation type="list" allowBlank="1" sqref="B2:B2001">
      <formula1>'Lists &amp; Settings'!$H$2:$H$501</formula1>
    </dataValidation>
    <dataValidation type="list" allowBlank="1" sqref="V2:V2001">
      <formula1>"Not Submitted,Submitted,Under Review,Client Shortlisted,Client Rejected,Client Interview,Offer,Hired"</formula1>
    </dataValidation>
    <dataValidation type="list" allowBlank="1" showErrorMessage="1" sqref="N2:N2001">
      <formula1>'Lists &amp; Settings'!$J$2:$J$6</formula1>
    </dataValidation>
    <dataValidation type="list" allowBlank="1" showErrorMessage="1" sqref="T2:T2001">
      <formula1>'Lists &amp; Settings'!$B$2:$B$13</formula1>
    </dataValidation>
    <dataValidation type="list" allowBlank="1" sqref="S2:S2001">
      <formula1>"Priority Shortlist,Shortlist,Hold,Reject,Insufficient Evidence"</formula1>
    </dataValidation>
  </dataValidations>
  <hyperlinks>
    <hyperlink r:id="rId1" ref="Z33"/>
    <hyperlink r:id="rId2" ref="Z34"/>
    <hyperlink r:id="rId3" ref="Z37"/>
    <hyperlink r:id="rId4" ref="Z38"/>
    <hyperlink r:id="rId5" ref="Z39"/>
    <hyperlink r:id="rId6" ref="Z40"/>
    <hyperlink r:id="rId7" ref="Z41"/>
    <hyperlink r:id="rId8" ref="Z42"/>
    <hyperlink r:id="rId9" ref="Z43"/>
    <hyperlink r:id="rId10" ref="Z44"/>
  </hyperlinks>
  <printOptions/>
  <pageMargins bottom="0.75" footer="0.0" header="0.0" left="0.7" right="0.7" top="0.75"/>
  <pageSetup orientation="landscape"/>
  <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34.0"/>
    <col customWidth="1" min="3" max="4" width="12.0"/>
    <col customWidth="1" min="5" max="5" width="46.0"/>
    <col customWidth="1" min="6" max="6" width="48.0"/>
    <col customWidth="1" min="7" max="7" width="34.0"/>
    <col customWidth="1" min="8" max="26" width="8.63"/>
  </cols>
  <sheetData>
    <row r="1">
      <c r="A1" s="5" t="s">
        <v>84</v>
      </c>
      <c r="B1" s="5" t="s">
        <v>85</v>
      </c>
      <c r="C1" s="5" t="s">
        <v>86</v>
      </c>
      <c r="D1" s="5" t="s">
        <v>88</v>
      </c>
      <c r="E1" s="5" t="s">
        <v>89</v>
      </c>
      <c r="F1" s="5" t="s">
        <v>91</v>
      </c>
      <c r="G1" s="5" t="s">
        <v>92</v>
      </c>
    </row>
    <row r="2">
      <c r="A2" s="7" t="s">
        <v>23</v>
      </c>
      <c r="B2" s="7" t="s">
        <v>95</v>
      </c>
      <c r="C2" s="8">
        <v>30.0</v>
      </c>
      <c r="D2" s="7" t="s">
        <v>22</v>
      </c>
      <c r="E2" s="7" t="s">
        <v>101</v>
      </c>
      <c r="F2" s="7" t="s">
        <v>102</v>
      </c>
      <c r="G2" s="10" t="s">
        <v>104</v>
      </c>
    </row>
    <row r="3">
      <c r="A3" s="7" t="s">
        <v>23</v>
      </c>
      <c r="B3" s="7" t="s">
        <v>108</v>
      </c>
      <c r="C3" s="8">
        <v>20.0</v>
      </c>
      <c r="D3" s="7" t="s">
        <v>22</v>
      </c>
      <c r="E3" s="7" t="s">
        <v>145</v>
      </c>
      <c r="F3" s="7" t="s">
        <v>147</v>
      </c>
      <c r="G3" s="10" t="s">
        <v>149</v>
      </c>
    </row>
    <row r="4">
      <c r="A4" s="7" t="s">
        <v>23</v>
      </c>
      <c r="B4" s="7" t="s">
        <v>152</v>
      </c>
      <c r="C4" s="8">
        <v>15.0</v>
      </c>
      <c r="D4" s="7" t="s">
        <v>35</v>
      </c>
      <c r="E4" s="7" t="s">
        <v>154</v>
      </c>
      <c r="F4" s="7" t="s">
        <v>155</v>
      </c>
      <c r="G4" s="7"/>
    </row>
    <row r="5">
      <c r="A5" s="7" t="s">
        <v>23</v>
      </c>
      <c r="B5" s="7" t="s">
        <v>156</v>
      </c>
      <c r="C5" s="8">
        <v>15.0</v>
      </c>
      <c r="D5" s="7" t="s">
        <v>35</v>
      </c>
      <c r="E5" s="7" t="s">
        <v>157</v>
      </c>
      <c r="F5" s="7" t="s">
        <v>158</v>
      </c>
      <c r="G5" s="7"/>
    </row>
    <row r="6">
      <c r="A6" s="7" t="s">
        <v>23</v>
      </c>
      <c r="B6" s="7" t="s">
        <v>159</v>
      </c>
      <c r="C6" s="8">
        <v>10.0</v>
      </c>
      <c r="D6" s="7" t="s">
        <v>35</v>
      </c>
      <c r="E6" s="7" t="s">
        <v>162</v>
      </c>
      <c r="F6" s="7" t="s">
        <v>164</v>
      </c>
      <c r="G6" s="7"/>
    </row>
    <row r="7">
      <c r="A7" s="7" t="s">
        <v>23</v>
      </c>
      <c r="B7" s="7" t="s">
        <v>165</v>
      </c>
      <c r="C7" s="8">
        <v>5.0</v>
      </c>
      <c r="D7" s="7" t="s">
        <v>35</v>
      </c>
      <c r="E7" s="7" t="s">
        <v>166</v>
      </c>
      <c r="F7" s="7" t="s">
        <v>167</v>
      </c>
      <c r="G7" s="7"/>
    </row>
    <row r="8">
      <c r="A8" s="7" t="s">
        <v>23</v>
      </c>
      <c r="B8" s="7" t="s">
        <v>168</v>
      </c>
      <c r="C8" s="8">
        <v>5.0</v>
      </c>
      <c r="D8" s="7" t="s">
        <v>35</v>
      </c>
      <c r="E8" s="7" t="s">
        <v>169</v>
      </c>
      <c r="F8" s="7" t="s">
        <v>170</v>
      </c>
      <c r="G8" s="7"/>
    </row>
    <row r="9">
      <c r="A9" s="24" t="s">
        <v>171</v>
      </c>
      <c r="B9" s="25" t="s">
        <v>172</v>
      </c>
      <c r="C9" s="26">
        <v>20.0</v>
      </c>
      <c r="D9" s="25" t="s">
        <v>22</v>
      </c>
      <c r="E9" s="25" t="s">
        <v>173</v>
      </c>
      <c r="F9" s="25" t="s">
        <v>174</v>
      </c>
      <c r="G9" s="25" t="s">
        <v>175</v>
      </c>
    </row>
    <row r="10">
      <c r="A10" s="27" t="s">
        <v>171</v>
      </c>
      <c r="B10" s="25" t="s">
        <v>178</v>
      </c>
      <c r="C10" s="26">
        <v>15.0</v>
      </c>
      <c r="D10" s="25" t="s">
        <v>22</v>
      </c>
      <c r="E10" s="25" t="s">
        <v>184</v>
      </c>
      <c r="F10" s="25" t="s">
        <v>187</v>
      </c>
      <c r="G10" s="25" t="s">
        <v>189</v>
      </c>
    </row>
    <row r="11">
      <c r="A11" s="27" t="s">
        <v>171</v>
      </c>
      <c r="B11" s="25" t="s">
        <v>190</v>
      </c>
      <c r="C11" s="26">
        <v>14.0</v>
      </c>
      <c r="D11" s="25" t="s">
        <v>22</v>
      </c>
      <c r="E11" s="25" t="s">
        <v>193</v>
      </c>
      <c r="F11" s="25" t="s">
        <v>196</v>
      </c>
      <c r="G11" s="25" t="s">
        <v>197</v>
      </c>
    </row>
    <row r="12">
      <c r="A12" s="27" t="s">
        <v>171</v>
      </c>
      <c r="B12" s="25" t="s">
        <v>199</v>
      </c>
      <c r="C12" s="26">
        <v>10.0</v>
      </c>
      <c r="D12" s="25" t="s">
        <v>35</v>
      </c>
      <c r="E12" s="25" t="s">
        <v>200</v>
      </c>
      <c r="F12" s="25" t="s">
        <v>201</v>
      </c>
      <c r="G12" s="25" t="s">
        <v>203</v>
      </c>
    </row>
    <row r="13">
      <c r="A13" s="27" t="s">
        <v>171</v>
      </c>
      <c r="B13" s="25" t="s">
        <v>206</v>
      </c>
      <c r="C13" s="26">
        <v>15.0</v>
      </c>
      <c r="D13" s="25" t="s">
        <v>35</v>
      </c>
      <c r="E13" s="25" t="s">
        <v>210</v>
      </c>
      <c r="F13" s="25" t="s">
        <v>213</v>
      </c>
      <c r="G13" s="25" t="s">
        <v>216</v>
      </c>
    </row>
    <row r="14">
      <c r="A14" s="27" t="s">
        <v>171</v>
      </c>
      <c r="B14" s="25" t="s">
        <v>217</v>
      </c>
      <c r="C14" s="26">
        <v>10.0</v>
      </c>
      <c r="D14" s="25" t="s">
        <v>35</v>
      </c>
      <c r="E14" s="25" t="s">
        <v>220</v>
      </c>
      <c r="F14" s="25" t="s">
        <v>222</v>
      </c>
      <c r="G14" s="25" t="s">
        <v>223</v>
      </c>
    </row>
    <row r="15">
      <c r="A15" s="27" t="s">
        <v>171</v>
      </c>
      <c r="B15" s="25" t="s">
        <v>224</v>
      </c>
      <c r="C15" s="26">
        <v>5.0</v>
      </c>
      <c r="D15" s="25" t="s">
        <v>35</v>
      </c>
      <c r="E15" s="25" t="s">
        <v>225</v>
      </c>
      <c r="F15" s="25" t="s">
        <v>226</v>
      </c>
      <c r="G15" s="25" t="s">
        <v>227</v>
      </c>
    </row>
    <row r="16">
      <c r="A16" s="27" t="s">
        <v>171</v>
      </c>
      <c r="B16" s="25" t="s">
        <v>228</v>
      </c>
      <c r="C16" s="26">
        <v>5.0</v>
      </c>
      <c r="D16" s="25" t="s">
        <v>22</v>
      </c>
      <c r="E16" s="25" t="s">
        <v>231</v>
      </c>
      <c r="F16" s="25" t="s">
        <v>233</v>
      </c>
      <c r="G16" s="25" t="s">
        <v>237</v>
      </c>
    </row>
    <row r="17">
      <c r="A17" s="27" t="s">
        <v>171</v>
      </c>
      <c r="B17" s="25" t="s">
        <v>241</v>
      </c>
      <c r="C17" s="26">
        <v>6.0</v>
      </c>
      <c r="D17" s="25" t="s">
        <v>35</v>
      </c>
      <c r="E17" s="25" t="s">
        <v>242</v>
      </c>
      <c r="F17" s="25" t="s">
        <v>245</v>
      </c>
      <c r="G17" s="25" t="s">
        <v>247</v>
      </c>
    </row>
    <row r="18">
      <c r="A18" s="41" t="s">
        <v>229</v>
      </c>
      <c r="B18" s="25" t="s">
        <v>248</v>
      </c>
      <c r="C18" s="26">
        <v>20.0</v>
      </c>
      <c r="D18" s="25" t="s">
        <v>22</v>
      </c>
      <c r="E18" s="25" t="s">
        <v>249</v>
      </c>
      <c r="F18" s="25" t="s">
        <v>250</v>
      </c>
      <c r="G18" s="25" t="s">
        <v>251</v>
      </c>
    </row>
    <row r="19">
      <c r="A19" s="41" t="s">
        <v>229</v>
      </c>
      <c r="B19" s="25" t="s">
        <v>252</v>
      </c>
      <c r="C19" s="26">
        <v>15.0</v>
      </c>
      <c r="D19" s="25" t="s">
        <v>22</v>
      </c>
      <c r="E19" s="25" t="s">
        <v>255</v>
      </c>
      <c r="F19" s="25" t="s">
        <v>257</v>
      </c>
      <c r="G19" s="25" t="s">
        <v>260</v>
      </c>
    </row>
    <row r="20">
      <c r="A20" s="41" t="s">
        <v>229</v>
      </c>
      <c r="B20" s="25" t="s">
        <v>264</v>
      </c>
      <c r="C20" s="26">
        <v>15.0</v>
      </c>
      <c r="D20" s="25" t="s">
        <v>35</v>
      </c>
      <c r="E20" s="25" t="s">
        <v>266</v>
      </c>
      <c r="F20" s="25" t="s">
        <v>269</v>
      </c>
      <c r="G20" s="25" t="s">
        <v>271</v>
      </c>
    </row>
    <row r="21" ht="15.75" customHeight="1">
      <c r="A21" s="41" t="s">
        <v>229</v>
      </c>
      <c r="B21" s="25" t="s">
        <v>272</v>
      </c>
      <c r="C21" s="26">
        <v>15.0</v>
      </c>
      <c r="D21" s="25" t="s">
        <v>35</v>
      </c>
      <c r="E21" s="25" t="s">
        <v>273</v>
      </c>
      <c r="F21" s="25" t="s">
        <v>274</v>
      </c>
      <c r="G21" s="25" t="s">
        <v>275</v>
      </c>
    </row>
    <row r="22" ht="15.75" customHeight="1">
      <c r="A22" s="41" t="s">
        <v>229</v>
      </c>
      <c r="B22" s="25" t="s">
        <v>278</v>
      </c>
      <c r="C22" s="26">
        <v>12.0</v>
      </c>
      <c r="D22" s="25" t="s">
        <v>35</v>
      </c>
      <c r="E22" s="25" t="s">
        <v>282</v>
      </c>
      <c r="F22" s="25" t="s">
        <v>285</v>
      </c>
      <c r="G22" s="25" t="s">
        <v>288</v>
      </c>
    </row>
    <row r="23" ht="15.75" customHeight="1">
      <c r="A23" s="41" t="s">
        <v>229</v>
      </c>
      <c r="B23" s="25" t="s">
        <v>291</v>
      </c>
      <c r="C23" s="26">
        <v>10.0</v>
      </c>
      <c r="D23" s="25" t="s">
        <v>35</v>
      </c>
      <c r="E23" s="25" t="s">
        <v>295</v>
      </c>
      <c r="F23" s="25" t="s">
        <v>296</v>
      </c>
      <c r="G23" s="25" t="s">
        <v>297</v>
      </c>
    </row>
    <row r="24" ht="15.75" customHeight="1">
      <c r="A24" s="41" t="s">
        <v>229</v>
      </c>
      <c r="B24" s="25" t="s">
        <v>333</v>
      </c>
      <c r="C24" s="26">
        <v>8.0</v>
      </c>
      <c r="D24" s="25" t="s">
        <v>35</v>
      </c>
      <c r="E24" s="25" t="s">
        <v>337</v>
      </c>
      <c r="F24" s="25" t="s">
        <v>338</v>
      </c>
      <c r="G24" s="25" t="s">
        <v>339</v>
      </c>
    </row>
    <row r="25" ht="15.75" customHeight="1">
      <c r="A25" s="41" t="s">
        <v>229</v>
      </c>
      <c r="B25" s="25" t="s">
        <v>340</v>
      </c>
      <c r="C25" s="26">
        <v>5.0</v>
      </c>
      <c r="D25" s="25" t="s">
        <v>35</v>
      </c>
      <c r="E25" s="25" t="s">
        <v>344</v>
      </c>
      <c r="F25" s="25" t="s">
        <v>347</v>
      </c>
      <c r="G25" s="25" t="s">
        <v>350</v>
      </c>
    </row>
    <row r="26" ht="15.75" customHeight="1">
      <c r="A26" s="41" t="s">
        <v>280</v>
      </c>
      <c r="B26" s="25" t="s">
        <v>352</v>
      </c>
      <c r="C26" s="26">
        <v>10.0</v>
      </c>
      <c r="D26" s="25" t="s">
        <v>22</v>
      </c>
      <c r="E26" s="25" t="s">
        <v>354</v>
      </c>
      <c r="F26" s="25" t="s">
        <v>357</v>
      </c>
      <c r="G26" s="25" t="s">
        <v>358</v>
      </c>
    </row>
    <row r="27" ht="15.75" customHeight="1">
      <c r="A27" s="41" t="s">
        <v>280</v>
      </c>
      <c r="B27" s="25" t="s">
        <v>359</v>
      </c>
      <c r="C27" s="26">
        <v>20.0</v>
      </c>
      <c r="D27" s="25" t="s">
        <v>22</v>
      </c>
      <c r="E27" s="25" t="s">
        <v>360</v>
      </c>
      <c r="F27" s="25" t="s">
        <v>361</v>
      </c>
      <c r="G27" s="25" t="s">
        <v>362</v>
      </c>
    </row>
    <row r="28" ht="15.75" customHeight="1">
      <c r="A28" s="41" t="s">
        <v>280</v>
      </c>
      <c r="B28" s="25" t="s">
        <v>363</v>
      </c>
      <c r="C28" s="26">
        <v>18.0</v>
      </c>
      <c r="D28" s="25" t="s">
        <v>35</v>
      </c>
      <c r="E28" s="25" t="s">
        <v>364</v>
      </c>
      <c r="F28" s="25" t="s">
        <v>366</v>
      </c>
      <c r="G28" s="25" t="s">
        <v>368</v>
      </c>
    </row>
    <row r="29" ht="15.75" customHeight="1">
      <c r="A29" s="41" t="s">
        <v>280</v>
      </c>
      <c r="B29" s="25" t="s">
        <v>371</v>
      </c>
      <c r="C29" s="26">
        <v>15.0</v>
      </c>
      <c r="D29" s="25" t="s">
        <v>35</v>
      </c>
      <c r="E29" s="25" t="s">
        <v>378</v>
      </c>
      <c r="F29" s="25" t="s">
        <v>379</v>
      </c>
      <c r="G29" s="25" t="s">
        <v>380</v>
      </c>
    </row>
    <row r="30" ht="15.75" customHeight="1">
      <c r="A30" s="41" t="s">
        <v>280</v>
      </c>
      <c r="B30" s="25" t="s">
        <v>381</v>
      </c>
      <c r="C30" s="26">
        <v>15.0</v>
      </c>
      <c r="D30" s="25" t="s">
        <v>35</v>
      </c>
      <c r="E30" s="25" t="s">
        <v>382</v>
      </c>
      <c r="F30" s="25" t="s">
        <v>383</v>
      </c>
      <c r="G30" s="25" t="s">
        <v>384</v>
      </c>
    </row>
    <row r="31" ht="15.75" customHeight="1">
      <c r="A31" s="41" t="s">
        <v>280</v>
      </c>
      <c r="B31" s="25" t="s">
        <v>385</v>
      </c>
      <c r="C31" s="26">
        <v>10.0</v>
      </c>
      <c r="D31" s="25" t="s">
        <v>35</v>
      </c>
      <c r="E31" s="25" t="s">
        <v>386</v>
      </c>
      <c r="F31" s="25" t="s">
        <v>387</v>
      </c>
      <c r="G31" s="25" t="s">
        <v>388</v>
      </c>
    </row>
    <row r="32" ht="15.75" customHeight="1">
      <c r="A32" s="41" t="s">
        <v>280</v>
      </c>
      <c r="B32" s="25" t="s">
        <v>389</v>
      </c>
      <c r="C32" s="26">
        <v>7.0</v>
      </c>
      <c r="D32" s="25" t="s">
        <v>35</v>
      </c>
      <c r="E32" s="25" t="s">
        <v>391</v>
      </c>
      <c r="F32" s="25" t="s">
        <v>392</v>
      </c>
      <c r="G32" s="25" t="s">
        <v>393</v>
      </c>
    </row>
    <row r="33" ht="15.75" customHeight="1">
      <c r="A33" s="41" t="s">
        <v>280</v>
      </c>
      <c r="B33" s="25" t="s">
        <v>395</v>
      </c>
      <c r="C33" s="26">
        <v>5.0</v>
      </c>
      <c r="D33" s="25" t="s">
        <v>35</v>
      </c>
      <c r="E33" s="25" t="s">
        <v>398</v>
      </c>
      <c r="F33" s="25" t="s">
        <v>401</v>
      </c>
      <c r="G33" s="25" t="s">
        <v>402</v>
      </c>
    </row>
    <row r="34" ht="15.75" customHeight="1">
      <c r="A34" s="41" t="s">
        <v>311</v>
      </c>
      <c r="B34" s="25" t="s">
        <v>406</v>
      </c>
      <c r="C34" s="26">
        <v>24.0</v>
      </c>
      <c r="D34" s="25" t="s">
        <v>22</v>
      </c>
      <c r="E34" s="25" t="s">
        <v>409</v>
      </c>
      <c r="F34" s="25" t="s">
        <v>410</v>
      </c>
      <c r="G34" s="25" t="s">
        <v>411</v>
      </c>
    </row>
    <row r="35" ht="15.75" customHeight="1">
      <c r="A35" s="41" t="s">
        <v>311</v>
      </c>
      <c r="B35" s="25" t="s">
        <v>412</v>
      </c>
      <c r="C35" s="26">
        <v>10.0</v>
      </c>
      <c r="D35" s="25" t="s">
        <v>22</v>
      </c>
      <c r="E35" s="25" t="s">
        <v>417</v>
      </c>
      <c r="F35" s="25" t="s">
        <v>418</v>
      </c>
      <c r="G35" s="25" t="s">
        <v>419</v>
      </c>
    </row>
    <row r="36" ht="15.75" customHeight="1">
      <c r="A36" s="41" t="s">
        <v>311</v>
      </c>
      <c r="B36" s="25" t="s">
        <v>420</v>
      </c>
      <c r="C36" s="26">
        <v>17.0</v>
      </c>
      <c r="D36" s="25" t="s">
        <v>35</v>
      </c>
      <c r="E36" s="25" t="s">
        <v>421</v>
      </c>
      <c r="F36" s="25" t="s">
        <v>422</v>
      </c>
      <c r="G36" s="25" t="s">
        <v>423</v>
      </c>
    </row>
    <row r="37" ht="15.75" customHeight="1">
      <c r="A37" s="41" t="s">
        <v>311</v>
      </c>
      <c r="B37" s="25" t="s">
        <v>425</v>
      </c>
      <c r="C37" s="26">
        <v>13.0</v>
      </c>
      <c r="D37" s="25" t="s">
        <v>35</v>
      </c>
      <c r="E37" s="25" t="s">
        <v>426</v>
      </c>
      <c r="F37" s="25" t="s">
        <v>427</v>
      </c>
      <c r="G37" s="25" t="s">
        <v>428</v>
      </c>
    </row>
    <row r="38" ht="15.75" customHeight="1">
      <c r="A38" s="41" t="s">
        <v>311</v>
      </c>
      <c r="B38" s="25" t="s">
        <v>429</v>
      </c>
      <c r="C38" s="26">
        <v>12.0</v>
      </c>
      <c r="D38" s="25" t="s">
        <v>35</v>
      </c>
      <c r="E38" s="25" t="s">
        <v>431</v>
      </c>
      <c r="F38" s="25" t="s">
        <v>432</v>
      </c>
      <c r="G38" s="25" t="s">
        <v>433</v>
      </c>
    </row>
    <row r="39" ht="15.75" customHeight="1">
      <c r="A39" s="41" t="s">
        <v>311</v>
      </c>
      <c r="B39" s="25" t="s">
        <v>435</v>
      </c>
      <c r="C39" s="26">
        <v>7.0</v>
      </c>
      <c r="D39" s="25" t="s">
        <v>35</v>
      </c>
      <c r="E39" s="25" t="s">
        <v>439</v>
      </c>
      <c r="F39" s="25" t="s">
        <v>441</v>
      </c>
      <c r="G39" s="25" t="s">
        <v>443</v>
      </c>
    </row>
    <row r="40" ht="15.75" customHeight="1">
      <c r="A40" s="41" t="s">
        <v>311</v>
      </c>
      <c r="B40" s="25" t="s">
        <v>445</v>
      </c>
      <c r="C40" s="26">
        <v>4.0</v>
      </c>
      <c r="D40" s="25" t="s">
        <v>35</v>
      </c>
      <c r="E40" s="25" t="s">
        <v>446</v>
      </c>
      <c r="F40" s="25" t="s">
        <v>447</v>
      </c>
      <c r="G40" s="25" t="s">
        <v>448</v>
      </c>
    </row>
    <row r="41" ht="15.75" customHeight="1">
      <c r="A41" s="41" t="s">
        <v>311</v>
      </c>
      <c r="B41" s="25" t="s">
        <v>451</v>
      </c>
      <c r="C41" s="26">
        <v>3.0</v>
      </c>
      <c r="D41" s="25" t="s">
        <v>35</v>
      </c>
      <c r="E41" s="25" t="s">
        <v>455</v>
      </c>
      <c r="F41" s="25" t="s">
        <v>456</v>
      </c>
      <c r="G41" s="25" t="s">
        <v>457</v>
      </c>
    </row>
    <row r="42" ht="15.75" customHeight="1">
      <c r="A42" s="41" t="s">
        <v>311</v>
      </c>
      <c r="B42" s="25" t="s">
        <v>458</v>
      </c>
      <c r="C42" s="26">
        <v>10.0</v>
      </c>
      <c r="D42" s="25" t="s">
        <v>22</v>
      </c>
      <c r="E42" s="25" t="s">
        <v>459</v>
      </c>
      <c r="F42" s="25" t="s">
        <v>460</v>
      </c>
      <c r="G42" s="25" t="s">
        <v>461</v>
      </c>
    </row>
    <row r="43" ht="15.75" customHeight="1">
      <c r="A43" s="7"/>
      <c r="B43" s="7"/>
      <c r="C43" s="8"/>
      <c r="D43" s="7"/>
      <c r="E43" s="7"/>
      <c r="F43" s="7"/>
      <c r="G43" s="7"/>
    </row>
    <row r="44" ht="15.75" customHeight="1">
      <c r="A44" s="7"/>
      <c r="B44" s="7"/>
      <c r="C44" s="8"/>
      <c r="D44" s="7"/>
      <c r="E44" s="7"/>
      <c r="F44" s="7"/>
      <c r="G44" s="7"/>
    </row>
    <row r="45" ht="15.75" customHeight="1">
      <c r="A45" s="7"/>
      <c r="B45" s="7"/>
      <c r="C45" s="8"/>
      <c r="D45" s="7"/>
      <c r="E45" s="7"/>
      <c r="F45" s="7"/>
      <c r="G45" s="7"/>
    </row>
    <row r="46" ht="15.75" customHeight="1">
      <c r="A46" s="7"/>
      <c r="B46" s="7"/>
      <c r="C46" s="8"/>
      <c r="D46" s="7"/>
      <c r="E46" s="7"/>
      <c r="F46" s="7"/>
      <c r="G46" s="7"/>
    </row>
    <row r="47" ht="15.75" customHeight="1">
      <c r="A47" s="7"/>
      <c r="B47" s="7"/>
      <c r="C47" s="8"/>
      <c r="D47" s="7"/>
      <c r="E47" s="7"/>
      <c r="F47" s="7"/>
      <c r="G47" s="7"/>
    </row>
    <row r="48" ht="15.75" customHeight="1">
      <c r="A48" s="7"/>
      <c r="B48" s="7"/>
      <c r="C48" s="8"/>
      <c r="D48" s="7"/>
      <c r="E48" s="7"/>
      <c r="F48" s="7"/>
      <c r="G48" s="7"/>
    </row>
    <row r="49" ht="15.75" customHeight="1">
      <c r="A49" s="7"/>
      <c r="B49" s="7"/>
      <c r="C49" s="8"/>
      <c r="D49" s="7"/>
      <c r="E49" s="7"/>
      <c r="F49" s="7"/>
      <c r="G49" s="7"/>
    </row>
    <row r="50" ht="15.75" customHeight="1">
      <c r="A50" s="7"/>
      <c r="B50" s="7"/>
      <c r="C50" s="8"/>
      <c r="D50" s="7"/>
      <c r="E50" s="7"/>
      <c r="F50" s="7"/>
      <c r="G50" s="7"/>
    </row>
    <row r="51" ht="15.75" customHeight="1">
      <c r="A51" s="7"/>
      <c r="B51" s="7"/>
      <c r="C51" s="8"/>
      <c r="D51" s="7"/>
      <c r="E51" s="7"/>
      <c r="F51" s="7"/>
      <c r="G51" s="7"/>
    </row>
    <row r="52" ht="15.75" customHeight="1">
      <c r="A52" s="7"/>
      <c r="B52" s="7"/>
      <c r="C52" s="8"/>
      <c r="D52" s="7"/>
      <c r="E52" s="7"/>
      <c r="F52" s="7"/>
      <c r="G52" s="7"/>
    </row>
    <row r="53" ht="15.75" customHeight="1">
      <c r="A53" s="7"/>
      <c r="B53" s="7"/>
      <c r="C53" s="8"/>
      <c r="D53" s="7"/>
      <c r="E53" s="7"/>
      <c r="F53" s="7"/>
      <c r="G53" s="7"/>
    </row>
    <row r="54" ht="15.75" customHeight="1">
      <c r="A54" s="7"/>
      <c r="B54" s="7"/>
      <c r="C54" s="8"/>
      <c r="D54" s="7"/>
      <c r="E54" s="7"/>
      <c r="F54" s="7"/>
      <c r="G54" s="7"/>
    </row>
    <row r="55" ht="15.75" customHeight="1">
      <c r="A55" s="7"/>
      <c r="B55" s="7"/>
      <c r="C55" s="8"/>
      <c r="D55" s="7"/>
      <c r="E55" s="7"/>
      <c r="F55" s="7"/>
      <c r="G55" s="7"/>
    </row>
    <row r="56" ht="15.75" customHeight="1">
      <c r="A56" s="7"/>
      <c r="B56" s="7"/>
      <c r="C56" s="8"/>
      <c r="D56" s="7"/>
      <c r="E56" s="7"/>
      <c r="F56" s="7"/>
      <c r="G56" s="7"/>
    </row>
    <row r="57" ht="15.75" customHeight="1">
      <c r="A57" s="7"/>
      <c r="B57" s="7"/>
      <c r="C57" s="8"/>
      <c r="D57" s="7"/>
      <c r="E57" s="7"/>
      <c r="F57" s="7"/>
      <c r="G57" s="7"/>
    </row>
    <row r="58" ht="15.75" customHeight="1">
      <c r="A58" s="7"/>
      <c r="B58" s="7"/>
      <c r="C58" s="8"/>
      <c r="D58" s="7"/>
      <c r="E58" s="7"/>
      <c r="F58" s="7"/>
      <c r="G58" s="7"/>
    </row>
    <row r="59" ht="15.75" customHeight="1">
      <c r="A59" s="7"/>
      <c r="B59" s="7"/>
      <c r="C59" s="8"/>
      <c r="D59" s="7"/>
      <c r="E59" s="7"/>
      <c r="F59" s="7"/>
      <c r="G59" s="7"/>
    </row>
    <row r="60" ht="15.75" customHeight="1">
      <c r="A60" s="7"/>
      <c r="B60" s="7"/>
      <c r="C60" s="8"/>
      <c r="D60" s="7"/>
      <c r="E60" s="7"/>
      <c r="F60" s="7"/>
      <c r="G60" s="7"/>
    </row>
    <row r="61" ht="15.75" customHeight="1">
      <c r="A61" s="7"/>
      <c r="B61" s="7"/>
      <c r="C61" s="8"/>
      <c r="D61" s="7"/>
      <c r="E61" s="7"/>
      <c r="F61" s="7"/>
      <c r="G61" s="7"/>
    </row>
    <row r="62" ht="15.75" customHeight="1">
      <c r="A62" s="7"/>
      <c r="B62" s="7"/>
      <c r="C62" s="8"/>
      <c r="D62" s="7"/>
      <c r="E62" s="7"/>
      <c r="F62" s="7"/>
      <c r="G62" s="7"/>
    </row>
    <row r="63" ht="15.75" customHeight="1">
      <c r="A63" s="7"/>
      <c r="B63" s="7"/>
      <c r="C63" s="8"/>
      <c r="D63" s="7"/>
      <c r="E63" s="7"/>
      <c r="F63" s="7"/>
      <c r="G63" s="7"/>
    </row>
    <row r="64" ht="15.75" customHeight="1">
      <c r="A64" s="7"/>
      <c r="B64" s="7"/>
      <c r="C64" s="8"/>
      <c r="D64" s="7"/>
      <c r="E64" s="7"/>
      <c r="F64" s="7"/>
      <c r="G64" s="7"/>
    </row>
    <row r="65" ht="15.75" customHeight="1">
      <c r="A65" s="7"/>
      <c r="B65" s="7"/>
      <c r="C65" s="8"/>
      <c r="D65" s="7"/>
      <c r="E65" s="7"/>
      <c r="F65" s="7"/>
      <c r="G65" s="7"/>
    </row>
    <row r="66" ht="15.75" customHeight="1">
      <c r="A66" s="7"/>
      <c r="B66" s="7"/>
      <c r="C66" s="8"/>
      <c r="D66" s="7"/>
      <c r="E66" s="7"/>
      <c r="F66" s="7"/>
      <c r="G66" s="7"/>
    </row>
    <row r="67" ht="15.75" customHeight="1">
      <c r="A67" s="7"/>
      <c r="B67" s="7"/>
      <c r="C67" s="8"/>
      <c r="D67" s="7"/>
      <c r="E67" s="7"/>
      <c r="F67" s="7"/>
      <c r="G67" s="7"/>
    </row>
    <row r="68" ht="15.75" customHeight="1">
      <c r="A68" s="7"/>
      <c r="B68" s="7"/>
      <c r="C68" s="8"/>
      <c r="D68" s="7"/>
      <c r="E68" s="7"/>
      <c r="F68" s="7"/>
      <c r="G68" s="7"/>
    </row>
    <row r="69" ht="15.75" customHeight="1">
      <c r="A69" s="7"/>
      <c r="B69" s="7"/>
      <c r="C69" s="8"/>
      <c r="D69" s="7"/>
      <c r="E69" s="7"/>
      <c r="F69" s="7"/>
      <c r="G69" s="7"/>
    </row>
    <row r="70" ht="15.75" customHeight="1">
      <c r="A70" s="7"/>
      <c r="B70" s="7"/>
      <c r="C70" s="8"/>
      <c r="D70" s="7"/>
      <c r="E70" s="7"/>
      <c r="F70" s="7"/>
      <c r="G70" s="7"/>
    </row>
    <row r="71" ht="15.75" customHeight="1">
      <c r="A71" s="7"/>
      <c r="B71" s="7"/>
      <c r="C71" s="8"/>
      <c r="D71" s="7"/>
      <c r="E71" s="7"/>
      <c r="F71" s="7"/>
      <c r="G71" s="7"/>
    </row>
    <row r="72" ht="15.75" customHeight="1">
      <c r="A72" s="7"/>
      <c r="B72" s="7"/>
      <c r="C72" s="8"/>
      <c r="D72" s="7"/>
      <c r="E72" s="7"/>
      <c r="F72" s="7"/>
      <c r="G72" s="7"/>
    </row>
    <row r="73" ht="15.75" customHeight="1">
      <c r="A73" s="7"/>
      <c r="B73" s="7"/>
      <c r="C73" s="8"/>
      <c r="D73" s="7"/>
      <c r="E73" s="7"/>
      <c r="F73" s="7"/>
      <c r="G73" s="7"/>
    </row>
    <row r="74" ht="15.75" customHeight="1">
      <c r="A74" s="7"/>
      <c r="B74" s="7"/>
      <c r="C74" s="8"/>
      <c r="D74" s="7"/>
      <c r="E74" s="7"/>
      <c r="F74" s="7"/>
      <c r="G74" s="7"/>
    </row>
    <row r="75" ht="15.75" customHeight="1">
      <c r="A75" s="7"/>
      <c r="B75" s="7"/>
      <c r="C75" s="8"/>
      <c r="D75" s="7"/>
      <c r="E75" s="7"/>
      <c r="F75" s="7"/>
      <c r="G75" s="7"/>
    </row>
    <row r="76" ht="15.75" customHeight="1">
      <c r="A76" s="7"/>
      <c r="B76" s="7"/>
      <c r="C76" s="8"/>
      <c r="D76" s="7"/>
      <c r="E76" s="7"/>
      <c r="F76" s="7"/>
      <c r="G76" s="7"/>
    </row>
    <row r="77" ht="15.75" customHeight="1">
      <c r="A77" s="7"/>
      <c r="B77" s="7"/>
      <c r="C77" s="8"/>
      <c r="D77" s="7"/>
      <c r="E77" s="7"/>
      <c r="F77" s="7"/>
      <c r="G77" s="7"/>
    </row>
    <row r="78" ht="15.75" customHeight="1">
      <c r="A78" s="7"/>
      <c r="B78" s="7"/>
      <c r="C78" s="8"/>
      <c r="D78" s="7"/>
      <c r="E78" s="7"/>
      <c r="F78" s="7"/>
      <c r="G78" s="7"/>
    </row>
    <row r="79" ht="15.75" customHeight="1">
      <c r="A79" s="7"/>
      <c r="B79" s="7"/>
      <c r="C79" s="8"/>
      <c r="D79" s="7"/>
      <c r="E79" s="7"/>
      <c r="F79" s="7"/>
      <c r="G79" s="7"/>
    </row>
    <row r="80" ht="15.75" customHeight="1">
      <c r="A80" s="7"/>
      <c r="B80" s="7"/>
      <c r="C80" s="8"/>
      <c r="D80" s="7"/>
      <c r="E80" s="7"/>
      <c r="F80" s="7"/>
      <c r="G80" s="7"/>
    </row>
    <row r="81" ht="15.75" customHeight="1">
      <c r="A81" s="7"/>
      <c r="B81" s="7"/>
      <c r="C81" s="8"/>
      <c r="D81" s="7"/>
      <c r="E81" s="7"/>
      <c r="F81" s="7"/>
      <c r="G81" s="7"/>
    </row>
    <row r="82" ht="15.75" customHeight="1">
      <c r="A82" s="7"/>
      <c r="B82" s="7"/>
      <c r="C82" s="8"/>
      <c r="D82" s="7"/>
      <c r="E82" s="7"/>
      <c r="F82" s="7"/>
      <c r="G82" s="7"/>
    </row>
    <row r="83" ht="15.75" customHeight="1">
      <c r="A83" s="7"/>
      <c r="B83" s="7"/>
      <c r="C83" s="8"/>
      <c r="D83" s="7"/>
      <c r="E83" s="7"/>
      <c r="F83" s="7"/>
      <c r="G83" s="7"/>
    </row>
    <row r="84" ht="15.75" customHeight="1">
      <c r="A84" s="7"/>
      <c r="B84" s="7"/>
      <c r="C84" s="8"/>
      <c r="D84" s="7"/>
      <c r="E84" s="7"/>
      <c r="F84" s="7"/>
      <c r="G84" s="7"/>
    </row>
    <row r="85" ht="15.75" customHeight="1">
      <c r="A85" s="7"/>
      <c r="B85" s="7"/>
      <c r="C85" s="8"/>
      <c r="D85" s="7"/>
      <c r="E85" s="7"/>
      <c r="F85" s="7"/>
      <c r="G85" s="7"/>
    </row>
    <row r="86" ht="15.75" customHeight="1">
      <c r="A86" s="7"/>
      <c r="B86" s="7"/>
      <c r="C86" s="8"/>
      <c r="D86" s="7"/>
      <c r="E86" s="7"/>
      <c r="F86" s="7"/>
      <c r="G86" s="7"/>
    </row>
    <row r="87" ht="15.75" customHeight="1">
      <c r="A87" s="7"/>
      <c r="B87" s="7"/>
      <c r="C87" s="8"/>
      <c r="D87" s="7"/>
      <c r="E87" s="7"/>
      <c r="F87" s="7"/>
      <c r="G87" s="7"/>
    </row>
    <row r="88" ht="15.75" customHeight="1">
      <c r="A88" s="7"/>
      <c r="B88" s="7"/>
      <c r="C88" s="8"/>
      <c r="D88" s="7"/>
      <c r="E88" s="7"/>
      <c r="F88" s="7"/>
      <c r="G88" s="7"/>
    </row>
    <row r="89" ht="15.75" customHeight="1">
      <c r="A89" s="7"/>
      <c r="B89" s="7"/>
      <c r="C89" s="8"/>
      <c r="D89" s="7"/>
      <c r="E89" s="7"/>
      <c r="F89" s="7"/>
      <c r="G89" s="7"/>
    </row>
    <row r="90" ht="15.75" customHeight="1">
      <c r="A90" s="7"/>
      <c r="B90" s="7"/>
      <c r="C90" s="8"/>
      <c r="D90" s="7"/>
      <c r="E90" s="7"/>
      <c r="F90" s="7"/>
      <c r="G90" s="7"/>
    </row>
    <row r="91" ht="15.75" customHeight="1">
      <c r="A91" s="7"/>
      <c r="B91" s="7"/>
      <c r="C91" s="8"/>
      <c r="D91" s="7"/>
      <c r="E91" s="7"/>
      <c r="F91" s="7"/>
      <c r="G91" s="7"/>
    </row>
    <row r="92" ht="15.75" customHeight="1">
      <c r="A92" s="7"/>
      <c r="B92" s="7"/>
      <c r="C92" s="8"/>
      <c r="D92" s="7"/>
      <c r="E92" s="7"/>
      <c r="F92" s="7"/>
      <c r="G92" s="7"/>
    </row>
    <row r="93" ht="15.75" customHeight="1">
      <c r="A93" s="7"/>
      <c r="B93" s="7"/>
      <c r="C93" s="8"/>
      <c r="D93" s="7"/>
      <c r="E93" s="7"/>
      <c r="F93" s="7"/>
      <c r="G93" s="7"/>
    </row>
    <row r="94" ht="15.75" customHeight="1">
      <c r="A94" s="7"/>
      <c r="B94" s="7"/>
      <c r="C94" s="8"/>
      <c r="D94" s="7"/>
      <c r="E94" s="7"/>
      <c r="F94" s="7"/>
      <c r="G94" s="7"/>
    </row>
    <row r="95" ht="15.75" customHeight="1">
      <c r="A95" s="7"/>
      <c r="B95" s="7"/>
      <c r="C95" s="8"/>
      <c r="D95" s="7"/>
      <c r="E95" s="7"/>
      <c r="F95" s="7"/>
      <c r="G95" s="7"/>
    </row>
    <row r="96" ht="15.75" customHeight="1">
      <c r="A96" s="7"/>
      <c r="B96" s="7"/>
      <c r="C96" s="8"/>
      <c r="D96" s="7"/>
      <c r="E96" s="7"/>
      <c r="F96" s="7"/>
      <c r="G96" s="7"/>
    </row>
    <row r="97" ht="15.75" customHeight="1">
      <c r="A97" s="7"/>
      <c r="B97" s="7"/>
      <c r="C97" s="8"/>
      <c r="D97" s="7"/>
      <c r="E97" s="7"/>
      <c r="F97" s="7"/>
      <c r="G97" s="7"/>
    </row>
    <row r="98" ht="15.75" customHeight="1">
      <c r="A98" s="7"/>
      <c r="B98" s="7"/>
      <c r="C98" s="8"/>
      <c r="D98" s="7"/>
      <c r="E98" s="7"/>
      <c r="F98" s="7"/>
      <c r="G98" s="7"/>
    </row>
    <row r="99" ht="15.75" customHeight="1">
      <c r="A99" s="7"/>
      <c r="B99" s="7"/>
      <c r="C99" s="8"/>
      <c r="D99" s="7"/>
      <c r="E99" s="7"/>
      <c r="F99" s="7"/>
      <c r="G99" s="7"/>
    </row>
    <row r="100" ht="15.75" customHeight="1">
      <c r="A100" s="7"/>
      <c r="B100" s="7"/>
      <c r="C100" s="8"/>
      <c r="D100" s="7"/>
      <c r="E100" s="7"/>
      <c r="F100" s="7"/>
      <c r="G100" s="7"/>
    </row>
    <row r="101" ht="15.75" customHeight="1">
      <c r="A101" s="7"/>
      <c r="B101" s="7"/>
      <c r="C101" s="8"/>
      <c r="D101" s="7"/>
      <c r="E101" s="7"/>
      <c r="F101" s="7"/>
      <c r="G101" s="7"/>
    </row>
    <row r="102" ht="15.75" customHeight="1">
      <c r="A102" s="7"/>
      <c r="B102" s="7"/>
      <c r="C102" s="8"/>
      <c r="D102" s="7"/>
      <c r="E102" s="7"/>
      <c r="F102" s="7"/>
      <c r="G102" s="7"/>
    </row>
    <row r="103" ht="15.75" customHeight="1">
      <c r="A103" s="7"/>
      <c r="B103" s="7"/>
      <c r="C103" s="8"/>
      <c r="D103" s="7"/>
      <c r="E103" s="7"/>
      <c r="F103" s="7"/>
      <c r="G103" s="7"/>
    </row>
    <row r="104" ht="15.75" customHeight="1">
      <c r="A104" s="7"/>
      <c r="B104" s="7"/>
      <c r="C104" s="8"/>
      <c r="D104" s="7"/>
      <c r="E104" s="7"/>
      <c r="F104" s="7"/>
      <c r="G104" s="7"/>
    </row>
    <row r="105" ht="15.75" customHeight="1">
      <c r="A105" s="7"/>
      <c r="B105" s="7"/>
      <c r="C105" s="8"/>
      <c r="D105" s="7"/>
      <c r="E105" s="7"/>
      <c r="F105" s="7"/>
      <c r="G105" s="7"/>
    </row>
    <row r="106" ht="15.75" customHeight="1">
      <c r="A106" s="7"/>
      <c r="B106" s="7"/>
      <c r="C106" s="8"/>
      <c r="D106" s="7"/>
      <c r="E106" s="7"/>
      <c r="F106" s="7"/>
      <c r="G106" s="7"/>
    </row>
    <row r="107" ht="15.75" customHeight="1">
      <c r="A107" s="7"/>
      <c r="B107" s="7"/>
      <c r="C107" s="8"/>
      <c r="D107" s="7"/>
      <c r="E107" s="7"/>
      <c r="F107" s="7"/>
      <c r="G107" s="7"/>
    </row>
    <row r="108" ht="15.75" customHeight="1">
      <c r="A108" s="7"/>
      <c r="B108" s="7"/>
      <c r="C108" s="8"/>
      <c r="D108" s="7"/>
      <c r="E108" s="7"/>
      <c r="F108" s="7"/>
      <c r="G108" s="7"/>
    </row>
    <row r="109" ht="15.75" customHeight="1">
      <c r="A109" s="7"/>
      <c r="B109" s="7"/>
      <c r="C109" s="8"/>
      <c r="D109" s="7"/>
      <c r="E109" s="7"/>
      <c r="F109" s="7"/>
      <c r="G109" s="7"/>
    </row>
    <row r="110" ht="15.75" customHeight="1">
      <c r="A110" s="7"/>
      <c r="B110" s="7"/>
      <c r="C110" s="8"/>
      <c r="D110" s="7"/>
      <c r="E110" s="7"/>
      <c r="F110" s="7"/>
      <c r="G110" s="7"/>
    </row>
    <row r="111" ht="15.75" customHeight="1">
      <c r="A111" s="7"/>
      <c r="B111" s="7"/>
      <c r="C111" s="8"/>
      <c r="D111" s="7"/>
      <c r="E111" s="7"/>
      <c r="F111" s="7"/>
      <c r="G111" s="7"/>
    </row>
    <row r="112" ht="15.75" customHeight="1">
      <c r="A112" s="7"/>
      <c r="B112" s="7"/>
      <c r="C112" s="8"/>
      <c r="D112" s="7"/>
      <c r="E112" s="7"/>
      <c r="F112" s="7"/>
      <c r="G112" s="7"/>
    </row>
    <row r="113" ht="15.75" customHeight="1">
      <c r="A113" s="7"/>
      <c r="B113" s="7"/>
      <c r="C113" s="8"/>
      <c r="D113" s="7"/>
      <c r="E113" s="7"/>
      <c r="F113" s="7"/>
      <c r="G113" s="7"/>
    </row>
    <row r="114" ht="15.75" customHeight="1">
      <c r="A114" s="7"/>
      <c r="B114" s="7"/>
      <c r="C114" s="8"/>
      <c r="D114" s="7"/>
      <c r="E114" s="7"/>
      <c r="F114" s="7"/>
      <c r="G114" s="7"/>
    </row>
    <row r="115" ht="15.75" customHeight="1">
      <c r="A115" s="7"/>
      <c r="B115" s="7"/>
      <c r="C115" s="8"/>
      <c r="D115" s="7"/>
      <c r="E115" s="7"/>
      <c r="F115" s="7"/>
      <c r="G115" s="7"/>
    </row>
    <row r="116" ht="15.75" customHeight="1">
      <c r="A116" s="7"/>
      <c r="B116" s="7"/>
      <c r="C116" s="8"/>
      <c r="D116" s="7"/>
      <c r="E116" s="7"/>
      <c r="F116" s="7"/>
      <c r="G116" s="7"/>
    </row>
    <row r="117" ht="15.75" customHeight="1">
      <c r="A117" s="7"/>
      <c r="B117" s="7"/>
      <c r="C117" s="8"/>
      <c r="D117" s="7"/>
      <c r="E117" s="7"/>
      <c r="F117" s="7"/>
      <c r="G117" s="7"/>
    </row>
    <row r="118" ht="15.75" customHeight="1">
      <c r="A118" s="7"/>
      <c r="B118" s="7"/>
      <c r="C118" s="8"/>
      <c r="D118" s="7"/>
      <c r="E118" s="7"/>
      <c r="F118" s="7"/>
      <c r="G118" s="7"/>
    </row>
    <row r="119" ht="15.75" customHeight="1">
      <c r="A119" s="7"/>
      <c r="B119" s="7"/>
      <c r="C119" s="8"/>
      <c r="D119" s="7"/>
      <c r="E119" s="7"/>
      <c r="F119" s="7"/>
      <c r="G119" s="7"/>
    </row>
    <row r="120" ht="15.75" customHeight="1">
      <c r="A120" s="7"/>
      <c r="B120" s="7"/>
      <c r="C120" s="8"/>
      <c r="D120" s="7"/>
      <c r="E120" s="7"/>
      <c r="F120" s="7"/>
      <c r="G120" s="7"/>
    </row>
    <row r="121" ht="15.75" customHeight="1">
      <c r="A121" s="7"/>
      <c r="B121" s="7"/>
      <c r="C121" s="8"/>
      <c r="D121" s="7"/>
      <c r="E121" s="7"/>
      <c r="F121" s="7"/>
      <c r="G121" s="7"/>
    </row>
    <row r="122" ht="15.75" customHeight="1">
      <c r="A122" s="7"/>
      <c r="B122" s="7"/>
      <c r="C122" s="8"/>
      <c r="D122" s="7"/>
      <c r="E122" s="7"/>
      <c r="F122" s="7"/>
      <c r="G122" s="7"/>
    </row>
    <row r="123" ht="15.75" customHeight="1">
      <c r="A123" s="7"/>
      <c r="B123" s="7"/>
      <c r="C123" s="8"/>
      <c r="D123" s="7"/>
      <c r="E123" s="7"/>
      <c r="F123" s="7"/>
      <c r="G123" s="7"/>
    </row>
    <row r="124" ht="15.75" customHeight="1">
      <c r="A124" s="7"/>
      <c r="B124" s="7"/>
      <c r="C124" s="8"/>
      <c r="D124" s="7"/>
      <c r="E124" s="7"/>
      <c r="F124" s="7"/>
      <c r="G124" s="7"/>
    </row>
    <row r="125" ht="15.75" customHeight="1">
      <c r="A125" s="7"/>
      <c r="B125" s="7"/>
      <c r="C125" s="8"/>
      <c r="D125" s="7"/>
      <c r="E125" s="7"/>
      <c r="F125" s="7"/>
      <c r="G125" s="7"/>
    </row>
    <row r="126" ht="15.75" customHeight="1">
      <c r="A126" s="7"/>
      <c r="B126" s="7"/>
      <c r="C126" s="8"/>
      <c r="D126" s="7"/>
      <c r="E126" s="7"/>
      <c r="F126" s="7"/>
      <c r="G126" s="7"/>
    </row>
    <row r="127" ht="15.75" customHeight="1">
      <c r="A127" s="7"/>
      <c r="B127" s="7"/>
      <c r="C127" s="8"/>
      <c r="D127" s="7"/>
      <c r="E127" s="7"/>
      <c r="F127" s="7"/>
      <c r="G127" s="7"/>
    </row>
    <row r="128" ht="15.75" customHeight="1">
      <c r="A128" s="7"/>
      <c r="B128" s="7"/>
      <c r="C128" s="8"/>
      <c r="D128" s="7"/>
      <c r="E128" s="7"/>
      <c r="F128" s="7"/>
      <c r="G128" s="7"/>
    </row>
    <row r="129" ht="15.75" customHeight="1">
      <c r="A129" s="7"/>
      <c r="B129" s="7"/>
      <c r="C129" s="8"/>
      <c r="D129" s="7"/>
      <c r="E129" s="7"/>
      <c r="F129" s="7"/>
      <c r="G129" s="7"/>
    </row>
    <row r="130" ht="15.75" customHeight="1">
      <c r="A130" s="7"/>
      <c r="B130" s="7"/>
      <c r="C130" s="8"/>
      <c r="D130" s="7"/>
      <c r="E130" s="7"/>
      <c r="F130" s="7"/>
      <c r="G130" s="7"/>
    </row>
    <row r="131" ht="15.75" customHeight="1">
      <c r="A131" s="7"/>
      <c r="B131" s="7"/>
      <c r="C131" s="8"/>
      <c r="D131" s="7"/>
      <c r="E131" s="7"/>
      <c r="F131" s="7"/>
      <c r="G131" s="7"/>
    </row>
    <row r="132" ht="15.75" customHeight="1">
      <c r="A132" s="7"/>
      <c r="B132" s="7"/>
      <c r="C132" s="8"/>
      <c r="D132" s="7"/>
      <c r="E132" s="7"/>
      <c r="F132" s="7"/>
      <c r="G132" s="7"/>
    </row>
    <row r="133" ht="15.75" customHeight="1">
      <c r="A133" s="7"/>
      <c r="B133" s="7"/>
      <c r="C133" s="8"/>
      <c r="D133" s="7"/>
      <c r="E133" s="7"/>
      <c r="F133" s="7"/>
      <c r="G133" s="7"/>
    </row>
    <row r="134" ht="15.75" customHeight="1">
      <c r="A134" s="7"/>
      <c r="B134" s="7"/>
      <c r="C134" s="8"/>
      <c r="D134" s="7"/>
      <c r="E134" s="7"/>
      <c r="F134" s="7"/>
      <c r="G134" s="7"/>
    </row>
    <row r="135" ht="15.75" customHeight="1">
      <c r="A135" s="7"/>
      <c r="B135" s="7"/>
      <c r="C135" s="8"/>
      <c r="D135" s="7"/>
      <c r="E135" s="7"/>
      <c r="F135" s="7"/>
      <c r="G135" s="7"/>
    </row>
    <row r="136" ht="15.75" customHeight="1">
      <c r="A136" s="7"/>
      <c r="B136" s="7"/>
      <c r="C136" s="8"/>
      <c r="D136" s="7"/>
      <c r="E136" s="7"/>
      <c r="F136" s="7"/>
      <c r="G136" s="7"/>
    </row>
    <row r="137" ht="15.75" customHeight="1">
      <c r="A137" s="7"/>
      <c r="B137" s="7"/>
      <c r="C137" s="8"/>
      <c r="D137" s="7"/>
      <c r="E137" s="7"/>
      <c r="F137" s="7"/>
      <c r="G137" s="7"/>
    </row>
    <row r="138" ht="15.75" customHeight="1">
      <c r="A138" s="7"/>
      <c r="B138" s="7"/>
      <c r="C138" s="8"/>
      <c r="D138" s="7"/>
      <c r="E138" s="7"/>
      <c r="F138" s="7"/>
      <c r="G138" s="7"/>
    </row>
    <row r="139" ht="15.75" customHeight="1">
      <c r="A139" s="7"/>
      <c r="B139" s="7"/>
      <c r="C139" s="8"/>
      <c r="D139" s="7"/>
      <c r="E139" s="7"/>
      <c r="F139" s="7"/>
      <c r="G139" s="7"/>
    </row>
    <row r="140" ht="15.75" customHeight="1">
      <c r="A140" s="7"/>
      <c r="B140" s="7"/>
      <c r="C140" s="8"/>
      <c r="D140" s="7"/>
      <c r="E140" s="7"/>
      <c r="F140" s="7"/>
      <c r="G140" s="7"/>
    </row>
    <row r="141" ht="15.75" customHeight="1">
      <c r="A141" s="7"/>
      <c r="B141" s="7"/>
      <c r="C141" s="8"/>
      <c r="D141" s="7"/>
      <c r="E141" s="7"/>
      <c r="F141" s="7"/>
      <c r="G141" s="7"/>
    </row>
    <row r="142" ht="15.75" customHeight="1">
      <c r="A142" s="7"/>
      <c r="B142" s="7"/>
      <c r="C142" s="8"/>
      <c r="D142" s="7"/>
      <c r="E142" s="7"/>
      <c r="F142" s="7"/>
      <c r="G142" s="7"/>
    </row>
    <row r="143" ht="15.75" customHeight="1">
      <c r="A143" s="7"/>
      <c r="B143" s="7"/>
      <c r="C143" s="8"/>
      <c r="D143" s="7"/>
      <c r="E143" s="7"/>
      <c r="F143" s="7"/>
      <c r="G143" s="7"/>
    </row>
    <row r="144" ht="15.75" customHeight="1">
      <c r="A144" s="7"/>
      <c r="B144" s="7"/>
      <c r="C144" s="8"/>
      <c r="D144" s="7"/>
      <c r="E144" s="7"/>
      <c r="F144" s="7"/>
      <c r="G144" s="7"/>
    </row>
    <row r="145" ht="15.75" customHeight="1">
      <c r="A145" s="7"/>
      <c r="B145" s="7"/>
      <c r="C145" s="8"/>
      <c r="D145" s="7"/>
      <c r="E145" s="7"/>
      <c r="F145" s="7"/>
      <c r="G145" s="7"/>
    </row>
    <row r="146" ht="15.75" customHeight="1">
      <c r="A146" s="7"/>
      <c r="B146" s="7"/>
      <c r="C146" s="8"/>
      <c r="D146" s="7"/>
      <c r="E146" s="7"/>
      <c r="F146" s="7"/>
      <c r="G146" s="7"/>
    </row>
    <row r="147" ht="15.75" customHeight="1">
      <c r="A147" s="7"/>
      <c r="B147" s="7"/>
      <c r="C147" s="8"/>
      <c r="D147" s="7"/>
      <c r="E147" s="7"/>
      <c r="F147" s="7"/>
      <c r="G147" s="7"/>
    </row>
    <row r="148" ht="15.75" customHeight="1">
      <c r="A148" s="7"/>
      <c r="B148" s="7"/>
      <c r="C148" s="8"/>
      <c r="D148" s="7"/>
      <c r="E148" s="7"/>
      <c r="F148" s="7"/>
      <c r="G148" s="7"/>
    </row>
    <row r="149" ht="15.75" customHeight="1">
      <c r="A149" s="7"/>
      <c r="B149" s="7"/>
      <c r="C149" s="8"/>
      <c r="D149" s="7"/>
      <c r="E149" s="7"/>
      <c r="F149" s="7"/>
      <c r="G149" s="7"/>
    </row>
    <row r="150" ht="15.75" customHeight="1">
      <c r="A150" s="7"/>
      <c r="B150" s="7"/>
      <c r="C150" s="8"/>
      <c r="D150" s="7"/>
      <c r="E150" s="7"/>
      <c r="F150" s="7"/>
      <c r="G150" s="7"/>
    </row>
    <row r="151" ht="15.75" customHeight="1">
      <c r="A151" s="7"/>
      <c r="B151" s="7"/>
      <c r="C151" s="8"/>
      <c r="D151" s="7"/>
      <c r="E151" s="7"/>
      <c r="F151" s="7"/>
      <c r="G151" s="7"/>
    </row>
    <row r="152" ht="15.75" customHeight="1">
      <c r="A152" s="7"/>
      <c r="B152" s="7"/>
      <c r="C152" s="8"/>
      <c r="D152" s="7"/>
      <c r="E152" s="7"/>
      <c r="F152" s="7"/>
      <c r="G152" s="7"/>
    </row>
    <row r="153" ht="15.75" customHeight="1">
      <c r="A153" s="7"/>
      <c r="B153" s="7"/>
      <c r="C153" s="8"/>
      <c r="D153" s="7"/>
      <c r="E153" s="7"/>
      <c r="F153" s="7"/>
      <c r="G153" s="7"/>
    </row>
    <row r="154" ht="15.75" customHeight="1">
      <c r="A154" s="7"/>
      <c r="B154" s="7"/>
      <c r="C154" s="8"/>
      <c r="D154" s="7"/>
      <c r="E154" s="7"/>
      <c r="F154" s="7"/>
      <c r="G154" s="7"/>
    </row>
    <row r="155" ht="15.75" customHeight="1">
      <c r="A155" s="7"/>
      <c r="B155" s="7"/>
      <c r="C155" s="8"/>
      <c r="D155" s="7"/>
      <c r="E155" s="7"/>
      <c r="F155" s="7"/>
      <c r="G155" s="7"/>
    </row>
    <row r="156" ht="15.75" customHeight="1">
      <c r="A156" s="7"/>
      <c r="B156" s="7"/>
      <c r="C156" s="8"/>
      <c r="D156" s="7"/>
      <c r="E156" s="7"/>
      <c r="F156" s="7"/>
      <c r="G156" s="7"/>
    </row>
    <row r="157" ht="15.75" customHeight="1">
      <c r="A157" s="7"/>
      <c r="B157" s="7"/>
      <c r="C157" s="8"/>
      <c r="D157" s="7"/>
      <c r="E157" s="7"/>
      <c r="F157" s="7"/>
      <c r="G157" s="7"/>
    </row>
    <row r="158" ht="15.75" customHeight="1">
      <c r="A158" s="7"/>
      <c r="B158" s="7"/>
      <c r="C158" s="8"/>
      <c r="D158" s="7"/>
      <c r="E158" s="7"/>
      <c r="F158" s="7"/>
      <c r="G158" s="7"/>
    </row>
    <row r="159" ht="15.75" customHeight="1">
      <c r="A159" s="7"/>
      <c r="B159" s="7"/>
      <c r="C159" s="8"/>
      <c r="D159" s="7"/>
      <c r="E159" s="7"/>
      <c r="F159" s="7"/>
      <c r="G159" s="7"/>
    </row>
    <row r="160" ht="15.75" customHeight="1">
      <c r="A160" s="7"/>
      <c r="B160" s="7"/>
      <c r="C160" s="8"/>
      <c r="D160" s="7"/>
      <c r="E160" s="7"/>
      <c r="F160" s="7"/>
      <c r="G160" s="7"/>
    </row>
    <row r="161" ht="15.75" customHeight="1">
      <c r="A161" s="7"/>
      <c r="B161" s="7"/>
      <c r="C161" s="8"/>
      <c r="D161" s="7"/>
      <c r="E161" s="7"/>
      <c r="F161" s="7"/>
      <c r="G161" s="7"/>
    </row>
    <row r="162" ht="15.75" customHeight="1">
      <c r="A162" s="7"/>
      <c r="B162" s="7"/>
      <c r="C162" s="8"/>
      <c r="D162" s="7"/>
      <c r="E162" s="7"/>
      <c r="F162" s="7"/>
      <c r="G162" s="7"/>
    </row>
    <row r="163" ht="15.75" customHeight="1">
      <c r="A163" s="7"/>
      <c r="B163" s="7"/>
      <c r="C163" s="8"/>
      <c r="D163" s="7"/>
      <c r="E163" s="7"/>
      <c r="F163" s="7"/>
      <c r="G163" s="7"/>
    </row>
    <row r="164" ht="15.75" customHeight="1">
      <c r="A164" s="7"/>
      <c r="B164" s="7"/>
      <c r="C164" s="8"/>
      <c r="D164" s="7"/>
      <c r="E164" s="7"/>
      <c r="F164" s="7"/>
      <c r="G164" s="7"/>
    </row>
    <row r="165" ht="15.75" customHeight="1">
      <c r="A165" s="7"/>
      <c r="B165" s="7"/>
      <c r="C165" s="8"/>
      <c r="D165" s="7"/>
      <c r="E165" s="7"/>
      <c r="F165" s="7"/>
      <c r="G165" s="7"/>
    </row>
    <row r="166" ht="15.75" customHeight="1">
      <c r="A166" s="7"/>
      <c r="B166" s="7"/>
      <c r="C166" s="8"/>
      <c r="D166" s="7"/>
      <c r="E166" s="7"/>
      <c r="F166" s="7"/>
      <c r="G166" s="7"/>
    </row>
    <row r="167" ht="15.75" customHeight="1">
      <c r="A167" s="7"/>
      <c r="B167" s="7"/>
      <c r="C167" s="8"/>
      <c r="D167" s="7"/>
      <c r="E167" s="7"/>
      <c r="F167" s="7"/>
      <c r="G167" s="7"/>
    </row>
    <row r="168" ht="15.75" customHeight="1">
      <c r="A168" s="7"/>
      <c r="B168" s="7"/>
      <c r="C168" s="8"/>
      <c r="D168" s="7"/>
      <c r="E168" s="7"/>
      <c r="F168" s="7"/>
      <c r="G168" s="7"/>
    </row>
    <row r="169" ht="15.75" customHeight="1">
      <c r="A169" s="7"/>
      <c r="B169" s="7"/>
      <c r="C169" s="8"/>
      <c r="D169" s="7"/>
      <c r="E169" s="7"/>
      <c r="F169" s="7"/>
      <c r="G169" s="7"/>
    </row>
    <row r="170" ht="15.75" customHeight="1">
      <c r="A170" s="7"/>
      <c r="B170" s="7"/>
      <c r="C170" s="8"/>
      <c r="D170" s="7"/>
      <c r="E170" s="7"/>
      <c r="F170" s="7"/>
      <c r="G170" s="7"/>
    </row>
    <row r="171" ht="15.75" customHeight="1">
      <c r="A171" s="7"/>
      <c r="B171" s="7"/>
      <c r="C171" s="8"/>
      <c r="D171" s="7"/>
      <c r="E171" s="7"/>
      <c r="F171" s="7"/>
      <c r="G171" s="7"/>
    </row>
    <row r="172" ht="15.75" customHeight="1">
      <c r="A172" s="7"/>
      <c r="B172" s="7"/>
      <c r="C172" s="8"/>
      <c r="D172" s="7"/>
      <c r="E172" s="7"/>
      <c r="F172" s="7"/>
      <c r="G172" s="7"/>
    </row>
    <row r="173" ht="15.75" customHeight="1">
      <c r="A173" s="7"/>
      <c r="B173" s="7"/>
      <c r="C173" s="8"/>
      <c r="D173" s="7"/>
      <c r="E173" s="7"/>
      <c r="F173" s="7"/>
      <c r="G173" s="7"/>
    </row>
    <row r="174" ht="15.75" customHeight="1">
      <c r="A174" s="7"/>
      <c r="B174" s="7"/>
      <c r="C174" s="8"/>
      <c r="D174" s="7"/>
      <c r="E174" s="7"/>
      <c r="F174" s="7"/>
      <c r="G174" s="7"/>
    </row>
    <row r="175" ht="15.75" customHeight="1">
      <c r="A175" s="7"/>
      <c r="B175" s="7"/>
      <c r="C175" s="8"/>
      <c r="D175" s="7"/>
      <c r="E175" s="7"/>
      <c r="F175" s="7"/>
      <c r="G175" s="7"/>
    </row>
    <row r="176" ht="15.75" customHeight="1">
      <c r="A176" s="7"/>
      <c r="B176" s="7"/>
      <c r="C176" s="8"/>
      <c r="D176" s="7"/>
      <c r="E176" s="7"/>
      <c r="F176" s="7"/>
      <c r="G176" s="7"/>
    </row>
    <row r="177" ht="15.75" customHeight="1">
      <c r="A177" s="7"/>
      <c r="B177" s="7"/>
      <c r="C177" s="8"/>
      <c r="D177" s="7"/>
      <c r="E177" s="7"/>
      <c r="F177" s="7"/>
      <c r="G177" s="7"/>
    </row>
    <row r="178" ht="15.75" customHeight="1">
      <c r="A178" s="7"/>
      <c r="B178" s="7"/>
      <c r="C178" s="8"/>
      <c r="D178" s="7"/>
      <c r="E178" s="7"/>
      <c r="F178" s="7"/>
      <c r="G178" s="7"/>
    </row>
    <row r="179" ht="15.75" customHeight="1">
      <c r="A179" s="7"/>
      <c r="B179" s="7"/>
      <c r="C179" s="8"/>
      <c r="D179" s="7"/>
      <c r="E179" s="7"/>
      <c r="F179" s="7"/>
      <c r="G179" s="7"/>
    </row>
    <row r="180" ht="15.75" customHeight="1">
      <c r="A180" s="7"/>
      <c r="B180" s="7"/>
      <c r="C180" s="8"/>
      <c r="D180" s="7"/>
      <c r="E180" s="7"/>
      <c r="F180" s="7"/>
      <c r="G180" s="7"/>
    </row>
    <row r="181" ht="15.75" customHeight="1">
      <c r="A181" s="7"/>
      <c r="B181" s="7"/>
      <c r="C181" s="8"/>
      <c r="D181" s="7"/>
      <c r="E181" s="7"/>
      <c r="F181" s="7"/>
      <c r="G181" s="7"/>
    </row>
    <row r="182" ht="15.75" customHeight="1">
      <c r="A182" s="7"/>
      <c r="B182" s="7"/>
      <c r="C182" s="8"/>
      <c r="D182" s="7"/>
      <c r="E182" s="7"/>
      <c r="F182" s="7"/>
      <c r="G182" s="7"/>
    </row>
    <row r="183" ht="15.75" customHeight="1">
      <c r="A183" s="7"/>
      <c r="B183" s="7"/>
      <c r="C183" s="8"/>
      <c r="D183" s="7"/>
      <c r="E183" s="7"/>
      <c r="F183" s="7"/>
      <c r="G183" s="7"/>
    </row>
    <row r="184" ht="15.75" customHeight="1">
      <c r="A184" s="7"/>
      <c r="B184" s="7"/>
      <c r="C184" s="8"/>
      <c r="D184" s="7"/>
      <c r="E184" s="7"/>
      <c r="F184" s="7"/>
      <c r="G184" s="7"/>
    </row>
    <row r="185" ht="15.75" customHeight="1">
      <c r="A185" s="7"/>
      <c r="B185" s="7"/>
      <c r="C185" s="8"/>
      <c r="D185" s="7"/>
      <c r="E185" s="7"/>
      <c r="F185" s="7"/>
      <c r="G185" s="7"/>
    </row>
    <row r="186" ht="15.75" customHeight="1">
      <c r="A186" s="7"/>
      <c r="B186" s="7"/>
      <c r="C186" s="8"/>
      <c r="D186" s="7"/>
      <c r="E186" s="7"/>
      <c r="F186" s="7"/>
      <c r="G186" s="7"/>
    </row>
    <row r="187" ht="15.75" customHeight="1">
      <c r="A187" s="7"/>
      <c r="B187" s="7"/>
      <c r="C187" s="8"/>
      <c r="D187" s="7"/>
      <c r="E187" s="7"/>
      <c r="F187" s="7"/>
      <c r="G187" s="7"/>
    </row>
    <row r="188" ht="15.75" customHeight="1">
      <c r="A188" s="7"/>
      <c r="B188" s="7"/>
      <c r="C188" s="8"/>
      <c r="D188" s="7"/>
      <c r="E188" s="7"/>
      <c r="F188" s="7"/>
      <c r="G188" s="7"/>
    </row>
    <row r="189" ht="15.75" customHeight="1">
      <c r="A189" s="7"/>
      <c r="B189" s="7"/>
      <c r="C189" s="8"/>
      <c r="D189" s="7"/>
      <c r="E189" s="7"/>
      <c r="F189" s="7"/>
      <c r="G189" s="7"/>
    </row>
    <row r="190" ht="15.75" customHeight="1">
      <c r="A190" s="7"/>
      <c r="B190" s="7"/>
      <c r="C190" s="8"/>
      <c r="D190" s="7"/>
      <c r="E190" s="7"/>
      <c r="F190" s="7"/>
      <c r="G190" s="7"/>
    </row>
    <row r="191" ht="15.75" customHeight="1">
      <c r="A191" s="7"/>
      <c r="B191" s="7"/>
      <c r="C191" s="8"/>
      <c r="D191" s="7"/>
      <c r="E191" s="7"/>
      <c r="F191" s="7"/>
      <c r="G191" s="7"/>
    </row>
    <row r="192" ht="15.75" customHeight="1">
      <c r="A192" s="7"/>
      <c r="B192" s="7"/>
      <c r="C192" s="8"/>
      <c r="D192" s="7"/>
      <c r="E192" s="7"/>
      <c r="F192" s="7"/>
      <c r="G192" s="7"/>
    </row>
    <row r="193" ht="15.75" customHeight="1">
      <c r="A193" s="7"/>
      <c r="B193" s="7"/>
      <c r="C193" s="8"/>
      <c r="D193" s="7"/>
      <c r="E193" s="7"/>
      <c r="F193" s="7"/>
      <c r="G193" s="7"/>
    </row>
    <row r="194" ht="15.75" customHeight="1">
      <c r="A194" s="7"/>
      <c r="B194" s="7"/>
      <c r="C194" s="8"/>
      <c r="D194" s="7"/>
      <c r="E194" s="7"/>
      <c r="F194" s="7"/>
      <c r="G194" s="7"/>
    </row>
    <row r="195" ht="15.75" customHeight="1">
      <c r="A195" s="7"/>
      <c r="B195" s="7"/>
      <c r="C195" s="8"/>
      <c r="D195" s="7"/>
      <c r="E195" s="7"/>
      <c r="F195" s="7"/>
      <c r="G195" s="7"/>
    </row>
    <row r="196" ht="15.75" customHeight="1">
      <c r="A196" s="7"/>
      <c r="B196" s="7"/>
      <c r="C196" s="8"/>
      <c r="D196" s="7"/>
      <c r="E196" s="7"/>
      <c r="F196" s="7"/>
      <c r="G196" s="7"/>
    </row>
    <row r="197" ht="15.75" customHeight="1">
      <c r="A197" s="7"/>
      <c r="B197" s="7"/>
      <c r="C197" s="8"/>
      <c r="D197" s="7"/>
      <c r="E197" s="7"/>
      <c r="F197" s="7"/>
      <c r="G197" s="7"/>
    </row>
    <row r="198" ht="15.75" customHeight="1">
      <c r="A198" s="7"/>
      <c r="B198" s="7"/>
      <c r="C198" s="8"/>
      <c r="D198" s="7"/>
      <c r="E198" s="7"/>
      <c r="F198" s="7"/>
      <c r="G198" s="7"/>
    </row>
    <row r="199" ht="15.75" customHeight="1">
      <c r="A199" s="7"/>
      <c r="B199" s="7"/>
      <c r="C199" s="8"/>
      <c r="D199" s="7"/>
      <c r="E199" s="7"/>
      <c r="F199" s="7"/>
      <c r="G199" s="7"/>
    </row>
    <row r="200" ht="15.75" customHeight="1">
      <c r="A200" s="7"/>
      <c r="B200" s="7"/>
      <c r="C200" s="8"/>
      <c r="D200" s="7"/>
      <c r="E200" s="7"/>
      <c r="F200" s="7"/>
      <c r="G200" s="7"/>
    </row>
    <row r="201" ht="15.75" customHeight="1">
      <c r="A201" s="7"/>
      <c r="B201" s="7"/>
      <c r="C201" s="8"/>
      <c r="D201" s="7"/>
      <c r="E201" s="7"/>
      <c r="F201" s="7"/>
      <c r="G201" s="7"/>
    </row>
    <row r="202" ht="15.75" customHeight="1">
      <c r="A202" s="7"/>
      <c r="B202" s="7"/>
      <c r="C202" s="8"/>
      <c r="D202" s="7"/>
      <c r="E202" s="7"/>
      <c r="F202" s="7"/>
      <c r="G202" s="7"/>
    </row>
    <row r="203" ht="15.75" customHeight="1">
      <c r="A203" s="7"/>
      <c r="B203" s="7"/>
      <c r="C203" s="8"/>
      <c r="D203" s="7"/>
      <c r="E203" s="7"/>
      <c r="F203" s="7"/>
      <c r="G203" s="7"/>
    </row>
    <row r="204" ht="15.75" customHeight="1">
      <c r="A204" s="7"/>
      <c r="B204" s="7"/>
      <c r="C204" s="8"/>
      <c r="D204" s="7"/>
      <c r="E204" s="7"/>
      <c r="F204" s="7"/>
      <c r="G204" s="7"/>
    </row>
    <row r="205" ht="15.75" customHeight="1">
      <c r="A205" s="7"/>
      <c r="B205" s="7"/>
      <c r="C205" s="8"/>
      <c r="D205" s="7"/>
      <c r="E205" s="7"/>
      <c r="F205" s="7"/>
      <c r="G205" s="7"/>
    </row>
    <row r="206" ht="15.75" customHeight="1">
      <c r="A206" s="7"/>
      <c r="B206" s="7"/>
      <c r="C206" s="8"/>
      <c r="D206" s="7"/>
      <c r="E206" s="7"/>
      <c r="F206" s="7"/>
      <c r="G206" s="7"/>
    </row>
    <row r="207" ht="15.75" customHeight="1">
      <c r="A207" s="7"/>
      <c r="B207" s="7"/>
      <c r="C207" s="8"/>
      <c r="D207" s="7"/>
      <c r="E207" s="7"/>
      <c r="F207" s="7"/>
      <c r="G207" s="7"/>
    </row>
    <row r="208" ht="15.75" customHeight="1">
      <c r="A208" s="7"/>
      <c r="B208" s="7"/>
      <c r="C208" s="8"/>
      <c r="D208" s="7"/>
      <c r="E208" s="7"/>
      <c r="F208" s="7"/>
      <c r="G208" s="7"/>
    </row>
    <row r="209" ht="15.75" customHeight="1">
      <c r="A209" s="7"/>
      <c r="B209" s="7"/>
      <c r="C209" s="8"/>
      <c r="D209" s="7"/>
      <c r="E209" s="7"/>
      <c r="F209" s="7"/>
      <c r="G209" s="7"/>
    </row>
    <row r="210" ht="15.75" customHeight="1">
      <c r="A210" s="7"/>
      <c r="B210" s="7"/>
      <c r="C210" s="8"/>
      <c r="D210" s="7"/>
      <c r="E210" s="7"/>
      <c r="F210" s="7"/>
      <c r="G210" s="7"/>
    </row>
    <row r="211" ht="15.75" customHeight="1">
      <c r="A211" s="7"/>
      <c r="B211" s="7"/>
      <c r="C211" s="8"/>
      <c r="D211" s="7"/>
      <c r="E211" s="7"/>
      <c r="F211" s="7"/>
      <c r="G211" s="7"/>
    </row>
    <row r="212" ht="15.75" customHeight="1">
      <c r="A212" s="7"/>
      <c r="B212" s="7"/>
      <c r="C212" s="8"/>
      <c r="D212" s="7"/>
      <c r="E212" s="7"/>
      <c r="F212" s="7"/>
      <c r="G212" s="7"/>
    </row>
    <row r="213" ht="15.75" customHeight="1">
      <c r="A213" s="7"/>
      <c r="B213" s="7"/>
      <c r="C213" s="8"/>
      <c r="D213" s="7"/>
      <c r="E213" s="7"/>
      <c r="F213" s="7"/>
      <c r="G213" s="7"/>
    </row>
    <row r="214" ht="15.75" customHeight="1">
      <c r="A214" s="7"/>
      <c r="B214" s="7"/>
      <c r="C214" s="8"/>
      <c r="D214" s="7"/>
      <c r="E214" s="7"/>
      <c r="F214" s="7"/>
      <c r="G214" s="7"/>
    </row>
    <row r="215" ht="15.75" customHeight="1">
      <c r="A215" s="7"/>
      <c r="B215" s="7"/>
      <c r="C215" s="8"/>
      <c r="D215" s="7"/>
      <c r="E215" s="7"/>
      <c r="F215" s="7"/>
      <c r="G215" s="7"/>
    </row>
    <row r="216" ht="15.75" customHeight="1">
      <c r="A216" s="7"/>
      <c r="B216" s="7"/>
      <c r="C216" s="8"/>
      <c r="D216" s="7"/>
      <c r="E216" s="7"/>
      <c r="F216" s="7"/>
      <c r="G216" s="7"/>
    </row>
    <row r="217" ht="15.75" customHeight="1">
      <c r="A217" s="7"/>
      <c r="B217" s="7"/>
      <c r="C217" s="8"/>
      <c r="D217" s="7"/>
      <c r="E217" s="7"/>
      <c r="F217" s="7"/>
      <c r="G217" s="7"/>
    </row>
    <row r="218" ht="15.75" customHeight="1">
      <c r="A218" s="7"/>
      <c r="B218" s="7"/>
      <c r="C218" s="8"/>
      <c r="D218" s="7"/>
      <c r="E218" s="7"/>
      <c r="F218" s="7"/>
      <c r="G218" s="7"/>
    </row>
    <row r="219" ht="15.75" customHeight="1">
      <c r="A219" s="7"/>
      <c r="B219" s="7"/>
      <c r="C219" s="8"/>
      <c r="D219" s="7"/>
      <c r="E219" s="7"/>
      <c r="F219" s="7"/>
      <c r="G219" s="7"/>
    </row>
    <row r="220" ht="15.75" customHeight="1">
      <c r="A220" s="7"/>
      <c r="B220" s="7"/>
      <c r="C220" s="8"/>
      <c r="D220" s="7"/>
      <c r="E220" s="7"/>
      <c r="F220" s="7"/>
      <c r="G220" s="7"/>
    </row>
    <row r="221" ht="15.75" customHeight="1">
      <c r="D221" s="31"/>
    </row>
    <row r="222" ht="15.75" customHeight="1">
      <c r="D222" s="31"/>
    </row>
    <row r="223" ht="15.75" customHeight="1">
      <c r="D223" s="31"/>
    </row>
    <row r="224" ht="15.75" customHeight="1">
      <c r="D224" s="31"/>
    </row>
    <row r="225" ht="15.75" customHeight="1">
      <c r="D225" s="31"/>
    </row>
    <row r="226" ht="15.75" customHeight="1">
      <c r="D226" s="31"/>
    </row>
    <row r="227" ht="15.75" customHeight="1">
      <c r="D227" s="31"/>
    </row>
    <row r="228" ht="15.75" customHeight="1">
      <c r="D228" s="31"/>
    </row>
    <row r="229" ht="15.75" customHeight="1">
      <c r="D229" s="31"/>
    </row>
    <row r="230" ht="15.75" customHeight="1">
      <c r="D230" s="31"/>
    </row>
    <row r="231" ht="15.75" customHeight="1">
      <c r="D231" s="31"/>
    </row>
    <row r="232" ht="15.75" customHeight="1">
      <c r="D232" s="31"/>
    </row>
    <row r="233" ht="15.75" customHeight="1">
      <c r="D233" s="31"/>
    </row>
    <row r="234" ht="15.75" customHeight="1">
      <c r="D234" s="31"/>
    </row>
    <row r="235" ht="15.75" customHeight="1">
      <c r="D235" s="31"/>
    </row>
    <row r="236" ht="15.75" customHeight="1">
      <c r="D236" s="31"/>
    </row>
    <row r="237" ht="15.75" customHeight="1">
      <c r="D237" s="31"/>
    </row>
    <row r="238" ht="15.75" customHeight="1">
      <c r="D238" s="31"/>
    </row>
    <row r="239" ht="15.75" customHeight="1">
      <c r="D239" s="31"/>
    </row>
    <row r="240" ht="15.75" customHeight="1">
      <c r="D240" s="31"/>
    </row>
    <row r="241" ht="15.75" customHeight="1">
      <c r="D241" s="31"/>
    </row>
    <row r="242" ht="15.75" customHeight="1">
      <c r="D242" s="31"/>
    </row>
    <row r="243" ht="15.75" customHeight="1">
      <c r="D243" s="31"/>
    </row>
    <row r="244" ht="15.75" customHeight="1">
      <c r="D244" s="31"/>
    </row>
    <row r="245" ht="15.75" customHeight="1">
      <c r="D245" s="31"/>
    </row>
    <row r="246" ht="15.75" customHeight="1">
      <c r="D246" s="31"/>
    </row>
    <row r="247" ht="15.75" customHeight="1">
      <c r="D247" s="31"/>
    </row>
    <row r="248" ht="15.75" customHeight="1">
      <c r="D248" s="31"/>
    </row>
    <row r="249" ht="15.75" customHeight="1">
      <c r="D249" s="31"/>
    </row>
    <row r="250" ht="15.75" customHeight="1">
      <c r="D250" s="31"/>
    </row>
    <row r="251" ht="15.75" customHeight="1">
      <c r="D251" s="31"/>
    </row>
    <row r="252" ht="15.75" customHeight="1">
      <c r="D252" s="31"/>
    </row>
    <row r="253" ht="15.75" customHeight="1">
      <c r="D253" s="31"/>
    </row>
    <row r="254" ht="15.75" customHeight="1">
      <c r="D254" s="31"/>
    </row>
    <row r="255" ht="15.75" customHeight="1">
      <c r="D255" s="31"/>
    </row>
    <row r="256" ht="15.75" customHeight="1">
      <c r="D256" s="31"/>
    </row>
    <row r="257" ht="15.75" customHeight="1">
      <c r="D257" s="31"/>
    </row>
    <row r="258" ht="15.75" customHeight="1">
      <c r="D258" s="31"/>
    </row>
    <row r="259" ht="15.75" customHeight="1">
      <c r="D259" s="31"/>
    </row>
    <row r="260" ht="15.75" customHeight="1">
      <c r="D260" s="31"/>
    </row>
    <row r="261" ht="15.75" customHeight="1">
      <c r="D261" s="31"/>
    </row>
    <row r="262" ht="15.75" customHeight="1">
      <c r="D262" s="31"/>
    </row>
    <row r="263" ht="15.75" customHeight="1">
      <c r="D263" s="31"/>
    </row>
    <row r="264" ht="15.75" customHeight="1">
      <c r="D264" s="31"/>
    </row>
    <row r="265" ht="15.75" customHeight="1">
      <c r="D265" s="31"/>
    </row>
    <row r="266" ht="15.75" customHeight="1">
      <c r="D266" s="31"/>
    </row>
    <row r="267" ht="15.75" customHeight="1">
      <c r="D267" s="31"/>
    </row>
    <row r="268" ht="15.75" customHeight="1">
      <c r="D268" s="31"/>
    </row>
    <row r="269" ht="15.75" customHeight="1">
      <c r="D269" s="31"/>
    </row>
    <row r="270" ht="15.75" customHeight="1">
      <c r="D270" s="31"/>
    </row>
    <row r="271" ht="15.75" customHeight="1">
      <c r="D271" s="31"/>
    </row>
    <row r="272" ht="15.75" customHeight="1">
      <c r="D272" s="31"/>
    </row>
    <row r="273" ht="15.75" customHeight="1">
      <c r="D273" s="31"/>
    </row>
    <row r="274" ht="15.75" customHeight="1">
      <c r="D274" s="31"/>
    </row>
    <row r="275" ht="15.75" customHeight="1">
      <c r="D275" s="31"/>
    </row>
    <row r="276" ht="15.75" customHeight="1">
      <c r="D276" s="31"/>
    </row>
    <row r="277" ht="15.75" customHeight="1">
      <c r="D277" s="31"/>
    </row>
    <row r="278" ht="15.75" customHeight="1">
      <c r="D278" s="31"/>
    </row>
    <row r="279" ht="15.75" customHeight="1">
      <c r="D279" s="31"/>
    </row>
    <row r="280" ht="15.75" customHeight="1">
      <c r="D280" s="31"/>
    </row>
    <row r="281" ht="15.75" customHeight="1">
      <c r="D281" s="31"/>
    </row>
    <row r="282" ht="15.75" customHeight="1">
      <c r="D282" s="31"/>
    </row>
    <row r="283" ht="15.75" customHeight="1">
      <c r="D283" s="31"/>
    </row>
    <row r="284" ht="15.75" customHeight="1">
      <c r="D284" s="31"/>
    </row>
    <row r="285" ht="15.75" customHeight="1">
      <c r="D285" s="31"/>
    </row>
    <row r="286" ht="15.75" customHeight="1">
      <c r="D286" s="31"/>
    </row>
    <row r="287" ht="15.75" customHeight="1">
      <c r="D287" s="31"/>
    </row>
    <row r="288" ht="15.75" customHeight="1">
      <c r="D288" s="31"/>
    </row>
    <row r="289" ht="15.75" customHeight="1">
      <c r="D289" s="31"/>
    </row>
    <row r="290" ht="15.75" customHeight="1">
      <c r="D290" s="31"/>
    </row>
    <row r="291" ht="15.75" customHeight="1">
      <c r="D291" s="31"/>
    </row>
    <row r="292" ht="15.75" customHeight="1">
      <c r="D292" s="31"/>
    </row>
    <row r="293" ht="15.75" customHeight="1">
      <c r="D293" s="31"/>
    </row>
    <row r="294" ht="15.75" customHeight="1">
      <c r="D294" s="31"/>
    </row>
    <row r="295" ht="15.75" customHeight="1">
      <c r="D295" s="31"/>
    </row>
    <row r="296" ht="15.75" customHeight="1">
      <c r="D296" s="31"/>
    </row>
    <row r="297" ht="15.75" customHeight="1">
      <c r="D297" s="31"/>
    </row>
    <row r="298" ht="15.75" customHeight="1">
      <c r="D298" s="31"/>
    </row>
    <row r="299" ht="15.75" customHeight="1">
      <c r="D299" s="31"/>
    </row>
    <row r="300" ht="15.75" customHeight="1">
      <c r="D300" s="31"/>
    </row>
    <row r="301" ht="15.75" customHeight="1">
      <c r="D301" s="31"/>
    </row>
    <row r="302" ht="15.75" customHeight="1">
      <c r="D302" s="31"/>
    </row>
    <row r="303" ht="15.75" customHeight="1">
      <c r="D303" s="31"/>
    </row>
    <row r="304" ht="15.75" customHeight="1">
      <c r="D304" s="31"/>
    </row>
    <row r="305" ht="15.75" customHeight="1">
      <c r="D305" s="31"/>
    </row>
    <row r="306" ht="15.75" customHeight="1">
      <c r="D306" s="31"/>
    </row>
    <row r="307" ht="15.75" customHeight="1">
      <c r="D307" s="31"/>
    </row>
    <row r="308" ht="15.75" customHeight="1">
      <c r="D308" s="31"/>
    </row>
    <row r="309" ht="15.75" customHeight="1">
      <c r="D309" s="31"/>
    </row>
    <row r="310" ht="15.75" customHeight="1">
      <c r="D310" s="31"/>
    </row>
    <row r="311" ht="15.75" customHeight="1">
      <c r="D311" s="31"/>
    </row>
    <row r="312" ht="15.75" customHeight="1">
      <c r="D312" s="31"/>
    </row>
    <row r="313" ht="15.75" customHeight="1">
      <c r="D313" s="31"/>
    </row>
    <row r="314" ht="15.75" customHeight="1">
      <c r="D314" s="31"/>
    </row>
    <row r="315" ht="15.75" customHeight="1">
      <c r="D315" s="31"/>
    </row>
    <row r="316" ht="15.75" customHeight="1">
      <c r="D316" s="31"/>
    </row>
    <row r="317" ht="15.75" customHeight="1">
      <c r="D317" s="31"/>
    </row>
    <row r="318" ht="15.75" customHeight="1">
      <c r="D318" s="31"/>
    </row>
    <row r="319" ht="15.75" customHeight="1">
      <c r="D319" s="31"/>
    </row>
    <row r="320" ht="15.75" customHeight="1">
      <c r="D320" s="31"/>
    </row>
    <row r="321" ht="15.75" customHeight="1">
      <c r="D321" s="31"/>
    </row>
    <row r="322" ht="15.75" customHeight="1">
      <c r="D322" s="31"/>
    </row>
    <row r="323" ht="15.75" customHeight="1">
      <c r="D323" s="31"/>
    </row>
    <row r="324" ht="15.75" customHeight="1">
      <c r="D324" s="31"/>
    </row>
    <row r="325" ht="15.75" customHeight="1">
      <c r="D325" s="31"/>
    </row>
    <row r="326" ht="15.75" customHeight="1">
      <c r="D326" s="31"/>
    </row>
    <row r="327" ht="15.75" customHeight="1">
      <c r="D327" s="31"/>
    </row>
    <row r="328" ht="15.75" customHeight="1">
      <c r="D328" s="31"/>
    </row>
    <row r="329" ht="15.75" customHeight="1">
      <c r="D329" s="31"/>
    </row>
    <row r="330" ht="15.75" customHeight="1">
      <c r="D330" s="31"/>
    </row>
    <row r="331" ht="15.75" customHeight="1">
      <c r="D331" s="31"/>
    </row>
    <row r="332" ht="15.75" customHeight="1">
      <c r="D332" s="31"/>
    </row>
    <row r="333" ht="15.75" customHeight="1">
      <c r="D333" s="31"/>
    </row>
    <row r="334" ht="15.75" customHeight="1">
      <c r="D334" s="31"/>
    </row>
    <row r="335" ht="15.75" customHeight="1">
      <c r="D335" s="31"/>
    </row>
    <row r="336" ht="15.75" customHeight="1">
      <c r="D336" s="31"/>
    </row>
    <row r="337" ht="15.75" customHeight="1">
      <c r="D337" s="31"/>
    </row>
    <row r="338" ht="15.75" customHeight="1">
      <c r="D338" s="31"/>
    </row>
    <row r="339" ht="15.75" customHeight="1">
      <c r="D339" s="31"/>
    </row>
    <row r="340" ht="15.75" customHeight="1">
      <c r="D340" s="31"/>
    </row>
    <row r="341" ht="15.75" customHeight="1">
      <c r="D341" s="31"/>
    </row>
    <row r="342" ht="15.75" customHeight="1">
      <c r="D342" s="31"/>
    </row>
    <row r="343" ht="15.75" customHeight="1">
      <c r="D343" s="31"/>
    </row>
    <row r="344" ht="15.75" customHeight="1">
      <c r="D344" s="31"/>
    </row>
    <row r="345" ht="15.75" customHeight="1">
      <c r="D345" s="31"/>
    </row>
    <row r="346" ht="15.75" customHeight="1">
      <c r="D346" s="31"/>
    </row>
    <row r="347" ht="15.75" customHeight="1">
      <c r="D347" s="31"/>
    </row>
    <row r="348" ht="15.75" customHeight="1">
      <c r="D348" s="31"/>
    </row>
    <row r="349" ht="15.75" customHeight="1">
      <c r="D349" s="31"/>
    </row>
    <row r="350" ht="15.75" customHeight="1">
      <c r="D350" s="31"/>
    </row>
    <row r="351" ht="15.75" customHeight="1">
      <c r="D351" s="31"/>
    </row>
    <row r="352" ht="15.75" customHeight="1">
      <c r="D352" s="31"/>
    </row>
    <row r="353" ht="15.75" customHeight="1">
      <c r="D353" s="31"/>
    </row>
    <row r="354" ht="15.75" customHeight="1">
      <c r="D354" s="31"/>
    </row>
    <row r="355" ht="15.75" customHeight="1">
      <c r="D355" s="31"/>
    </row>
    <row r="356" ht="15.75" customHeight="1">
      <c r="D356" s="31"/>
    </row>
    <row r="357" ht="15.75" customHeight="1">
      <c r="D357" s="31"/>
    </row>
    <row r="358" ht="15.75" customHeight="1">
      <c r="D358" s="31"/>
    </row>
    <row r="359" ht="15.75" customHeight="1">
      <c r="D359" s="31"/>
    </row>
    <row r="360" ht="15.75" customHeight="1">
      <c r="D360" s="31"/>
    </row>
    <row r="361" ht="15.75" customHeight="1">
      <c r="D361" s="31"/>
    </row>
    <row r="362" ht="15.75" customHeight="1">
      <c r="D362" s="31"/>
    </row>
    <row r="363" ht="15.75" customHeight="1">
      <c r="D363" s="31"/>
    </row>
    <row r="364" ht="15.75" customHeight="1">
      <c r="D364" s="31"/>
    </row>
    <row r="365" ht="15.75" customHeight="1">
      <c r="D365" s="31"/>
    </row>
    <row r="366" ht="15.75" customHeight="1">
      <c r="D366" s="31"/>
    </row>
    <row r="367" ht="15.75" customHeight="1">
      <c r="D367" s="31"/>
    </row>
    <row r="368" ht="15.75" customHeight="1">
      <c r="D368" s="31"/>
    </row>
    <row r="369" ht="15.75" customHeight="1">
      <c r="D369" s="31"/>
    </row>
    <row r="370" ht="15.75" customHeight="1">
      <c r="D370" s="31"/>
    </row>
    <row r="371" ht="15.75" customHeight="1">
      <c r="D371" s="31"/>
    </row>
    <row r="372" ht="15.75" customHeight="1">
      <c r="D372" s="31"/>
    </row>
    <row r="373" ht="15.75" customHeight="1">
      <c r="D373" s="31"/>
    </row>
    <row r="374" ht="15.75" customHeight="1">
      <c r="D374" s="31"/>
    </row>
    <row r="375" ht="15.75" customHeight="1">
      <c r="D375" s="31"/>
    </row>
    <row r="376" ht="15.75" customHeight="1">
      <c r="D376" s="31"/>
    </row>
    <row r="377" ht="15.75" customHeight="1">
      <c r="D377" s="31"/>
    </row>
    <row r="378" ht="15.75" customHeight="1">
      <c r="D378" s="31"/>
    </row>
    <row r="379" ht="15.75" customHeight="1">
      <c r="D379" s="31"/>
    </row>
    <row r="380" ht="15.75" customHeight="1">
      <c r="D380" s="31"/>
    </row>
    <row r="381" ht="15.75" customHeight="1">
      <c r="D381" s="31"/>
    </row>
    <row r="382" ht="15.75" customHeight="1">
      <c r="D382" s="31"/>
    </row>
    <row r="383" ht="15.75" customHeight="1">
      <c r="D383" s="31"/>
    </row>
    <row r="384" ht="15.75" customHeight="1">
      <c r="D384" s="31"/>
    </row>
    <row r="385" ht="15.75" customHeight="1">
      <c r="D385" s="31"/>
    </row>
    <row r="386" ht="15.75" customHeight="1">
      <c r="D386" s="31"/>
    </row>
    <row r="387" ht="15.75" customHeight="1">
      <c r="D387" s="31"/>
    </row>
    <row r="388" ht="15.75" customHeight="1">
      <c r="D388" s="31"/>
    </row>
    <row r="389" ht="15.75" customHeight="1">
      <c r="D389" s="31"/>
    </row>
    <row r="390" ht="15.75" customHeight="1">
      <c r="D390" s="31"/>
    </row>
    <row r="391" ht="15.75" customHeight="1">
      <c r="D391" s="31"/>
    </row>
    <row r="392" ht="15.75" customHeight="1">
      <c r="D392" s="31"/>
    </row>
    <row r="393" ht="15.75" customHeight="1">
      <c r="D393" s="31"/>
    </row>
    <row r="394" ht="15.75" customHeight="1">
      <c r="D394" s="31"/>
    </row>
    <row r="395" ht="15.75" customHeight="1">
      <c r="D395" s="31"/>
    </row>
    <row r="396" ht="15.75" customHeight="1">
      <c r="D396" s="31"/>
    </row>
    <row r="397" ht="15.75" customHeight="1">
      <c r="D397" s="31"/>
    </row>
    <row r="398" ht="15.75" customHeight="1">
      <c r="D398" s="31"/>
    </row>
    <row r="399" ht="15.75" customHeight="1">
      <c r="D399" s="31"/>
    </row>
    <row r="400" ht="15.75" customHeight="1">
      <c r="D400" s="31"/>
    </row>
    <row r="401" ht="15.75" customHeight="1">
      <c r="D401" s="31"/>
    </row>
    <row r="402" ht="15.75" customHeight="1">
      <c r="D402" s="31"/>
    </row>
    <row r="403" ht="15.75" customHeight="1">
      <c r="D403" s="31"/>
    </row>
    <row r="404" ht="15.75" customHeight="1">
      <c r="D404" s="31"/>
    </row>
    <row r="405" ht="15.75" customHeight="1">
      <c r="D405" s="31"/>
    </row>
    <row r="406" ht="15.75" customHeight="1">
      <c r="D406" s="31"/>
    </row>
    <row r="407" ht="15.75" customHeight="1">
      <c r="D407" s="31"/>
    </row>
    <row r="408" ht="15.75" customHeight="1">
      <c r="D408" s="31"/>
    </row>
    <row r="409" ht="15.75" customHeight="1">
      <c r="D409" s="31"/>
    </row>
    <row r="410" ht="15.75" customHeight="1">
      <c r="D410" s="31"/>
    </row>
    <row r="411" ht="15.75" customHeight="1">
      <c r="D411" s="31"/>
    </row>
    <row r="412" ht="15.75" customHeight="1">
      <c r="D412" s="31"/>
    </row>
    <row r="413" ht="15.75" customHeight="1">
      <c r="D413" s="31"/>
    </row>
    <row r="414" ht="15.75" customHeight="1">
      <c r="D414" s="31"/>
    </row>
    <row r="415" ht="15.75" customHeight="1">
      <c r="D415" s="31"/>
    </row>
    <row r="416" ht="15.75" customHeight="1">
      <c r="D416" s="31"/>
    </row>
    <row r="417" ht="15.75" customHeight="1">
      <c r="D417" s="31"/>
    </row>
    <row r="418" ht="15.75" customHeight="1">
      <c r="D418" s="31"/>
    </row>
    <row r="419" ht="15.75" customHeight="1">
      <c r="D419" s="31"/>
    </row>
    <row r="420" ht="15.75" customHeight="1">
      <c r="D420" s="31"/>
    </row>
    <row r="421" ht="15.75" customHeight="1">
      <c r="D421" s="31"/>
    </row>
    <row r="422" ht="15.75" customHeight="1">
      <c r="D422" s="31"/>
    </row>
    <row r="423" ht="15.75" customHeight="1">
      <c r="D423" s="31"/>
    </row>
    <row r="424" ht="15.75" customHeight="1">
      <c r="D424" s="31"/>
    </row>
    <row r="425" ht="15.75" customHeight="1">
      <c r="D425" s="31"/>
    </row>
    <row r="426" ht="15.75" customHeight="1">
      <c r="D426" s="31"/>
    </row>
    <row r="427" ht="15.75" customHeight="1">
      <c r="D427" s="31"/>
    </row>
    <row r="428" ht="15.75" customHeight="1">
      <c r="D428" s="31"/>
    </row>
    <row r="429" ht="15.75" customHeight="1">
      <c r="D429" s="31"/>
    </row>
    <row r="430" ht="15.75" customHeight="1">
      <c r="D430" s="31"/>
    </row>
    <row r="431" ht="15.75" customHeight="1">
      <c r="D431" s="31"/>
    </row>
    <row r="432" ht="15.75" customHeight="1">
      <c r="D432" s="31"/>
    </row>
    <row r="433" ht="15.75" customHeight="1">
      <c r="D433" s="31"/>
    </row>
    <row r="434" ht="15.75" customHeight="1">
      <c r="D434" s="31"/>
    </row>
    <row r="435" ht="15.75" customHeight="1">
      <c r="D435" s="31"/>
    </row>
    <row r="436" ht="15.75" customHeight="1">
      <c r="D436" s="31"/>
    </row>
    <row r="437" ht="15.75" customHeight="1">
      <c r="D437" s="31"/>
    </row>
    <row r="438" ht="15.75" customHeight="1">
      <c r="D438" s="31"/>
    </row>
    <row r="439" ht="15.75" customHeight="1">
      <c r="D439" s="31"/>
    </row>
    <row r="440" ht="15.75" customHeight="1">
      <c r="D440" s="31"/>
    </row>
    <row r="441" ht="15.75" customHeight="1">
      <c r="D441" s="31"/>
    </row>
    <row r="442" ht="15.75" customHeight="1">
      <c r="D442" s="31"/>
    </row>
    <row r="443" ht="15.75" customHeight="1">
      <c r="D443" s="31"/>
    </row>
    <row r="444" ht="15.75" customHeight="1">
      <c r="D444" s="31"/>
    </row>
    <row r="445" ht="15.75" customHeight="1">
      <c r="D445" s="31"/>
    </row>
    <row r="446" ht="15.75" customHeight="1">
      <c r="D446" s="31"/>
    </row>
    <row r="447" ht="15.75" customHeight="1">
      <c r="D447" s="31"/>
    </row>
    <row r="448" ht="15.75" customHeight="1">
      <c r="D448" s="31"/>
    </row>
    <row r="449" ht="15.75" customHeight="1">
      <c r="D449" s="31"/>
    </row>
    <row r="450" ht="15.75" customHeight="1">
      <c r="D450" s="31"/>
    </row>
    <row r="451" ht="15.75" customHeight="1">
      <c r="D451" s="31"/>
    </row>
    <row r="452" ht="15.75" customHeight="1">
      <c r="D452" s="31"/>
    </row>
    <row r="453" ht="15.75" customHeight="1">
      <c r="D453" s="31"/>
    </row>
    <row r="454" ht="15.75" customHeight="1">
      <c r="D454" s="31"/>
    </row>
    <row r="455" ht="15.75" customHeight="1">
      <c r="D455" s="31"/>
    </row>
    <row r="456" ht="15.75" customHeight="1">
      <c r="D456" s="31"/>
    </row>
    <row r="457" ht="15.75" customHeight="1">
      <c r="D457" s="31"/>
    </row>
    <row r="458" ht="15.75" customHeight="1">
      <c r="D458" s="31"/>
    </row>
    <row r="459" ht="15.75" customHeight="1">
      <c r="D459" s="31"/>
    </row>
    <row r="460" ht="15.75" customHeight="1">
      <c r="D460" s="31"/>
    </row>
    <row r="461" ht="15.75" customHeight="1">
      <c r="D461" s="31"/>
    </row>
    <row r="462" ht="15.75" customHeight="1">
      <c r="D462" s="31"/>
    </row>
    <row r="463" ht="15.75" customHeight="1">
      <c r="D463" s="31"/>
    </row>
    <row r="464" ht="15.75" customHeight="1">
      <c r="D464" s="31"/>
    </row>
    <row r="465" ht="15.75" customHeight="1">
      <c r="D465" s="31"/>
    </row>
    <row r="466" ht="15.75" customHeight="1">
      <c r="D466" s="31"/>
    </row>
    <row r="467" ht="15.75" customHeight="1">
      <c r="D467" s="31"/>
    </row>
    <row r="468" ht="15.75" customHeight="1">
      <c r="D468" s="31"/>
    </row>
    <row r="469" ht="15.75" customHeight="1">
      <c r="D469" s="31"/>
    </row>
    <row r="470" ht="15.75" customHeight="1">
      <c r="D470" s="31"/>
    </row>
    <row r="471" ht="15.75" customHeight="1">
      <c r="D471" s="31"/>
    </row>
    <row r="472" ht="15.75" customHeight="1">
      <c r="D472" s="31"/>
    </row>
    <row r="473" ht="15.75" customHeight="1">
      <c r="D473" s="31"/>
    </row>
    <row r="474" ht="15.75" customHeight="1">
      <c r="D474" s="31"/>
    </row>
    <row r="475" ht="15.75" customHeight="1">
      <c r="D475" s="31"/>
    </row>
    <row r="476" ht="15.75" customHeight="1">
      <c r="D476" s="31"/>
    </row>
    <row r="477" ht="15.75" customHeight="1">
      <c r="D477" s="31"/>
    </row>
    <row r="478" ht="15.75" customHeight="1">
      <c r="D478" s="31"/>
    </row>
    <row r="479" ht="15.75" customHeight="1">
      <c r="D479" s="31"/>
    </row>
    <row r="480" ht="15.75" customHeight="1">
      <c r="D480" s="31"/>
    </row>
    <row r="481" ht="15.75" customHeight="1">
      <c r="D481" s="31"/>
    </row>
    <row r="482" ht="15.75" customHeight="1">
      <c r="D482" s="31"/>
    </row>
    <row r="483" ht="15.75" customHeight="1">
      <c r="D483" s="31"/>
    </row>
    <row r="484" ht="15.75" customHeight="1">
      <c r="D484" s="31"/>
    </row>
    <row r="485" ht="15.75" customHeight="1">
      <c r="D485" s="31"/>
    </row>
    <row r="486" ht="15.75" customHeight="1">
      <c r="D486" s="31"/>
    </row>
    <row r="487" ht="15.75" customHeight="1">
      <c r="D487" s="31"/>
    </row>
    <row r="488" ht="15.75" customHeight="1">
      <c r="D488" s="31"/>
    </row>
    <row r="489" ht="15.75" customHeight="1">
      <c r="D489" s="31"/>
    </row>
    <row r="490" ht="15.75" customHeight="1">
      <c r="D490" s="31"/>
    </row>
    <row r="491" ht="15.75" customHeight="1">
      <c r="D491" s="31"/>
    </row>
    <row r="492" ht="15.75" customHeight="1">
      <c r="D492" s="31"/>
    </row>
    <row r="493" ht="15.75" customHeight="1">
      <c r="D493" s="31"/>
    </row>
    <row r="494" ht="15.75" customHeight="1">
      <c r="D494" s="31"/>
    </row>
    <row r="495" ht="15.75" customHeight="1">
      <c r="D495" s="31"/>
    </row>
    <row r="496" ht="15.75" customHeight="1">
      <c r="D496" s="31"/>
    </row>
    <row r="497" ht="15.75" customHeight="1">
      <c r="D497" s="31"/>
    </row>
    <row r="498" ht="15.75" customHeight="1">
      <c r="D498" s="31"/>
    </row>
    <row r="499" ht="15.75" customHeight="1">
      <c r="D499" s="31"/>
    </row>
    <row r="500" ht="15.75" customHeight="1">
      <c r="D500" s="31"/>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500">
      <formula1>"Yes,No"</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0"/>
    <col customWidth="1" min="2" max="3" width="18.0"/>
    <col customWidth="1" min="4" max="26" width="8.63"/>
  </cols>
  <sheetData>
    <row r="1">
      <c r="A1" s="28" t="s">
        <v>177</v>
      </c>
      <c r="B1" s="28" t="s">
        <v>180</v>
      </c>
      <c r="C1" s="28" t="s">
        <v>182</v>
      </c>
    </row>
    <row r="2">
      <c r="A2" s="29" t="s">
        <v>17</v>
      </c>
      <c r="B2" s="31">
        <f>COUNTIF(Candidates!$T$2:$T$2000,A2)</f>
        <v>0</v>
      </c>
      <c r="C2" s="35">
        <f>IFERROR(B2/COUNTA(Candidates!$A$2:$A$2000),0)</f>
        <v>0</v>
      </c>
    </row>
    <row r="3">
      <c r="A3" s="29" t="s">
        <v>30</v>
      </c>
      <c r="B3" s="31">
        <f>COUNTIF(Candidates!$T$2:$T$2000,A3)</f>
        <v>0</v>
      </c>
      <c r="C3" s="35">
        <f>IFERROR(B3/COUNTA(Candidates!$A$2:$A$2000),0)</f>
        <v>0</v>
      </c>
    </row>
    <row r="4">
      <c r="A4" s="29" t="s">
        <v>43</v>
      </c>
      <c r="B4" s="31">
        <f>COUNTIF(Candidates!$T$2:$T$2000,A4)</f>
        <v>0</v>
      </c>
      <c r="C4" s="35">
        <f>IFERROR(B4/COUNTA(Candidates!$A$2:$A$2000),0)</f>
        <v>0</v>
      </c>
    </row>
    <row r="5">
      <c r="A5" s="29" t="s">
        <v>56</v>
      </c>
      <c r="B5" s="31">
        <f>COUNTIF(Candidates!$T$2:$T$2000,A5)</f>
        <v>5</v>
      </c>
      <c r="C5" s="35">
        <f>IFERROR(B5/COUNTA(Candidates!$A$2:$A$2000),0)</f>
        <v>0.1162790698</v>
      </c>
    </row>
    <row r="6">
      <c r="A6" s="29" t="s">
        <v>66</v>
      </c>
      <c r="B6" s="31">
        <f>COUNTIF(Candidates!$T$2:$T$2000,A6)</f>
        <v>0</v>
      </c>
      <c r="C6" s="35">
        <f>IFERROR(B6/COUNTA(Candidates!$A$2:$A$2000),0)</f>
        <v>0</v>
      </c>
    </row>
    <row r="7">
      <c r="A7" s="29" t="s">
        <v>72</v>
      </c>
      <c r="B7" s="31">
        <f>COUNTIF(Candidates!$T$2:$T$2000,A7)</f>
        <v>1</v>
      </c>
      <c r="C7" s="35">
        <f>IFERROR(B7/COUNTA(Candidates!$A$2:$A$2000),0)</f>
        <v>0.02325581395</v>
      </c>
    </row>
    <row r="8">
      <c r="A8" s="29" t="s">
        <v>74</v>
      </c>
      <c r="B8" s="31">
        <f>COUNTIF(Candidates!$T$2:$T$2000,A8)</f>
        <v>0</v>
      </c>
      <c r="C8" s="35">
        <f>IFERROR(B8/COUNTA(Candidates!$A$2:$A$2000),0)</f>
        <v>0</v>
      </c>
    </row>
    <row r="9">
      <c r="A9" s="29" t="s">
        <v>79</v>
      </c>
      <c r="B9" s="31">
        <f>COUNTIF(Candidates!$T$2:$T$2000,A9)</f>
        <v>0</v>
      </c>
      <c r="C9" s="35">
        <f>IFERROR(B9/COUNTA(Candidates!$A$2:$A$2000),0)</f>
        <v>0</v>
      </c>
    </row>
    <row r="10">
      <c r="A10" s="29" t="s">
        <v>80</v>
      </c>
      <c r="B10" s="31">
        <f>COUNTIF(Candidates!$T$2:$T$2000,A10)</f>
        <v>0</v>
      </c>
      <c r="C10" s="35">
        <f>IFERROR(B10/COUNTA(Candidates!$A$2:$A$2000),0)</f>
        <v>0</v>
      </c>
    </row>
    <row r="11">
      <c r="A11" s="29" t="s">
        <v>46</v>
      </c>
      <c r="B11" s="31">
        <f>COUNTIF(Candidates!$T$2:$T$2000,A11)</f>
        <v>2</v>
      </c>
      <c r="C11" s="35">
        <f>IFERROR(B11/COUNTA(Candidates!$A$2:$A$2000),0)</f>
        <v>0.04651162791</v>
      </c>
    </row>
    <row r="12">
      <c r="A12" s="29" t="s">
        <v>83</v>
      </c>
      <c r="B12" s="31">
        <f>COUNTIF(Candidates!$T$2:$T$2000,A12)</f>
        <v>35</v>
      </c>
      <c r="C12" s="35">
        <f>IFERROR(B12/COUNTA(Candidates!$A$2:$A$2000),0)</f>
        <v>0.8139534884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18.0"/>
    <col customWidth="1" min="9" max="9" width="12.13"/>
    <col customWidth="1" min="10" max="10" width="14.63"/>
    <col customWidth="1" min="11" max="12" width="15.5"/>
    <col customWidth="1" min="13" max="26" width="8.63"/>
  </cols>
  <sheetData>
    <row r="1">
      <c r="A1" s="46" t="s">
        <v>404</v>
      </c>
      <c r="J1" s="47" t="s">
        <v>407</v>
      </c>
      <c r="K1" s="47"/>
    </row>
    <row r="2">
      <c r="J2" s="48" t="s">
        <v>408</v>
      </c>
      <c r="K2" s="48">
        <f>COUNTA('Talent Pool Master'!$A$2:$A$2000)</f>
        <v>42</v>
      </c>
    </row>
    <row r="3">
      <c r="A3" s="49" t="s">
        <v>414</v>
      </c>
      <c r="B3" s="50" t="s">
        <v>311</v>
      </c>
      <c r="C3" s="49"/>
      <c r="D3" s="49" t="s">
        <v>90</v>
      </c>
      <c r="E3" s="49" t="str">
        <f t="array" ref="E3">IFERROR(INDEX('Positions Master'!$C$2:$C$500,MATCH($B$3,'Positions Master'!$A$2:$A$500,0)),"")</f>
        <v>B2B Sales Executive – US IT Staffing</v>
      </c>
      <c r="J3" s="48" t="s">
        <v>424</v>
      </c>
      <c r="K3" s="48">
        <f>COUNTIF('Talent Pool Master'!$Q$2:$Q$2000,"Active")</f>
        <v>42</v>
      </c>
    </row>
    <row r="4">
      <c r="J4" s="48" t="s">
        <v>39</v>
      </c>
      <c r="K4" s="48">
        <f>COUNTIF('Talent Pool Master'!$Q$2:$Q$2000,"Priority Talent")</f>
        <v>0</v>
      </c>
    </row>
    <row r="5">
      <c r="A5" s="51" t="s">
        <v>99</v>
      </c>
      <c r="B5" s="52">
        <f>COUNTIF(Candidates!$B$2:$B$2000,$B$3)</f>
        <v>0</v>
      </c>
      <c r="C5" s="51" t="s">
        <v>56</v>
      </c>
      <c r="D5" s="52">
        <f>COUNTIFS(Candidates!$B$2:$B$2000,$B$3,Candidates!$S$2:$S$2000,"Priority Shortlist")+COUNTIFS(Candidates!$B$2:$B$2000,$B$3,Candidates!$S$2:$S$2000,"Shortlist")</f>
        <v>0</v>
      </c>
      <c r="E5" s="51" t="s">
        <v>100</v>
      </c>
      <c r="F5" s="52">
        <f>COUNTIFS(Candidates!$B$2:$B$2000,$B$3,Candidates!$T$2:$T$2000,"Client Interview")</f>
        <v>0</v>
      </c>
      <c r="G5" s="51" t="s">
        <v>80</v>
      </c>
      <c r="H5" s="52">
        <f>COUNTIFS(Candidates!$B$2:$B$2000,$B$3,Candidates!$T$2:$T$2000,"Hired")</f>
        <v>0</v>
      </c>
      <c r="J5" s="48" t="s">
        <v>63</v>
      </c>
      <c r="K5" s="48">
        <f>COUNTIF('Talent Pool Master'!$Q$2:$Q$2000,"Placed")</f>
        <v>0</v>
      </c>
    </row>
    <row r="6">
      <c r="J6" s="48" t="s">
        <v>449</v>
      </c>
      <c r="K6" s="48">
        <f>COUNTIF('Talent Pool Master'!$Q$2:$Q$2000,"Archived")+COUNTIF('Talent Pool Master'!$Q$2:$Q$2000,"Do Not Contact")</f>
        <v>0</v>
      </c>
    </row>
    <row r="8">
      <c r="A8" s="51" t="s">
        <v>452</v>
      </c>
      <c r="B8" s="53">
        <f>IFERROR(AVERAGEIF(Candidates!$B$2:$B$2000,$B$3,Candidates!$M$2:$M$2000),0)</f>
        <v>0</v>
      </c>
      <c r="C8" s="51" t="s">
        <v>29</v>
      </c>
      <c r="D8" s="52">
        <f>COUNTIFS(Candidates!$B$2:$B$2000,$B$3,Candidates!$S$2:$S$2000,"Hold")</f>
        <v>0</v>
      </c>
      <c r="E8" s="51" t="s">
        <v>83</v>
      </c>
      <c r="F8" s="52">
        <f>COUNTIFS(Candidates!$B$2:$B$2000,$B$3,Candidates!$S$2:$S$2000,"Reject")</f>
        <v>0</v>
      </c>
      <c r="G8" s="51" t="s">
        <v>103</v>
      </c>
      <c r="H8" s="52">
        <f>COUNTIFS(Candidates!$B$2:$B$2000,$B$3,Candidates!$T$2:$T$2000,"Offer Sent")</f>
        <v>0</v>
      </c>
    </row>
    <row r="11">
      <c r="A11" s="54" t="s">
        <v>463</v>
      </c>
    </row>
    <row r="12">
      <c r="A12" s="55" t="s">
        <v>87</v>
      </c>
      <c r="B12" s="56" t="str">
        <f t="array" ref="B12">IFERROR(INDEX('Positions Master'!$B$2:$B$500,MATCH($B$3,'Positions Master'!$A$2:$A$500,0)),"")</f>
        <v>HR Ways</v>
      </c>
      <c r="D12" s="55" t="s">
        <v>177</v>
      </c>
      <c r="E12" s="55" t="s">
        <v>468</v>
      </c>
      <c r="F12" s="55" t="s">
        <v>470</v>
      </c>
    </row>
    <row r="13">
      <c r="A13" s="55" t="s">
        <v>96</v>
      </c>
      <c r="B13" s="56" t="str">
        <f t="array" ref="B13">IFERROR(INDEX('Positions Master'!$F$2:$F$500,MATCH($B$3,'Positions Master'!$A$2:$A$500,0)),"")</f>
        <v>Active</v>
      </c>
      <c r="D13" s="3" t="str">
        <f>'Recruitment Pipeline'!A2</f>
        <v>Applied</v>
      </c>
      <c r="E13" s="3">
        <f>COUNTIFS(Candidates!$B$2:$B$2000,$B$3,Candidates!$T$2:$T$2000,D13)</f>
        <v>0</v>
      </c>
      <c r="F13" s="57">
        <f t="shared" ref="F13:F23" si="1">IFERROR(E13/$B$5,0)</f>
        <v>0</v>
      </c>
    </row>
    <row r="14">
      <c r="A14" s="55" t="s">
        <v>5</v>
      </c>
      <c r="B14" s="56" t="str">
        <f t="array" ref="B14">IFERROR(INDEX('Positions Master'!$G$2:$G$500,MATCH($B$3,'Positions Master'!$A$2:$A$500,0)),"")</f>
        <v>High</v>
      </c>
      <c r="D14" s="3" t="str">
        <f>'Recruitment Pipeline'!A3</f>
        <v>HR Screening</v>
      </c>
      <c r="E14" s="3">
        <f>COUNTIFS(Candidates!$B$2:$B$2000,$B$3,Candidates!$T$2:$T$2000,D14)</f>
        <v>0</v>
      </c>
      <c r="F14" s="57">
        <f t="shared" si="1"/>
        <v>0</v>
      </c>
    </row>
    <row r="15">
      <c r="A15" s="55" t="s">
        <v>98</v>
      </c>
      <c r="B15" s="56">
        <f t="array" ref="B15">IFERROR(INDEX('Positions Master'!$H$2:$H$500,MATCH($B$3,'Positions Master'!$A$2:$A$500,0)),"")</f>
        <v>1</v>
      </c>
      <c r="D15" s="3" t="str">
        <f>'Recruitment Pipeline'!A4</f>
        <v>Background Check</v>
      </c>
      <c r="E15" s="3">
        <f>COUNTIFS(Candidates!$B$2:$B$2000,$B$3,Candidates!$T$2:$T$2000,D15)</f>
        <v>0</v>
      </c>
      <c r="F15" s="57">
        <f t="shared" si="1"/>
        <v>0</v>
      </c>
    </row>
    <row r="16">
      <c r="A16" s="55" t="s">
        <v>115</v>
      </c>
      <c r="B16" s="58">
        <f t="array" ref="B16">IFERROR(INDEX('Positions Master'!$R$2:$R$500,MATCH($B$3,'Positions Master'!$A$2:$A$500,0)),"")</f>
        <v>46295.18181</v>
      </c>
      <c r="D16" s="3" t="str">
        <f>'Recruitment Pipeline'!A5</f>
        <v>Shortlisted</v>
      </c>
      <c r="E16" s="3">
        <f>COUNTIFS(Candidates!$B$2:$B$2000,$B$3,Candidates!$T$2:$T$2000,D16)</f>
        <v>0</v>
      </c>
      <c r="F16" s="57">
        <f t="shared" si="1"/>
        <v>0</v>
      </c>
    </row>
    <row r="17">
      <c r="D17" s="3" t="str">
        <f>'Recruitment Pipeline'!A6</f>
        <v>Technical Interview</v>
      </c>
      <c r="E17" s="3">
        <f>COUNTIFS(Candidates!$B$2:$B$2000,$B$3,Candidates!$T$2:$T$2000,D17)</f>
        <v>0</v>
      </c>
      <c r="F17" s="57">
        <f t="shared" si="1"/>
        <v>0</v>
      </c>
    </row>
    <row r="18">
      <c r="D18" s="3" t="str">
        <f>'Recruitment Pipeline'!A7</f>
        <v>Final Interview</v>
      </c>
      <c r="E18" s="3">
        <f>COUNTIFS(Candidates!$B$2:$B$2000,$B$3,Candidates!$T$2:$T$2000,D18)</f>
        <v>0</v>
      </c>
      <c r="F18" s="57">
        <f t="shared" si="1"/>
        <v>0</v>
      </c>
    </row>
    <row r="19">
      <c r="D19" s="3" t="str">
        <f>'Recruitment Pipeline'!A8</f>
        <v>Client Interview</v>
      </c>
      <c r="E19" s="3">
        <f>COUNTIFS(Candidates!$B$2:$B$2000,$B$3,Candidates!$T$2:$T$2000,D19)</f>
        <v>0</v>
      </c>
      <c r="F19" s="57">
        <f t="shared" si="1"/>
        <v>0</v>
      </c>
    </row>
    <row r="20">
      <c r="D20" s="3" t="str">
        <f>'Recruitment Pipeline'!A9</f>
        <v>Offer Sent</v>
      </c>
      <c r="E20" s="3">
        <f>COUNTIFS(Candidates!$B$2:$B$2000,$B$3,Candidates!$T$2:$T$2000,D20)</f>
        <v>0</v>
      </c>
      <c r="F20" s="57">
        <f t="shared" si="1"/>
        <v>0</v>
      </c>
    </row>
    <row r="21" ht="15.75" customHeight="1">
      <c r="D21" s="3" t="str">
        <f>'Recruitment Pipeline'!A10</f>
        <v>Hired</v>
      </c>
      <c r="E21" s="3">
        <f>COUNTIFS(Candidates!$B$2:$B$2000,$B$3,Candidates!$T$2:$T$2000,D21)</f>
        <v>0</v>
      </c>
      <c r="F21" s="57">
        <f t="shared" si="1"/>
        <v>0</v>
      </c>
    </row>
    <row r="22" ht="15.75" customHeight="1">
      <c r="D22" s="3" t="str">
        <f>'Recruitment Pipeline'!A11</f>
        <v>Hold</v>
      </c>
      <c r="E22" s="3">
        <f>COUNTIFS(Candidates!$B$2:$B$2000,$B$3,Candidates!$T$2:$T$2000,D22)</f>
        <v>0</v>
      </c>
      <c r="F22" s="57">
        <f t="shared" si="1"/>
        <v>0</v>
      </c>
    </row>
    <row r="23" ht="15.75" customHeight="1">
      <c r="D23" s="3" t="str">
        <f>'Recruitment Pipeline'!A12</f>
        <v>Rejected</v>
      </c>
      <c r="E23" s="3">
        <f>COUNTIFS(Candidates!$B$2:$B$2000,$B$3,Candidates!$T$2:$T$2000,D23)</f>
        <v>0</v>
      </c>
      <c r="F23" s="57">
        <f t="shared" si="1"/>
        <v>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2"/>
    <mergeCell ref="E3:H3"/>
    <mergeCell ref="A11:H11"/>
  </mergeCells>
  <dataValidations>
    <dataValidation type="list" allowBlank="1" showErrorMessage="1" sqref="B3">
      <formula1>'Positions Master'!$A$2:$A$500</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21.38"/>
    <col customWidth="1" min="3" max="4" width="22.63"/>
    <col customWidth="1" min="5" max="5" width="16.38"/>
    <col customWidth="1" min="6" max="7" width="25.13"/>
    <col customWidth="1" min="8" max="8" width="12.0"/>
    <col customWidth="1" min="9" max="11" width="22.63"/>
    <col customWidth="1" min="12" max="12" width="37.63"/>
    <col customWidth="1" min="13" max="13" width="18.25"/>
    <col customWidth="1" min="14" max="15" width="27.63"/>
    <col customWidth="1" min="16" max="16" width="40.13"/>
    <col customWidth="1" min="17" max="17" width="15.13"/>
    <col customWidth="1" min="18" max="20" width="15.75"/>
    <col customWidth="1" min="21" max="23" width="15.13"/>
    <col customWidth="1" min="24" max="24" width="23.88"/>
    <col customWidth="1" min="25" max="25" width="40.13"/>
    <col customWidth="1" min="26" max="26" width="13.88"/>
    <col customWidth="1" min="27" max="29" width="32.63"/>
  </cols>
  <sheetData>
    <row r="1" ht="31.5" customHeight="1">
      <c r="A1" s="59" t="s">
        <v>97</v>
      </c>
      <c r="B1" s="59" t="s">
        <v>105</v>
      </c>
      <c r="C1" s="59" t="s">
        <v>106</v>
      </c>
      <c r="D1" s="59" t="s">
        <v>107</v>
      </c>
      <c r="E1" s="59" t="s">
        <v>93</v>
      </c>
      <c r="F1" s="59" t="s">
        <v>515</v>
      </c>
      <c r="G1" s="59" t="s">
        <v>516</v>
      </c>
      <c r="H1" s="59" t="s">
        <v>114</v>
      </c>
      <c r="I1" s="59" t="s">
        <v>517</v>
      </c>
      <c r="J1" s="59" t="s">
        <v>518</v>
      </c>
      <c r="K1" s="59" t="s">
        <v>519</v>
      </c>
      <c r="L1" s="59" t="s">
        <v>520</v>
      </c>
      <c r="M1" s="59" t="s">
        <v>14</v>
      </c>
      <c r="N1" s="59" t="s">
        <v>521</v>
      </c>
      <c r="O1" s="59" t="s">
        <v>522</v>
      </c>
      <c r="P1" s="59" t="s">
        <v>523</v>
      </c>
      <c r="Q1" s="59" t="s">
        <v>13</v>
      </c>
      <c r="R1" s="59" t="s">
        <v>524</v>
      </c>
      <c r="S1" s="59" t="s">
        <v>525</v>
      </c>
      <c r="T1" s="59" t="s">
        <v>526</v>
      </c>
      <c r="U1" s="59" t="s">
        <v>527</v>
      </c>
      <c r="V1" s="59" t="s">
        <v>528</v>
      </c>
      <c r="W1" s="59" t="s">
        <v>529</v>
      </c>
      <c r="X1" s="59" t="s">
        <v>530</v>
      </c>
      <c r="Y1" s="59" t="s">
        <v>531</v>
      </c>
      <c r="Z1" s="59" t="s">
        <v>115</v>
      </c>
      <c r="AA1" s="60" t="s">
        <v>532</v>
      </c>
      <c r="AB1" s="60" t="s">
        <v>533</v>
      </c>
      <c r="AC1" s="60" t="s">
        <v>534</v>
      </c>
    </row>
    <row r="2">
      <c r="A2" s="61" t="s">
        <v>143</v>
      </c>
      <c r="B2" s="61" t="s">
        <v>144</v>
      </c>
      <c r="C2" s="62" t="s">
        <v>146</v>
      </c>
      <c r="D2" s="61" t="s">
        <v>148</v>
      </c>
      <c r="E2" s="61" t="s">
        <v>153</v>
      </c>
      <c r="F2" s="61" t="s">
        <v>150</v>
      </c>
      <c r="G2" s="61" t="s">
        <v>151</v>
      </c>
      <c r="H2" s="63"/>
      <c r="I2" s="61" t="s">
        <v>535</v>
      </c>
      <c r="J2" s="61" t="s">
        <v>536</v>
      </c>
      <c r="K2" s="61" t="s">
        <v>537</v>
      </c>
      <c r="L2" s="61" t="s">
        <v>538</v>
      </c>
      <c r="M2" s="61" t="s">
        <v>27</v>
      </c>
      <c r="N2" s="64"/>
      <c r="O2" s="64"/>
      <c r="P2" s="61" t="s">
        <v>540</v>
      </c>
      <c r="Q2" s="61" t="s">
        <v>16</v>
      </c>
      <c r="R2" s="65">
        <f>IF($A2="","",IFERROR(MINIFS(Candidates!$K$2:$K$2000,Candidates!$A$2:$A$2000,$A2),""))</f>
        <v>46290</v>
      </c>
      <c r="S2" s="65">
        <f>IF($A2="","",IFERROR(MAXIFS(Candidates!$AA$2:$AA$2000,Candidates!$A$2:$A$2000,$A2),""))</f>
        <v>46291</v>
      </c>
      <c r="T2" s="64" t="str">
        <f>IFERROR(__xludf.DUMMYFUNCTION("IF($A2="""","""",IFERROR(TEXTJOIN("", "",TRUE,UNIQUE(FILTER(Candidates!$B$2:$B$2000,Candidates!$A$2:$A$2000=$A2))),""""))"),"001")</f>
        <v>001</v>
      </c>
      <c r="U2" s="66">
        <f>IF($A2="","",COUNTIF(Candidates!$A$2:$A$2000,$A2))</f>
        <v>1</v>
      </c>
      <c r="V2" s="64" t="str">
        <f>IFERROR(__xludf.DUMMYFUNCTION("IF($A2="""","""",IFERROR(INDEX(FILTER(Candidates!$S$2:$S$2000,Candidates!$A$2:$A$2000=$A2),COUNTIF(Candidates!$A$2:$A$2000,$A2)),""""))"),"Reject")</f>
        <v>Reject</v>
      </c>
      <c r="W2" s="64" t="str">
        <f>IFERROR(__xludf.DUMMYFUNCTION("IF($A2="""","""",IFERROR(INDEX(FILTER(Candidates!$T$2:$T$2000,Candidates!$A$2:$A$2000=$A2),COUNTIF(Candidates!$A$2:$A$2000,$A2)),""""))"),"Rejected")</f>
        <v>Rejected</v>
      </c>
      <c r="X2" s="64"/>
      <c r="Y2" s="61" t="s">
        <v>551</v>
      </c>
      <c r="Z2" s="67">
        <v>46291.0</v>
      </c>
      <c r="AA2" s="67"/>
      <c r="AB2" s="67"/>
      <c r="AC2" s="67"/>
    </row>
    <row r="3">
      <c r="A3" s="61" t="s">
        <v>179</v>
      </c>
      <c r="B3" s="61" t="s">
        <v>181</v>
      </c>
      <c r="C3" s="62" t="s">
        <v>183</v>
      </c>
      <c r="D3" s="61" t="s">
        <v>185</v>
      </c>
      <c r="E3" s="61" t="s">
        <v>139</v>
      </c>
      <c r="F3" s="61" t="s">
        <v>186</v>
      </c>
      <c r="G3" s="61" t="s">
        <v>188</v>
      </c>
      <c r="H3" s="68">
        <v>6.0</v>
      </c>
      <c r="I3" s="61" t="s">
        <v>552</v>
      </c>
      <c r="J3" s="61" t="s">
        <v>553</v>
      </c>
      <c r="K3" s="61" t="s">
        <v>554</v>
      </c>
      <c r="L3" s="61" t="s">
        <v>555</v>
      </c>
      <c r="M3" s="61" t="s">
        <v>40</v>
      </c>
      <c r="N3" s="61" t="s">
        <v>556</v>
      </c>
      <c r="O3" s="64"/>
      <c r="P3" s="61" t="s">
        <v>557</v>
      </c>
      <c r="Q3" s="61" t="s">
        <v>16</v>
      </c>
      <c r="R3" s="65">
        <f>IF($A3="","",IFERROR(MINIFS(Candidates!$K$2:$K$2000,Candidates!$A$2:$A$2000,$A3),""))</f>
        <v>46290</v>
      </c>
      <c r="S3" s="65">
        <f>IF($A3="","",IFERROR(MAXIFS(Candidates!$AA$2:$AA$2000,Candidates!$A$2:$A$2000,$A3),""))</f>
        <v>46291</v>
      </c>
      <c r="T3" s="64" t="str">
        <f>IFERROR(__xludf.DUMMYFUNCTION("IF($A3="""","""",IFERROR(TEXTJOIN("", "",TRUE,UNIQUE(FILTER(Candidates!$B$2:$B$2000,Candidates!$A$2:$A$2000=$A3))),""""))"),"001")</f>
        <v>001</v>
      </c>
      <c r="U3" s="66">
        <f>IF($A3="","",COUNTIF(Candidates!$A$2:$A$2000,$A3))</f>
        <v>1</v>
      </c>
      <c r="V3" s="64" t="str">
        <f>IFERROR(__xludf.DUMMYFUNCTION("IF($A3="""","""",IFERROR(INDEX(FILTER(Candidates!$S$2:$S$2000,Candidates!$A$2:$A$2000=$A3),COUNTIF(Candidates!$A$2:$A$2000,$A3)),""""))"),"Reject")</f>
        <v>Reject</v>
      </c>
      <c r="W3" s="64" t="str">
        <f>IFERROR(__xludf.DUMMYFUNCTION("IF($A3="""","""",IFERROR(INDEX(FILTER(Candidates!$T$2:$T$2000,Candidates!$A$2:$A$2000=$A3),COUNTIF(Candidates!$A$2:$A$2000,$A3)),""""))"),"Rejected")</f>
        <v>Rejected</v>
      </c>
      <c r="X3" s="64"/>
      <c r="Y3" s="61" t="s">
        <v>565</v>
      </c>
      <c r="Z3" s="67">
        <v>46291.0</v>
      </c>
      <c r="AA3" s="67"/>
      <c r="AB3" s="67"/>
      <c r="AC3" s="67"/>
    </row>
    <row r="4">
      <c r="A4" s="61" t="s">
        <v>208</v>
      </c>
      <c r="B4" s="61" t="s">
        <v>209</v>
      </c>
      <c r="C4" s="62" t="s">
        <v>211</v>
      </c>
      <c r="D4" s="61" t="s">
        <v>212</v>
      </c>
      <c r="E4" s="61" t="s">
        <v>139</v>
      </c>
      <c r="F4" s="61" t="s">
        <v>214</v>
      </c>
      <c r="G4" s="61" t="s">
        <v>215</v>
      </c>
      <c r="H4" s="68">
        <v>8.0</v>
      </c>
      <c r="I4" s="61" t="s">
        <v>566</v>
      </c>
      <c r="J4" s="61" t="s">
        <v>567</v>
      </c>
      <c r="K4" s="61" t="s">
        <v>568</v>
      </c>
      <c r="L4" s="61" t="s">
        <v>569</v>
      </c>
      <c r="M4" s="61" t="s">
        <v>64</v>
      </c>
      <c r="N4" s="61" t="s">
        <v>570</v>
      </c>
      <c r="O4" s="61" t="s">
        <v>571</v>
      </c>
      <c r="P4" s="61" t="s">
        <v>572</v>
      </c>
      <c r="Q4" s="61" t="s">
        <v>16</v>
      </c>
      <c r="R4" s="65">
        <f>IF($A4="","",IFERROR(MINIFS(Candidates!$K$2:$K$2000,Candidates!$A$2:$A$2000,$A4),""))</f>
        <v>46290</v>
      </c>
      <c r="S4" s="65">
        <f>IF($A4="","",IFERROR(MAXIFS(Candidates!$AA$2:$AA$2000,Candidates!$A$2:$A$2000,$A4),""))</f>
        <v>46291</v>
      </c>
      <c r="T4" s="64" t="str">
        <f>IFERROR(__xludf.DUMMYFUNCTION("IF($A4="""","""",IFERROR(TEXTJOIN("", "",TRUE,UNIQUE(FILTER(Candidates!$B$2:$B$2000,Candidates!$A$2:$A$2000=$A4))),""""))"),"001")</f>
        <v>001</v>
      </c>
      <c r="U4" s="66">
        <f>IF($A4="","",COUNTIF(Candidates!$A$2:$A$2000,$A4))</f>
        <v>1</v>
      </c>
      <c r="V4" s="64" t="str">
        <f>IFERROR(__xludf.DUMMYFUNCTION("IF($A4="""","""",IFERROR(INDEX(FILTER(Candidates!$S$2:$S$2000,Candidates!$A$2:$A$2000=$A4),COUNTIF(Candidates!$A$2:$A$2000,$A4)),""""))"),"Priority Shortlist")</f>
        <v>Priority Shortlist</v>
      </c>
      <c r="W4" s="64" t="str">
        <f>IFERROR(__xludf.DUMMYFUNCTION("IF($A4="""","""",IFERROR(INDEX(FILTER(Candidates!$T$2:$T$2000,Candidates!$A$2:$A$2000=$A4),COUNTIF(Candidates!$A$2:$A$2000,$A4)),""""))"),"Final Interview")</f>
        <v>Final Interview</v>
      </c>
      <c r="X4" s="64"/>
      <c r="Y4" s="61" t="s">
        <v>576</v>
      </c>
      <c r="Z4" s="67">
        <v>46291.0</v>
      </c>
      <c r="AA4" s="67"/>
      <c r="AB4" s="67"/>
      <c r="AC4" s="67"/>
    </row>
    <row r="5">
      <c r="A5" s="61" t="s">
        <v>232</v>
      </c>
      <c r="B5" s="61" t="s">
        <v>234</v>
      </c>
      <c r="C5" s="61" t="s">
        <v>236</v>
      </c>
      <c r="D5" s="61" t="s">
        <v>238</v>
      </c>
      <c r="E5" s="61" t="s">
        <v>139</v>
      </c>
      <c r="F5" s="61" t="s">
        <v>239</v>
      </c>
      <c r="G5" s="61" t="s">
        <v>240</v>
      </c>
      <c r="H5" s="68">
        <v>26.0</v>
      </c>
      <c r="I5" s="61" t="s">
        <v>577</v>
      </c>
      <c r="J5" s="61" t="s">
        <v>578</v>
      </c>
      <c r="K5" s="61" t="s">
        <v>579</v>
      </c>
      <c r="L5" s="61" t="s">
        <v>580</v>
      </c>
      <c r="M5" s="61" t="s">
        <v>64</v>
      </c>
      <c r="N5" s="61" t="s">
        <v>581</v>
      </c>
      <c r="O5" s="61" t="s">
        <v>405</v>
      </c>
      <c r="P5" s="61" t="s">
        <v>582</v>
      </c>
      <c r="Q5" s="61" t="s">
        <v>16</v>
      </c>
      <c r="R5" s="65">
        <f>IF($A5="","",IFERROR(MINIFS(Candidates!$K$2:$K$2000,Candidates!$A$2:$A$2000,$A5),""))</f>
        <v>46290</v>
      </c>
      <c r="S5" s="65">
        <f>IF($A5="","",IFERROR(MAXIFS(Candidates!$AA$2:$AA$2000,Candidates!$A$2:$A$2000,$A5),""))</f>
        <v>46291</v>
      </c>
      <c r="T5" s="64" t="str">
        <f>IFERROR(__xludf.DUMMYFUNCTION("IF($A5="""","""",IFERROR(TEXTJOIN("", "",TRUE,UNIQUE(FILTER(Candidates!$B$2:$B$2000,Candidates!$A$2:$A$2000=$A5))),""""))"),"001")</f>
        <v>001</v>
      </c>
      <c r="U5" s="66">
        <f>IF($A5="","",COUNTIF(Candidates!$A$2:$A$2000,$A5))</f>
        <v>1</v>
      </c>
      <c r="V5" s="64" t="str">
        <f>IFERROR(__xludf.DUMMYFUNCTION("IF($A5="""","""",IFERROR(INDEX(FILTER(Candidates!$S$2:$S$2000,Candidates!$A$2:$A$2000=$A5),COUNTIF(Candidates!$A$2:$A$2000,$A5)),""""))"),"Reject")</f>
        <v>Reject</v>
      </c>
      <c r="W5" s="64" t="str">
        <f>IFERROR(__xludf.DUMMYFUNCTION("IF($A5="""","""",IFERROR(INDEX(FILTER(Candidates!$T$2:$T$2000,Candidates!$A$2:$A$2000=$A5),COUNTIF(Candidates!$A$2:$A$2000,$A5)),""""))"),"Rejected")</f>
        <v>Rejected</v>
      </c>
      <c r="X5" s="64"/>
      <c r="Y5" s="61" t="s">
        <v>585</v>
      </c>
      <c r="Z5" s="67">
        <v>46291.0</v>
      </c>
      <c r="AA5" s="67"/>
      <c r="AB5" s="67"/>
      <c r="AC5" s="67"/>
    </row>
    <row r="6">
      <c r="A6" s="61" t="s">
        <v>254</v>
      </c>
      <c r="B6" s="61" t="s">
        <v>256</v>
      </c>
      <c r="C6" s="62" t="s">
        <v>258</v>
      </c>
      <c r="D6" s="61" t="s">
        <v>259</v>
      </c>
      <c r="E6" s="61" t="s">
        <v>263</v>
      </c>
      <c r="F6" s="61" t="s">
        <v>261</v>
      </c>
      <c r="G6" s="61" t="s">
        <v>262</v>
      </c>
      <c r="H6" s="63"/>
      <c r="I6" s="61" t="s">
        <v>588</v>
      </c>
      <c r="J6" s="61" t="s">
        <v>589</v>
      </c>
      <c r="K6" s="61" t="s">
        <v>590</v>
      </c>
      <c r="L6" s="61" t="s">
        <v>591</v>
      </c>
      <c r="M6" s="61" t="s">
        <v>64</v>
      </c>
      <c r="N6" s="61" t="s">
        <v>593</v>
      </c>
      <c r="O6" s="61" t="s">
        <v>405</v>
      </c>
      <c r="P6" s="61" t="s">
        <v>594</v>
      </c>
      <c r="Q6" s="61" t="s">
        <v>16</v>
      </c>
      <c r="R6" s="65">
        <f>IF($A6="","",IFERROR(MINIFS(Candidates!$K$2:$K$2000,Candidates!$A$2:$A$2000,$A6),""))</f>
        <v>46290</v>
      </c>
      <c r="S6" s="65">
        <f>IF($A6="","",IFERROR(MAXIFS(Candidates!$AA$2:$AA$2000,Candidates!$A$2:$A$2000,$A6),""))</f>
        <v>46291</v>
      </c>
      <c r="T6" s="64" t="str">
        <f>IFERROR(__xludf.DUMMYFUNCTION("IF($A6="""","""",IFERROR(TEXTJOIN("", "",TRUE,UNIQUE(FILTER(Candidates!$B$2:$B$2000,Candidates!$A$2:$A$2000=$A6))),""""))"),"001")</f>
        <v>001</v>
      </c>
      <c r="U6" s="66">
        <f>IF($A6="","",COUNTIF(Candidates!$A$2:$A$2000,$A6))</f>
        <v>1</v>
      </c>
      <c r="V6" s="64" t="str">
        <f>IFERROR(__xludf.DUMMYFUNCTION("IF($A6="""","""",IFERROR(INDEX(FILTER(Candidates!$S$2:$S$2000,Candidates!$A$2:$A$2000=$A6),COUNTIF(Candidates!$A$2:$A$2000,$A6)),""""))"),"Reject")</f>
        <v>Reject</v>
      </c>
      <c r="W6" s="64" t="str">
        <f>IFERROR(__xludf.DUMMYFUNCTION("IF($A6="""","""",IFERROR(INDEX(FILTER(Candidates!$T$2:$T$2000,Candidates!$A$2:$A$2000=$A6),COUNTIF(Candidates!$A$2:$A$2000,$A6)),""""))"),"Rejected")</f>
        <v>Rejected</v>
      </c>
      <c r="X6" s="64"/>
      <c r="Y6" s="61" t="s">
        <v>598</v>
      </c>
      <c r="Z6" s="67">
        <v>46291.0</v>
      </c>
      <c r="AA6" s="67"/>
      <c r="AB6" s="67"/>
      <c r="AC6" s="67"/>
    </row>
    <row r="7">
      <c r="A7" s="61" t="s">
        <v>279</v>
      </c>
      <c r="B7" s="61" t="s">
        <v>281</v>
      </c>
      <c r="C7" s="61" t="s">
        <v>283</v>
      </c>
      <c r="D7" s="61" t="s">
        <v>284</v>
      </c>
      <c r="E7" s="61" t="s">
        <v>289</v>
      </c>
      <c r="F7" s="61" t="s">
        <v>286</v>
      </c>
      <c r="G7" s="61" t="s">
        <v>287</v>
      </c>
      <c r="H7" s="63"/>
      <c r="I7" s="61" t="s">
        <v>599</v>
      </c>
      <c r="J7" s="61" t="s">
        <v>600</v>
      </c>
      <c r="K7" s="61" t="s">
        <v>601</v>
      </c>
      <c r="L7" s="61" t="s">
        <v>602</v>
      </c>
      <c r="M7" s="61" t="s">
        <v>52</v>
      </c>
      <c r="N7" s="64"/>
      <c r="O7" s="61" t="s">
        <v>405</v>
      </c>
      <c r="P7" s="61" t="s">
        <v>603</v>
      </c>
      <c r="Q7" s="61" t="s">
        <v>16</v>
      </c>
      <c r="R7" s="65">
        <f>IF($A7="","",IFERROR(MINIFS(Candidates!$K$2:$K$2000,Candidates!$A$2:$A$2000,$A7),""))</f>
        <v>46290</v>
      </c>
      <c r="S7" s="65">
        <f>IF($A7="","",IFERROR(MAXIFS(Candidates!$AA$2:$AA$2000,Candidates!$A$2:$A$2000,$A7),""))</f>
        <v>46291</v>
      </c>
      <c r="T7" s="64" t="str">
        <f>IFERROR(__xludf.DUMMYFUNCTION("IF($A7="""","""",IFERROR(TEXTJOIN("", "",TRUE,UNIQUE(FILTER(Candidates!$B$2:$B$2000,Candidates!$A$2:$A$2000=$A7))),""""))"),"001")</f>
        <v>001</v>
      </c>
      <c r="U7" s="66">
        <f>IF($A7="","",COUNTIF(Candidates!$A$2:$A$2000,$A7))</f>
        <v>1</v>
      </c>
      <c r="V7" s="64" t="str">
        <f>IFERROR(__xludf.DUMMYFUNCTION("IF($A7="""","""",IFERROR(INDEX(FILTER(Candidates!$S$2:$S$2000,Candidates!$A$2:$A$2000=$A7),COUNTIF(Candidates!$A$2:$A$2000,$A7)),""""))"),"Reject")</f>
        <v>Reject</v>
      </c>
      <c r="W7" s="64" t="str">
        <f>IFERROR(__xludf.DUMMYFUNCTION("IF($A7="""","""",IFERROR(INDEX(FILTER(Candidates!$T$2:$T$2000,Candidates!$A$2:$A$2000=$A7),COUNTIF(Candidates!$A$2:$A$2000,$A7)),""""))"),"Rejected")</f>
        <v>Rejected</v>
      </c>
      <c r="X7" s="64"/>
      <c r="Y7" s="61" t="s">
        <v>604</v>
      </c>
      <c r="Z7" s="67">
        <v>46291.0</v>
      </c>
      <c r="AA7" s="67"/>
      <c r="AB7" s="67"/>
      <c r="AC7" s="67"/>
    </row>
    <row r="8">
      <c r="A8" s="61" t="s">
        <v>300</v>
      </c>
      <c r="B8" s="61" t="s">
        <v>301</v>
      </c>
      <c r="C8" s="62" t="s">
        <v>302</v>
      </c>
      <c r="D8" s="61" t="s">
        <v>303</v>
      </c>
      <c r="E8" s="61" t="s">
        <v>306</v>
      </c>
      <c r="F8" s="61" t="s">
        <v>304</v>
      </c>
      <c r="G8" s="61" t="s">
        <v>305</v>
      </c>
      <c r="H8" s="68">
        <v>22.0</v>
      </c>
      <c r="I8" s="61" t="s">
        <v>152</v>
      </c>
      <c r="J8" s="61" t="s">
        <v>606</v>
      </c>
      <c r="K8" s="61" t="s">
        <v>607</v>
      </c>
      <c r="L8" s="61" t="s">
        <v>608</v>
      </c>
      <c r="M8" s="61" t="s">
        <v>81</v>
      </c>
      <c r="N8" s="64"/>
      <c r="O8" s="61" t="s">
        <v>405</v>
      </c>
      <c r="P8" s="61" t="s">
        <v>609</v>
      </c>
      <c r="Q8" s="61" t="s">
        <v>16</v>
      </c>
      <c r="R8" s="65">
        <f>IF($A8="","",IFERROR(MINIFS(Candidates!$K$2:$K$2000,Candidates!$A$2:$A$2000,$A8),""))</f>
        <v>46290</v>
      </c>
      <c r="S8" s="65">
        <f>IF($A8="","",IFERROR(MAXIFS(Candidates!$AA$2:$AA$2000,Candidates!$A$2:$A$2000,$A8),""))</f>
        <v>46291</v>
      </c>
      <c r="T8" s="64" t="str">
        <f>IFERROR(__xludf.DUMMYFUNCTION("IF($A8="""","""",IFERROR(TEXTJOIN("", "",TRUE,UNIQUE(FILTER(Candidates!$B$2:$B$2000,Candidates!$A$2:$A$2000=$A8))),""""))"),"001")</f>
        <v>001</v>
      </c>
      <c r="U8" s="66">
        <f>IF($A8="","",COUNTIF(Candidates!$A$2:$A$2000,$A8))</f>
        <v>1</v>
      </c>
      <c r="V8" s="64" t="str">
        <f>IFERROR(__xludf.DUMMYFUNCTION("IF($A8="""","""",IFERROR(INDEX(FILTER(Candidates!$S$2:$S$2000,Candidates!$A$2:$A$2000=$A8),COUNTIF(Candidates!$A$2:$A$2000,$A8)),""""))"),"Reject")</f>
        <v>Reject</v>
      </c>
      <c r="W8" s="64" t="str">
        <f>IFERROR(__xludf.DUMMYFUNCTION("IF($A8="""","""",IFERROR(INDEX(FILTER(Candidates!$T$2:$T$2000,Candidates!$A$2:$A$2000=$A8),COUNTIF(Candidates!$A$2:$A$2000,$A8)),""""))"),"Rejected")</f>
        <v>Rejected</v>
      </c>
      <c r="X8" s="64"/>
      <c r="Y8" s="61" t="s">
        <v>617</v>
      </c>
      <c r="Z8" s="67">
        <v>46291.0</v>
      </c>
      <c r="AA8" s="67"/>
      <c r="AB8" s="67"/>
      <c r="AC8" s="67"/>
    </row>
    <row r="9">
      <c r="A9" s="61" t="s">
        <v>316</v>
      </c>
      <c r="B9" s="61" t="s">
        <v>317</v>
      </c>
      <c r="C9" s="62" t="s">
        <v>318</v>
      </c>
      <c r="D9" s="61" t="s">
        <v>319</v>
      </c>
      <c r="E9" s="61" t="s">
        <v>139</v>
      </c>
      <c r="F9" s="61" t="s">
        <v>320</v>
      </c>
      <c r="G9" s="64"/>
      <c r="H9" s="68">
        <v>10.0</v>
      </c>
      <c r="I9" s="61" t="s">
        <v>620</v>
      </c>
      <c r="J9" s="61" t="s">
        <v>621</v>
      </c>
      <c r="K9" s="61" t="s">
        <v>622</v>
      </c>
      <c r="L9" s="61" t="s">
        <v>623</v>
      </c>
      <c r="M9" s="61" t="s">
        <v>76</v>
      </c>
      <c r="N9" s="64"/>
      <c r="O9" s="61" t="s">
        <v>625</v>
      </c>
      <c r="P9" s="61" t="s">
        <v>626</v>
      </c>
      <c r="Q9" s="61" t="s">
        <v>16</v>
      </c>
      <c r="R9" s="65">
        <f>IF($A9="","",IFERROR(MINIFS(Candidates!$K$2:$K$2000,Candidates!$A$2:$A$2000,$A9),""))</f>
        <v>46290</v>
      </c>
      <c r="S9" s="65">
        <f>IF($A9="","",IFERROR(MAXIFS(Candidates!$AA$2:$AA$2000,Candidates!$A$2:$A$2000,$A9),""))</f>
        <v>46291</v>
      </c>
      <c r="T9" s="64" t="str">
        <f>IFERROR(__xludf.DUMMYFUNCTION("IF($A9="""","""",IFERROR(TEXTJOIN("", "",TRUE,UNIQUE(FILTER(Candidates!$B$2:$B$2000,Candidates!$A$2:$A$2000=$A9))),""""))"),"001")</f>
        <v>001</v>
      </c>
      <c r="U9" s="66">
        <f>IF($A9="","",COUNTIF(Candidates!$A$2:$A$2000,$A9))</f>
        <v>1</v>
      </c>
      <c r="V9" s="64" t="str">
        <f>IFERROR(__xludf.DUMMYFUNCTION("IF($A9="""","""",IFERROR(INDEX(FILTER(Candidates!$S$2:$S$2000,Candidates!$A$2:$A$2000=$A9),COUNTIF(Candidates!$A$2:$A$2000,$A9)),""""))"),"Reject")</f>
        <v>Reject</v>
      </c>
      <c r="W9" s="64" t="str">
        <f>IFERROR(__xludf.DUMMYFUNCTION("IF($A9="""","""",IFERROR(INDEX(FILTER(Candidates!$T$2:$T$2000,Candidates!$A$2:$A$2000=$A9),COUNTIF(Candidates!$A$2:$A$2000,$A9)),""""))"),"Rejected")</f>
        <v>Rejected</v>
      </c>
      <c r="X9" s="64"/>
      <c r="Y9" s="61" t="s">
        <v>627</v>
      </c>
      <c r="Z9" s="67">
        <v>46291.0</v>
      </c>
      <c r="AA9" s="67"/>
      <c r="AB9" s="67"/>
      <c r="AC9" s="67"/>
    </row>
    <row r="10">
      <c r="A10" s="61" t="s">
        <v>326</v>
      </c>
      <c r="B10" s="61" t="s">
        <v>327</v>
      </c>
      <c r="C10" s="61" t="s">
        <v>328</v>
      </c>
      <c r="D10" s="61" t="s">
        <v>329</v>
      </c>
      <c r="E10" s="64"/>
      <c r="F10" s="61" t="s">
        <v>330</v>
      </c>
      <c r="G10" s="61" t="s">
        <v>331</v>
      </c>
      <c r="H10" s="68">
        <v>8.0</v>
      </c>
      <c r="I10" s="61" t="s">
        <v>629</v>
      </c>
      <c r="J10" s="61" t="s">
        <v>630</v>
      </c>
      <c r="K10" s="61" t="s">
        <v>631</v>
      </c>
      <c r="L10" s="61" t="s">
        <v>632</v>
      </c>
      <c r="M10" s="61" t="s">
        <v>76</v>
      </c>
      <c r="N10" s="61" t="s">
        <v>633</v>
      </c>
      <c r="O10" s="61" t="s">
        <v>634</v>
      </c>
      <c r="P10" s="61" t="s">
        <v>635</v>
      </c>
      <c r="Q10" s="61" t="s">
        <v>16</v>
      </c>
      <c r="R10" s="65">
        <f>IF($A10="","",IFERROR(MINIFS(Candidates!$K$2:$K$2000,Candidates!$A$2:$A$2000,$A10),""))</f>
        <v>46290</v>
      </c>
      <c r="S10" s="65">
        <f>IF($A10="","",IFERROR(MAXIFS(Candidates!$AA$2:$AA$2000,Candidates!$A$2:$A$2000,$A10),""))</f>
        <v>46291</v>
      </c>
      <c r="T10" s="64" t="str">
        <f>IFERROR(__xludf.DUMMYFUNCTION("IF($A10="""","""",IFERROR(TEXTJOIN("", "",TRUE,UNIQUE(FILTER(Candidates!$B$2:$B$2000,Candidates!$A$2:$A$2000=$A10))),""""))"),"001")</f>
        <v>001</v>
      </c>
      <c r="U10" s="66">
        <f>IF($A10="","",COUNTIF(Candidates!$A$2:$A$2000,$A10))</f>
        <v>1</v>
      </c>
      <c r="V10" s="64" t="str">
        <f>IFERROR(__xludf.DUMMYFUNCTION("IF($A10="""","""",IFERROR(INDEX(FILTER(Candidates!$S$2:$S$2000,Candidates!$A$2:$A$2000=$A10),COUNTIF(Candidates!$A$2:$A$2000,$A10)),""""))"),"Shortlist")</f>
        <v>Shortlist</v>
      </c>
      <c r="W10" s="64" t="str">
        <f>IFERROR(__xludf.DUMMYFUNCTION("IF($A10="""","""",IFERROR(INDEX(FILTER(Candidates!$T$2:$T$2000,Candidates!$A$2:$A$2000=$A10),COUNTIF(Candidates!$A$2:$A$2000,$A10)),""""))"),"Shortlisted")</f>
        <v>Shortlisted</v>
      </c>
      <c r="X10" s="61" t="s">
        <v>342</v>
      </c>
      <c r="Y10" s="61" t="s">
        <v>645</v>
      </c>
      <c r="Z10" s="67">
        <v>46291.0</v>
      </c>
      <c r="AA10" s="67"/>
      <c r="AB10" s="67"/>
      <c r="AC10" s="67"/>
    </row>
    <row r="11">
      <c r="A11" s="61" t="s">
        <v>343</v>
      </c>
      <c r="B11" s="61" t="s">
        <v>345</v>
      </c>
      <c r="C11" s="62" t="s">
        <v>346</v>
      </c>
      <c r="D11" s="61" t="s">
        <v>348</v>
      </c>
      <c r="E11" s="61" t="s">
        <v>139</v>
      </c>
      <c r="F11" s="61" t="s">
        <v>349</v>
      </c>
      <c r="G11" s="61" t="s">
        <v>351</v>
      </c>
      <c r="H11" s="68">
        <v>5.0</v>
      </c>
      <c r="I11" s="61" t="s">
        <v>646</v>
      </c>
      <c r="J11" s="61" t="s">
        <v>647</v>
      </c>
      <c r="K11" s="61" t="s">
        <v>648</v>
      </c>
      <c r="L11" s="61" t="s">
        <v>649</v>
      </c>
      <c r="M11" s="61" t="s">
        <v>40</v>
      </c>
      <c r="N11" s="64"/>
      <c r="O11" s="61" t="s">
        <v>405</v>
      </c>
      <c r="P11" s="61" t="s">
        <v>650</v>
      </c>
      <c r="Q11" s="61" t="s">
        <v>16</v>
      </c>
      <c r="R11" s="65">
        <f>IF($A11="","",IFERROR(MINIFS(Candidates!$K$2:$K$2000,Candidates!$A$2:$A$2000,$A11),""))</f>
        <v>46290</v>
      </c>
      <c r="S11" s="65">
        <f>IF($A11="","",IFERROR(MAXIFS(Candidates!$AA$2:$AA$2000,Candidates!$A$2:$A$2000,$A11),""))</f>
        <v>46291</v>
      </c>
      <c r="T11" s="64" t="str">
        <f>IFERROR(__xludf.DUMMYFUNCTION("IF($A11="""","""",IFERROR(TEXTJOIN("", "",TRUE,UNIQUE(FILTER(Candidates!$B$2:$B$2000,Candidates!$A$2:$A$2000=$A11))),""""))"),"001")</f>
        <v>001</v>
      </c>
      <c r="U11" s="66">
        <f>IF($A11="","",COUNTIF(Candidates!$A$2:$A$2000,$A11))</f>
        <v>1</v>
      </c>
      <c r="V11" s="64" t="str">
        <f>IFERROR(__xludf.DUMMYFUNCTION("IF($A11="""","""",IFERROR(INDEX(FILTER(Candidates!$S$2:$S$2000,Candidates!$A$2:$A$2000=$A11),COUNTIF(Candidates!$A$2:$A$2000,$A11)),""""))"),"Reject")</f>
        <v>Reject</v>
      </c>
      <c r="W11" s="64" t="str">
        <f>IFERROR(__xludf.DUMMYFUNCTION("IF($A11="""","""",IFERROR(INDEX(FILTER(Candidates!$T$2:$T$2000,Candidates!$A$2:$A$2000=$A11),COUNTIF(Candidates!$A$2:$A$2000,$A11)),""""))"),"Rejected")</f>
        <v>Rejected</v>
      </c>
      <c r="X11" s="64"/>
      <c r="Y11" s="61" t="s">
        <v>652</v>
      </c>
      <c r="Z11" s="67">
        <v>46291.0</v>
      </c>
      <c r="AA11" s="67"/>
      <c r="AB11" s="67"/>
      <c r="AC11" s="67"/>
    </row>
    <row r="12">
      <c r="A12" s="61" t="s">
        <v>367</v>
      </c>
      <c r="B12" s="61" t="s">
        <v>369</v>
      </c>
      <c r="C12" s="62" t="s">
        <v>370</v>
      </c>
      <c r="D12" s="61" t="s">
        <v>372</v>
      </c>
      <c r="E12" s="61" t="s">
        <v>139</v>
      </c>
      <c r="F12" s="61" t="s">
        <v>373</v>
      </c>
      <c r="G12" s="61" t="s">
        <v>374</v>
      </c>
      <c r="H12" s="68">
        <v>8.0</v>
      </c>
      <c r="I12" s="61" t="s">
        <v>656</v>
      </c>
      <c r="J12" s="61" t="s">
        <v>657</v>
      </c>
      <c r="K12" s="61" t="s">
        <v>658</v>
      </c>
      <c r="L12" s="61" t="s">
        <v>659</v>
      </c>
      <c r="M12" s="61" t="s">
        <v>64</v>
      </c>
      <c r="N12" s="61" t="s">
        <v>661</v>
      </c>
      <c r="O12" s="61" t="s">
        <v>405</v>
      </c>
      <c r="P12" s="61" t="s">
        <v>662</v>
      </c>
      <c r="Q12" s="61" t="s">
        <v>16</v>
      </c>
      <c r="R12" s="65">
        <f>IF($A12="","",IFERROR(MINIFS(Candidates!$K$2:$K$2000,Candidates!$A$2:$A$2000,$A12),""))</f>
        <v>46290</v>
      </c>
      <c r="S12" s="65">
        <f>IF($A12="","",IFERROR(MAXIFS(Candidates!$AA$2:$AA$2000,Candidates!$A$2:$A$2000,$A12),""))</f>
        <v>46291</v>
      </c>
      <c r="T12" s="64" t="str">
        <f>IFERROR(__xludf.DUMMYFUNCTION("IF($A12="""","""",IFERROR(TEXTJOIN("", "",TRUE,UNIQUE(FILTER(Candidates!$B$2:$B$2000,Candidates!$A$2:$A$2000=$A12))),""""))"),"001")</f>
        <v>001</v>
      </c>
      <c r="U12" s="66">
        <f>IF($A12="","",COUNTIF(Candidates!$A$2:$A$2000,$A12))</f>
        <v>1</v>
      </c>
      <c r="V12" s="64" t="str">
        <f>IFERROR(__xludf.DUMMYFUNCTION("IF($A12="""","""",IFERROR(INDEX(FILTER(Candidates!$S$2:$S$2000,Candidates!$A$2:$A$2000=$A12),COUNTIF(Candidates!$A$2:$A$2000,$A12)),""""))"),"Reject")</f>
        <v>Reject</v>
      </c>
      <c r="W12" s="64" t="str">
        <f>IFERROR(__xludf.DUMMYFUNCTION("IF($A12="""","""",IFERROR(INDEX(FILTER(Candidates!$T$2:$T$2000,Candidates!$A$2:$A$2000=$A12),COUNTIF(Candidates!$A$2:$A$2000,$A12)),""""))"),"Rejected")</f>
        <v>Rejected</v>
      </c>
      <c r="X12" s="64"/>
      <c r="Y12" s="61" t="s">
        <v>668</v>
      </c>
      <c r="Z12" s="67">
        <v>46291.0</v>
      </c>
      <c r="AA12" s="67"/>
      <c r="AB12" s="67"/>
      <c r="AC12" s="67"/>
    </row>
    <row r="13">
      <c r="A13" s="61" t="s">
        <v>394</v>
      </c>
      <c r="B13" s="61" t="s">
        <v>396</v>
      </c>
      <c r="C13" s="62" t="s">
        <v>397</v>
      </c>
      <c r="D13" s="61" t="s">
        <v>399</v>
      </c>
      <c r="E13" s="61" t="s">
        <v>405</v>
      </c>
      <c r="F13" s="61" t="s">
        <v>400</v>
      </c>
      <c r="G13" s="61" t="s">
        <v>403</v>
      </c>
      <c r="H13" s="68">
        <v>8.0</v>
      </c>
      <c r="I13" s="61" t="s">
        <v>669</v>
      </c>
      <c r="J13" s="61" t="s">
        <v>670</v>
      </c>
      <c r="K13" s="61" t="s">
        <v>671</v>
      </c>
      <c r="L13" s="61" t="s">
        <v>672</v>
      </c>
      <c r="M13" s="61" t="s">
        <v>82</v>
      </c>
      <c r="N13" s="64"/>
      <c r="O13" s="61" t="s">
        <v>405</v>
      </c>
      <c r="P13" s="61" t="s">
        <v>673</v>
      </c>
      <c r="Q13" s="61" t="s">
        <v>16</v>
      </c>
      <c r="R13" s="65">
        <f>IF($A13="","",IFERROR(MINIFS(Candidates!$K$2:$K$2000,Candidates!$A$2:$A$2000,$A13),""))</f>
        <v>46290</v>
      </c>
      <c r="S13" s="65">
        <f>IF($A13="","",IFERROR(MAXIFS(Candidates!$AA$2:$AA$2000,Candidates!$A$2:$A$2000,$A13),""))</f>
        <v>46291</v>
      </c>
      <c r="T13" s="64" t="str">
        <f>IFERROR(__xludf.DUMMYFUNCTION("IF($A13="""","""",IFERROR(TEXTJOIN("", "",TRUE,UNIQUE(FILTER(Candidates!$B$2:$B$2000,Candidates!$A$2:$A$2000=$A13))),""""))"),"001")</f>
        <v>001</v>
      </c>
      <c r="U13" s="66">
        <f>IF($A13="","",COUNTIF(Candidates!$A$2:$A$2000,$A13))</f>
        <v>1</v>
      </c>
      <c r="V13" s="64" t="str">
        <f>IFERROR(__xludf.DUMMYFUNCTION("IF($A13="""","""",IFERROR(INDEX(FILTER(Candidates!$S$2:$S$2000,Candidates!$A$2:$A$2000=$A13),COUNTIF(Candidates!$A$2:$A$2000,$A13)),""""))"),"Reject")</f>
        <v>Reject</v>
      </c>
      <c r="W13" s="64" t="str">
        <f>IFERROR(__xludf.DUMMYFUNCTION("IF($A13="""","""",IFERROR(INDEX(FILTER(Candidates!$T$2:$T$2000,Candidates!$A$2:$A$2000=$A13),COUNTIF(Candidates!$A$2:$A$2000,$A13)),""""))"),"Rejected")</f>
        <v>Rejected</v>
      </c>
      <c r="X13" s="64"/>
      <c r="Y13" s="61" t="s">
        <v>674</v>
      </c>
      <c r="Z13" s="67">
        <v>46291.0</v>
      </c>
      <c r="AA13" s="67"/>
      <c r="AB13" s="67"/>
      <c r="AC13" s="67"/>
    </row>
    <row r="14">
      <c r="A14" s="61" t="s">
        <v>434</v>
      </c>
      <c r="B14" s="61" t="s">
        <v>436</v>
      </c>
      <c r="C14" s="62" t="s">
        <v>437</v>
      </c>
      <c r="D14" s="61" t="s">
        <v>438</v>
      </c>
      <c r="E14" s="61" t="s">
        <v>444</v>
      </c>
      <c r="F14" s="61" t="s">
        <v>440</v>
      </c>
      <c r="G14" s="61" t="s">
        <v>442</v>
      </c>
      <c r="H14" s="63"/>
      <c r="I14" s="61" t="s">
        <v>675</v>
      </c>
      <c r="J14" s="61" t="s">
        <v>676</v>
      </c>
      <c r="K14" s="61" t="s">
        <v>677</v>
      </c>
      <c r="L14" s="61" t="s">
        <v>678</v>
      </c>
      <c r="M14" s="61" t="s">
        <v>64</v>
      </c>
      <c r="N14" s="64"/>
      <c r="O14" s="61" t="s">
        <v>405</v>
      </c>
      <c r="P14" s="61" t="s">
        <v>679</v>
      </c>
      <c r="Q14" s="61" t="s">
        <v>16</v>
      </c>
      <c r="R14" s="65">
        <f>IF($A14="","",IFERROR(MINIFS(Candidates!$K$2:$K$2000,Candidates!$A$2:$A$2000,$A14),""))</f>
        <v>46290</v>
      </c>
      <c r="S14" s="65">
        <f>IF($A14="","",IFERROR(MAXIFS(Candidates!$AA$2:$AA$2000,Candidates!$A$2:$A$2000,$A14),""))</f>
        <v>46291</v>
      </c>
      <c r="T14" s="64" t="str">
        <f>IFERROR(__xludf.DUMMYFUNCTION("IF($A14="""","""",IFERROR(TEXTJOIN("", "",TRUE,UNIQUE(FILTER(Candidates!$B$2:$B$2000,Candidates!$A$2:$A$2000=$A14))),""""))"),"001")</f>
        <v>001</v>
      </c>
      <c r="U14" s="66">
        <f>IF($A14="","",COUNTIF(Candidates!$A$2:$A$2000,$A14))</f>
        <v>1</v>
      </c>
      <c r="V14" s="64" t="str">
        <f>IFERROR(__xludf.DUMMYFUNCTION("IF($A14="""","""",IFERROR(INDEX(FILTER(Candidates!$S$2:$S$2000,Candidates!$A$2:$A$2000=$A14),COUNTIF(Candidates!$A$2:$A$2000,$A14)),""""))"),"Reject")</f>
        <v>Reject</v>
      </c>
      <c r="W14" s="64" t="str">
        <f>IFERROR(__xludf.DUMMYFUNCTION("IF($A14="""","""",IFERROR(INDEX(FILTER(Candidates!$T$2:$T$2000,Candidates!$A$2:$A$2000=$A14),COUNTIF(Candidates!$A$2:$A$2000,$A14)),""""))"),"Rejected")</f>
        <v>Rejected</v>
      </c>
      <c r="X14" s="64"/>
      <c r="Y14" s="61" t="s">
        <v>687</v>
      </c>
      <c r="Z14" s="67">
        <v>46291.0</v>
      </c>
      <c r="AA14" s="67"/>
      <c r="AB14" s="67"/>
      <c r="AC14" s="67"/>
    </row>
    <row r="15">
      <c r="A15" s="61" t="s">
        <v>464</v>
      </c>
      <c r="B15" s="61" t="s">
        <v>465</v>
      </c>
      <c r="C15" s="62" t="s">
        <v>466</v>
      </c>
      <c r="D15" s="61" t="s">
        <v>467</v>
      </c>
      <c r="E15" s="64"/>
      <c r="F15" s="61" t="s">
        <v>469</v>
      </c>
      <c r="G15" s="64"/>
      <c r="H15" s="68">
        <v>10.0</v>
      </c>
      <c r="I15" s="61" t="s">
        <v>688</v>
      </c>
      <c r="J15" s="61" t="s">
        <v>689</v>
      </c>
      <c r="K15" s="61" t="s">
        <v>690</v>
      </c>
      <c r="L15" s="61" t="s">
        <v>691</v>
      </c>
      <c r="M15" s="61" t="s">
        <v>64</v>
      </c>
      <c r="N15" s="61" t="s">
        <v>693</v>
      </c>
      <c r="O15" s="61" t="s">
        <v>694</v>
      </c>
      <c r="P15" s="61" t="s">
        <v>695</v>
      </c>
      <c r="Q15" s="61" t="s">
        <v>16</v>
      </c>
      <c r="R15" s="65">
        <f>IF($A15="","",IFERROR(MINIFS(Candidates!$K$2:$K$2000,Candidates!$A$2:$A$2000,$A15),""))</f>
        <v>46290</v>
      </c>
      <c r="S15" s="65">
        <f>IF($A15="","",IFERROR(MAXIFS(Candidates!$AA$2:$AA$2000,Candidates!$A$2:$A$2000,$A15),""))</f>
        <v>46291</v>
      </c>
      <c r="T15" s="64" t="str">
        <f>IFERROR(__xludf.DUMMYFUNCTION("IF($A15="""","""",IFERROR(TEXTJOIN("", "",TRUE,UNIQUE(FILTER(Candidates!$B$2:$B$2000,Candidates!$A$2:$A$2000=$A15))),""""))"),"001")</f>
        <v>001</v>
      </c>
      <c r="U15" s="66">
        <f>IF($A15="","",COUNTIF(Candidates!$A$2:$A$2000,$A15))</f>
        <v>1</v>
      </c>
      <c r="V15" s="64" t="str">
        <f>IFERROR(__xludf.DUMMYFUNCTION("IF($A15="""","""",IFERROR(INDEX(FILTER(Candidates!$S$2:$S$2000,Candidates!$A$2:$A$2000=$A15),COUNTIF(Candidates!$A$2:$A$2000,$A15)),""""))"),"Reject")</f>
        <v>Reject</v>
      </c>
      <c r="W15" s="64" t="str">
        <f>IFERROR(__xludf.DUMMYFUNCTION("IF($A15="""","""",IFERROR(INDEX(FILTER(Candidates!$T$2:$T$2000,Candidates!$A$2:$A$2000=$A15),COUNTIF(Candidates!$A$2:$A$2000,$A15)),""""))"),"Rejected")</f>
        <v>Rejected</v>
      </c>
      <c r="X15" s="64"/>
      <c r="Y15" s="61" t="s">
        <v>698</v>
      </c>
      <c r="Z15" s="67">
        <v>46291.0</v>
      </c>
      <c r="AA15" s="67"/>
      <c r="AB15" s="67"/>
      <c r="AC15" s="67"/>
    </row>
    <row r="16">
      <c r="A16" s="61" t="s">
        <v>475</v>
      </c>
      <c r="B16" s="61" t="s">
        <v>476</v>
      </c>
      <c r="C16" s="62" t="s">
        <v>477</v>
      </c>
      <c r="D16" s="61" t="s">
        <v>478</v>
      </c>
      <c r="E16" s="61" t="s">
        <v>481</v>
      </c>
      <c r="F16" s="61" t="s">
        <v>479</v>
      </c>
      <c r="G16" s="61" t="s">
        <v>480</v>
      </c>
      <c r="H16" s="63"/>
      <c r="I16" s="61" t="s">
        <v>699</v>
      </c>
      <c r="J16" s="61" t="s">
        <v>700</v>
      </c>
      <c r="K16" s="61" t="s">
        <v>701</v>
      </c>
      <c r="L16" s="61" t="s">
        <v>702</v>
      </c>
      <c r="M16" s="61" t="s">
        <v>64</v>
      </c>
      <c r="N16" s="64"/>
      <c r="O16" s="61" t="s">
        <v>703</v>
      </c>
      <c r="P16" s="61" t="s">
        <v>704</v>
      </c>
      <c r="Q16" s="61" t="s">
        <v>16</v>
      </c>
      <c r="R16" s="65">
        <f>IF($A16="","",IFERROR(MINIFS(Candidates!$K$2:$K$2000,Candidates!$A$2:$A$2000,$A16),""))</f>
        <v>46291</v>
      </c>
      <c r="S16" s="65">
        <f>IF($A16="","",IFERROR(MAXIFS(Candidates!$AA$2:$AA$2000,Candidates!$A$2:$A$2000,$A16),""))</f>
        <v>46291</v>
      </c>
      <c r="T16" s="64" t="str">
        <f>IFERROR(__xludf.DUMMYFUNCTION("IF($A16="""","""",IFERROR(TEXTJOIN("", "",TRUE,UNIQUE(FILTER(Candidates!$B$2:$B$2000,Candidates!$A$2:$A$2000=$A16))),""""))"),"001")</f>
        <v>001</v>
      </c>
      <c r="U16" s="66">
        <f>IF($A16="","",COUNTIF(Candidates!$A$2:$A$2000,$A16))</f>
        <v>1</v>
      </c>
      <c r="V16" s="64" t="str">
        <f>IFERROR(__xludf.DUMMYFUNCTION("IF($A16="""","""",IFERROR(INDEX(FILTER(Candidates!$S$2:$S$2000,Candidates!$A$2:$A$2000=$A16),COUNTIF(Candidates!$A$2:$A$2000,$A16)),""""))"),"Reject")</f>
        <v>Reject</v>
      </c>
      <c r="W16" s="64" t="str">
        <f>IFERROR(__xludf.DUMMYFUNCTION("IF($A16="""","""",IFERROR(INDEX(FILTER(Candidates!$T$2:$T$2000,Candidates!$A$2:$A$2000=$A16),COUNTIF(Candidates!$A$2:$A$2000,$A16)),""""))"),"Rejected")</f>
        <v>Rejected</v>
      </c>
      <c r="X16" s="64"/>
      <c r="Y16" s="61" t="s">
        <v>706</v>
      </c>
      <c r="Z16" s="67">
        <v>46291.0</v>
      </c>
      <c r="AA16" s="67"/>
      <c r="AB16" s="67"/>
      <c r="AC16" s="67"/>
    </row>
    <row r="17">
      <c r="A17" s="61" t="s">
        <v>486</v>
      </c>
      <c r="B17" s="61" t="s">
        <v>487</v>
      </c>
      <c r="C17" s="62" t="s">
        <v>488</v>
      </c>
      <c r="D17" s="61" t="s">
        <v>489</v>
      </c>
      <c r="E17" s="61" t="s">
        <v>139</v>
      </c>
      <c r="F17" s="61" t="s">
        <v>490</v>
      </c>
      <c r="G17" s="61" t="s">
        <v>491</v>
      </c>
      <c r="H17" s="68">
        <v>23.0</v>
      </c>
      <c r="I17" s="61" t="s">
        <v>707</v>
      </c>
      <c r="J17" s="61" t="s">
        <v>708</v>
      </c>
      <c r="K17" s="61" t="s">
        <v>709</v>
      </c>
      <c r="L17" s="61" t="s">
        <v>710</v>
      </c>
      <c r="M17" s="61" t="s">
        <v>64</v>
      </c>
      <c r="N17" s="61" t="s">
        <v>711</v>
      </c>
      <c r="O17" s="61" t="s">
        <v>405</v>
      </c>
      <c r="P17" s="61" t="s">
        <v>712</v>
      </c>
      <c r="Q17" s="61" t="s">
        <v>16</v>
      </c>
      <c r="R17" s="65">
        <f>IF($A17="","",IFERROR(MINIFS(Candidates!$K$2:$K$2000,Candidates!$A$2:$A$2000,$A17),""))</f>
        <v>46291</v>
      </c>
      <c r="S17" s="65">
        <f>IF($A17="","",IFERROR(MAXIFS(Candidates!$AA$2:$AA$2000,Candidates!$A$2:$A$2000,$A17),""))</f>
        <v>46291</v>
      </c>
      <c r="T17" s="64" t="str">
        <f>IFERROR(__xludf.DUMMYFUNCTION("IF($A17="""","""",IFERROR(TEXTJOIN("", "",TRUE,UNIQUE(FILTER(Candidates!$B$2:$B$2000,Candidates!$A$2:$A$2000=$A17))),""""))"),"001")</f>
        <v>001</v>
      </c>
      <c r="U17" s="66">
        <f>IF($A17="","",COUNTIF(Candidates!$A$2:$A$2000,$A17))</f>
        <v>1</v>
      </c>
      <c r="V17" s="64" t="str">
        <f>IFERROR(__xludf.DUMMYFUNCTION("IF($A17="""","""",IFERROR(INDEX(FILTER(Candidates!$S$2:$S$2000,Candidates!$A$2:$A$2000=$A17),COUNTIF(Candidates!$A$2:$A$2000,$A17)),""""))"),"Reject")</f>
        <v>Reject</v>
      </c>
      <c r="W17" s="64" t="str">
        <f>IFERROR(__xludf.DUMMYFUNCTION("IF($A17="""","""",IFERROR(INDEX(FILTER(Candidates!$T$2:$T$2000,Candidates!$A$2:$A$2000=$A17),COUNTIF(Candidates!$A$2:$A$2000,$A17)),""""))"),"Rejected")</f>
        <v>Rejected</v>
      </c>
      <c r="X17" s="64"/>
      <c r="Y17" s="61" t="s">
        <v>716</v>
      </c>
      <c r="Z17" s="67">
        <v>46291.0</v>
      </c>
      <c r="AA17" s="67"/>
      <c r="AB17" s="67"/>
      <c r="AC17" s="67"/>
    </row>
    <row r="18">
      <c r="A18" s="61" t="s">
        <v>496</v>
      </c>
      <c r="B18" s="61" t="s">
        <v>497</v>
      </c>
      <c r="C18" s="62" t="s">
        <v>498</v>
      </c>
      <c r="D18" s="61" t="s">
        <v>499</v>
      </c>
      <c r="E18" s="61" t="s">
        <v>207</v>
      </c>
      <c r="F18" s="61" t="s">
        <v>500</v>
      </c>
      <c r="G18" s="61" t="s">
        <v>501</v>
      </c>
      <c r="H18" s="63"/>
      <c r="I18" s="61" t="s">
        <v>718</v>
      </c>
      <c r="J18" s="61" t="s">
        <v>720</v>
      </c>
      <c r="K18" s="61" t="s">
        <v>721</v>
      </c>
      <c r="L18" s="61" t="s">
        <v>722</v>
      </c>
      <c r="M18" s="61" t="s">
        <v>64</v>
      </c>
      <c r="N18" s="64"/>
      <c r="O18" s="61" t="s">
        <v>405</v>
      </c>
      <c r="P18" s="61" t="s">
        <v>723</v>
      </c>
      <c r="Q18" s="61" t="s">
        <v>16</v>
      </c>
      <c r="R18" s="65">
        <f>IF($A18="","",IFERROR(MINIFS(Candidates!$K$2:$K$2000,Candidates!$A$2:$A$2000,$A18),""))</f>
        <v>46291</v>
      </c>
      <c r="S18" s="65">
        <f>IF($A18="","",IFERROR(MAXIFS(Candidates!$AA$2:$AA$2000,Candidates!$A$2:$A$2000,$A18),""))</f>
        <v>46291</v>
      </c>
      <c r="T18" s="64" t="str">
        <f>IFERROR(__xludf.DUMMYFUNCTION("IF($A18="""","""",IFERROR(TEXTJOIN("", "",TRUE,UNIQUE(FILTER(Candidates!$B$2:$B$2000,Candidates!$A$2:$A$2000=$A18))),""""))"),"001")</f>
        <v>001</v>
      </c>
      <c r="U18" s="66">
        <f>IF($A18="","",COUNTIF(Candidates!$A$2:$A$2000,$A18))</f>
        <v>1</v>
      </c>
      <c r="V18" s="64" t="str">
        <f>IFERROR(__xludf.DUMMYFUNCTION("IF($A18="""","""",IFERROR(INDEX(FILTER(Candidates!$S$2:$S$2000,Candidates!$A$2:$A$2000=$A18),COUNTIF(Candidates!$A$2:$A$2000,$A18)),""""))"),"Reject")</f>
        <v>Reject</v>
      </c>
      <c r="W18" s="64" t="str">
        <f>IFERROR(__xludf.DUMMYFUNCTION("IF($A18="""","""",IFERROR(INDEX(FILTER(Candidates!$T$2:$T$2000,Candidates!$A$2:$A$2000=$A18),COUNTIF(Candidates!$A$2:$A$2000,$A18)),""""))"),"Rejected")</f>
        <v>Rejected</v>
      </c>
      <c r="X18" s="64"/>
      <c r="Y18" s="61" t="s">
        <v>725</v>
      </c>
      <c r="Z18" s="67">
        <v>46291.0</v>
      </c>
      <c r="AA18" s="67"/>
      <c r="AB18" s="67"/>
      <c r="AC18" s="67"/>
    </row>
    <row r="19">
      <c r="A19" s="61" t="s">
        <v>506</v>
      </c>
      <c r="B19" s="61" t="s">
        <v>507</v>
      </c>
      <c r="C19" s="62" t="s">
        <v>508</v>
      </c>
      <c r="D19" s="61" t="s">
        <v>509</v>
      </c>
      <c r="E19" s="61" t="s">
        <v>139</v>
      </c>
      <c r="F19" s="61" t="s">
        <v>510</v>
      </c>
      <c r="G19" s="61" t="s">
        <v>511</v>
      </c>
      <c r="H19" s="68">
        <v>10.0</v>
      </c>
      <c r="I19" s="61" t="s">
        <v>726</v>
      </c>
      <c r="J19" s="61" t="s">
        <v>727</v>
      </c>
      <c r="K19" s="61" t="s">
        <v>729</v>
      </c>
      <c r="L19" s="61" t="s">
        <v>730</v>
      </c>
      <c r="M19" s="61" t="s">
        <v>64</v>
      </c>
      <c r="N19" s="64"/>
      <c r="O19" s="61" t="s">
        <v>405</v>
      </c>
      <c r="P19" s="61" t="s">
        <v>732</v>
      </c>
      <c r="Q19" s="61" t="s">
        <v>16</v>
      </c>
      <c r="R19" s="65">
        <f>IF($A19="","",IFERROR(MINIFS(Candidates!$K$2:$K$2000,Candidates!$A$2:$A$2000,$A19),""))</f>
        <v>46291</v>
      </c>
      <c r="S19" s="65">
        <f>IF($A19="","",IFERROR(MAXIFS(Candidates!$AA$2:$AA$2000,Candidates!$A$2:$A$2000,$A19),""))</f>
        <v>46291</v>
      </c>
      <c r="T19" s="64" t="str">
        <f>IFERROR(__xludf.DUMMYFUNCTION("IF($A19="""","""",IFERROR(TEXTJOIN("", "",TRUE,UNIQUE(FILTER(Candidates!$B$2:$B$2000,Candidates!$A$2:$A$2000=$A19))),""""))"),"001")</f>
        <v>001</v>
      </c>
      <c r="U19" s="66">
        <f>IF($A19="","",COUNTIF(Candidates!$A$2:$A$2000,$A19))</f>
        <v>1</v>
      </c>
      <c r="V19" s="64" t="str">
        <f>IFERROR(__xludf.DUMMYFUNCTION("IF($A19="""","""",IFERROR(INDEX(FILTER(Candidates!$S$2:$S$2000,Candidates!$A$2:$A$2000=$A19),COUNTIF(Candidates!$A$2:$A$2000,$A19)),""""))"),"Reject")</f>
        <v>Reject</v>
      </c>
      <c r="W19" s="64" t="str">
        <f>IFERROR(__xludf.DUMMYFUNCTION("IF($A19="""","""",IFERROR(INDEX(FILTER(Candidates!$T$2:$T$2000,Candidates!$A$2:$A$2000=$A19),COUNTIF(Candidates!$A$2:$A$2000,$A19)),""""))"),"Rejected")</f>
        <v>Rejected</v>
      </c>
      <c r="X19" s="64"/>
      <c r="Y19" s="61" t="s">
        <v>734</v>
      </c>
      <c r="Z19" s="67">
        <v>46291.0</v>
      </c>
      <c r="AA19" s="67"/>
      <c r="AB19" s="67"/>
      <c r="AC19" s="67"/>
    </row>
    <row r="20">
      <c r="A20" s="61" t="s">
        <v>541</v>
      </c>
      <c r="B20" s="61" t="s">
        <v>542</v>
      </c>
      <c r="C20" s="62" t="s">
        <v>543</v>
      </c>
      <c r="D20" s="61" t="s">
        <v>544</v>
      </c>
      <c r="E20" s="61" t="s">
        <v>547</v>
      </c>
      <c r="F20" s="61" t="s">
        <v>545</v>
      </c>
      <c r="G20" s="61" t="s">
        <v>546</v>
      </c>
      <c r="H20" s="63"/>
      <c r="I20" s="61" t="s">
        <v>735</v>
      </c>
      <c r="J20" s="61" t="s">
        <v>736</v>
      </c>
      <c r="K20" s="61" t="s">
        <v>737</v>
      </c>
      <c r="L20" s="61" t="s">
        <v>738</v>
      </c>
      <c r="M20" s="61" t="s">
        <v>64</v>
      </c>
      <c r="N20" s="64"/>
      <c r="O20" s="61" t="s">
        <v>405</v>
      </c>
      <c r="P20" s="61" t="s">
        <v>739</v>
      </c>
      <c r="Q20" s="61" t="s">
        <v>16</v>
      </c>
      <c r="R20" s="65">
        <f>IF($A20="","",IFERROR(MINIFS(Candidates!$K$2:$K$2000,Candidates!$A$2:$A$2000,$A20),""))</f>
        <v>46291</v>
      </c>
      <c r="S20" s="65">
        <f>IF($A20="","",IFERROR(MAXIFS(Candidates!$AA$2:$AA$2000,Candidates!$A$2:$A$2000,$A20),""))</f>
        <v>46291</v>
      </c>
      <c r="T20" s="64" t="str">
        <f>IFERROR(__xludf.DUMMYFUNCTION("IF($A20="""","""",IFERROR(TEXTJOIN("", "",TRUE,UNIQUE(FILTER(Candidates!$B$2:$B$2000,Candidates!$A$2:$A$2000=$A20))),""""))"),"001")</f>
        <v>001</v>
      </c>
      <c r="U20" s="66">
        <f>IF($A20="","",COUNTIF(Candidates!$A$2:$A$2000,$A20))</f>
        <v>1</v>
      </c>
      <c r="V20" s="64" t="str">
        <f>IFERROR(__xludf.DUMMYFUNCTION("IF($A20="""","""",IFERROR(INDEX(FILTER(Candidates!$S$2:$S$2000,Candidates!$A$2:$A$2000=$A20),COUNTIF(Candidates!$A$2:$A$2000,$A20)),""""))"),"Reject")</f>
        <v>Reject</v>
      </c>
      <c r="W20" s="64" t="str">
        <f>IFERROR(__xludf.DUMMYFUNCTION("IF($A20="""","""",IFERROR(INDEX(FILTER(Candidates!$T$2:$T$2000,Candidates!$A$2:$A$2000=$A20),COUNTIF(Candidates!$A$2:$A$2000,$A20)),""""))"),"Rejected")</f>
        <v>Rejected</v>
      </c>
      <c r="X20" s="64"/>
      <c r="Y20" s="61" t="s">
        <v>741</v>
      </c>
      <c r="Z20" s="67">
        <v>46291.0</v>
      </c>
      <c r="AA20" s="67"/>
      <c r="AB20" s="67"/>
      <c r="AC20" s="67"/>
    </row>
    <row r="21">
      <c r="A21" s="61" t="s">
        <v>558</v>
      </c>
      <c r="B21" s="61" t="s">
        <v>559</v>
      </c>
      <c r="C21" s="61" t="s">
        <v>560</v>
      </c>
      <c r="D21" s="61" t="s">
        <v>561</v>
      </c>
      <c r="E21" s="61" t="s">
        <v>564</v>
      </c>
      <c r="F21" s="61" t="s">
        <v>562</v>
      </c>
      <c r="G21" s="61" t="s">
        <v>563</v>
      </c>
      <c r="H21" s="68">
        <v>23.0</v>
      </c>
      <c r="I21" s="61" t="s">
        <v>743</v>
      </c>
      <c r="J21" s="61" t="s">
        <v>744</v>
      </c>
      <c r="K21" s="61" t="s">
        <v>745</v>
      </c>
      <c r="L21" s="61" t="s">
        <v>746</v>
      </c>
      <c r="M21" s="61" t="s">
        <v>71</v>
      </c>
      <c r="N21" s="64"/>
      <c r="O21" s="61" t="s">
        <v>405</v>
      </c>
      <c r="P21" s="61" t="s">
        <v>747</v>
      </c>
      <c r="Q21" s="61" t="s">
        <v>16</v>
      </c>
      <c r="R21" s="65">
        <f>IF($A21="","",IFERROR(MINIFS(Candidates!$K$2:$K$2000,Candidates!$A$2:$A$2000,$A21),""))</f>
        <v>46291</v>
      </c>
      <c r="S21" s="65">
        <f>IF($A21="","",IFERROR(MAXIFS(Candidates!$AA$2:$AA$2000,Candidates!$A$2:$A$2000,$A21),""))</f>
        <v>46291</v>
      </c>
      <c r="T21" s="64" t="str">
        <f>IFERROR(__xludf.DUMMYFUNCTION("IF($A21="""","""",IFERROR(TEXTJOIN("", "",TRUE,UNIQUE(FILTER(Candidates!$B$2:$B$2000,Candidates!$A$2:$A$2000=$A21))),""""))"),"001")</f>
        <v>001</v>
      </c>
      <c r="U21" s="66">
        <f>IF($A21="","",COUNTIF(Candidates!$A$2:$A$2000,$A21))</f>
        <v>1</v>
      </c>
      <c r="V21" s="64" t="str">
        <f>IFERROR(__xludf.DUMMYFUNCTION("IF($A21="""","""",IFERROR(INDEX(FILTER(Candidates!$S$2:$S$2000,Candidates!$A$2:$A$2000=$A21),COUNTIF(Candidates!$A$2:$A$2000,$A21)),""""))"),"Reject")</f>
        <v>Reject</v>
      </c>
      <c r="W21" s="64" t="str">
        <f>IFERROR(__xludf.DUMMYFUNCTION("IF($A21="""","""",IFERROR(INDEX(FILTER(Candidates!$T$2:$T$2000,Candidates!$A$2:$A$2000=$A21),COUNTIF(Candidates!$A$2:$A$2000,$A21)),""""))"),"Rejected")</f>
        <v>Rejected</v>
      </c>
      <c r="X21" s="64"/>
      <c r="Y21" s="61" t="s">
        <v>755</v>
      </c>
      <c r="Z21" s="67">
        <v>46291.0</v>
      </c>
      <c r="AA21" s="67"/>
      <c r="AB21" s="67"/>
      <c r="AC21" s="67"/>
    </row>
    <row r="22">
      <c r="A22" s="61" t="s">
        <v>584</v>
      </c>
      <c r="B22" s="61" t="s">
        <v>586</v>
      </c>
      <c r="C22" s="62" t="s">
        <v>587</v>
      </c>
      <c r="D22" s="61" t="s">
        <v>592</v>
      </c>
      <c r="E22" s="64"/>
      <c r="F22" s="64"/>
      <c r="G22" s="64"/>
      <c r="H22" s="63"/>
      <c r="I22" s="61" t="s">
        <v>152</v>
      </c>
      <c r="J22" s="61" t="s">
        <v>757</v>
      </c>
      <c r="K22" s="61" t="s">
        <v>758</v>
      </c>
      <c r="L22" s="61" t="s">
        <v>760</v>
      </c>
      <c r="M22" s="61" t="s">
        <v>64</v>
      </c>
      <c r="N22" s="61" t="s">
        <v>593</v>
      </c>
      <c r="O22" s="64"/>
      <c r="P22" s="61" t="s">
        <v>761</v>
      </c>
      <c r="Q22" s="61" t="s">
        <v>16</v>
      </c>
      <c r="R22" s="65">
        <f>IF($A22="","",IFERROR(MINIFS(Candidates!$K$2:$K$2000,Candidates!$A$2:$A$2000,$A22),""))</f>
        <v>46291</v>
      </c>
      <c r="S22" s="65">
        <f>IF($A22="","",IFERROR(MAXIFS(Candidates!$AA$2:$AA$2000,Candidates!$A$2:$A$2000,$A22),""))</f>
        <v>46291</v>
      </c>
      <c r="T22" s="64" t="str">
        <f>IFERROR(__xludf.DUMMYFUNCTION("IF($A22="""","""",IFERROR(TEXTJOIN("", "",TRUE,UNIQUE(FILTER(Candidates!$B$2:$B$2000,Candidates!$A$2:$A$2000=$A22))),""""))"),"001")</f>
        <v>001</v>
      </c>
      <c r="U22" s="66">
        <f>IF($A22="","",COUNTIF(Candidates!$A$2:$A$2000,$A22))</f>
        <v>1</v>
      </c>
      <c r="V22" s="64" t="str">
        <f>IFERROR(__xludf.DUMMYFUNCTION("IF($A22="""","""",IFERROR(INDEX(FILTER(Candidates!$S$2:$S$2000,Candidates!$A$2:$A$2000=$A22),COUNTIF(Candidates!$A$2:$A$2000,$A22)),""""))"),"Reject")</f>
        <v>Reject</v>
      </c>
      <c r="W22" s="64" t="str">
        <f>IFERROR(__xludf.DUMMYFUNCTION("IF($A22="""","""",IFERROR(INDEX(FILTER(Candidates!$T$2:$T$2000,Candidates!$A$2:$A$2000=$A22),COUNTIF(Candidates!$A$2:$A$2000,$A22)),""""))"),"Rejected")</f>
        <v>Rejected</v>
      </c>
      <c r="X22" s="64"/>
      <c r="Y22" s="61" t="s">
        <v>762</v>
      </c>
      <c r="Z22" s="67">
        <v>46291.0</v>
      </c>
      <c r="AA22" s="67"/>
      <c r="AB22" s="67"/>
      <c r="AC22" s="67"/>
    </row>
    <row r="23">
      <c r="A23" s="61" t="s">
        <v>610</v>
      </c>
      <c r="B23" s="61" t="s">
        <v>611</v>
      </c>
      <c r="C23" s="62" t="s">
        <v>612</v>
      </c>
      <c r="D23" s="61" t="s">
        <v>613</v>
      </c>
      <c r="E23" s="61" t="s">
        <v>616</v>
      </c>
      <c r="F23" s="61" t="s">
        <v>614</v>
      </c>
      <c r="G23" s="61" t="s">
        <v>615</v>
      </c>
      <c r="H23" s="63"/>
      <c r="I23" s="61" t="s">
        <v>763</v>
      </c>
      <c r="J23" s="61" t="s">
        <v>764</v>
      </c>
      <c r="K23" s="61" t="s">
        <v>765</v>
      </c>
      <c r="L23" s="61" t="s">
        <v>766</v>
      </c>
      <c r="M23" s="61" t="s">
        <v>64</v>
      </c>
      <c r="N23" s="61" t="s">
        <v>767</v>
      </c>
      <c r="O23" s="61" t="s">
        <v>405</v>
      </c>
      <c r="P23" s="61" t="s">
        <v>768</v>
      </c>
      <c r="Q23" s="61" t="s">
        <v>16</v>
      </c>
      <c r="R23" s="65">
        <f>IF($A23="","",IFERROR(MINIFS(Candidates!$K$2:$K$2000,Candidates!$A$2:$A$2000,$A23),""))</f>
        <v>46291</v>
      </c>
      <c r="S23" s="65">
        <f>IF($A23="","",IFERROR(MAXIFS(Candidates!$AA$2:$AA$2000,Candidates!$A$2:$A$2000,$A23),""))</f>
        <v>46291</v>
      </c>
      <c r="T23" s="64" t="str">
        <f>IFERROR(__xludf.DUMMYFUNCTION("IF($A23="""","""",IFERROR(TEXTJOIN("", "",TRUE,UNIQUE(FILTER(Candidates!$B$2:$B$2000,Candidates!$A$2:$A$2000=$A23))),""""))"),"001")</f>
        <v>001</v>
      </c>
      <c r="U23" s="66">
        <f>IF($A23="","",COUNTIF(Candidates!$A$2:$A$2000,$A23))</f>
        <v>1</v>
      </c>
      <c r="V23" s="64" t="str">
        <f>IFERROR(__xludf.DUMMYFUNCTION("IF($A23="""","""",IFERROR(INDEX(FILTER(Candidates!$S$2:$S$2000,Candidates!$A$2:$A$2000=$A23),COUNTIF(Candidates!$A$2:$A$2000,$A23)),""""))"),"Reject")</f>
        <v>Reject</v>
      </c>
      <c r="W23" s="64" t="str">
        <f>IFERROR(__xludf.DUMMYFUNCTION("IF($A23="""","""",IFERROR(INDEX(FILTER(Candidates!$T$2:$T$2000,Candidates!$A$2:$A$2000=$A23),COUNTIF(Candidates!$A$2:$A$2000,$A23)),""""))"),"Rejected")</f>
        <v>Rejected</v>
      </c>
      <c r="X23" s="64"/>
      <c r="Y23" s="61" t="s">
        <v>771</v>
      </c>
      <c r="Z23" s="67">
        <v>46291.0</v>
      </c>
      <c r="AA23" s="67"/>
      <c r="AB23" s="67"/>
      <c r="AC23" s="67"/>
    </row>
    <row r="24">
      <c r="A24" s="61" t="s">
        <v>636</v>
      </c>
      <c r="B24" s="61" t="s">
        <v>637</v>
      </c>
      <c r="C24" s="62" t="s">
        <v>638</v>
      </c>
      <c r="D24" s="61" t="s">
        <v>639</v>
      </c>
      <c r="E24" s="61" t="s">
        <v>315</v>
      </c>
      <c r="F24" s="61" t="s">
        <v>640</v>
      </c>
      <c r="G24" s="61" t="s">
        <v>641</v>
      </c>
      <c r="H24" s="68">
        <v>20.0</v>
      </c>
      <c r="I24" s="61" t="s">
        <v>772</v>
      </c>
      <c r="J24" s="61" t="s">
        <v>773</v>
      </c>
      <c r="K24" s="61" t="s">
        <v>774</v>
      </c>
      <c r="L24" s="61" t="s">
        <v>775</v>
      </c>
      <c r="M24" s="61" t="s">
        <v>64</v>
      </c>
      <c r="N24" s="61" t="s">
        <v>776</v>
      </c>
      <c r="O24" s="61" t="s">
        <v>777</v>
      </c>
      <c r="P24" s="61" t="s">
        <v>778</v>
      </c>
      <c r="Q24" s="61" t="s">
        <v>16</v>
      </c>
      <c r="R24" s="65">
        <f>IF($A24="","",IFERROR(MINIFS(Candidates!$K$2:$K$2000,Candidates!$A$2:$A$2000,$A24),""))</f>
        <v>46291</v>
      </c>
      <c r="S24" s="65">
        <f>IF($A24="","",IFERROR(MAXIFS(Candidates!$AA$2:$AA$2000,Candidates!$A$2:$A$2000,$A24),""))</f>
        <v>46291</v>
      </c>
      <c r="T24" s="64" t="str">
        <f>IFERROR(__xludf.DUMMYFUNCTION("IF($A24="""","""",IFERROR(TEXTJOIN("", "",TRUE,UNIQUE(FILTER(Candidates!$B$2:$B$2000,Candidates!$A$2:$A$2000=$A24))),""""))"),"001")</f>
        <v>001</v>
      </c>
      <c r="U24" s="66">
        <f>IF($A24="","",COUNTIF(Candidates!$A$2:$A$2000,$A24))</f>
        <v>1</v>
      </c>
      <c r="V24" s="64" t="str">
        <f>IFERROR(__xludf.DUMMYFUNCTION("IF($A24="""","""",IFERROR(INDEX(FILTER(Candidates!$S$2:$S$2000,Candidates!$A$2:$A$2000=$A24),COUNTIF(Candidates!$A$2:$A$2000,$A24)),""""))"),"Reject")</f>
        <v>Reject</v>
      </c>
      <c r="W24" s="64" t="str">
        <f>IFERROR(__xludf.DUMMYFUNCTION("IF($A24="""","""",IFERROR(INDEX(FILTER(Candidates!$T$2:$T$2000,Candidates!$A$2:$A$2000=$A24),COUNTIF(Candidates!$A$2:$A$2000,$A24)),""""))"),"Rejected")</f>
        <v>Rejected</v>
      </c>
      <c r="X24" s="61" t="s">
        <v>785</v>
      </c>
      <c r="Y24" s="61" t="s">
        <v>786</v>
      </c>
      <c r="Z24" s="67">
        <v>46291.0</v>
      </c>
      <c r="AA24" s="67"/>
      <c r="AB24" s="67"/>
      <c r="AC24" s="67"/>
    </row>
    <row r="25">
      <c r="A25" s="61" t="s">
        <v>651</v>
      </c>
      <c r="B25" s="61" t="s">
        <v>653</v>
      </c>
      <c r="C25" s="62" t="s">
        <v>654</v>
      </c>
      <c r="D25" s="61" t="s">
        <v>655</v>
      </c>
      <c r="E25" s="61" t="s">
        <v>664</v>
      </c>
      <c r="F25" s="61" t="s">
        <v>660</v>
      </c>
      <c r="G25" s="61" t="s">
        <v>663</v>
      </c>
      <c r="H25" s="68">
        <v>10.0</v>
      </c>
      <c r="I25" s="61" t="s">
        <v>787</v>
      </c>
      <c r="J25" s="61" t="s">
        <v>788</v>
      </c>
      <c r="K25" s="61" t="s">
        <v>789</v>
      </c>
      <c r="L25" s="61" t="s">
        <v>790</v>
      </c>
      <c r="M25" s="61" t="s">
        <v>64</v>
      </c>
      <c r="N25" s="61" t="s">
        <v>791</v>
      </c>
      <c r="O25" s="61" t="s">
        <v>405</v>
      </c>
      <c r="P25" s="61" t="s">
        <v>792</v>
      </c>
      <c r="Q25" s="61" t="s">
        <v>16</v>
      </c>
      <c r="R25" s="65">
        <f>IF($A25="","",IFERROR(MINIFS(Candidates!$K$2:$K$2000,Candidates!$A$2:$A$2000,$A25),""))</f>
        <v>46291</v>
      </c>
      <c r="S25" s="65">
        <f>IF($A25="","",IFERROR(MAXIFS(Candidates!$AA$2:$AA$2000,Candidates!$A$2:$A$2000,$A25),""))</f>
        <v>46291</v>
      </c>
      <c r="T25" s="64" t="str">
        <f>IFERROR(__xludf.DUMMYFUNCTION("IF($A25="""","""",IFERROR(TEXTJOIN("", "",TRUE,UNIQUE(FILTER(Candidates!$B$2:$B$2000,Candidates!$A$2:$A$2000=$A25))),""""))"),"001")</f>
        <v>001</v>
      </c>
      <c r="U25" s="66">
        <f>IF($A25="","",COUNTIF(Candidates!$A$2:$A$2000,$A25))</f>
        <v>1</v>
      </c>
      <c r="V25" s="64" t="str">
        <f>IFERROR(__xludf.DUMMYFUNCTION("IF($A25="""","""",IFERROR(INDEX(FILTER(Candidates!$S$2:$S$2000,Candidates!$A$2:$A$2000=$A25),COUNTIF(Candidates!$A$2:$A$2000,$A25)),""""))"),"Reject")</f>
        <v>Reject</v>
      </c>
      <c r="W25" s="64" t="str">
        <f>IFERROR(__xludf.DUMMYFUNCTION("IF($A25="""","""",IFERROR(INDEX(FILTER(Candidates!$T$2:$T$2000,Candidates!$A$2:$A$2000=$A25),COUNTIF(Candidates!$A$2:$A$2000,$A25)),""""))"),"Rejected")</f>
        <v>Rejected</v>
      </c>
      <c r="X25" s="61" t="s">
        <v>797</v>
      </c>
      <c r="Y25" s="61" t="s">
        <v>798</v>
      </c>
      <c r="Z25" s="67">
        <v>46291.0</v>
      </c>
      <c r="AA25" s="67"/>
      <c r="AB25" s="67"/>
      <c r="AC25" s="67"/>
    </row>
    <row r="26">
      <c r="A26" s="61" t="s">
        <v>680</v>
      </c>
      <c r="B26" s="61" t="s">
        <v>681</v>
      </c>
      <c r="C26" s="62" t="s">
        <v>682</v>
      </c>
      <c r="D26" s="61" t="s">
        <v>683</v>
      </c>
      <c r="E26" s="61" t="s">
        <v>686</v>
      </c>
      <c r="F26" s="61" t="s">
        <v>684</v>
      </c>
      <c r="G26" s="61" t="s">
        <v>685</v>
      </c>
      <c r="H26" s="63"/>
      <c r="I26" s="61" t="s">
        <v>800</v>
      </c>
      <c r="J26" s="61" t="s">
        <v>801</v>
      </c>
      <c r="K26" s="61" t="s">
        <v>802</v>
      </c>
      <c r="L26" s="61" t="s">
        <v>803</v>
      </c>
      <c r="M26" s="61" t="s">
        <v>40</v>
      </c>
      <c r="N26" s="61" t="s">
        <v>805</v>
      </c>
      <c r="O26" s="61" t="s">
        <v>703</v>
      </c>
      <c r="P26" s="61" t="s">
        <v>806</v>
      </c>
      <c r="Q26" s="61" t="s">
        <v>16</v>
      </c>
      <c r="R26" s="65">
        <f>IF($A26="","",IFERROR(MINIFS(Candidates!$K$2:$K$2000,Candidates!$A$2:$A$2000,$A26),""))</f>
        <v>46291</v>
      </c>
      <c r="S26" s="65">
        <f>IF($A26="","",IFERROR(MAXIFS(Candidates!$AA$2:$AA$2000,Candidates!$A$2:$A$2000,$A26),""))</f>
        <v>46291</v>
      </c>
      <c r="T26" s="64" t="str">
        <f>IFERROR(__xludf.DUMMYFUNCTION("IF($A26="""","""",IFERROR(TEXTJOIN("", "",TRUE,UNIQUE(FILTER(Candidates!$B$2:$B$2000,Candidates!$A$2:$A$2000=$A26))),""""))"),"001")</f>
        <v>001</v>
      </c>
      <c r="U26" s="66">
        <f>IF($A26="","",COUNTIF(Candidates!$A$2:$A$2000,$A26))</f>
        <v>1</v>
      </c>
      <c r="V26" s="64" t="str">
        <f>IFERROR(__xludf.DUMMYFUNCTION("IF($A26="""","""",IFERROR(INDEX(FILTER(Candidates!$S$2:$S$2000,Candidates!$A$2:$A$2000=$A26),COUNTIF(Candidates!$A$2:$A$2000,$A26)),""""))"),"Reject")</f>
        <v>Reject</v>
      </c>
      <c r="W26" s="64" t="str">
        <f>IFERROR(__xludf.DUMMYFUNCTION("IF($A26="""","""",IFERROR(INDEX(FILTER(Candidates!$T$2:$T$2000,Candidates!$A$2:$A$2000=$A26),COUNTIF(Candidates!$A$2:$A$2000,$A26)),""""))"),"Rejected")</f>
        <v>Rejected</v>
      </c>
      <c r="X26" s="61" t="s">
        <v>811</v>
      </c>
      <c r="Y26" s="61" t="s">
        <v>812</v>
      </c>
      <c r="Z26" s="67">
        <v>46291.0</v>
      </c>
      <c r="AA26" s="67"/>
      <c r="AB26" s="67"/>
      <c r="AC26" s="67"/>
    </row>
    <row r="27">
      <c r="A27" s="61" t="s">
        <v>713</v>
      </c>
      <c r="B27" s="61" t="s">
        <v>714</v>
      </c>
      <c r="C27" s="61" t="s">
        <v>715</v>
      </c>
      <c r="D27" s="61" t="s">
        <v>717</v>
      </c>
      <c r="E27" s="61" t="s">
        <v>139</v>
      </c>
      <c r="F27" s="61" t="s">
        <v>719</v>
      </c>
      <c r="G27" s="61" t="s">
        <v>724</v>
      </c>
      <c r="H27" s="68">
        <v>8.6</v>
      </c>
      <c r="I27" s="61" t="s">
        <v>814</v>
      </c>
      <c r="J27" s="61" t="s">
        <v>815</v>
      </c>
      <c r="K27" s="61" t="s">
        <v>816</v>
      </c>
      <c r="L27" s="61" t="s">
        <v>817</v>
      </c>
      <c r="M27" s="61" t="s">
        <v>40</v>
      </c>
      <c r="N27" s="61" t="s">
        <v>818</v>
      </c>
      <c r="O27" s="61" t="s">
        <v>405</v>
      </c>
      <c r="P27" s="61" t="s">
        <v>819</v>
      </c>
      <c r="Q27" s="61" t="s">
        <v>16</v>
      </c>
      <c r="R27" s="65">
        <f>IF($A27="","",IFERROR(MINIFS(Candidates!$K$2:$K$2000,Candidates!$A$2:$A$2000,$A27),""))</f>
        <v>46291</v>
      </c>
      <c r="S27" s="65">
        <f>IF($A27="","",IFERROR(MAXIFS(Candidates!$AA$2:$AA$2000,Candidates!$A$2:$A$2000,$A27),""))</f>
        <v>46291</v>
      </c>
      <c r="T27" s="64" t="str">
        <f>IFERROR(__xludf.DUMMYFUNCTION("IF($A27="""","""",IFERROR(TEXTJOIN("", "",TRUE,UNIQUE(FILTER(Candidates!$B$2:$B$2000,Candidates!$A$2:$A$2000=$A27))),""""))"),"001")</f>
        <v>001</v>
      </c>
      <c r="U27" s="66">
        <f>IF($A27="","",COUNTIF(Candidates!$A$2:$A$2000,$A27))</f>
        <v>1</v>
      </c>
      <c r="V27" s="64" t="str">
        <f>IFERROR(__xludf.DUMMYFUNCTION("IF($A27="""","""",IFERROR(INDEX(FILTER(Candidates!$S$2:$S$2000,Candidates!$A$2:$A$2000=$A27),COUNTIF(Candidates!$A$2:$A$2000,$A27)),""""))"),"Reject")</f>
        <v>Reject</v>
      </c>
      <c r="W27" s="64" t="str">
        <f>IFERROR(__xludf.DUMMYFUNCTION("IF($A27="""","""",IFERROR(INDEX(FILTER(Candidates!$T$2:$T$2000,Candidates!$A$2:$A$2000=$A27),COUNTIF(Candidates!$A$2:$A$2000,$A27)),""""))"),"Rejected")</f>
        <v>Rejected</v>
      </c>
      <c r="X27" s="61" t="s">
        <v>823</v>
      </c>
      <c r="Y27" s="61" t="s">
        <v>824</v>
      </c>
      <c r="Z27" s="67">
        <v>46291.0</v>
      </c>
      <c r="AA27" s="67"/>
      <c r="AB27" s="67"/>
      <c r="AC27" s="67"/>
    </row>
    <row r="28">
      <c r="A28" s="61" t="s">
        <v>742</v>
      </c>
      <c r="B28" s="61" t="s">
        <v>748</v>
      </c>
      <c r="C28" s="62" t="s">
        <v>749</v>
      </c>
      <c r="D28" s="61" t="s">
        <v>750</v>
      </c>
      <c r="E28" s="61" t="s">
        <v>753</v>
      </c>
      <c r="F28" s="61" t="s">
        <v>751</v>
      </c>
      <c r="G28" s="61" t="s">
        <v>752</v>
      </c>
      <c r="H28" s="68">
        <v>4.0</v>
      </c>
      <c r="I28" s="61" t="s">
        <v>629</v>
      </c>
      <c r="J28" s="61" t="s">
        <v>827</v>
      </c>
      <c r="K28" s="61" t="s">
        <v>828</v>
      </c>
      <c r="L28" s="61" t="s">
        <v>829</v>
      </c>
      <c r="M28" s="61" t="s">
        <v>64</v>
      </c>
      <c r="N28" s="61" t="s">
        <v>831</v>
      </c>
      <c r="O28" s="61" t="s">
        <v>832</v>
      </c>
      <c r="P28" s="61" t="s">
        <v>833</v>
      </c>
      <c r="Q28" s="61" t="s">
        <v>16</v>
      </c>
      <c r="R28" s="65">
        <f>IF($A28="","",IFERROR(MINIFS(Candidates!$K$2:$K$2000,Candidates!$A$2:$A$2000,$A28),""))</f>
        <v>46291</v>
      </c>
      <c r="S28" s="65">
        <f>IF($A28="","",IFERROR(MAXIFS(Candidates!$AA$2:$AA$2000,Candidates!$A$2:$A$2000,$A28),""))</f>
        <v>46291</v>
      </c>
      <c r="T28" s="64" t="str">
        <f>IFERROR(__xludf.DUMMYFUNCTION("IF($A28="""","""",IFERROR(TEXTJOIN("", "",TRUE,UNIQUE(FILTER(Candidates!$B$2:$B$2000,Candidates!$A$2:$A$2000=$A28))),""""))"),"001")</f>
        <v>001</v>
      </c>
      <c r="U28" s="66">
        <f>IF($A28="","",COUNTIF(Candidates!$A$2:$A$2000,$A28))</f>
        <v>1</v>
      </c>
      <c r="V28" s="64" t="str">
        <f>IFERROR(__xludf.DUMMYFUNCTION("IF($A28="""","""",IFERROR(INDEX(FILTER(Candidates!$S$2:$S$2000,Candidates!$A$2:$A$2000=$A28),COUNTIF(Candidates!$A$2:$A$2000,$A28)),""""))"),"Priority Shortlist")</f>
        <v>Priority Shortlist</v>
      </c>
      <c r="W28" s="64" t="str">
        <f>IFERROR(__xludf.DUMMYFUNCTION("IF($A28="""","""",IFERROR(INDEX(FILTER(Candidates!$T$2:$T$2000,Candidates!$A$2:$A$2000=$A28),COUNTIF(Candidates!$A$2:$A$2000,$A28)),""""))"),"Shortlisted")</f>
        <v>Shortlisted</v>
      </c>
      <c r="X28" s="61" t="s">
        <v>840</v>
      </c>
      <c r="Y28" s="61" t="s">
        <v>841</v>
      </c>
      <c r="Z28" s="67">
        <v>46291.0</v>
      </c>
      <c r="AA28" s="67"/>
      <c r="AB28" s="67"/>
      <c r="AC28" s="67"/>
    </row>
    <row r="29">
      <c r="A29" s="70" t="s">
        <v>770</v>
      </c>
      <c r="B29" s="70" t="s">
        <v>779</v>
      </c>
      <c r="C29" s="71" t="s">
        <v>780</v>
      </c>
      <c r="D29" s="70" t="s">
        <v>781</v>
      </c>
      <c r="E29" s="70" t="s">
        <v>784</v>
      </c>
      <c r="F29" s="70" t="s">
        <v>782</v>
      </c>
      <c r="G29" s="70" t="s">
        <v>783</v>
      </c>
      <c r="H29" s="68">
        <v>9.0</v>
      </c>
      <c r="I29" s="70" t="s">
        <v>842</v>
      </c>
      <c r="J29" s="70" t="s">
        <v>843</v>
      </c>
      <c r="K29" s="70" t="s">
        <v>844</v>
      </c>
      <c r="L29" s="70" t="s">
        <v>845</v>
      </c>
      <c r="M29" s="70" t="s">
        <v>64</v>
      </c>
      <c r="N29" s="70" t="s">
        <v>846</v>
      </c>
      <c r="O29" s="70" t="s">
        <v>847</v>
      </c>
      <c r="P29" s="70" t="s">
        <v>848</v>
      </c>
      <c r="Q29" s="70" t="s">
        <v>16</v>
      </c>
      <c r="R29" s="67">
        <v>46292.0</v>
      </c>
      <c r="S29" s="67">
        <v>46292.0</v>
      </c>
      <c r="T29" s="72" t="s">
        <v>171</v>
      </c>
      <c r="U29" s="73">
        <v>1.0</v>
      </c>
      <c r="V29" s="70" t="s">
        <v>20</v>
      </c>
      <c r="W29" s="70" t="s">
        <v>56</v>
      </c>
      <c r="X29" s="64"/>
      <c r="Y29" s="70" t="s">
        <v>850</v>
      </c>
      <c r="Z29" s="67">
        <v>46292.09649003472</v>
      </c>
      <c r="AA29" s="67"/>
      <c r="AB29" s="67"/>
      <c r="AC29" s="67"/>
    </row>
    <row r="30">
      <c r="A30" s="70" t="s">
        <v>796</v>
      </c>
      <c r="B30" s="70" t="s">
        <v>799</v>
      </c>
      <c r="C30" s="71" t="s">
        <v>804</v>
      </c>
      <c r="D30" s="70" t="s">
        <v>807</v>
      </c>
      <c r="E30" s="70" t="s">
        <v>810</v>
      </c>
      <c r="F30" s="70" t="s">
        <v>808</v>
      </c>
      <c r="G30" s="70" t="s">
        <v>809</v>
      </c>
      <c r="H30" s="68">
        <v>16.6</v>
      </c>
      <c r="I30" s="70" t="s">
        <v>853</v>
      </c>
      <c r="J30" s="70" t="s">
        <v>854</v>
      </c>
      <c r="K30" s="70" t="s">
        <v>856</v>
      </c>
      <c r="L30" s="70" t="s">
        <v>857</v>
      </c>
      <c r="M30" s="70" t="s">
        <v>64</v>
      </c>
      <c r="N30" s="70" t="s">
        <v>859</v>
      </c>
      <c r="O30" s="70" t="s">
        <v>860</v>
      </c>
      <c r="P30" s="70" t="s">
        <v>861</v>
      </c>
      <c r="Q30" s="70" t="s">
        <v>16</v>
      </c>
      <c r="R30" s="67">
        <v>46292.0</v>
      </c>
      <c r="S30" s="67">
        <v>46292.0</v>
      </c>
      <c r="T30" s="72" t="s">
        <v>229</v>
      </c>
      <c r="U30" s="73">
        <v>1.0</v>
      </c>
      <c r="V30" s="70" t="s">
        <v>59</v>
      </c>
      <c r="W30" s="70" t="s">
        <v>83</v>
      </c>
      <c r="X30" s="64"/>
      <c r="Y30" s="70" t="s">
        <v>864</v>
      </c>
      <c r="Z30" s="67">
        <v>46292.28219482639</v>
      </c>
      <c r="AA30" s="67"/>
      <c r="AB30" s="67"/>
      <c r="AC30" s="67"/>
    </row>
    <row r="31">
      <c r="A31" s="70" t="s">
        <v>822</v>
      </c>
      <c r="B31" s="70" t="s">
        <v>825</v>
      </c>
      <c r="C31" s="71" t="s">
        <v>826</v>
      </c>
      <c r="D31" s="70" t="s">
        <v>830</v>
      </c>
      <c r="E31" s="70" t="s">
        <v>836</v>
      </c>
      <c r="F31" s="70" t="s">
        <v>834</v>
      </c>
      <c r="G31" s="70" t="s">
        <v>835</v>
      </c>
      <c r="H31" s="68">
        <v>27.4</v>
      </c>
      <c r="I31" s="70" t="s">
        <v>865</v>
      </c>
      <c r="J31" s="70" t="s">
        <v>866</v>
      </c>
      <c r="K31" s="70" t="s">
        <v>867</v>
      </c>
      <c r="L31" s="70" t="s">
        <v>868</v>
      </c>
      <c r="M31" s="70" t="s">
        <v>82</v>
      </c>
      <c r="N31" s="70" t="s">
        <v>869</v>
      </c>
      <c r="O31" s="70" t="s">
        <v>870</v>
      </c>
      <c r="P31" s="70" t="s">
        <v>871</v>
      </c>
      <c r="Q31" s="70" t="s">
        <v>16</v>
      </c>
      <c r="R31" s="67">
        <v>46292.0</v>
      </c>
      <c r="S31" s="67">
        <v>46292.0</v>
      </c>
      <c r="T31" s="72" t="s">
        <v>23</v>
      </c>
      <c r="U31" s="73">
        <v>1.0</v>
      </c>
      <c r="V31" s="70" t="s">
        <v>59</v>
      </c>
      <c r="W31" s="70" t="s">
        <v>83</v>
      </c>
      <c r="X31" s="64"/>
      <c r="Y31" s="70" t="s">
        <v>872</v>
      </c>
      <c r="Z31" s="67">
        <v>46292.49354033565</v>
      </c>
      <c r="AA31" s="67"/>
      <c r="AB31" s="67"/>
      <c r="AC31" s="67"/>
    </row>
    <row r="32">
      <c r="A32" s="70" t="s">
        <v>849</v>
      </c>
      <c r="B32" s="70" t="s">
        <v>851</v>
      </c>
      <c r="C32" s="70" t="s">
        <v>852</v>
      </c>
      <c r="D32" s="70" t="s">
        <v>855</v>
      </c>
      <c r="E32" s="70" t="s">
        <v>863</v>
      </c>
      <c r="F32" s="70" t="s">
        <v>858</v>
      </c>
      <c r="G32" s="70" t="s">
        <v>862</v>
      </c>
      <c r="H32" s="68">
        <v>4.0</v>
      </c>
      <c r="I32" s="70" t="s">
        <v>873</v>
      </c>
      <c r="J32" s="70" t="s">
        <v>874</v>
      </c>
      <c r="K32" s="70" t="s">
        <v>875</v>
      </c>
      <c r="L32" s="70" t="s">
        <v>876</v>
      </c>
      <c r="M32" s="70" t="s">
        <v>64</v>
      </c>
      <c r="N32" s="70" t="s">
        <v>877</v>
      </c>
      <c r="O32" s="70" t="s">
        <v>878</v>
      </c>
      <c r="P32" s="70" t="s">
        <v>879</v>
      </c>
      <c r="Q32" s="70" t="s">
        <v>16</v>
      </c>
      <c r="R32" s="67">
        <v>46293.0</v>
      </c>
      <c r="S32" s="67">
        <v>46296.0</v>
      </c>
      <c r="T32" s="72" t="s">
        <v>880</v>
      </c>
      <c r="U32" s="73">
        <v>2.0</v>
      </c>
      <c r="V32" s="70" t="s">
        <v>59</v>
      </c>
      <c r="W32" s="70" t="s">
        <v>83</v>
      </c>
      <c r="X32" s="74" t="s">
        <v>881</v>
      </c>
      <c r="Y32" s="70" t="s">
        <v>885</v>
      </c>
      <c r="Z32" s="67">
        <v>46296.22787752315</v>
      </c>
      <c r="AA32" s="67"/>
      <c r="AB32" s="67"/>
      <c r="AC32" s="67"/>
    </row>
    <row r="33">
      <c r="A33" s="70" t="s">
        <v>886</v>
      </c>
      <c r="B33" s="70" t="s">
        <v>887</v>
      </c>
      <c r="C33" s="70" t="s">
        <v>888</v>
      </c>
      <c r="D33" s="70" t="s">
        <v>889</v>
      </c>
      <c r="E33" s="64"/>
      <c r="F33" s="70" t="s">
        <v>890</v>
      </c>
      <c r="G33" s="70" t="s">
        <v>891</v>
      </c>
      <c r="H33" s="68">
        <v>10.0</v>
      </c>
      <c r="I33" s="70" t="s">
        <v>892</v>
      </c>
      <c r="J33" s="70" t="s">
        <v>893</v>
      </c>
      <c r="K33" s="70" t="s">
        <v>894</v>
      </c>
      <c r="L33" s="70" t="s">
        <v>895</v>
      </c>
      <c r="M33" s="70" t="s">
        <v>76</v>
      </c>
      <c r="N33" s="70" t="s">
        <v>896</v>
      </c>
      <c r="O33" s="70" t="s">
        <v>897</v>
      </c>
      <c r="P33" s="70" t="s">
        <v>898</v>
      </c>
      <c r="Q33" s="70" t="s">
        <v>16</v>
      </c>
      <c r="R33" s="67">
        <v>46293.0</v>
      </c>
      <c r="S33" s="67">
        <v>46296.0</v>
      </c>
      <c r="T33" s="72" t="s">
        <v>280</v>
      </c>
      <c r="U33" s="73">
        <v>1.0</v>
      </c>
      <c r="V33" s="70" t="s">
        <v>59</v>
      </c>
      <c r="W33" s="70" t="s">
        <v>83</v>
      </c>
      <c r="X33" s="74" t="s">
        <v>899</v>
      </c>
      <c r="Y33" s="70" t="s">
        <v>900</v>
      </c>
      <c r="Z33" s="67">
        <v>46296.18739603009</v>
      </c>
      <c r="AA33" s="67"/>
      <c r="AB33" s="67"/>
      <c r="AC33" s="67"/>
    </row>
    <row r="34">
      <c r="A34" s="70" t="s">
        <v>901</v>
      </c>
      <c r="B34" s="70" t="s">
        <v>902</v>
      </c>
      <c r="C34" s="71" t="s">
        <v>903</v>
      </c>
      <c r="D34" s="70" t="s">
        <v>904</v>
      </c>
      <c r="E34" s="70" t="s">
        <v>139</v>
      </c>
      <c r="F34" s="70" t="s">
        <v>905</v>
      </c>
      <c r="G34" s="70" t="s">
        <v>906</v>
      </c>
      <c r="H34" s="68">
        <v>15.1</v>
      </c>
      <c r="I34" s="70" t="s">
        <v>907</v>
      </c>
      <c r="J34" s="70" t="s">
        <v>908</v>
      </c>
      <c r="K34" s="70" t="s">
        <v>909</v>
      </c>
      <c r="L34" s="70" t="s">
        <v>910</v>
      </c>
      <c r="M34" s="70" t="s">
        <v>64</v>
      </c>
      <c r="N34" s="70" t="s">
        <v>911</v>
      </c>
      <c r="O34" s="70" t="s">
        <v>912</v>
      </c>
      <c r="P34" s="70" t="s">
        <v>913</v>
      </c>
      <c r="Q34" s="70" t="s">
        <v>16</v>
      </c>
      <c r="R34" s="67">
        <v>46294.0</v>
      </c>
      <c r="S34" s="67">
        <v>46296.0</v>
      </c>
      <c r="T34" s="72" t="s">
        <v>280</v>
      </c>
      <c r="U34" s="73">
        <v>1.0</v>
      </c>
      <c r="V34" s="70" t="s">
        <v>59</v>
      </c>
      <c r="W34" s="70" t="s">
        <v>83</v>
      </c>
      <c r="X34" s="74" t="s">
        <v>914</v>
      </c>
      <c r="Y34" s="70" t="s">
        <v>916</v>
      </c>
      <c r="Z34" s="67">
        <v>46296.1871162037</v>
      </c>
      <c r="AA34" s="67"/>
      <c r="AB34" s="67"/>
      <c r="AC34" s="67"/>
    </row>
    <row r="35">
      <c r="A35" s="70" t="s">
        <v>917</v>
      </c>
      <c r="B35" s="70" t="s">
        <v>918</v>
      </c>
      <c r="C35" s="70" t="s">
        <v>919</v>
      </c>
      <c r="D35" s="70" t="s">
        <v>920</v>
      </c>
      <c r="E35" s="70" t="s">
        <v>753</v>
      </c>
      <c r="F35" s="70" t="s">
        <v>921</v>
      </c>
      <c r="G35" s="70" t="s">
        <v>923</v>
      </c>
      <c r="H35" s="68">
        <v>16.7</v>
      </c>
      <c r="I35" s="70" t="s">
        <v>924</v>
      </c>
      <c r="J35" s="70" t="s">
        <v>925</v>
      </c>
      <c r="K35" s="70" t="s">
        <v>926</v>
      </c>
      <c r="L35" s="70" t="s">
        <v>927</v>
      </c>
      <c r="M35" s="70" t="s">
        <v>64</v>
      </c>
      <c r="N35" s="70" t="s">
        <v>929</v>
      </c>
      <c r="O35" s="70" t="s">
        <v>930</v>
      </c>
      <c r="P35" s="70" t="s">
        <v>931</v>
      </c>
      <c r="Q35" s="70" t="s">
        <v>16</v>
      </c>
      <c r="R35" s="67">
        <v>46294.0</v>
      </c>
      <c r="S35" s="67">
        <v>46294.0</v>
      </c>
      <c r="T35" s="72" t="s">
        <v>280</v>
      </c>
      <c r="U35" s="73">
        <v>1.0</v>
      </c>
      <c r="V35" s="70" t="s">
        <v>59</v>
      </c>
      <c r="W35" s="70" t="s">
        <v>83</v>
      </c>
      <c r="X35" s="64"/>
      <c r="Y35" s="70" t="s">
        <v>932</v>
      </c>
      <c r="Z35" s="67">
        <v>46293.958937372685</v>
      </c>
      <c r="AA35" s="67"/>
      <c r="AB35" s="67"/>
      <c r="AC35" s="67"/>
    </row>
    <row r="36">
      <c r="A36" s="70" t="s">
        <v>933</v>
      </c>
      <c r="B36" s="70" t="s">
        <v>934</v>
      </c>
      <c r="C36" s="70" t="s">
        <v>935</v>
      </c>
      <c r="D36" s="70" t="s">
        <v>936</v>
      </c>
      <c r="E36" s="70" t="s">
        <v>937</v>
      </c>
      <c r="F36" s="70" t="s">
        <v>938</v>
      </c>
      <c r="G36" s="70" t="s">
        <v>939</v>
      </c>
      <c r="H36" s="68">
        <v>14.7</v>
      </c>
      <c r="I36" s="70" t="s">
        <v>940</v>
      </c>
      <c r="J36" s="70" t="s">
        <v>941</v>
      </c>
      <c r="K36" s="70" t="s">
        <v>942</v>
      </c>
      <c r="L36" s="70" t="s">
        <v>943</v>
      </c>
      <c r="M36" s="70" t="s">
        <v>64</v>
      </c>
      <c r="N36" s="70" t="s">
        <v>944</v>
      </c>
      <c r="O36" s="70" t="s">
        <v>945</v>
      </c>
      <c r="P36" s="70" t="s">
        <v>946</v>
      </c>
      <c r="Q36" s="70" t="s">
        <v>16</v>
      </c>
      <c r="R36" s="67">
        <v>46295.0</v>
      </c>
      <c r="S36" s="67">
        <v>46295.0</v>
      </c>
      <c r="T36" s="72" t="s">
        <v>23</v>
      </c>
      <c r="U36" s="73">
        <v>1.0</v>
      </c>
      <c r="V36" s="70" t="s">
        <v>59</v>
      </c>
      <c r="W36" s="70" t="s">
        <v>83</v>
      </c>
      <c r="X36" s="64"/>
      <c r="Y36" s="70" t="s">
        <v>947</v>
      </c>
      <c r="Z36" s="67">
        <v>46295.176213125</v>
      </c>
      <c r="AA36" s="67"/>
      <c r="AB36" s="67"/>
      <c r="AC36" s="67"/>
    </row>
    <row r="37">
      <c r="A37" s="70" t="s">
        <v>948</v>
      </c>
      <c r="B37" s="70" t="s">
        <v>949</v>
      </c>
      <c r="C37" s="64"/>
      <c r="D37" s="64"/>
      <c r="E37" s="70" t="s">
        <v>950</v>
      </c>
      <c r="F37" s="70" t="s">
        <v>951</v>
      </c>
      <c r="G37" s="70" t="s">
        <v>952</v>
      </c>
      <c r="H37" s="68">
        <v>9.8</v>
      </c>
      <c r="I37" s="70" t="s">
        <v>953</v>
      </c>
      <c r="J37" s="70" t="s">
        <v>954</v>
      </c>
      <c r="K37" s="70" t="s">
        <v>955</v>
      </c>
      <c r="L37" s="70" t="s">
        <v>956</v>
      </c>
      <c r="M37" s="70" t="s">
        <v>64</v>
      </c>
      <c r="N37" s="70" t="s">
        <v>957</v>
      </c>
      <c r="O37" s="70" t="s">
        <v>958</v>
      </c>
      <c r="P37" s="70" t="s">
        <v>959</v>
      </c>
      <c r="Q37" s="70" t="s">
        <v>16</v>
      </c>
      <c r="R37" s="67">
        <v>46296.0</v>
      </c>
      <c r="S37" s="67">
        <v>46296.0</v>
      </c>
      <c r="T37" s="72" t="s">
        <v>23</v>
      </c>
      <c r="U37" s="73">
        <v>1.0</v>
      </c>
      <c r="V37" s="70" t="s">
        <v>20</v>
      </c>
      <c r="W37" s="70" t="s">
        <v>56</v>
      </c>
      <c r="X37" s="74" t="s">
        <v>960</v>
      </c>
      <c r="Y37" s="70" t="s">
        <v>961</v>
      </c>
      <c r="Z37" s="67">
        <v>46296.156746203706</v>
      </c>
      <c r="AA37" s="67"/>
      <c r="AB37" s="67"/>
      <c r="AC37" s="67"/>
    </row>
    <row r="38">
      <c r="A38" s="70" t="s">
        <v>962</v>
      </c>
      <c r="B38" s="70" t="s">
        <v>963</v>
      </c>
      <c r="C38" s="70" t="s">
        <v>964</v>
      </c>
      <c r="D38" s="70" t="s">
        <v>965</v>
      </c>
      <c r="E38" s="70" t="s">
        <v>753</v>
      </c>
      <c r="F38" s="70" t="s">
        <v>966</v>
      </c>
      <c r="G38" s="70" t="s">
        <v>967</v>
      </c>
      <c r="H38" s="68">
        <v>31.3</v>
      </c>
      <c r="I38" s="70" t="s">
        <v>968</v>
      </c>
      <c r="J38" s="70" t="s">
        <v>969</v>
      </c>
      <c r="K38" s="70" t="s">
        <v>970</v>
      </c>
      <c r="L38" s="70" t="s">
        <v>971</v>
      </c>
      <c r="M38" s="70" t="s">
        <v>82</v>
      </c>
      <c r="N38" s="70" t="s">
        <v>972</v>
      </c>
      <c r="O38" s="70" t="s">
        <v>973</v>
      </c>
      <c r="P38" s="70" t="s">
        <v>974</v>
      </c>
      <c r="Q38" s="70" t="s">
        <v>16</v>
      </c>
      <c r="R38" s="67">
        <v>46296.0</v>
      </c>
      <c r="S38" s="67">
        <v>46296.0</v>
      </c>
      <c r="T38" s="72" t="s">
        <v>280</v>
      </c>
      <c r="U38" s="73">
        <v>1.0</v>
      </c>
      <c r="V38" s="70" t="s">
        <v>59</v>
      </c>
      <c r="W38" s="70" t="s">
        <v>83</v>
      </c>
      <c r="X38" s="74" t="s">
        <v>975</v>
      </c>
      <c r="Y38" s="70" t="s">
        <v>976</v>
      </c>
      <c r="Z38" s="67">
        <v>46296.1872433449</v>
      </c>
      <c r="AA38" s="67"/>
      <c r="AB38" s="67"/>
      <c r="AC38" s="67"/>
    </row>
    <row r="39">
      <c r="A39" s="70" t="s">
        <v>977</v>
      </c>
      <c r="B39" s="70" t="s">
        <v>978</v>
      </c>
      <c r="C39" s="71" t="s">
        <v>979</v>
      </c>
      <c r="D39" s="70" t="s">
        <v>980</v>
      </c>
      <c r="E39" s="70" t="s">
        <v>981</v>
      </c>
      <c r="F39" s="70" t="s">
        <v>982</v>
      </c>
      <c r="G39" s="70" t="s">
        <v>983</v>
      </c>
      <c r="H39" s="68">
        <v>8.3</v>
      </c>
      <c r="I39" s="70" t="s">
        <v>984</v>
      </c>
      <c r="J39" s="70" t="s">
        <v>985</v>
      </c>
      <c r="K39" s="70" t="s">
        <v>986</v>
      </c>
      <c r="L39" s="70" t="s">
        <v>987</v>
      </c>
      <c r="M39" s="70" t="s">
        <v>27</v>
      </c>
      <c r="N39" s="70" t="s">
        <v>988</v>
      </c>
      <c r="O39" s="70" t="s">
        <v>989</v>
      </c>
      <c r="P39" s="70" t="s">
        <v>990</v>
      </c>
      <c r="Q39" s="70" t="s">
        <v>16</v>
      </c>
      <c r="R39" s="67">
        <v>46296.0</v>
      </c>
      <c r="S39" s="67">
        <v>46296.0</v>
      </c>
      <c r="T39" s="72" t="s">
        <v>171</v>
      </c>
      <c r="U39" s="73">
        <v>1.0</v>
      </c>
      <c r="V39" s="70" t="s">
        <v>33</v>
      </c>
      <c r="W39" s="70" t="s">
        <v>56</v>
      </c>
      <c r="X39" s="74" t="s">
        <v>991</v>
      </c>
      <c r="Y39" s="70" t="s">
        <v>995</v>
      </c>
      <c r="Z39" s="67">
        <v>46296.21360072917</v>
      </c>
      <c r="AA39" s="70" t="s">
        <v>996</v>
      </c>
      <c r="AB39" s="70" t="s">
        <v>997</v>
      </c>
      <c r="AC39" s="70" t="s">
        <v>998</v>
      </c>
    </row>
    <row r="40">
      <c r="A40" s="70" t="s">
        <v>999</v>
      </c>
      <c r="B40" s="70" t="s">
        <v>1000</v>
      </c>
      <c r="C40" s="71" t="s">
        <v>1001</v>
      </c>
      <c r="D40" s="70" t="s">
        <v>1002</v>
      </c>
      <c r="E40" s="70" t="s">
        <v>753</v>
      </c>
      <c r="F40" s="70" t="s">
        <v>1003</v>
      </c>
      <c r="G40" s="70" t="s">
        <v>1004</v>
      </c>
      <c r="H40" s="68">
        <v>15.0</v>
      </c>
      <c r="I40" s="70" t="s">
        <v>1005</v>
      </c>
      <c r="J40" s="70" t="s">
        <v>1006</v>
      </c>
      <c r="K40" s="70" t="s">
        <v>1007</v>
      </c>
      <c r="L40" s="70" t="s">
        <v>1008</v>
      </c>
      <c r="M40" s="70" t="s">
        <v>40</v>
      </c>
      <c r="N40" s="70" t="s">
        <v>1009</v>
      </c>
      <c r="O40" s="70" t="s">
        <v>1010</v>
      </c>
      <c r="P40" s="70" t="s">
        <v>1011</v>
      </c>
      <c r="Q40" s="70" t="s">
        <v>16</v>
      </c>
      <c r="R40" s="67">
        <v>46296.0</v>
      </c>
      <c r="S40" s="67">
        <v>46296.0</v>
      </c>
      <c r="T40" s="72" t="s">
        <v>280</v>
      </c>
      <c r="U40" s="73">
        <v>1.0</v>
      </c>
      <c r="V40" s="70" t="s">
        <v>59</v>
      </c>
      <c r="W40" s="70" t="s">
        <v>83</v>
      </c>
      <c r="X40" s="74" t="s">
        <v>1012</v>
      </c>
      <c r="Y40" s="70" t="s">
        <v>1013</v>
      </c>
      <c r="Z40" s="67">
        <v>46296.22747734954</v>
      </c>
      <c r="AA40" s="70" t="s">
        <v>1014</v>
      </c>
      <c r="AB40" s="70" t="s">
        <v>1015</v>
      </c>
      <c r="AC40" s="70" t="s">
        <v>1016</v>
      </c>
    </row>
    <row r="41">
      <c r="A41" s="70" t="s">
        <v>1017</v>
      </c>
      <c r="B41" s="70" t="s">
        <v>1018</v>
      </c>
      <c r="C41" s="71" t="s">
        <v>1019</v>
      </c>
      <c r="D41" s="70" t="s">
        <v>1020</v>
      </c>
      <c r="E41" s="70" t="s">
        <v>753</v>
      </c>
      <c r="F41" s="70" t="s">
        <v>1003</v>
      </c>
      <c r="G41" s="70" t="s">
        <v>1021</v>
      </c>
      <c r="H41" s="63"/>
      <c r="I41" s="70" t="s">
        <v>1022</v>
      </c>
      <c r="J41" s="70" t="s">
        <v>1023</v>
      </c>
      <c r="K41" s="70" t="s">
        <v>1024</v>
      </c>
      <c r="L41" s="70" t="s">
        <v>1025</v>
      </c>
      <c r="M41" s="70" t="s">
        <v>64</v>
      </c>
      <c r="N41" s="70" t="s">
        <v>1026</v>
      </c>
      <c r="O41" s="70" t="s">
        <v>1027</v>
      </c>
      <c r="P41" s="70" t="s">
        <v>1028</v>
      </c>
      <c r="Q41" s="70" t="s">
        <v>16</v>
      </c>
      <c r="R41" s="67">
        <v>46296.0</v>
      </c>
      <c r="S41" s="67">
        <v>46296.0</v>
      </c>
      <c r="T41" s="72" t="s">
        <v>280</v>
      </c>
      <c r="U41" s="73">
        <v>1.0</v>
      </c>
      <c r="V41" s="70" t="s">
        <v>59</v>
      </c>
      <c r="W41" s="70" t="s">
        <v>83</v>
      </c>
      <c r="X41" s="74" t="s">
        <v>1029</v>
      </c>
      <c r="Y41" s="70" t="s">
        <v>1032</v>
      </c>
      <c r="Z41" s="67">
        <v>46296.22807030093</v>
      </c>
      <c r="AA41" s="70" t="s">
        <v>1034</v>
      </c>
      <c r="AB41" s="70" t="s">
        <v>1035</v>
      </c>
      <c r="AC41" s="70" t="s">
        <v>1036</v>
      </c>
    </row>
    <row r="42">
      <c r="A42" s="70" t="s">
        <v>1037</v>
      </c>
      <c r="B42" s="70" t="s">
        <v>1038</v>
      </c>
      <c r="C42" s="71" t="s">
        <v>1039</v>
      </c>
      <c r="D42" s="70" t="s">
        <v>1040</v>
      </c>
      <c r="E42" s="70" t="s">
        <v>1041</v>
      </c>
      <c r="F42" s="70" t="s">
        <v>1042</v>
      </c>
      <c r="G42" s="70" t="s">
        <v>1043</v>
      </c>
      <c r="H42" s="63"/>
      <c r="I42" s="70" t="s">
        <v>842</v>
      </c>
      <c r="J42" s="70" t="s">
        <v>1044</v>
      </c>
      <c r="K42" s="70" t="s">
        <v>1045</v>
      </c>
      <c r="L42" s="70" t="s">
        <v>1046</v>
      </c>
      <c r="M42" s="70" t="s">
        <v>64</v>
      </c>
      <c r="N42" s="70" t="s">
        <v>1047</v>
      </c>
      <c r="O42" s="70" t="s">
        <v>1048</v>
      </c>
      <c r="P42" s="70" t="s">
        <v>1049</v>
      </c>
      <c r="Q42" s="70" t="s">
        <v>16</v>
      </c>
      <c r="R42" s="67">
        <v>46296.0</v>
      </c>
      <c r="S42" s="67">
        <v>46296.0</v>
      </c>
      <c r="T42" s="72" t="s">
        <v>171</v>
      </c>
      <c r="U42" s="73">
        <v>1.0</v>
      </c>
      <c r="V42" s="70" t="s">
        <v>46</v>
      </c>
      <c r="W42" s="70" t="s">
        <v>46</v>
      </c>
      <c r="X42" s="74" t="s">
        <v>1050</v>
      </c>
      <c r="Y42" s="70" t="s">
        <v>1051</v>
      </c>
      <c r="Z42" s="67">
        <v>46296.47092881944</v>
      </c>
      <c r="AA42" s="65"/>
      <c r="AB42" s="65"/>
      <c r="AC42" s="65"/>
    </row>
    <row r="43">
      <c r="A43" s="70" t="s">
        <v>1052</v>
      </c>
      <c r="B43" s="70" t="s">
        <v>1053</v>
      </c>
      <c r="C43" s="71" t="s">
        <v>1054</v>
      </c>
      <c r="D43" s="70" t="s">
        <v>1055</v>
      </c>
      <c r="E43" s="70" t="s">
        <v>950</v>
      </c>
      <c r="F43" s="70" t="s">
        <v>1056</v>
      </c>
      <c r="G43" s="70" t="s">
        <v>1057</v>
      </c>
      <c r="H43" s="68">
        <v>4.2</v>
      </c>
      <c r="I43" s="70" t="s">
        <v>1058</v>
      </c>
      <c r="J43" s="70" t="s">
        <v>1059</v>
      </c>
      <c r="K43" s="70" t="s">
        <v>1060</v>
      </c>
      <c r="L43" s="70" t="s">
        <v>1061</v>
      </c>
      <c r="M43" s="70" t="s">
        <v>27</v>
      </c>
      <c r="N43" s="70" t="s">
        <v>1062</v>
      </c>
      <c r="O43" s="70" t="s">
        <v>1063</v>
      </c>
      <c r="P43" s="70" t="s">
        <v>1064</v>
      </c>
      <c r="Q43" s="70" t="s">
        <v>16</v>
      </c>
      <c r="R43" s="67">
        <v>46297.0</v>
      </c>
      <c r="S43" s="67">
        <v>46297.0</v>
      </c>
      <c r="T43" s="72" t="s">
        <v>280</v>
      </c>
      <c r="U43" s="73">
        <v>1.0</v>
      </c>
      <c r="V43" s="70" t="s">
        <v>59</v>
      </c>
      <c r="W43" s="70" t="s">
        <v>83</v>
      </c>
      <c r="X43" s="74" t="s">
        <v>1065</v>
      </c>
      <c r="Y43" s="70" t="s">
        <v>1069</v>
      </c>
      <c r="Z43" s="67">
        <v>46296.52584195602</v>
      </c>
      <c r="AA43" s="70" t="s">
        <v>1070</v>
      </c>
      <c r="AB43" s="70" t="s">
        <v>1071</v>
      </c>
      <c r="AC43" s="70" t="s">
        <v>1072</v>
      </c>
    </row>
    <row r="44">
      <c r="A44" s="64"/>
      <c r="B44" s="64"/>
      <c r="C44" s="64"/>
      <c r="D44" s="64"/>
      <c r="E44" s="64"/>
      <c r="F44" s="64"/>
      <c r="G44" s="64"/>
      <c r="H44" s="63"/>
      <c r="I44" s="64"/>
      <c r="J44" s="64"/>
      <c r="K44" s="64"/>
      <c r="L44" s="64"/>
      <c r="M44" s="64"/>
      <c r="N44" s="64"/>
      <c r="O44" s="64"/>
      <c r="P44" s="64"/>
      <c r="Q44" s="64"/>
      <c r="R44" s="65" t="str">
        <f>IF($A44="","",IFERROR(MINIFS(Candidates!$K$2:$K$2000,Candidates!$A$2:$A$2000,$A44),""))</f>
        <v/>
      </c>
      <c r="S44" s="65" t="str">
        <f>IF($A44="","",IFERROR(MAXIFS(Candidates!$AA$2:$AA$2000,Candidates!$A$2:$A$2000,$A44),""))</f>
        <v/>
      </c>
      <c r="T44" s="64" t="str">
        <f>IFERROR(__xludf.DUMMYFUNCTION("IF($A44="""","""",IFERROR(TEXTJOIN("", "",TRUE,UNIQUE(FILTER(Candidates!$B$2:$B$2000,Candidates!$A$2:$A$2000=$A44))),""""))"),"")</f>
        <v/>
      </c>
      <c r="U44" s="66" t="str">
        <f>IF($A44="","",COUNTIF(Candidates!$A$2:$A$2000,$A44))</f>
        <v/>
      </c>
      <c r="V44" s="64" t="str">
        <f>IFERROR(__xludf.DUMMYFUNCTION("IF($A44="""","""",IFERROR(INDEX(FILTER(Candidates!$S$2:$S$2000,Candidates!$A$2:$A$2000=$A44),COUNTIF(Candidates!$A$2:$A$2000,$A44)),""""))"),"")</f>
        <v/>
      </c>
      <c r="W44" s="64" t="str">
        <f>IFERROR(__xludf.DUMMYFUNCTION("IF($A44="""","""",IFERROR(INDEX(FILTER(Candidates!$T$2:$T$2000,Candidates!$A$2:$A$2000=$A44),COUNTIF(Candidates!$A$2:$A$2000,$A44)),""""))"),"")</f>
        <v/>
      </c>
      <c r="X44" s="64"/>
      <c r="Y44" s="64"/>
      <c r="Z44" s="65"/>
      <c r="AA44" s="65"/>
      <c r="AB44" s="65"/>
      <c r="AC44" s="65"/>
    </row>
    <row r="45">
      <c r="A45" s="64"/>
      <c r="B45" s="64"/>
      <c r="C45" s="64"/>
      <c r="D45" s="64"/>
      <c r="E45" s="64"/>
      <c r="F45" s="64"/>
      <c r="G45" s="64"/>
      <c r="H45" s="63"/>
      <c r="I45" s="64"/>
      <c r="J45" s="64"/>
      <c r="K45" s="64"/>
      <c r="L45" s="64"/>
      <c r="M45" s="64"/>
      <c r="N45" s="64"/>
      <c r="O45" s="64"/>
      <c r="P45" s="64"/>
      <c r="Q45" s="64"/>
      <c r="R45" s="65" t="str">
        <f>IF($A45="","",IFERROR(MINIFS(Candidates!$K$2:$K$2000,Candidates!$A$2:$A$2000,$A45),""))</f>
        <v/>
      </c>
      <c r="S45" s="65" t="str">
        <f>IF($A45="","",IFERROR(MAXIFS(Candidates!$AA$2:$AA$2000,Candidates!$A$2:$A$2000,$A45),""))</f>
        <v/>
      </c>
      <c r="T45" s="64" t="str">
        <f>IFERROR(__xludf.DUMMYFUNCTION("IF($A45="""","""",IFERROR(TEXTJOIN("", "",TRUE,UNIQUE(FILTER(Candidates!$B$2:$B$2000,Candidates!$A$2:$A$2000=$A45))),""""))"),"")</f>
        <v/>
      </c>
      <c r="U45" s="66" t="str">
        <f>IF($A45="","",COUNTIF(Candidates!$A$2:$A$2000,$A45))</f>
        <v/>
      </c>
      <c r="V45" s="64" t="str">
        <f>IFERROR(__xludf.DUMMYFUNCTION("IF($A45="""","""",IFERROR(INDEX(FILTER(Candidates!$S$2:$S$2000,Candidates!$A$2:$A$2000=$A45),COUNTIF(Candidates!$A$2:$A$2000,$A45)),""""))"),"")</f>
        <v/>
      </c>
      <c r="W45" s="64" t="str">
        <f>IFERROR(__xludf.DUMMYFUNCTION("IF($A45="""","""",IFERROR(INDEX(FILTER(Candidates!$T$2:$T$2000,Candidates!$A$2:$A$2000=$A45),COUNTIF(Candidates!$A$2:$A$2000,$A45)),""""))"),"")</f>
        <v/>
      </c>
      <c r="X45" s="64"/>
      <c r="Y45" s="64"/>
      <c r="Z45" s="65"/>
      <c r="AA45" s="65"/>
      <c r="AB45" s="65"/>
      <c r="AC45" s="65"/>
    </row>
    <row r="46">
      <c r="A46" s="64"/>
      <c r="B46" s="64"/>
      <c r="C46" s="64"/>
      <c r="D46" s="64"/>
      <c r="E46" s="64"/>
      <c r="F46" s="64"/>
      <c r="G46" s="64"/>
      <c r="H46" s="63"/>
      <c r="I46" s="64"/>
      <c r="J46" s="64"/>
      <c r="K46" s="64"/>
      <c r="L46" s="64"/>
      <c r="M46" s="64"/>
      <c r="N46" s="64"/>
      <c r="O46" s="64"/>
      <c r="P46" s="64"/>
      <c r="Q46" s="64"/>
      <c r="R46" s="65" t="str">
        <f>IF($A46="","",IFERROR(MINIFS(Candidates!$K$2:$K$2000,Candidates!$A$2:$A$2000,$A46),""))</f>
        <v/>
      </c>
      <c r="S46" s="65" t="str">
        <f>IF($A46="","",IFERROR(MAXIFS(Candidates!$AA$2:$AA$2000,Candidates!$A$2:$A$2000,$A46),""))</f>
        <v/>
      </c>
      <c r="T46" s="64" t="str">
        <f>IFERROR(__xludf.DUMMYFUNCTION("IF($A46="""","""",IFERROR(TEXTJOIN("", "",TRUE,UNIQUE(FILTER(Candidates!$B$2:$B$2000,Candidates!$A$2:$A$2000=$A46))),""""))"),"")</f>
        <v/>
      </c>
      <c r="U46" s="66" t="str">
        <f>IF($A46="","",COUNTIF(Candidates!$A$2:$A$2000,$A46))</f>
        <v/>
      </c>
      <c r="V46" s="64" t="str">
        <f>IFERROR(__xludf.DUMMYFUNCTION("IF($A46="""","""",IFERROR(INDEX(FILTER(Candidates!$S$2:$S$2000,Candidates!$A$2:$A$2000=$A46),COUNTIF(Candidates!$A$2:$A$2000,$A46)),""""))"),"")</f>
        <v/>
      </c>
      <c r="W46" s="64" t="str">
        <f>IFERROR(__xludf.DUMMYFUNCTION("IF($A46="""","""",IFERROR(INDEX(FILTER(Candidates!$T$2:$T$2000,Candidates!$A$2:$A$2000=$A46),COUNTIF(Candidates!$A$2:$A$2000,$A46)),""""))"),"")</f>
        <v/>
      </c>
      <c r="X46" s="64"/>
      <c r="Y46" s="64"/>
      <c r="Z46" s="65"/>
      <c r="AA46" s="65"/>
      <c r="AB46" s="65"/>
      <c r="AC46" s="65"/>
    </row>
    <row r="47">
      <c r="A47" s="64"/>
      <c r="B47" s="64"/>
      <c r="C47" s="64"/>
      <c r="D47" s="64"/>
      <c r="E47" s="64"/>
      <c r="F47" s="64"/>
      <c r="G47" s="64"/>
      <c r="H47" s="63"/>
      <c r="I47" s="64"/>
      <c r="J47" s="64"/>
      <c r="K47" s="64"/>
      <c r="L47" s="64"/>
      <c r="M47" s="64"/>
      <c r="N47" s="64"/>
      <c r="O47" s="64"/>
      <c r="P47" s="64"/>
      <c r="Q47" s="64"/>
      <c r="R47" s="65" t="str">
        <f>IF($A47="","",IFERROR(MINIFS(Candidates!$K$2:$K$2000,Candidates!$A$2:$A$2000,$A47),""))</f>
        <v/>
      </c>
      <c r="S47" s="65" t="str">
        <f>IF($A47="","",IFERROR(MAXIFS(Candidates!$AA$2:$AA$2000,Candidates!$A$2:$A$2000,$A47),""))</f>
        <v/>
      </c>
      <c r="T47" s="64" t="str">
        <f>IFERROR(__xludf.DUMMYFUNCTION("IF($A47="""","""",IFERROR(TEXTJOIN("", "",TRUE,UNIQUE(FILTER(Candidates!$B$2:$B$2000,Candidates!$A$2:$A$2000=$A47))),""""))"),"")</f>
        <v/>
      </c>
      <c r="U47" s="66" t="str">
        <f>IF($A47="","",COUNTIF(Candidates!$A$2:$A$2000,$A47))</f>
        <v/>
      </c>
      <c r="V47" s="64" t="str">
        <f>IFERROR(__xludf.DUMMYFUNCTION("IF($A47="""","""",IFERROR(INDEX(FILTER(Candidates!$S$2:$S$2000,Candidates!$A$2:$A$2000=$A47),COUNTIF(Candidates!$A$2:$A$2000,$A47)),""""))"),"")</f>
        <v/>
      </c>
      <c r="W47" s="64" t="str">
        <f>IFERROR(__xludf.DUMMYFUNCTION("IF($A47="""","""",IFERROR(INDEX(FILTER(Candidates!$T$2:$T$2000,Candidates!$A$2:$A$2000=$A47),COUNTIF(Candidates!$A$2:$A$2000,$A47)),""""))"),"")</f>
        <v/>
      </c>
      <c r="X47" s="64"/>
      <c r="Y47" s="64"/>
      <c r="Z47" s="65"/>
      <c r="AA47" s="65"/>
      <c r="AB47" s="65"/>
      <c r="AC47" s="65"/>
    </row>
    <row r="48">
      <c r="A48" s="64"/>
      <c r="B48" s="64"/>
      <c r="C48" s="64"/>
      <c r="D48" s="64"/>
      <c r="E48" s="64"/>
      <c r="F48" s="64"/>
      <c r="G48" s="64"/>
      <c r="H48" s="63"/>
      <c r="I48" s="64"/>
      <c r="J48" s="64"/>
      <c r="K48" s="64"/>
      <c r="L48" s="64"/>
      <c r="M48" s="64"/>
      <c r="N48" s="64"/>
      <c r="O48" s="64"/>
      <c r="P48" s="64"/>
      <c r="Q48" s="64"/>
      <c r="R48" s="65" t="str">
        <f>IF($A48="","",IFERROR(MINIFS(Candidates!$K$2:$K$2000,Candidates!$A$2:$A$2000,$A48),""))</f>
        <v/>
      </c>
      <c r="S48" s="65" t="str">
        <f>IF($A48="","",IFERROR(MAXIFS(Candidates!$AA$2:$AA$2000,Candidates!$A$2:$A$2000,$A48),""))</f>
        <v/>
      </c>
      <c r="T48" s="64" t="str">
        <f>IFERROR(__xludf.DUMMYFUNCTION("IF($A48="""","""",IFERROR(TEXTJOIN("", "",TRUE,UNIQUE(FILTER(Candidates!$B$2:$B$2000,Candidates!$A$2:$A$2000=$A48))),""""))"),"")</f>
        <v/>
      </c>
      <c r="U48" s="66" t="str">
        <f>IF($A48="","",COUNTIF(Candidates!$A$2:$A$2000,$A48))</f>
        <v/>
      </c>
      <c r="V48" s="64" t="str">
        <f>IFERROR(__xludf.DUMMYFUNCTION("IF($A48="""","""",IFERROR(INDEX(FILTER(Candidates!$S$2:$S$2000,Candidates!$A$2:$A$2000=$A48),COUNTIF(Candidates!$A$2:$A$2000,$A48)),""""))"),"")</f>
        <v/>
      </c>
      <c r="W48" s="64" t="str">
        <f>IFERROR(__xludf.DUMMYFUNCTION("IF($A48="""","""",IFERROR(INDEX(FILTER(Candidates!$T$2:$T$2000,Candidates!$A$2:$A$2000=$A48),COUNTIF(Candidates!$A$2:$A$2000,$A48)),""""))"),"")</f>
        <v/>
      </c>
      <c r="X48" s="64"/>
      <c r="Y48" s="64"/>
      <c r="Z48" s="65"/>
      <c r="AA48" s="65"/>
      <c r="AB48" s="65"/>
      <c r="AC48" s="65"/>
    </row>
    <row r="49">
      <c r="A49" s="64"/>
      <c r="B49" s="64"/>
      <c r="C49" s="64"/>
      <c r="D49" s="64"/>
      <c r="E49" s="64"/>
      <c r="F49" s="64"/>
      <c r="G49" s="64"/>
      <c r="H49" s="63"/>
      <c r="I49" s="64"/>
      <c r="J49" s="64"/>
      <c r="K49" s="64"/>
      <c r="L49" s="64"/>
      <c r="M49" s="64"/>
      <c r="N49" s="64"/>
      <c r="O49" s="64"/>
      <c r="P49" s="64"/>
      <c r="Q49" s="64"/>
      <c r="R49" s="65" t="str">
        <f>IF($A49="","",IFERROR(MINIFS(Candidates!$K$2:$K$2000,Candidates!$A$2:$A$2000,$A49),""))</f>
        <v/>
      </c>
      <c r="S49" s="65" t="str">
        <f>IF($A49="","",IFERROR(MAXIFS(Candidates!$AA$2:$AA$2000,Candidates!$A$2:$A$2000,$A49),""))</f>
        <v/>
      </c>
      <c r="T49" s="64" t="str">
        <f>IFERROR(__xludf.DUMMYFUNCTION("IF($A49="""","""",IFERROR(TEXTJOIN("", "",TRUE,UNIQUE(FILTER(Candidates!$B$2:$B$2000,Candidates!$A$2:$A$2000=$A49))),""""))"),"")</f>
        <v/>
      </c>
      <c r="U49" s="66" t="str">
        <f>IF($A49="","",COUNTIF(Candidates!$A$2:$A$2000,$A49))</f>
        <v/>
      </c>
      <c r="V49" s="64" t="str">
        <f>IFERROR(__xludf.DUMMYFUNCTION("IF($A49="""","""",IFERROR(INDEX(FILTER(Candidates!$S$2:$S$2000,Candidates!$A$2:$A$2000=$A49),COUNTIF(Candidates!$A$2:$A$2000,$A49)),""""))"),"")</f>
        <v/>
      </c>
      <c r="W49" s="64" t="str">
        <f>IFERROR(__xludf.DUMMYFUNCTION("IF($A49="""","""",IFERROR(INDEX(FILTER(Candidates!$T$2:$T$2000,Candidates!$A$2:$A$2000=$A49),COUNTIF(Candidates!$A$2:$A$2000,$A49)),""""))"),"")</f>
        <v/>
      </c>
      <c r="X49" s="64"/>
      <c r="Y49" s="64"/>
      <c r="Z49" s="65"/>
      <c r="AA49" s="65"/>
      <c r="AB49" s="65"/>
      <c r="AC49" s="65"/>
    </row>
    <row r="50">
      <c r="A50" s="64"/>
      <c r="B50" s="64"/>
      <c r="C50" s="64"/>
      <c r="D50" s="64"/>
      <c r="E50" s="64"/>
      <c r="F50" s="64"/>
      <c r="G50" s="64"/>
      <c r="H50" s="63"/>
      <c r="I50" s="64"/>
      <c r="J50" s="64"/>
      <c r="K50" s="64"/>
      <c r="L50" s="64"/>
      <c r="M50" s="64"/>
      <c r="N50" s="64"/>
      <c r="O50" s="64"/>
      <c r="P50" s="64"/>
      <c r="Q50" s="64"/>
      <c r="R50" s="65" t="str">
        <f>IF($A50="","",IFERROR(MINIFS(Candidates!$K$2:$K$2000,Candidates!$A$2:$A$2000,$A50),""))</f>
        <v/>
      </c>
      <c r="S50" s="65" t="str">
        <f>IF($A50="","",IFERROR(MAXIFS(Candidates!$AA$2:$AA$2000,Candidates!$A$2:$A$2000,$A50),""))</f>
        <v/>
      </c>
      <c r="T50" s="64" t="str">
        <f>IFERROR(__xludf.DUMMYFUNCTION("IF($A50="""","""",IFERROR(TEXTJOIN("", "",TRUE,UNIQUE(FILTER(Candidates!$B$2:$B$2000,Candidates!$A$2:$A$2000=$A50))),""""))"),"")</f>
        <v/>
      </c>
      <c r="U50" s="66" t="str">
        <f>IF($A50="","",COUNTIF(Candidates!$A$2:$A$2000,$A50))</f>
        <v/>
      </c>
      <c r="V50" s="64" t="str">
        <f>IFERROR(__xludf.DUMMYFUNCTION("IF($A50="""","""",IFERROR(INDEX(FILTER(Candidates!$S$2:$S$2000,Candidates!$A$2:$A$2000=$A50),COUNTIF(Candidates!$A$2:$A$2000,$A50)),""""))"),"")</f>
        <v/>
      </c>
      <c r="W50" s="64" t="str">
        <f>IFERROR(__xludf.DUMMYFUNCTION("IF($A50="""","""",IFERROR(INDEX(FILTER(Candidates!$T$2:$T$2000,Candidates!$A$2:$A$2000=$A50),COUNTIF(Candidates!$A$2:$A$2000,$A50)),""""))"),"")</f>
        <v/>
      </c>
      <c r="X50" s="64"/>
      <c r="Y50" s="64"/>
      <c r="Z50" s="65"/>
      <c r="AA50" s="65"/>
      <c r="AB50" s="65"/>
      <c r="AC50" s="65"/>
    </row>
    <row r="51">
      <c r="A51" s="64"/>
      <c r="B51" s="64"/>
      <c r="C51" s="64"/>
      <c r="D51" s="64"/>
      <c r="E51" s="64"/>
      <c r="F51" s="64"/>
      <c r="G51" s="64"/>
      <c r="H51" s="63"/>
      <c r="I51" s="64"/>
      <c r="J51" s="64"/>
      <c r="K51" s="64"/>
      <c r="L51" s="64"/>
      <c r="M51" s="64"/>
      <c r="N51" s="64"/>
      <c r="O51" s="64"/>
      <c r="P51" s="64"/>
      <c r="Q51" s="64"/>
      <c r="R51" s="65" t="str">
        <f>IF($A51="","",IFERROR(MINIFS(Candidates!$K$2:$K$2000,Candidates!$A$2:$A$2000,$A51),""))</f>
        <v/>
      </c>
      <c r="S51" s="65" t="str">
        <f>IF($A51="","",IFERROR(MAXIFS(Candidates!$AA$2:$AA$2000,Candidates!$A$2:$A$2000,$A51),""))</f>
        <v/>
      </c>
      <c r="T51" s="64" t="str">
        <f>IFERROR(__xludf.DUMMYFUNCTION("IF($A51="""","""",IFERROR(TEXTJOIN("", "",TRUE,UNIQUE(FILTER(Candidates!$B$2:$B$2000,Candidates!$A$2:$A$2000=$A51))),""""))"),"")</f>
        <v/>
      </c>
      <c r="U51" s="66" t="str">
        <f>IF($A51="","",COUNTIF(Candidates!$A$2:$A$2000,$A51))</f>
        <v/>
      </c>
      <c r="V51" s="64" t="str">
        <f>IFERROR(__xludf.DUMMYFUNCTION("IF($A51="""","""",IFERROR(INDEX(FILTER(Candidates!$S$2:$S$2000,Candidates!$A$2:$A$2000=$A51),COUNTIF(Candidates!$A$2:$A$2000,$A51)),""""))"),"")</f>
        <v/>
      </c>
      <c r="W51" s="64" t="str">
        <f>IFERROR(__xludf.DUMMYFUNCTION("IF($A51="""","""",IFERROR(INDEX(FILTER(Candidates!$T$2:$T$2000,Candidates!$A$2:$A$2000=$A51),COUNTIF(Candidates!$A$2:$A$2000,$A51)),""""))"),"")</f>
        <v/>
      </c>
      <c r="X51" s="64"/>
      <c r="Y51" s="64"/>
      <c r="Z51" s="65"/>
      <c r="AA51" s="65"/>
      <c r="AB51" s="65"/>
      <c r="AC51" s="65"/>
    </row>
    <row r="52">
      <c r="A52" s="64"/>
      <c r="B52" s="64"/>
      <c r="C52" s="64"/>
      <c r="D52" s="64"/>
      <c r="E52" s="64"/>
      <c r="F52" s="64"/>
      <c r="G52" s="64"/>
      <c r="H52" s="63"/>
      <c r="I52" s="64"/>
      <c r="J52" s="64"/>
      <c r="K52" s="64"/>
      <c r="L52" s="64"/>
      <c r="M52" s="64"/>
      <c r="N52" s="64"/>
      <c r="O52" s="64"/>
      <c r="P52" s="64"/>
      <c r="Q52" s="64"/>
      <c r="R52" s="65" t="str">
        <f>IF($A52="","",IFERROR(MINIFS(Candidates!$K$2:$K$2000,Candidates!$A$2:$A$2000,$A52),""))</f>
        <v/>
      </c>
      <c r="S52" s="65" t="str">
        <f>IF($A52="","",IFERROR(MAXIFS(Candidates!$AA$2:$AA$2000,Candidates!$A$2:$A$2000,$A52),""))</f>
        <v/>
      </c>
      <c r="T52" s="64" t="str">
        <f>IFERROR(__xludf.DUMMYFUNCTION("IF($A52="""","""",IFERROR(TEXTJOIN("", "",TRUE,UNIQUE(FILTER(Candidates!$B$2:$B$2000,Candidates!$A$2:$A$2000=$A52))),""""))"),"")</f>
        <v/>
      </c>
      <c r="U52" s="66" t="str">
        <f>IF($A52="","",COUNTIF(Candidates!$A$2:$A$2000,$A52))</f>
        <v/>
      </c>
      <c r="V52" s="64" t="str">
        <f>IFERROR(__xludf.DUMMYFUNCTION("IF($A52="""","""",IFERROR(INDEX(FILTER(Candidates!$S$2:$S$2000,Candidates!$A$2:$A$2000=$A52),COUNTIF(Candidates!$A$2:$A$2000,$A52)),""""))"),"")</f>
        <v/>
      </c>
      <c r="W52" s="64" t="str">
        <f>IFERROR(__xludf.DUMMYFUNCTION("IF($A52="""","""",IFERROR(INDEX(FILTER(Candidates!$T$2:$T$2000,Candidates!$A$2:$A$2000=$A52),COUNTIF(Candidates!$A$2:$A$2000,$A52)),""""))"),"")</f>
        <v/>
      </c>
      <c r="X52" s="64"/>
      <c r="Y52" s="64"/>
      <c r="Z52" s="65"/>
      <c r="AA52" s="65"/>
      <c r="AB52" s="65"/>
      <c r="AC52" s="65"/>
    </row>
    <row r="53">
      <c r="A53" s="64"/>
      <c r="B53" s="64"/>
      <c r="C53" s="64"/>
      <c r="D53" s="64"/>
      <c r="E53" s="64"/>
      <c r="F53" s="64"/>
      <c r="G53" s="64"/>
      <c r="H53" s="63"/>
      <c r="I53" s="64"/>
      <c r="J53" s="64"/>
      <c r="K53" s="64"/>
      <c r="L53" s="64"/>
      <c r="M53" s="64"/>
      <c r="N53" s="64"/>
      <c r="O53" s="64"/>
      <c r="P53" s="64"/>
      <c r="Q53" s="64"/>
      <c r="R53" s="65" t="str">
        <f>IF($A53="","",IFERROR(MINIFS(Candidates!$K$2:$K$2000,Candidates!$A$2:$A$2000,$A53),""))</f>
        <v/>
      </c>
      <c r="S53" s="65" t="str">
        <f>IF($A53="","",IFERROR(MAXIFS(Candidates!$AA$2:$AA$2000,Candidates!$A$2:$A$2000,$A53),""))</f>
        <v/>
      </c>
      <c r="T53" s="64" t="str">
        <f>IFERROR(__xludf.DUMMYFUNCTION("IF($A53="""","""",IFERROR(TEXTJOIN("", "",TRUE,UNIQUE(FILTER(Candidates!$B$2:$B$2000,Candidates!$A$2:$A$2000=$A53))),""""))"),"")</f>
        <v/>
      </c>
      <c r="U53" s="66" t="str">
        <f>IF($A53="","",COUNTIF(Candidates!$A$2:$A$2000,$A53))</f>
        <v/>
      </c>
      <c r="V53" s="64" t="str">
        <f>IFERROR(__xludf.DUMMYFUNCTION("IF($A53="""","""",IFERROR(INDEX(FILTER(Candidates!$S$2:$S$2000,Candidates!$A$2:$A$2000=$A53),COUNTIF(Candidates!$A$2:$A$2000,$A53)),""""))"),"")</f>
        <v/>
      </c>
      <c r="W53" s="64" t="str">
        <f>IFERROR(__xludf.DUMMYFUNCTION("IF($A53="""","""",IFERROR(INDEX(FILTER(Candidates!$T$2:$T$2000,Candidates!$A$2:$A$2000=$A53),COUNTIF(Candidates!$A$2:$A$2000,$A53)),""""))"),"")</f>
        <v/>
      </c>
      <c r="X53" s="64"/>
      <c r="Y53" s="64"/>
      <c r="Z53" s="65"/>
      <c r="AA53" s="65"/>
      <c r="AB53" s="65"/>
      <c r="AC53" s="65"/>
    </row>
    <row r="54">
      <c r="A54" s="64"/>
      <c r="B54" s="64"/>
      <c r="C54" s="64"/>
      <c r="D54" s="64"/>
      <c r="E54" s="64"/>
      <c r="F54" s="64"/>
      <c r="G54" s="64"/>
      <c r="H54" s="63"/>
      <c r="I54" s="64"/>
      <c r="J54" s="64"/>
      <c r="K54" s="64"/>
      <c r="L54" s="64"/>
      <c r="M54" s="64"/>
      <c r="N54" s="64"/>
      <c r="O54" s="64"/>
      <c r="P54" s="64"/>
      <c r="Q54" s="64"/>
      <c r="R54" s="65" t="str">
        <f>IF($A54="","",IFERROR(MINIFS(Candidates!$K$2:$K$2000,Candidates!$A$2:$A$2000,$A54),""))</f>
        <v/>
      </c>
      <c r="S54" s="65" t="str">
        <f>IF($A54="","",IFERROR(MAXIFS(Candidates!$AA$2:$AA$2000,Candidates!$A$2:$A$2000,$A54),""))</f>
        <v/>
      </c>
      <c r="T54" s="64" t="str">
        <f>IFERROR(__xludf.DUMMYFUNCTION("IF($A54="""","""",IFERROR(TEXTJOIN("", "",TRUE,UNIQUE(FILTER(Candidates!$B$2:$B$2000,Candidates!$A$2:$A$2000=$A54))),""""))"),"")</f>
        <v/>
      </c>
      <c r="U54" s="66" t="str">
        <f>IF($A54="","",COUNTIF(Candidates!$A$2:$A$2000,$A54))</f>
        <v/>
      </c>
      <c r="V54" s="64" t="str">
        <f>IFERROR(__xludf.DUMMYFUNCTION("IF($A54="""","""",IFERROR(INDEX(FILTER(Candidates!$S$2:$S$2000,Candidates!$A$2:$A$2000=$A54),COUNTIF(Candidates!$A$2:$A$2000,$A54)),""""))"),"")</f>
        <v/>
      </c>
      <c r="W54" s="64" t="str">
        <f>IFERROR(__xludf.DUMMYFUNCTION("IF($A54="""","""",IFERROR(INDEX(FILTER(Candidates!$T$2:$T$2000,Candidates!$A$2:$A$2000=$A54),COUNTIF(Candidates!$A$2:$A$2000,$A54)),""""))"),"")</f>
        <v/>
      </c>
      <c r="X54" s="64"/>
      <c r="Y54" s="64"/>
      <c r="Z54" s="65"/>
      <c r="AA54" s="65"/>
      <c r="AB54" s="65"/>
      <c r="AC54" s="65"/>
    </row>
    <row r="55">
      <c r="A55" s="64"/>
      <c r="B55" s="64"/>
      <c r="C55" s="64"/>
      <c r="D55" s="64"/>
      <c r="E55" s="64"/>
      <c r="F55" s="64"/>
      <c r="G55" s="64"/>
      <c r="H55" s="63"/>
      <c r="I55" s="64"/>
      <c r="J55" s="64"/>
      <c r="K55" s="64"/>
      <c r="L55" s="64"/>
      <c r="M55" s="64"/>
      <c r="N55" s="64"/>
      <c r="O55" s="64"/>
      <c r="P55" s="64"/>
      <c r="Q55" s="64"/>
      <c r="R55" s="65" t="str">
        <f>IF($A55="","",IFERROR(MINIFS(Candidates!$K$2:$K$2000,Candidates!$A$2:$A$2000,$A55),""))</f>
        <v/>
      </c>
      <c r="S55" s="65" t="str">
        <f>IF($A55="","",IFERROR(MAXIFS(Candidates!$AA$2:$AA$2000,Candidates!$A$2:$A$2000,$A55),""))</f>
        <v/>
      </c>
      <c r="T55" s="64" t="str">
        <f>IFERROR(__xludf.DUMMYFUNCTION("IF($A55="""","""",IFERROR(TEXTJOIN("", "",TRUE,UNIQUE(FILTER(Candidates!$B$2:$B$2000,Candidates!$A$2:$A$2000=$A55))),""""))"),"")</f>
        <v/>
      </c>
      <c r="U55" s="66" t="str">
        <f>IF($A55="","",COUNTIF(Candidates!$A$2:$A$2000,$A55))</f>
        <v/>
      </c>
      <c r="V55" s="64" t="str">
        <f>IFERROR(__xludf.DUMMYFUNCTION("IF($A55="""","""",IFERROR(INDEX(FILTER(Candidates!$S$2:$S$2000,Candidates!$A$2:$A$2000=$A55),COUNTIF(Candidates!$A$2:$A$2000,$A55)),""""))"),"")</f>
        <v/>
      </c>
      <c r="W55" s="64" t="str">
        <f>IFERROR(__xludf.DUMMYFUNCTION("IF($A55="""","""",IFERROR(INDEX(FILTER(Candidates!$T$2:$T$2000,Candidates!$A$2:$A$2000=$A55),COUNTIF(Candidates!$A$2:$A$2000,$A55)),""""))"),"")</f>
        <v/>
      </c>
      <c r="X55" s="64"/>
      <c r="Y55" s="64"/>
      <c r="Z55" s="65"/>
      <c r="AA55" s="65"/>
      <c r="AB55" s="65"/>
      <c r="AC55" s="65"/>
    </row>
    <row r="56">
      <c r="A56" s="64"/>
      <c r="B56" s="64"/>
      <c r="C56" s="64"/>
      <c r="D56" s="64"/>
      <c r="E56" s="64"/>
      <c r="F56" s="64"/>
      <c r="G56" s="64"/>
      <c r="H56" s="63"/>
      <c r="I56" s="64"/>
      <c r="J56" s="64"/>
      <c r="K56" s="64"/>
      <c r="L56" s="64"/>
      <c r="M56" s="64"/>
      <c r="N56" s="64"/>
      <c r="O56" s="64"/>
      <c r="P56" s="64"/>
      <c r="Q56" s="64"/>
      <c r="R56" s="65" t="str">
        <f>IF($A56="","",IFERROR(MINIFS(Candidates!$K$2:$K$2000,Candidates!$A$2:$A$2000,$A56),""))</f>
        <v/>
      </c>
      <c r="S56" s="65" t="str">
        <f>IF($A56="","",IFERROR(MAXIFS(Candidates!$AA$2:$AA$2000,Candidates!$A$2:$A$2000,$A56),""))</f>
        <v/>
      </c>
      <c r="T56" s="64" t="str">
        <f>IFERROR(__xludf.DUMMYFUNCTION("IF($A56="""","""",IFERROR(TEXTJOIN("", "",TRUE,UNIQUE(FILTER(Candidates!$B$2:$B$2000,Candidates!$A$2:$A$2000=$A56))),""""))"),"")</f>
        <v/>
      </c>
      <c r="U56" s="66" t="str">
        <f>IF($A56="","",COUNTIF(Candidates!$A$2:$A$2000,$A56))</f>
        <v/>
      </c>
      <c r="V56" s="64" t="str">
        <f>IFERROR(__xludf.DUMMYFUNCTION("IF($A56="""","""",IFERROR(INDEX(FILTER(Candidates!$S$2:$S$2000,Candidates!$A$2:$A$2000=$A56),COUNTIF(Candidates!$A$2:$A$2000,$A56)),""""))"),"")</f>
        <v/>
      </c>
      <c r="W56" s="64" t="str">
        <f>IFERROR(__xludf.DUMMYFUNCTION("IF($A56="""","""",IFERROR(INDEX(FILTER(Candidates!$T$2:$T$2000,Candidates!$A$2:$A$2000=$A56),COUNTIF(Candidates!$A$2:$A$2000,$A56)),""""))"),"")</f>
        <v/>
      </c>
      <c r="X56" s="64"/>
      <c r="Y56" s="64"/>
      <c r="Z56" s="65"/>
      <c r="AA56" s="65"/>
      <c r="AB56" s="65"/>
      <c r="AC56" s="65"/>
    </row>
    <row r="57">
      <c r="A57" s="64"/>
      <c r="B57" s="64"/>
      <c r="C57" s="64"/>
      <c r="D57" s="64"/>
      <c r="E57" s="64"/>
      <c r="F57" s="64"/>
      <c r="G57" s="64"/>
      <c r="H57" s="63"/>
      <c r="I57" s="64"/>
      <c r="J57" s="64"/>
      <c r="K57" s="64"/>
      <c r="L57" s="64"/>
      <c r="M57" s="64"/>
      <c r="N57" s="64"/>
      <c r="O57" s="64"/>
      <c r="P57" s="64"/>
      <c r="Q57" s="64"/>
      <c r="R57" s="65" t="str">
        <f>IF($A57="","",IFERROR(MINIFS(Candidates!$K$2:$K$2000,Candidates!$A$2:$A$2000,$A57),""))</f>
        <v/>
      </c>
      <c r="S57" s="65" t="str">
        <f>IF($A57="","",IFERROR(MAXIFS(Candidates!$AA$2:$AA$2000,Candidates!$A$2:$A$2000,$A57),""))</f>
        <v/>
      </c>
      <c r="T57" s="64" t="str">
        <f>IFERROR(__xludf.DUMMYFUNCTION("IF($A57="""","""",IFERROR(TEXTJOIN("", "",TRUE,UNIQUE(FILTER(Candidates!$B$2:$B$2000,Candidates!$A$2:$A$2000=$A57))),""""))"),"")</f>
        <v/>
      </c>
      <c r="U57" s="66" t="str">
        <f>IF($A57="","",COUNTIF(Candidates!$A$2:$A$2000,$A57))</f>
        <v/>
      </c>
      <c r="V57" s="64" t="str">
        <f>IFERROR(__xludf.DUMMYFUNCTION("IF($A57="""","""",IFERROR(INDEX(FILTER(Candidates!$S$2:$S$2000,Candidates!$A$2:$A$2000=$A57),COUNTIF(Candidates!$A$2:$A$2000,$A57)),""""))"),"")</f>
        <v/>
      </c>
      <c r="W57" s="64" t="str">
        <f>IFERROR(__xludf.DUMMYFUNCTION("IF($A57="""","""",IFERROR(INDEX(FILTER(Candidates!$T$2:$T$2000,Candidates!$A$2:$A$2000=$A57),COUNTIF(Candidates!$A$2:$A$2000,$A57)),""""))"),"")</f>
        <v/>
      </c>
      <c r="X57" s="64"/>
      <c r="Y57" s="64"/>
      <c r="Z57" s="65"/>
      <c r="AA57" s="65"/>
      <c r="AB57" s="65"/>
      <c r="AC57" s="65"/>
    </row>
    <row r="58">
      <c r="A58" s="64"/>
      <c r="B58" s="64"/>
      <c r="C58" s="64"/>
      <c r="D58" s="64"/>
      <c r="E58" s="64"/>
      <c r="F58" s="64"/>
      <c r="G58" s="64"/>
      <c r="H58" s="63"/>
      <c r="I58" s="64"/>
      <c r="J58" s="64"/>
      <c r="K58" s="64"/>
      <c r="L58" s="64"/>
      <c r="M58" s="64"/>
      <c r="N58" s="64"/>
      <c r="O58" s="64"/>
      <c r="P58" s="64"/>
      <c r="Q58" s="64"/>
      <c r="R58" s="65" t="str">
        <f>IF($A58="","",IFERROR(MINIFS(Candidates!$K$2:$K$2000,Candidates!$A$2:$A$2000,$A58),""))</f>
        <v/>
      </c>
      <c r="S58" s="65" t="str">
        <f>IF($A58="","",IFERROR(MAXIFS(Candidates!$AA$2:$AA$2000,Candidates!$A$2:$A$2000,$A58),""))</f>
        <v/>
      </c>
      <c r="T58" s="64" t="str">
        <f>IFERROR(__xludf.DUMMYFUNCTION("IF($A58="""","""",IFERROR(TEXTJOIN("", "",TRUE,UNIQUE(FILTER(Candidates!$B$2:$B$2000,Candidates!$A$2:$A$2000=$A58))),""""))"),"")</f>
        <v/>
      </c>
      <c r="U58" s="66" t="str">
        <f>IF($A58="","",COUNTIF(Candidates!$A$2:$A$2000,$A58))</f>
        <v/>
      </c>
      <c r="V58" s="64" t="str">
        <f>IFERROR(__xludf.DUMMYFUNCTION("IF($A58="""","""",IFERROR(INDEX(FILTER(Candidates!$S$2:$S$2000,Candidates!$A$2:$A$2000=$A58),COUNTIF(Candidates!$A$2:$A$2000,$A58)),""""))"),"")</f>
        <v/>
      </c>
      <c r="W58" s="64" t="str">
        <f>IFERROR(__xludf.DUMMYFUNCTION("IF($A58="""","""",IFERROR(INDEX(FILTER(Candidates!$T$2:$T$2000,Candidates!$A$2:$A$2000=$A58),COUNTIF(Candidates!$A$2:$A$2000,$A58)),""""))"),"")</f>
        <v/>
      </c>
      <c r="X58" s="64"/>
      <c r="Y58" s="64"/>
      <c r="Z58" s="65"/>
      <c r="AA58" s="65"/>
      <c r="AB58" s="65"/>
      <c r="AC58" s="65"/>
    </row>
    <row r="59">
      <c r="A59" s="64"/>
      <c r="B59" s="64"/>
      <c r="C59" s="64"/>
      <c r="D59" s="64"/>
      <c r="E59" s="64"/>
      <c r="F59" s="64"/>
      <c r="G59" s="64"/>
      <c r="H59" s="63"/>
      <c r="I59" s="64"/>
      <c r="J59" s="64"/>
      <c r="K59" s="64"/>
      <c r="L59" s="64"/>
      <c r="M59" s="64"/>
      <c r="N59" s="64"/>
      <c r="O59" s="64"/>
      <c r="P59" s="64"/>
      <c r="Q59" s="64"/>
      <c r="R59" s="65" t="str">
        <f>IF($A59="","",IFERROR(MINIFS(Candidates!$K$2:$K$2000,Candidates!$A$2:$A$2000,$A59),""))</f>
        <v/>
      </c>
      <c r="S59" s="65" t="str">
        <f>IF($A59="","",IFERROR(MAXIFS(Candidates!$AA$2:$AA$2000,Candidates!$A$2:$A$2000,$A59),""))</f>
        <v/>
      </c>
      <c r="T59" s="64" t="str">
        <f>IFERROR(__xludf.DUMMYFUNCTION("IF($A59="""","""",IFERROR(TEXTJOIN("", "",TRUE,UNIQUE(FILTER(Candidates!$B$2:$B$2000,Candidates!$A$2:$A$2000=$A59))),""""))"),"")</f>
        <v/>
      </c>
      <c r="U59" s="66" t="str">
        <f>IF($A59="","",COUNTIF(Candidates!$A$2:$A$2000,$A59))</f>
        <v/>
      </c>
      <c r="V59" s="64" t="str">
        <f>IFERROR(__xludf.DUMMYFUNCTION("IF($A59="""","""",IFERROR(INDEX(FILTER(Candidates!$S$2:$S$2000,Candidates!$A$2:$A$2000=$A59),COUNTIF(Candidates!$A$2:$A$2000,$A59)),""""))"),"")</f>
        <v/>
      </c>
      <c r="W59" s="64" t="str">
        <f>IFERROR(__xludf.DUMMYFUNCTION("IF($A59="""","""",IFERROR(INDEX(FILTER(Candidates!$T$2:$T$2000,Candidates!$A$2:$A$2000=$A59),COUNTIF(Candidates!$A$2:$A$2000,$A59)),""""))"),"")</f>
        <v/>
      </c>
      <c r="X59" s="64"/>
      <c r="Y59" s="64"/>
      <c r="Z59" s="65"/>
      <c r="AA59" s="65"/>
      <c r="AB59" s="65"/>
      <c r="AC59" s="65"/>
    </row>
    <row r="60">
      <c r="A60" s="64"/>
      <c r="B60" s="64"/>
      <c r="C60" s="64"/>
      <c r="D60" s="64"/>
      <c r="E60" s="64"/>
      <c r="F60" s="64"/>
      <c r="G60" s="64"/>
      <c r="H60" s="63"/>
      <c r="I60" s="64"/>
      <c r="J60" s="64"/>
      <c r="K60" s="64"/>
      <c r="L60" s="64"/>
      <c r="M60" s="64"/>
      <c r="N60" s="64"/>
      <c r="O60" s="64"/>
      <c r="P60" s="64"/>
      <c r="Q60" s="64"/>
      <c r="R60" s="65" t="str">
        <f>IF($A60="","",IFERROR(MINIFS(Candidates!$K$2:$K$2000,Candidates!$A$2:$A$2000,$A60),""))</f>
        <v/>
      </c>
      <c r="S60" s="65" t="str">
        <f>IF($A60="","",IFERROR(MAXIFS(Candidates!$AA$2:$AA$2000,Candidates!$A$2:$A$2000,$A60),""))</f>
        <v/>
      </c>
      <c r="T60" s="64" t="str">
        <f>IFERROR(__xludf.DUMMYFUNCTION("IF($A60="""","""",IFERROR(TEXTJOIN("", "",TRUE,UNIQUE(FILTER(Candidates!$B$2:$B$2000,Candidates!$A$2:$A$2000=$A60))),""""))"),"")</f>
        <v/>
      </c>
      <c r="U60" s="66" t="str">
        <f>IF($A60="","",COUNTIF(Candidates!$A$2:$A$2000,$A60))</f>
        <v/>
      </c>
      <c r="V60" s="64" t="str">
        <f>IFERROR(__xludf.DUMMYFUNCTION("IF($A60="""","""",IFERROR(INDEX(FILTER(Candidates!$S$2:$S$2000,Candidates!$A$2:$A$2000=$A60),COUNTIF(Candidates!$A$2:$A$2000,$A60)),""""))"),"")</f>
        <v/>
      </c>
      <c r="W60" s="64" t="str">
        <f>IFERROR(__xludf.DUMMYFUNCTION("IF($A60="""","""",IFERROR(INDEX(FILTER(Candidates!$T$2:$T$2000,Candidates!$A$2:$A$2000=$A60),COUNTIF(Candidates!$A$2:$A$2000,$A60)),""""))"),"")</f>
        <v/>
      </c>
      <c r="X60" s="64"/>
      <c r="Y60" s="64"/>
      <c r="Z60" s="65"/>
      <c r="AA60" s="65"/>
      <c r="AB60" s="65"/>
      <c r="AC60" s="65"/>
    </row>
    <row r="61">
      <c r="A61" s="64"/>
      <c r="B61" s="64"/>
      <c r="C61" s="64"/>
      <c r="D61" s="64"/>
      <c r="E61" s="64"/>
      <c r="F61" s="64"/>
      <c r="G61" s="64"/>
      <c r="H61" s="63"/>
      <c r="I61" s="64"/>
      <c r="J61" s="64"/>
      <c r="K61" s="64"/>
      <c r="L61" s="64"/>
      <c r="M61" s="64"/>
      <c r="N61" s="64"/>
      <c r="O61" s="64"/>
      <c r="P61" s="64"/>
      <c r="Q61" s="64"/>
      <c r="R61" s="65" t="str">
        <f>IF($A61="","",IFERROR(MINIFS(Candidates!$K$2:$K$2000,Candidates!$A$2:$A$2000,$A61),""))</f>
        <v/>
      </c>
      <c r="S61" s="65" t="str">
        <f>IF($A61="","",IFERROR(MAXIFS(Candidates!$AA$2:$AA$2000,Candidates!$A$2:$A$2000,$A61),""))</f>
        <v/>
      </c>
      <c r="T61" s="64" t="str">
        <f>IFERROR(__xludf.DUMMYFUNCTION("IF($A61="""","""",IFERROR(TEXTJOIN("", "",TRUE,UNIQUE(FILTER(Candidates!$B$2:$B$2000,Candidates!$A$2:$A$2000=$A61))),""""))"),"")</f>
        <v/>
      </c>
      <c r="U61" s="66" t="str">
        <f>IF($A61="","",COUNTIF(Candidates!$A$2:$A$2000,$A61))</f>
        <v/>
      </c>
      <c r="V61" s="64" t="str">
        <f>IFERROR(__xludf.DUMMYFUNCTION("IF($A61="""","""",IFERROR(INDEX(FILTER(Candidates!$S$2:$S$2000,Candidates!$A$2:$A$2000=$A61),COUNTIF(Candidates!$A$2:$A$2000,$A61)),""""))"),"")</f>
        <v/>
      </c>
      <c r="W61" s="64" t="str">
        <f>IFERROR(__xludf.DUMMYFUNCTION("IF($A61="""","""",IFERROR(INDEX(FILTER(Candidates!$T$2:$T$2000,Candidates!$A$2:$A$2000=$A61),COUNTIF(Candidates!$A$2:$A$2000,$A61)),""""))"),"")</f>
        <v/>
      </c>
      <c r="X61" s="64"/>
      <c r="Y61" s="64"/>
      <c r="Z61" s="65"/>
      <c r="AA61" s="65"/>
      <c r="AB61" s="65"/>
      <c r="AC61" s="65"/>
    </row>
    <row r="62">
      <c r="A62" s="64"/>
      <c r="B62" s="64"/>
      <c r="C62" s="64"/>
      <c r="D62" s="64"/>
      <c r="E62" s="64"/>
      <c r="F62" s="64"/>
      <c r="G62" s="64"/>
      <c r="H62" s="63"/>
      <c r="I62" s="64"/>
      <c r="J62" s="64"/>
      <c r="K62" s="64"/>
      <c r="L62" s="64"/>
      <c r="M62" s="64"/>
      <c r="N62" s="64"/>
      <c r="O62" s="64"/>
      <c r="P62" s="64"/>
      <c r="Q62" s="64"/>
      <c r="R62" s="65" t="str">
        <f>IF($A62="","",IFERROR(MINIFS(Candidates!$K$2:$K$2000,Candidates!$A$2:$A$2000,$A62),""))</f>
        <v/>
      </c>
      <c r="S62" s="65" t="str">
        <f>IF($A62="","",IFERROR(MAXIFS(Candidates!$AA$2:$AA$2000,Candidates!$A$2:$A$2000,$A62),""))</f>
        <v/>
      </c>
      <c r="T62" s="64" t="str">
        <f>IFERROR(__xludf.DUMMYFUNCTION("IF($A62="""","""",IFERROR(TEXTJOIN("", "",TRUE,UNIQUE(FILTER(Candidates!$B$2:$B$2000,Candidates!$A$2:$A$2000=$A62))),""""))"),"")</f>
        <v/>
      </c>
      <c r="U62" s="66" t="str">
        <f>IF($A62="","",COUNTIF(Candidates!$A$2:$A$2000,$A62))</f>
        <v/>
      </c>
      <c r="V62" s="64" t="str">
        <f>IFERROR(__xludf.DUMMYFUNCTION("IF($A62="""","""",IFERROR(INDEX(FILTER(Candidates!$S$2:$S$2000,Candidates!$A$2:$A$2000=$A62),COUNTIF(Candidates!$A$2:$A$2000,$A62)),""""))"),"")</f>
        <v/>
      </c>
      <c r="W62" s="64" t="str">
        <f>IFERROR(__xludf.DUMMYFUNCTION("IF($A62="""","""",IFERROR(INDEX(FILTER(Candidates!$T$2:$T$2000,Candidates!$A$2:$A$2000=$A62),COUNTIF(Candidates!$A$2:$A$2000,$A62)),""""))"),"")</f>
        <v/>
      </c>
      <c r="X62" s="64"/>
      <c r="Y62" s="64"/>
      <c r="Z62" s="65"/>
      <c r="AA62" s="65"/>
      <c r="AB62" s="65"/>
      <c r="AC62" s="65"/>
    </row>
    <row r="63">
      <c r="A63" s="64"/>
      <c r="B63" s="64"/>
      <c r="C63" s="64"/>
      <c r="D63" s="64"/>
      <c r="E63" s="64"/>
      <c r="F63" s="64"/>
      <c r="G63" s="64"/>
      <c r="H63" s="63"/>
      <c r="I63" s="64"/>
      <c r="J63" s="64"/>
      <c r="K63" s="64"/>
      <c r="L63" s="64"/>
      <c r="M63" s="64"/>
      <c r="N63" s="64"/>
      <c r="O63" s="64"/>
      <c r="P63" s="64"/>
      <c r="Q63" s="64"/>
      <c r="R63" s="65" t="str">
        <f>IF($A63="","",IFERROR(MINIFS(Candidates!$K$2:$K$2000,Candidates!$A$2:$A$2000,$A63),""))</f>
        <v/>
      </c>
      <c r="S63" s="65" t="str">
        <f>IF($A63="","",IFERROR(MAXIFS(Candidates!$AA$2:$AA$2000,Candidates!$A$2:$A$2000,$A63),""))</f>
        <v/>
      </c>
      <c r="T63" s="64" t="str">
        <f>IFERROR(__xludf.DUMMYFUNCTION("IF($A63="""","""",IFERROR(TEXTJOIN("", "",TRUE,UNIQUE(FILTER(Candidates!$B$2:$B$2000,Candidates!$A$2:$A$2000=$A63))),""""))"),"")</f>
        <v/>
      </c>
      <c r="U63" s="66" t="str">
        <f>IF($A63="","",COUNTIF(Candidates!$A$2:$A$2000,$A63))</f>
        <v/>
      </c>
      <c r="V63" s="64" t="str">
        <f>IFERROR(__xludf.DUMMYFUNCTION("IF($A63="""","""",IFERROR(INDEX(FILTER(Candidates!$S$2:$S$2000,Candidates!$A$2:$A$2000=$A63),COUNTIF(Candidates!$A$2:$A$2000,$A63)),""""))"),"")</f>
        <v/>
      </c>
      <c r="W63" s="64" t="str">
        <f>IFERROR(__xludf.DUMMYFUNCTION("IF($A63="""","""",IFERROR(INDEX(FILTER(Candidates!$T$2:$T$2000,Candidates!$A$2:$A$2000=$A63),COUNTIF(Candidates!$A$2:$A$2000,$A63)),""""))"),"")</f>
        <v/>
      </c>
      <c r="X63" s="64"/>
      <c r="Y63" s="64"/>
      <c r="Z63" s="65"/>
      <c r="AA63" s="65"/>
      <c r="AB63" s="65"/>
      <c r="AC63" s="65"/>
    </row>
    <row r="64">
      <c r="A64" s="64"/>
      <c r="B64" s="64"/>
      <c r="C64" s="64"/>
      <c r="D64" s="64"/>
      <c r="E64" s="64"/>
      <c r="F64" s="64"/>
      <c r="G64" s="64"/>
      <c r="H64" s="63"/>
      <c r="I64" s="64"/>
      <c r="J64" s="64"/>
      <c r="K64" s="64"/>
      <c r="L64" s="64"/>
      <c r="M64" s="64"/>
      <c r="N64" s="64"/>
      <c r="O64" s="64"/>
      <c r="P64" s="64"/>
      <c r="Q64" s="64"/>
      <c r="R64" s="65" t="str">
        <f>IF($A64="","",IFERROR(MINIFS(Candidates!$K$2:$K$2000,Candidates!$A$2:$A$2000,$A64),""))</f>
        <v/>
      </c>
      <c r="S64" s="65" t="str">
        <f>IF($A64="","",IFERROR(MAXIFS(Candidates!$AA$2:$AA$2000,Candidates!$A$2:$A$2000,$A64),""))</f>
        <v/>
      </c>
      <c r="T64" s="64" t="str">
        <f>IFERROR(__xludf.DUMMYFUNCTION("IF($A64="""","""",IFERROR(TEXTJOIN("", "",TRUE,UNIQUE(FILTER(Candidates!$B$2:$B$2000,Candidates!$A$2:$A$2000=$A64))),""""))"),"")</f>
        <v/>
      </c>
      <c r="U64" s="66" t="str">
        <f>IF($A64="","",COUNTIF(Candidates!$A$2:$A$2000,$A64))</f>
        <v/>
      </c>
      <c r="V64" s="64" t="str">
        <f>IFERROR(__xludf.DUMMYFUNCTION("IF($A64="""","""",IFERROR(INDEX(FILTER(Candidates!$S$2:$S$2000,Candidates!$A$2:$A$2000=$A64),COUNTIF(Candidates!$A$2:$A$2000,$A64)),""""))"),"")</f>
        <v/>
      </c>
      <c r="W64" s="64" t="str">
        <f>IFERROR(__xludf.DUMMYFUNCTION("IF($A64="""","""",IFERROR(INDEX(FILTER(Candidates!$T$2:$T$2000,Candidates!$A$2:$A$2000=$A64),COUNTIF(Candidates!$A$2:$A$2000,$A64)),""""))"),"")</f>
        <v/>
      </c>
      <c r="X64" s="64"/>
      <c r="Y64" s="64"/>
      <c r="Z64" s="65"/>
      <c r="AA64" s="65"/>
      <c r="AB64" s="65"/>
      <c r="AC64" s="65"/>
    </row>
    <row r="65">
      <c r="A65" s="64"/>
      <c r="B65" s="64"/>
      <c r="C65" s="64"/>
      <c r="D65" s="64"/>
      <c r="E65" s="64"/>
      <c r="F65" s="64"/>
      <c r="G65" s="64"/>
      <c r="H65" s="63"/>
      <c r="I65" s="64"/>
      <c r="J65" s="64"/>
      <c r="K65" s="64"/>
      <c r="L65" s="64"/>
      <c r="M65" s="64"/>
      <c r="N65" s="64"/>
      <c r="O65" s="64"/>
      <c r="P65" s="64"/>
      <c r="Q65" s="64"/>
      <c r="R65" s="65" t="str">
        <f>IF($A65="","",IFERROR(MINIFS(Candidates!$K$2:$K$2000,Candidates!$A$2:$A$2000,$A65),""))</f>
        <v/>
      </c>
      <c r="S65" s="65" t="str">
        <f>IF($A65="","",IFERROR(MAXIFS(Candidates!$AA$2:$AA$2000,Candidates!$A$2:$A$2000,$A65),""))</f>
        <v/>
      </c>
      <c r="T65" s="64" t="str">
        <f>IFERROR(__xludf.DUMMYFUNCTION("IF($A65="""","""",IFERROR(TEXTJOIN("", "",TRUE,UNIQUE(FILTER(Candidates!$B$2:$B$2000,Candidates!$A$2:$A$2000=$A65))),""""))"),"")</f>
        <v/>
      </c>
      <c r="U65" s="66" t="str">
        <f>IF($A65="","",COUNTIF(Candidates!$A$2:$A$2000,$A65))</f>
        <v/>
      </c>
      <c r="V65" s="64" t="str">
        <f>IFERROR(__xludf.DUMMYFUNCTION("IF($A65="""","""",IFERROR(INDEX(FILTER(Candidates!$S$2:$S$2000,Candidates!$A$2:$A$2000=$A65),COUNTIF(Candidates!$A$2:$A$2000,$A65)),""""))"),"")</f>
        <v/>
      </c>
      <c r="W65" s="64" t="str">
        <f>IFERROR(__xludf.DUMMYFUNCTION("IF($A65="""","""",IFERROR(INDEX(FILTER(Candidates!$T$2:$T$2000,Candidates!$A$2:$A$2000=$A65),COUNTIF(Candidates!$A$2:$A$2000,$A65)),""""))"),"")</f>
        <v/>
      </c>
      <c r="X65" s="64"/>
      <c r="Y65" s="64"/>
      <c r="Z65" s="65"/>
      <c r="AA65" s="65"/>
      <c r="AB65" s="65"/>
      <c r="AC65" s="65"/>
    </row>
    <row r="66">
      <c r="A66" s="64"/>
      <c r="B66" s="64"/>
      <c r="C66" s="64"/>
      <c r="D66" s="64"/>
      <c r="E66" s="64"/>
      <c r="F66" s="64"/>
      <c r="G66" s="64"/>
      <c r="H66" s="63"/>
      <c r="I66" s="64"/>
      <c r="J66" s="64"/>
      <c r="K66" s="64"/>
      <c r="L66" s="64"/>
      <c r="M66" s="64"/>
      <c r="N66" s="64"/>
      <c r="O66" s="64"/>
      <c r="P66" s="64"/>
      <c r="Q66" s="64"/>
      <c r="R66" s="65" t="str">
        <f>IF($A66="","",IFERROR(MINIFS(Candidates!$K$2:$K$2000,Candidates!$A$2:$A$2000,$A66),""))</f>
        <v/>
      </c>
      <c r="S66" s="65" t="str">
        <f>IF($A66="","",IFERROR(MAXIFS(Candidates!$AA$2:$AA$2000,Candidates!$A$2:$A$2000,$A66),""))</f>
        <v/>
      </c>
      <c r="T66" s="64" t="str">
        <f>IFERROR(__xludf.DUMMYFUNCTION("IF($A66="""","""",IFERROR(TEXTJOIN("", "",TRUE,UNIQUE(FILTER(Candidates!$B$2:$B$2000,Candidates!$A$2:$A$2000=$A66))),""""))"),"")</f>
        <v/>
      </c>
      <c r="U66" s="66" t="str">
        <f>IF($A66="","",COUNTIF(Candidates!$A$2:$A$2000,$A66))</f>
        <v/>
      </c>
      <c r="V66" s="64" t="str">
        <f>IFERROR(__xludf.DUMMYFUNCTION("IF($A66="""","""",IFERROR(INDEX(FILTER(Candidates!$S$2:$S$2000,Candidates!$A$2:$A$2000=$A66),COUNTIF(Candidates!$A$2:$A$2000,$A66)),""""))"),"")</f>
        <v/>
      </c>
      <c r="W66" s="64" t="str">
        <f>IFERROR(__xludf.DUMMYFUNCTION("IF($A66="""","""",IFERROR(INDEX(FILTER(Candidates!$T$2:$T$2000,Candidates!$A$2:$A$2000=$A66),COUNTIF(Candidates!$A$2:$A$2000,$A66)),""""))"),"")</f>
        <v/>
      </c>
      <c r="X66" s="64"/>
      <c r="Y66" s="64"/>
      <c r="Z66" s="65"/>
      <c r="AA66" s="65"/>
      <c r="AB66" s="65"/>
      <c r="AC66" s="65"/>
    </row>
    <row r="67">
      <c r="A67" s="64"/>
      <c r="B67" s="64"/>
      <c r="C67" s="64"/>
      <c r="D67" s="64"/>
      <c r="E67" s="64"/>
      <c r="F67" s="64"/>
      <c r="G67" s="64"/>
      <c r="H67" s="63"/>
      <c r="I67" s="64"/>
      <c r="J67" s="64"/>
      <c r="K67" s="64"/>
      <c r="L67" s="64"/>
      <c r="M67" s="64"/>
      <c r="N67" s="64"/>
      <c r="O67" s="64"/>
      <c r="P67" s="64"/>
      <c r="Q67" s="64"/>
      <c r="R67" s="65" t="str">
        <f>IF($A67="","",IFERROR(MINIFS(Candidates!$K$2:$K$2000,Candidates!$A$2:$A$2000,$A67),""))</f>
        <v/>
      </c>
      <c r="S67" s="65" t="str">
        <f>IF($A67="","",IFERROR(MAXIFS(Candidates!$AA$2:$AA$2000,Candidates!$A$2:$A$2000,$A67),""))</f>
        <v/>
      </c>
      <c r="T67" s="64" t="str">
        <f>IFERROR(__xludf.DUMMYFUNCTION("IF($A67="""","""",IFERROR(TEXTJOIN("", "",TRUE,UNIQUE(FILTER(Candidates!$B$2:$B$2000,Candidates!$A$2:$A$2000=$A67))),""""))"),"")</f>
        <v/>
      </c>
      <c r="U67" s="66" t="str">
        <f>IF($A67="","",COUNTIF(Candidates!$A$2:$A$2000,$A67))</f>
        <v/>
      </c>
      <c r="V67" s="64" t="str">
        <f>IFERROR(__xludf.DUMMYFUNCTION("IF($A67="""","""",IFERROR(INDEX(FILTER(Candidates!$S$2:$S$2000,Candidates!$A$2:$A$2000=$A67),COUNTIF(Candidates!$A$2:$A$2000,$A67)),""""))"),"")</f>
        <v/>
      </c>
      <c r="W67" s="64" t="str">
        <f>IFERROR(__xludf.DUMMYFUNCTION("IF($A67="""","""",IFERROR(INDEX(FILTER(Candidates!$T$2:$T$2000,Candidates!$A$2:$A$2000=$A67),COUNTIF(Candidates!$A$2:$A$2000,$A67)),""""))"),"")</f>
        <v/>
      </c>
      <c r="X67" s="64"/>
      <c r="Y67" s="64"/>
      <c r="Z67" s="65"/>
      <c r="AA67" s="65"/>
      <c r="AB67" s="65"/>
      <c r="AC67" s="65"/>
    </row>
    <row r="68">
      <c r="A68" s="64"/>
      <c r="B68" s="64"/>
      <c r="C68" s="64"/>
      <c r="D68" s="64"/>
      <c r="E68" s="64"/>
      <c r="F68" s="64"/>
      <c r="G68" s="64"/>
      <c r="H68" s="63"/>
      <c r="I68" s="64"/>
      <c r="J68" s="64"/>
      <c r="K68" s="64"/>
      <c r="L68" s="64"/>
      <c r="M68" s="64"/>
      <c r="N68" s="64"/>
      <c r="O68" s="64"/>
      <c r="P68" s="64"/>
      <c r="Q68" s="64"/>
      <c r="R68" s="65" t="str">
        <f>IF($A68="","",IFERROR(MINIFS(Candidates!$K$2:$K$2000,Candidates!$A$2:$A$2000,$A68),""))</f>
        <v/>
      </c>
      <c r="S68" s="65" t="str">
        <f>IF($A68="","",IFERROR(MAXIFS(Candidates!$AA$2:$AA$2000,Candidates!$A$2:$A$2000,$A68),""))</f>
        <v/>
      </c>
      <c r="T68" s="64" t="str">
        <f>IFERROR(__xludf.DUMMYFUNCTION("IF($A68="""","""",IFERROR(TEXTJOIN("", "",TRUE,UNIQUE(FILTER(Candidates!$B$2:$B$2000,Candidates!$A$2:$A$2000=$A68))),""""))"),"")</f>
        <v/>
      </c>
      <c r="U68" s="66" t="str">
        <f>IF($A68="","",COUNTIF(Candidates!$A$2:$A$2000,$A68))</f>
        <v/>
      </c>
      <c r="V68" s="64" t="str">
        <f>IFERROR(__xludf.DUMMYFUNCTION("IF($A68="""","""",IFERROR(INDEX(FILTER(Candidates!$S$2:$S$2000,Candidates!$A$2:$A$2000=$A68),COUNTIF(Candidates!$A$2:$A$2000,$A68)),""""))"),"")</f>
        <v/>
      </c>
      <c r="W68" s="64" t="str">
        <f>IFERROR(__xludf.DUMMYFUNCTION("IF($A68="""","""",IFERROR(INDEX(FILTER(Candidates!$T$2:$T$2000,Candidates!$A$2:$A$2000=$A68),COUNTIF(Candidates!$A$2:$A$2000,$A68)),""""))"),"")</f>
        <v/>
      </c>
      <c r="X68" s="64"/>
      <c r="Y68" s="64"/>
      <c r="Z68" s="65"/>
      <c r="AA68" s="65"/>
      <c r="AB68" s="65"/>
      <c r="AC68" s="65"/>
    </row>
    <row r="69">
      <c r="A69" s="64"/>
      <c r="B69" s="64"/>
      <c r="C69" s="64"/>
      <c r="D69" s="64"/>
      <c r="E69" s="64"/>
      <c r="F69" s="64"/>
      <c r="G69" s="64"/>
      <c r="H69" s="63"/>
      <c r="I69" s="64"/>
      <c r="J69" s="64"/>
      <c r="K69" s="64"/>
      <c r="L69" s="64"/>
      <c r="M69" s="64"/>
      <c r="N69" s="64"/>
      <c r="O69" s="64"/>
      <c r="P69" s="64"/>
      <c r="Q69" s="64"/>
      <c r="R69" s="65" t="str">
        <f>IF($A69="","",IFERROR(MINIFS(Candidates!$K$2:$K$2000,Candidates!$A$2:$A$2000,$A69),""))</f>
        <v/>
      </c>
      <c r="S69" s="65" t="str">
        <f>IF($A69="","",IFERROR(MAXIFS(Candidates!$AA$2:$AA$2000,Candidates!$A$2:$A$2000,$A69),""))</f>
        <v/>
      </c>
      <c r="T69" s="64" t="str">
        <f>IFERROR(__xludf.DUMMYFUNCTION("IF($A69="""","""",IFERROR(TEXTJOIN("", "",TRUE,UNIQUE(FILTER(Candidates!$B$2:$B$2000,Candidates!$A$2:$A$2000=$A69))),""""))"),"")</f>
        <v/>
      </c>
      <c r="U69" s="66" t="str">
        <f>IF($A69="","",COUNTIF(Candidates!$A$2:$A$2000,$A69))</f>
        <v/>
      </c>
      <c r="V69" s="64" t="str">
        <f>IFERROR(__xludf.DUMMYFUNCTION("IF($A69="""","""",IFERROR(INDEX(FILTER(Candidates!$S$2:$S$2000,Candidates!$A$2:$A$2000=$A69),COUNTIF(Candidates!$A$2:$A$2000,$A69)),""""))"),"")</f>
        <v/>
      </c>
      <c r="W69" s="64" t="str">
        <f>IFERROR(__xludf.DUMMYFUNCTION("IF($A69="""","""",IFERROR(INDEX(FILTER(Candidates!$T$2:$T$2000,Candidates!$A$2:$A$2000=$A69),COUNTIF(Candidates!$A$2:$A$2000,$A69)),""""))"),"")</f>
        <v/>
      </c>
      <c r="X69" s="64"/>
      <c r="Y69" s="64"/>
      <c r="Z69" s="65"/>
      <c r="AA69" s="65"/>
      <c r="AB69" s="65"/>
      <c r="AC69" s="65"/>
    </row>
    <row r="70">
      <c r="A70" s="64"/>
      <c r="B70" s="64"/>
      <c r="C70" s="64"/>
      <c r="D70" s="64"/>
      <c r="E70" s="64"/>
      <c r="F70" s="64"/>
      <c r="G70" s="64"/>
      <c r="H70" s="63"/>
      <c r="I70" s="64"/>
      <c r="J70" s="64"/>
      <c r="K70" s="64"/>
      <c r="L70" s="64"/>
      <c r="M70" s="64"/>
      <c r="N70" s="64"/>
      <c r="O70" s="64"/>
      <c r="P70" s="64"/>
      <c r="Q70" s="64"/>
      <c r="R70" s="65" t="str">
        <f>IF($A70="","",IFERROR(MINIFS(Candidates!$K$2:$K$2000,Candidates!$A$2:$A$2000,$A70),""))</f>
        <v/>
      </c>
      <c r="S70" s="65" t="str">
        <f>IF($A70="","",IFERROR(MAXIFS(Candidates!$AA$2:$AA$2000,Candidates!$A$2:$A$2000,$A70),""))</f>
        <v/>
      </c>
      <c r="T70" s="64" t="str">
        <f>IFERROR(__xludf.DUMMYFUNCTION("IF($A70="""","""",IFERROR(TEXTJOIN("", "",TRUE,UNIQUE(FILTER(Candidates!$B$2:$B$2000,Candidates!$A$2:$A$2000=$A70))),""""))"),"")</f>
        <v/>
      </c>
      <c r="U70" s="66" t="str">
        <f>IF($A70="","",COUNTIF(Candidates!$A$2:$A$2000,$A70))</f>
        <v/>
      </c>
      <c r="V70" s="64" t="str">
        <f>IFERROR(__xludf.DUMMYFUNCTION("IF($A70="""","""",IFERROR(INDEX(FILTER(Candidates!$S$2:$S$2000,Candidates!$A$2:$A$2000=$A70),COUNTIF(Candidates!$A$2:$A$2000,$A70)),""""))"),"")</f>
        <v/>
      </c>
      <c r="W70" s="64" t="str">
        <f>IFERROR(__xludf.DUMMYFUNCTION("IF($A70="""","""",IFERROR(INDEX(FILTER(Candidates!$T$2:$T$2000,Candidates!$A$2:$A$2000=$A70),COUNTIF(Candidates!$A$2:$A$2000,$A70)),""""))"),"")</f>
        <v/>
      </c>
      <c r="X70" s="64"/>
      <c r="Y70" s="64"/>
      <c r="Z70" s="65"/>
      <c r="AA70" s="65"/>
      <c r="AB70" s="65"/>
      <c r="AC70" s="65"/>
    </row>
    <row r="71">
      <c r="A71" s="64"/>
      <c r="B71" s="64"/>
      <c r="C71" s="64"/>
      <c r="D71" s="64"/>
      <c r="E71" s="64"/>
      <c r="F71" s="64"/>
      <c r="G71" s="64"/>
      <c r="H71" s="63"/>
      <c r="I71" s="64"/>
      <c r="J71" s="64"/>
      <c r="K71" s="64"/>
      <c r="L71" s="64"/>
      <c r="M71" s="64"/>
      <c r="N71" s="64"/>
      <c r="O71" s="64"/>
      <c r="P71" s="64"/>
      <c r="Q71" s="64"/>
      <c r="R71" s="65" t="str">
        <f>IF($A71="","",IFERROR(MINIFS(Candidates!$K$2:$K$2000,Candidates!$A$2:$A$2000,$A71),""))</f>
        <v/>
      </c>
      <c r="S71" s="65" t="str">
        <f>IF($A71="","",IFERROR(MAXIFS(Candidates!$AA$2:$AA$2000,Candidates!$A$2:$A$2000,$A71),""))</f>
        <v/>
      </c>
      <c r="T71" s="64" t="str">
        <f>IFERROR(__xludf.DUMMYFUNCTION("IF($A71="""","""",IFERROR(TEXTJOIN("", "",TRUE,UNIQUE(FILTER(Candidates!$B$2:$B$2000,Candidates!$A$2:$A$2000=$A71))),""""))"),"")</f>
        <v/>
      </c>
      <c r="U71" s="66" t="str">
        <f>IF($A71="","",COUNTIF(Candidates!$A$2:$A$2000,$A71))</f>
        <v/>
      </c>
      <c r="V71" s="64" t="str">
        <f>IFERROR(__xludf.DUMMYFUNCTION("IF($A71="""","""",IFERROR(INDEX(FILTER(Candidates!$S$2:$S$2000,Candidates!$A$2:$A$2000=$A71),COUNTIF(Candidates!$A$2:$A$2000,$A71)),""""))"),"")</f>
        <v/>
      </c>
      <c r="W71" s="64" t="str">
        <f>IFERROR(__xludf.DUMMYFUNCTION("IF($A71="""","""",IFERROR(INDEX(FILTER(Candidates!$T$2:$T$2000,Candidates!$A$2:$A$2000=$A71),COUNTIF(Candidates!$A$2:$A$2000,$A71)),""""))"),"")</f>
        <v/>
      </c>
      <c r="X71" s="64"/>
      <c r="Y71" s="64"/>
      <c r="Z71" s="65"/>
      <c r="AA71" s="65"/>
      <c r="AB71" s="65"/>
      <c r="AC71" s="65"/>
    </row>
    <row r="72">
      <c r="A72" s="64"/>
      <c r="B72" s="64"/>
      <c r="C72" s="64"/>
      <c r="D72" s="64"/>
      <c r="E72" s="64"/>
      <c r="F72" s="64"/>
      <c r="G72" s="64"/>
      <c r="H72" s="63"/>
      <c r="I72" s="64"/>
      <c r="J72" s="64"/>
      <c r="K72" s="64"/>
      <c r="L72" s="64"/>
      <c r="M72" s="64"/>
      <c r="N72" s="64"/>
      <c r="O72" s="64"/>
      <c r="P72" s="64"/>
      <c r="Q72" s="64"/>
      <c r="R72" s="65" t="str">
        <f>IF($A72="","",IFERROR(MINIFS(Candidates!$K$2:$K$2000,Candidates!$A$2:$A$2000,$A72),""))</f>
        <v/>
      </c>
      <c r="S72" s="65" t="str">
        <f>IF($A72="","",IFERROR(MAXIFS(Candidates!$AA$2:$AA$2000,Candidates!$A$2:$A$2000,$A72),""))</f>
        <v/>
      </c>
      <c r="T72" s="64" t="str">
        <f>IFERROR(__xludf.DUMMYFUNCTION("IF($A72="""","""",IFERROR(TEXTJOIN("", "",TRUE,UNIQUE(FILTER(Candidates!$B$2:$B$2000,Candidates!$A$2:$A$2000=$A72))),""""))"),"")</f>
        <v/>
      </c>
      <c r="U72" s="66" t="str">
        <f>IF($A72="","",COUNTIF(Candidates!$A$2:$A$2000,$A72))</f>
        <v/>
      </c>
      <c r="V72" s="64" t="str">
        <f>IFERROR(__xludf.DUMMYFUNCTION("IF($A72="""","""",IFERROR(INDEX(FILTER(Candidates!$S$2:$S$2000,Candidates!$A$2:$A$2000=$A72),COUNTIF(Candidates!$A$2:$A$2000,$A72)),""""))"),"")</f>
        <v/>
      </c>
      <c r="W72" s="64" t="str">
        <f>IFERROR(__xludf.DUMMYFUNCTION("IF($A72="""","""",IFERROR(INDEX(FILTER(Candidates!$T$2:$T$2000,Candidates!$A$2:$A$2000=$A72),COUNTIF(Candidates!$A$2:$A$2000,$A72)),""""))"),"")</f>
        <v/>
      </c>
      <c r="X72" s="64"/>
      <c r="Y72" s="64"/>
      <c r="Z72" s="65"/>
      <c r="AA72" s="65"/>
      <c r="AB72" s="65"/>
      <c r="AC72" s="65"/>
    </row>
    <row r="73">
      <c r="A73" s="64"/>
      <c r="B73" s="64"/>
      <c r="C73" s="64"/>
      <c r="D73" s="64"/>
      <c r="E73" s="64"/>
      <c r="F73" s="64"/>
      <c r="G73" s="64"/>
      <c r="H73" s="63"/>
      <c r="I73" s="64"/>
      <c r="J73" s="64"/>
      <c r="K73" s="64"/>
      <c r="L73" s="64"/>
      <c r="M73" s="64"/>
      <c r="N73" s="64"/>
      <c r="O73" s="64"/>
      <c r="P73" s="64"/>
      <c r="Q73" s="64"/>
      <c r="R73" s="65" t="str">
        <f>IF($A73="","",IFERROR(MINIFS(Candidates!$K$2:$K$2000,Candidates!$A$2:$A$2000,$A73),""))</f>
        <v/>
      </c>
      <c r="S73" s="65" t="str">
        <f>IF($A73="","",IFERROR(MAXIFS(Candidates!$AA$2:$AA$2000,Candidates!$A$2:$A$2000,$A73),""))</f>
        <v/>
      </c>
      <c r="T73" s="64" t="str">
        <f>IFERROR(__xludf.DUMMYFUNCTION("IF($A73="""","""",IFERROR(TEXTJOIN("", "",TRUE,UNIQUE(FILTER(Candidates!$B$2:$B$2000,Candidates!$A$2:$A$2000=$A73))),""""))"),"")</f>
        <v/>
      </c>
      <c r="U73" s="66" t="str">
        <f>IF($A73="","",COUNTIF(Candidates!$A$2:$A$2000,$A73))</f>
        <v/>
      </c>
      <c r="V73" s="64" t="str">
        <f>IFERROR(__xludf.DUMMYFUNCTION("IF($A73="""","""",IFERROR(INDEX(FILTER(Candidates!$S$2:$S$2000,Candidates!$A$2:$A$2000=$A73),COUNTIF(Candidates!$A$2:$A$2000,$A73)),""""))"),"")</f>
        <v/>
      </c>
      <c r="W73" s="64" t="str">
        <f>IFERROR(__xludf.DUMMYFUNCTION("IF($A73="""","""",IFERROR(INDEX(FILTER(Candidates!$T$2:$T$2000,Candidates!$A$2:$A$2000=$A73),COUNTIF(Candidates!$A$2:$A$2000,$A73)),""""))"),"")</f>
        <v/>
      </c>
      <c r="X73" s="64"/>
      <c r="Y73" s="64"/>
      <c r="Z73" s="65"/>
      <c r="AA73" s="65"/>
      <c r="AB73" s="65"/>
      <c r="AC73" s="65"/>
    </row>
    <row r="74">
      <c r="A74" s="64"/>
      <c r="B74" s="64"/>
      <c r="C74" s="64"/>
      <c r="D74" s="64"/>
      <c r="E74" s="64"/>
      <c r="F74" s="64"/>
      <c r="G74" s="64"/>
      <c r="H74" s="63"/>
      <c r="I74" s="64"/>
      <c r="J74" s="64"/>
      <c r="K74" s="64"/>
      <c r="L74" s="64"/>
      <c r="M74" s="64"/>
      <c r="N74" s="64"/>
      <c r="O74" s="64"/>
      <c r="P74" s="64"/>
      <c r="Q74" s="64"/>
      <c r="R74" s="65" t="str">
        <f>IF($A74="","",IFERROR(MINIFS(Candidates!$K$2:$K$2000,Candidates!$A$2:$A$2000,$A74),""))</f>
        <v/>
      </c>
      <c r="S74" s="65" t="str">
        <f>IF($A74="","",IFERROR(MAXIFS(Candidates!$AA$2:$AA$2000,Candidates!$A$2:$A$2000,$A74),""))</f>
        <v/>
      </c>
      <c r="T74" s="64" t="str">
        <f>IFERROR(__xludf.DUMMYFUNCTION("IF($A74="""","""",IFERROR(TEXTJOIN("", "",TRUE,UNIQUE(FILTER(Candidates!$B$2:$B$2000,Candidates!$A$2:$A$2000=$A74))),""""))"),"")</f>
        <v/>
      </c>
      <c r="U74" s="66" t="str">
        <f>IF($A74="","",COUNTIF(Candidates!$A$2:$A$2000,$A74))</f>
        <v/>
      </c>
      <c r="V74" s="64" t="str">
        <f>IFERROR(__xludf.DUMMYFUNCTION("IF($A74="""","""",IFERROR(INDEX(FILTER(Candidates!$S$2:$S$2000,Candidates!$A$2:$A$2000=$A74),COUNTIF(Candidates!$A$2:$A$2000,$A74)),""""))"),"")</f>
        <v/>
      </c>
      <c r="W74" s="64" t="str">
        <f>IFERROR(__xludf.DUMMYFUNCTION("IF($A74="""","""",IFERROR(INDEX(FILTER(Candidates!$T$2:$T$2000,Candidates!$A$2:$A$2000=$A74),COUNTIF(Candidates!$A$2:$A$2000,$A74)),""""))"),"")</f>
        <v/>
      </c>
      <c r="X74" s="64"/>
      <c r="Y74" s="64"/>
      <c r="Z74" s="65"/>
      <c r="AA74" s="65"/>
      <c r="AB74" s="65"/>
      <c r="AC74" s="65"/>
    </row>
    <row r="75">
      <c r="A75" s="64"/>
      <c r="B75" s="64"/>
      <c r="C75" s="64"/>
      <c r="D75" s="64"/>
      <c r="E75" s="64"/>
      <c r="F75" s="64"/>
      <c r="G75" s="64"/>
      <c r="H75" s="63"/>
      <c r="I75" s="64"/>
      <c r="J75" s="64"/>
      <c r="K75" s="64"/>
      <c r="L75" s="64"/>
      <c r="M75" s="64"/>
      <c r="N75" s="64"/>
      <c r="O75" s="64"/>
      <c r="P75" s="64"/>
      <c r="Q75" s="64"/>
      <c r="R75" s="65" t="str">
        <f>IF($A75="","",IFERROR(MINIFS(Candidates!$K$2:$K$2000,Candidates!$A$2:$A$2000,$A75),""))</f>
        <v/>
      </c>
      <c r="S75" s="65" t="str">
        <f>IF($A75="","",IFERROR(MAXIFS(Candidates!$AA$2:$AA$2000,Candidates!$A$2:$A$2000,$A75),""))</f>
        <v/>
      </c>
      <c r="T75" s="64" t="str">
        <f>IFERROR(__xludf.DUMMYFUNCTION("IF($A75="""","""",IFERROR(TEXTJOIN("", "",TRUE,UNIQUE(FILTER(Candidates!$B$2:$B$2000,Candidates!$A$2:$A$2000=$A75))),""""))"),"")</f>
        <v/>
      </c>
      <c r="U75" s="66" t="str">
        <f>IF($A75="","",COUNTIF(Candidates!$A$2:$A$2000,$A75))</f>
        <v/>
      </c>
      <c r="V75" s="64" t="str">
        <f>IFERROR(__xludf.DUMMYFUNCTION("IF($A75="""","""",IFERROR(INDEX(FILTER(Candidates!$S$2:$S$2000,Candidates!$A$2:$A$2000=$A75),COUNTIF(Candidates!$A$2:$A$2000,$A75)),""""))"),"")</f>
        <v/>
      </c>
      <c r="W75" s="64" t="str">
        <f>IFERROR(__xludf.DUMMYFUNCTION("IF($A75="""","""",IFERROR(INDEX(FILTER(Candidates!$T$2:$T$2000,Candidates!$A$2:$A$2000=$A75),COUNTIF(Candidates!$A$2:$A$2000,$A75)),""""))"),"")</f>
        <v/>
      </c>
      <c r="X75" s="64"/>
      <c r="Y75" s="64"/>
      <c r="Z75" s="65"/>
      <c r="AA75" s="65"/>
      <c r="AB75" s="65"/>
      <c r="AC75" s="65"/>
    </row>
    <row r="76">
      <c r="A76" s="64"/>
      <c r="B76" s="64"/>
      <c r="C76" s="64"/>
      <c r="D76" s="64"/>
      <c r="E76" s="64"/>
      <c r="F76" s="64"/>
      <c r="G76" s="64"/>
      <c r="H76" s="63"/>
      <c r="I76" s="64"/>
      <c r="J76" s="64"/>
      <c r="K76" s="64"/>
      <c r="L76" s="64"/>
      <c r="M76" s="64"/>
      <c r="N76" s="64"/>
      <c r="O76" s="64"/>
      <c r="P76" s="64"/>
      <c r="Q76" s="64"/>
      <c r="R76" s="65" t="str">
        <f>IF($A76="","",IFERROR(MINIFS(Candidates!$K$2:$K$2000,Candidates!$A$2:$A$2000,$A76),""))</f>
        <v/>
      </c>
      <c r="S76" s="65" t="str">
        <f>IF($A76="","",IFERROR(MAXIFS(Candidates!$AA$2:$AA$2000,Candidates!$A$2:$A$2000,$A76),""))</f>
        <v/>
      </c>
      <c r="T76" s="64" t="str">
        <f>IFERROR(__xludf.DUMMYFUNCTION("IF($A76="""","""",IFERROR(TEXTJOIN("", "",TRUE,UNIQUE(FILTER(Candidates!$B$2:$B$2000,Candidates!$A$2:$A$2000=$A76))),""""))"),"")</f>
        <v/>
      </c>
      <c r="U76" s="66" t="str">
        <f>IF($A76="","",COUNTIF(Candidates!$A$2:$A$2000,$A76))</f>
        <v/>
      </c>
      <c r="V76" s="64" t="str">
        <f>IFERROR(__xludf.DUMMYFUNCTION("IF($A76="""","""",IFERROR(INDEX(FILTER(Candidates!$S$2:$S$2000,Candidates!$A$2:$A$2000=$A76),COUNTIF(Candidates!$A$2:$A$2000,$A76)),""""))"),"")</f>
        <v/>
      </c>
      <c r="W76" s="64" t="str">
        <f>IFERROR(__xludf.DUMMYFUNCTION("IF($A76="""","""",IFERROR(INDEX(FILTER(Candidates!$T$2:$T$2000,Candidates!$A$2:$A$2000=$A76),COUNTIF(Candidates!$A$2:$A$2000,$A76)),""""))"),"")</f>
        <v/>
      </c>
      <c r="X76" s="64"/>
      <c r="Y76" s="64"/>
      <c r="Z76" s="65"/>
      <c r="AA76" s="65"/>
      <c r="AB76" s="65"/>
      <c r="AC76" s="65"/>
    </row>
    <row r="77">
      <c r="A77" s="64"/>
      <c r="B77" s="64"/>
      <c r="C77" s="64"/>
      <c r="D77" s="64"/>
      <c r="E77" s="64"/>
      <c r="F77" s="64"/>
      <c r="G77" s="64"/>
      <c r="H77" s="63"/>
      <c r="I77" s="64"/>
      <c r="J77" s="64"/>
      <c r="K77" s="64"/>
      <c r="L77" s="64"/>
      <c r="M77" s="64"/>
      <c r="N77" s="64"/>
      <c r="O77" s="64"/>
      <c r="P77" s="64"/>
      <c r="Q77" s="64"/>
      <c r="R77" s="65" t="str">
        <f>IF($A77="","",IFERROR(MINIFS(Candidates!$K$2:$K$2000,Candidates!$A$2:$A$2000,$A77),""))</f>
        <v/>
      </c>
      <c r="S77" s="65" t="str">
        <f>IF($A77="","",IFERROR(MAXIFS(Candidates!$AA$2:$AA$2000,Candidates!$A$2:$A$2000,$A77),""))</f>
        <v/>
      </c>
      <c r="T77" s="64" t="str">
        <f>IFERROR(__xludf.DUMMYFUNCTION("IF($A77="""","""",IFERROR(TEXTJOIN("", "",TRUE,UNIQUE(FILTER(Candidates!$B$2:$B$2000,Candidates!$A$2:$A$2000=$A77))),""""))"),"")</f>
        <v/>
      </c>
      <c r="U77" s="66" t="str">
        <f>IF($A77="","",COUNTIF(Candidates!$A$2:$A$2000,$A77))</f>
        <v/>
      </c>
      <c r="V77" s="64" t="str">
        <f>IFERROR(__xludf.DUMMYFUNCTION("IF($A77="""","""",IFERROR(INDEX(FILTER(Candidates!$S$2:$S$2000,Candidates!$A$2:$A$2000=$A77),COUNTIF(Candidates!$A$2:$A$2000,$A77)),""""))"),"")</f>
        <v/>
      </c>
      <c r="W77" s="64" t="str">
        <f>IFERROR(__xludf.DUMMYFUNCTION("IF($A77="""","""",IFERROR(INDEX(FILTER(Candidates!$T$2:$T$2000,Candidates!$A$2:$A$2000=$A77),COUNTIF(Candidates!$A$2:$A$2000,$A77)),""""))"),"")</f>
        <v/>
      </c>
      <c r="X77" s="64"/>
      <c r="Y77" s="64"/>
      <c r="Z77" s="65"/>
      <c r="AA77" s="65"/>
      <c r="AB77" s="65"/>
      <c r="AC77" s="65"/>
    </row>
    <row r="78">
      <c r="A78" s="64"/>
      <c r="B78" s="64"/>
      <c r="C78" s="64"/>
      <c r="D78" s="64"/>
      <c r="E78" s="64"/>
      <c r="F78" s="64"/>
      <c r="G78" s="64"/>
      <c r="H78" s="63"/>
      <c r="I78" s="64"/>
      <c r="J78" s="64"/>
      <c r="K78" s="64"/>
      <c r="L78" s="64"/>
      <c r="M78" s="64"/>
      <c r="N78" s="64"/>
      <c r="O78" s="64"/>
      <c r="P78" s="64"/>
      <c r="Q78" s="64"/>
      <c r="R78" s="65" t="str">
        <f>IF($A78="","",IFERROR(MINIFS(Candidates!$K$2:$K$2000,Candidates!$A$2:$A$2000,$A78),""))</f>
        <v/>
      </c>
      <c r="S78" s="65" t="str">
        <f>IF($A78="","",IFERROR(MAXIFS(Candidates!$AA$2:$AA$2000,Candidates!$A$2:$A$2000,$A78),""))</f>
        <v/>
      </c>
      <c r="T78" s="64" t="str">
        <f>IFERROR(__xludf.DUMMYFUNCTION("IF($A78="""","""",IFERROR(TEXTJOIN("", "",TRUE,UNIQUE(FILTER(Candidates!$B$2:$B$2000,Candidates!$A$2:$A$2000=$A78))),""""))"),"")</f>
        <v/>
      </c>
      <c r="U78" s="66" t="str">
        <f>IF($A78="","",COUNTIF(Candidates!$A$2:$A$2000,$A78))</f>
        <v/>
      </c>
      <c r="V78" s="64" t="str">
        <f>IFERROR(__xludf.DUMMYFUNCTION("IF($A78="""","""",IFERROR(INDEX(FILTER(Candidates!$S$2:$S$2000,Candidates!$A$2:$A$2000=$A78),COUNTIF(Candidates!$A$2:$A$2000,$A78)),""""))"),"")</f>
        <v/>
      </c>
      <c r="W78" s="64" t="str">
        <f>IFERROR(__xludf.DUMMYFUNCTION("IF($A78="""","""",IFERROR(INDEX(FILTER(Candidates!$T$2:$T$2000,Candidates!$A$2:$A$2000=$A78),COUNTIF(Candidates!$A$2:$A$2000,$A78)),""""))"),"")</f>
        <v/>
      </c>
      <c r="X78" s="64"/>
      <c r="Y78" s="64"/>
      <c r="Z78" s="65"/>
      <c r="AA78" s="65"/>
      <c r="AB78" s="65"/>
      <c r="AC78" s="65"/>
    </row>
    <row r="79">
      <c r="A79" s="64"/>
      <c r="B79" s="64"/>
      <c r="C79" s="64"/>
      <c r="D79" s="64"/>
      <c r="E79" s="64"/>
      <c r="F79" s="64"/>
      <c r="G79" s="64"/>
      <c r="H79" s="63"/>
      <c r="I79" s="64"/>
      <c r="J79" s="64"/>
      <c r="K79" s="64"/>
      <c r="L79" s="64"/>
      <c r="M79" s="64"/>
      <c r="N79" s="64"/>
      <c r="O79" s="64"/>
      <c r="P79" s="64"/>
      <c r="Q79" s="64"/>
      <c r="R79" s="65" t="str">
        <f>IF($A79="","",IFERROR(MINIFS(Candidates!$K$2:$K$2000,Candidates!$A$2:$A$2000,$A79),""))</f>
        <v/>
      </c>
      <c r="S79" s="65" t="str">
        <f>IF($A79="","",IFERROR(MAXIFS(Candidates!$AA$2:$AA$2000,Candidates!$A$2:$A$2000,$A79),""))</f>
        <v/>
      </c>
      <c r="T79" s="64" t="str">
        <f>IFERROR(__xludf.DUMMYFUNCTION("IF($A79="""","""",IFERROR(TEXTJOIN("", "",TRUE,UNIQUE(FILTER(Candidates!$B$2:$B$2000,Candidates!$A$2:$A$2000=$A79))),""""))"),"")</f>
        <v/>
      </c>
      <c r="U79" s="66" t="str">
        <f>IF($A79="","",COUNTIF(Candidates!$A$2:$A$2000,$A79))</f>
        <v/>
      </c>
      <c r="V79" s="64" t="str">
        <f>IFERROR(__xludf.DUMMYFUNCTION("IF($A79="""","""",IFERROR(INDEX(FILTER(Candidates!$S$2:$S$2000,Candidates!$A$2:$A$2000=$A79),COUNTIF(Candidates!$A$2:$A$2000,$A79)),""""))"),"")</f>
        <v/>
      </c>
      <c r="W79" s="64" t="str">
        <f>IFERROR(__xludf.DUMMYFUNCTION("IF($A79="""","""",IFERROR(INDEX(FILTER(Candidates!$T$2:$T$2000,Candidates!$A$2:$A$2000=$A79),COUNTIF(Candidates!$A$2:$A$2000,$A79)),""""))"),"")</f>
        <v/>
      </c>
      <c r="X79" s="64"/>
      <c r="Y79" s="64"/>
      <c r="Z79" s="65"/>
      <c r="AA79" s="65"/>
      <c r="AB79" s="65"/>
      <c r="AC79" s="65"/>
    </row>
    <row r="80">
      <c r="A80" s="64"/>
      <c r="B80" s="64"/>
      <c r="C80" s="64"/>
      <c r="D80" s="64"/>
      <c r="E80" s="64"/>
      <c r="F80" s="64"/>
      <c r="G80" s="64"/>
      <c r="H80" s="63"/>
      <c r="I80" s="64"/>
      <c r="J80" s="64"/>
      <c r="K80" s="64"/>
      <c r="L80" s="64"/>
      <c r="M80" s="64"/>
      <c r="N80" s="64"/>
      <c r="O80" s="64"/>
      <c r="P80" s="64"/>
      <c r="Q80" s="64"/>
      <c r="R80" s="65" t="str">
        <f>IF($A80="","",IFERROR(MINIFS(Candidates!$K$2:$K$2000,Candidates!$A$2:$A$2000,$A80),""))</f>
        <v/>
      </c>
      <c r="S80" s="65" t="str">
        <f>IF($A80="","",IFERROR(MAXIFS(Candidates!$AA$2:$AA$2000,Candidates!$A$2:$A$2000,$A80),""))</f>
        <v/>
      </c>
      <c r="T80" s="64" t="str">
        <f>IFERROR(__xludf.DUMMYFUNCTION("IF($A80="""","""",IFERROR(TEXTJOIN("", "",TRUE,UNIQUE(FILTER(Candidates!$B$2:$B$2000,Candidates!$A$2:$A$2000=$A80))),""""))"),"")</f>
        <v/>
      </c>
      <c r="U80" s="66" t="str">
        <f>IF($A80="","",COUNTIF(Candidates!$A$2:$A$2000,$A80))</f>
        <v/>
      </c>
      <c r="V80" s="64" t="str">
        <f>IFERROR(__xludf.DUMMYFUNCTION("IF($A80="""","""",IFERROR(INDEX(FILTER(Candidates!$S$2:$S$2000,Candidates!$A$2:$A$2000=$A80),COUNTIF(Candidates!$A$2:$A$2000,$A80)),""""))"),"")</f>
        <v/>
      </c>
      <c r="W80" s="64" t="str">
        <f>IFERROR(__xludf.DUMMYFUNCTION("IF($A80="""","""",IFERROR(INDEX(FILTER(Candidates!$T$2:$T$2000,Candidates!$A$2:$A$2000=$A80),COUNTIF(Candidates!$A$2:$A$2000,$A80)),""""))"),"")</f>
        <v/>
      </c>
      <c r="X80" s="64"/>
      <c r="Y80" s="64"/>
      <c r="Z80" s="65"/>
      <c r="AA80" s="65"/>
      <c r="AB80" s="65"/>
      <c r="AC80" s="65"/>
    </row>
    <row r="81">
      <c r="A81" s="64"/>
      <c r="B81" s="64"/>
      <c r="C81" s="64"/>
      <c r="D81" s="64"/>
      <c r="E81" s="64"/>
      <c r="F81" s="64"/>
      <c r="G81" s="64"/>
      <c r="H81" s="63"/>
      <c r="I81" s="64"/>
      <c r="J81" s="64"/>
      <c r="K81" s="64"/>
      <c r="L81" s="64"/>
      <c r="M81" s="64"/>
      <c r="N81" s="64"/>
      <c r="O81" s="64"/>
      <c r="P81" s="64"/>
      <c r="Q81" s="64"/>
      <c r="R81" s="65" t="str">
        <f>IF($A81="","",IFERROR(MINIFS(Candidates!$K$2:$K$2000,Candidates!$A$2:$A$2000,$A81),""))</f>
        <v/>
      </c>
      <c r="S81" s="65" t="str">
        <f>IF($A81="","",IFERROR(MAXIFS(Candidates!$AA$2:$AA$2000,Candidates!$A$2:$A$2000,$A81),""))</f>
        <v/>
      </c>
      <c r="T81" s="64" t="str">
        <f>IFERROR(__xludf.DUMMYFUNCTION("IF($A81="""","""",IFERROR(TEXTJOIN("", "",TRUE,UNIQUE(FILTER(Candidates!$B$2:$B$2000,Candidates!$A$2:$A$2000=$A81))),""""))"),"")</f>
        <v/>
      </c>
      <c r="U81" s="66" t="str">
        <f>IF($A81="","",COUNTIF(Candidates!$A$2:$A$2000,$A81))</f>
        <v/>
      </c>
      <c r="V81" s="64" t="str">
        <f>IFERROR(__xludf.DUMMYFUNCTION("IF($A81="""","""",IFERROR(INDEX(FILTER(Candidates!$S$2:$S$2000,Candidates!$A$2:$A$2000=$A81),COUNTIF(Candidates!$A$2:$A$2000,$A81)),""""))"),"")</f>
        <v/>
      </c>
      <c r="W81" s="64" t="str">
        <f>IFERROR(__xludf.DUMMYFUNCTION("IF($A81="""","""",IFERROR(INDEX(FILTER(Candidates!$T$2:$T$2000,Candidates!$A$2:$A$2000=$A81),COUNTIF(Candidates!$A$2:$A$2000,$A81)),""""))"),"")</f>
        <v/>
      </c>
      <c r="X81" s="64"/>
      <c r="Y81" s="64"/>
      <c r="Z81" s="65"/>
      <c r="AA81" s="65"/>
      <c r="AB81" s="65"/>
      <c r="AC81" s="65"/>
    </row>
    <row r="82">
      <c r="A82" s="64"/>
      <c r="B82" s="64"/>
      <c r="C82" s="64"/>
      <c r="D82" s="64"/>
      <c r="E82" s="64"/>
      <c r="F82" s="64"/>
      <c r="G82" s="64"/>
      <c r="H82" s="63"/>
      <c r="I82" s="64"/>
      <c r="J82" s="64"/>
      <c r="K82" s="64"/>
      <c r="L82" s="64"/>
      <c r="M82" s="64"/>
      <c r="N82" s="64"/>
      <c r="O82" s="64"/>
      <c r="P82" s="64"/>
      <c r="Q82" s="64"/>
      <c r="R82" s="65" t="str">
        <f>IF($A82="","",IFERROR(MINIFS(Candidates!$K$2:$K$2000,Candidates!$A$2:$A$2000,$A82),""))</f>
        <v/>
      </c>
      <c r="S82" s="65" t="str">
        <f>IF($A82="","",IFERROR(MAXIFS(Candidates!$AA$2:$AA$2000,Candidates!$A$2:$A$2000,$A82),""))</f>
        <v/>
      </c>
      <c r="T82" s="64" t="str">
        <f>IFERROR(__xludf.DUMMYFUNCTION("IF($A82="""","""",IFERROR(TEXTJOIN("", "",TRUE,UNIQUE(FILTER(Candidates!$B$2:$B$2000,Candidates!$A$2:$A$2000=$A82))),""""))"),"")</f>
        <v/>
      </c>
      <c r="U82" s="66" t="str">
        <f>IF($A82="","",COUNTIF(Candidates!$A$2:$A$2000,$A82))</f>
        <v/>
      </c>
      <c r="V82" s="64" t="str">
        <f>IFERROR(__xludf.DUMMYFUNCTION("IF($A82="""","""",IFERROR(INDEX(FILTER(Candidates!$S$2:$S$2000,Candidates!$A$2:$A$2000=$A82),COUNTIF(Candidates!$A$2:$A$2000,$A82)),""""))"),"")</f>
        <v/>
      </c>
      <c r="W82" s="64" t="str">
        <f>IFERROR(__xludf.DUMMYFUNCTION("IF($A82="""","""",IFERROR(INDEX(FILTER(Candidates!$T$2:$T$2000,Candidates!$A$2:$A$2000=$A82),COUNTIF(Candidates!$A$2:$A$2000,$A82)),""""))"),"")</f>
        <v/>
      </c>
      <c r="X82" s="64"/>
      <c r="Y82" s="64"/>
      <c r="Z82" s="65"/>
      <c r="AA82" s="65"/>
      <c r="AB82" s="65"/>
      <c r="AC82" s="65"/>
    </row>
    <row r="83">
      <c r="A83" s="64"/>
      <c r="B83" s="64"/>
      <c r="C83" s="64"/>
      <c r="D83" s="64"/>
      <c r="E83" s="64"/>
      <c r="F83" s="64"/>
      <c r="G83" s="64"/>
      <c r="H83" s="63"/>
      <c r="I83" s="64"/>
      <c r="J83" s="64"/>
      <c r="K83" s="64"/>
      <c r="L83" s="64"/>
      <c r="M83" s="64"/>
      <c r="N83" s="64"/>
      <c r="O83" s="64"/>
      <c r="P83" s="64"/>
      <c r="Q83" s="64"/>
      <c r="R83" s="65" t="str">
        <f>IF($A83="","",IFERROR(MINIFS(Candidates!$K$2:$K$2000,Candidates!$A$2:$A$2000,$A83),""))</f>
        <v/>
      </c>
      <c r="S83" s="65" t="str">
        <f>IF($A83="","",IFERROR(MAXIFS(Candidates!$AA$2:$AA$2000,Candidates!$A$2:$A$2000,$A83),""))</f>
        <v/>
      </c>
      <c r="T83" s="64" t="str">
        <f>IFERROR(__xludf.DUMMYFUNCTION("IF($A83="""","""",IFERROR(TEXTJOIN("", "",TRUE,UNIQUE(FILTER(Candidates!$B$2:$B$2000,Candidates!$A$2:$A$2000=$A83))),""""))"),"")</f>
        <v/>
      </c>
      <c r="U83" s="66" t="str">
        <f>IF($A83="","",COUNTIF(Candidates!$A$2:$A$2000,$A83))</f>
        <v/>
      </c>
      <c r="V83" s="64" t="str">
        <f>IFERROR(__xludf.DUMMYFUNCTION("IF($A83="""","""",IFERROR(INDEX(FILTER(Candidates!$S$2:$S$2000,Candidates!$A$2:$A$2000=$A83),COUNTIF(Candidates!$A$2:$A$2000,$A83)),""""))"),"")</f>
        <v/>
      </c>
      <c r="W83" s="64" t="str">
        <f>IFERROR(__xludf.DUMMYFUNCTION("IF($A83="""","""",IFERROR(INDEX(FILTER(Candidates!$T$2:$T$2000,Candidates!$A$2:$A$2000=$A83),COUNTIF(Candidates!$A$2:$A$2000,$A83)),""""))"),"")</f>
        <v/>
      </c>
      <c r="X83" s="64"/>
      <c r="Y83" s="64"/>
      <c r="Z83" s="65"/>
      <c r="AA83" s="65"/>
      <c r="AB83" s="65"/>
      <c r="AC83" s="65"/>
    </row>
    <row r="84">
      <c r="A84" s="64"/>
      <c r="B84" s="64"/>
      <c r="C84" s="64"/>
      <c r="D84" s="64"/>
      <c r="E84" s="64"/>
      <c r="F84" s="64"/>
      <c r="G84" s="64"/>
      <c r="H84" s="63"/>
      <c r="I84" s="64"/>
      <c r="J84" s="64"/>
      <c r="K84" s="64"/>
      <c r="L84" s="64"/>
      <c r="M84" s="64"/>
      <c r="N84" s="64"/>
      <c r="O84" s="64"/>
      <c r="P84" s="64"/>
      <c r="Q84" s="64"/>
      <c r="R84" s="65" t="str">
        <f>IF($A84="","",IFERROR(MINIFS(Candidates!$K$2:$K$2000,Candidates!$A$2:$A$2000,$A84),""))</f>
        <v/>
      </c>
      <c r="S84" s="65" t="str">
        <f>IF($A84="","",IFERROR(MAXIFS(Candidates!$AA$2:$AA$2000,Candidates!$A$2:$A$2000,$A84),""))</f>
        <v/>
      </c>
      <c r="T84" s="64" t="str">
        <f>IFERROR(__xludf.DUMMYFUNCTION("IF($A84="""","""",IFERROR(TEXTJOIN("", "",TRUE,UNIQUE(FILTER(Candidates!$B$2:$B$2000,Candidates!$A$2:$A$2000=$A84))),""""))"),"")</f>
        <v/>
      </c>
      <c r="U84" s="66" t="str">
        <f>IF($A84="","",COUNTIF(Candidates!$A$2:$A$2000,$A84))</f>
        <v/>
      </c>
      <c r="V84" s="64" t="str">
        <f>IFERROR(__xludf.DUMMYFUNCTION("IF($A84="""","""",IFERROR(INDEX(FILTER(Candidates!$S$2:$S$2000,Candidates!$A$2:$A$2000=$A84),COUNTIF(Candidates!$A$2:$A$2000,$A84)),""""))"),"")</f>
        <v/>
      </c>
      <c r="W84" s="64" t="str">
        <f>IFERROR(__xludf.DUMMYFUNCTION("IF($A84="""","""",IFERROR(INDEX(FILTER(Candidates!$T$2:$T$2000,Candidates!$A$2:$A$2000=$A84),COUNTIF(Candidates!$A$2:$A$2000,$A84)),""""))"),"")</f>
        <v/>
      </c>
      <c r="X84" s="64"/>
      <c r="Y84" s="64"/>
      <c r="Z84" s="65"/>
      <c r="AA84" s="65"/>
      <c r="AB84" s="65"/>
      <c r="AC84" s="65"/>
    </row>
    <row r="85">
      <c r="A85" s="64"/>
      <c r="B85" s="64"/>
      <c r="C85" s="64"/>
      <c r="D85" s="64"/>
      <c r="E85" s="64"/>
      <c r="F85" s="64"/>
      <c r="G85" s="64"/>
      <c r="H85" s="63"/>
      <c r="I85" s="64"/>
      <c r="J85" s="64"/>
      <c r="K85" s="64"/>
      <c r="L85" s="64"/>
      <c r="M85" s="64"/>
      <c r="N85" s="64"/>
      <c r="O85" s="64"/>
      <c r="P85" s="64"/>
      <c r="Q85" s="64"/>
      <c r="R85" s="65" t="str">
        <f>IF($A85="","",IFERROR(MINIFS(Candidates!$K$2:$K$2000,Candidates!$A$2:$A$2000,$A85),""))</f>
        <v/>
      </c>
      <c r="S85" s="65" t="str">
        <f>IF($A85="","",IFERROR(MAXIFS(Candidates!$AA$2:$AA$2000,Candidates!$A$2:$A$2000,$A85),""))</f>
        <v/>
      </c>
      <c r="T85" s="64" t="str">
        <f>IFERROR(__xludf.DUMMYFUNCTION("IF($A85="""","""",IFERROR(TEXTJOIN("", "",TRUE,UNIQUE(FILTER(Candidates!$B$2:$B$2000,Candidates!$A$2:$A$2000=$A85))),""""))"),"")</f>
        <v/>
      </c>
      <c r="U85" s="66" t="str">
        <f>IF($A85="","",COUNTIF(Candidates!$A$2:$A$2000,$A85))</f>
        <v/>
      </c>
      <c r="V85" s="64" t="str">
        <f>IFERROR(__xludf.DUMMYFUNCTION("IF($A85="""","""",IFERROR(INDEX(FILTER(Candidates!$S$2:$S$2000,Candidates!$A$2:$A$2000=$A85),COUNTIF(Candidates!$A$2:$A$2000,$A85)),""""))"),"")</f>
        <v/>
      </c>
      <c r="W85" s="64" t="str">
        <f>IFERROR(__xludf.DUMMYFUNCTION("IF($A85="""","""",IFERROR(INDEX(FILTER(Candidates!$T$2:$T$2000,Candidates!$A$2:$A$2000=$A85),COUNTIF(Candidates!$A$2:$A$2000,$A85)),""""))"),"")</f>
        <v/>
      </c>
      <c r="X85" s="64"/>
      <c r="Y85" s="64"/>
      <c r="Z85" s="65"/>
      <c r="AA85" s="65"/>
      <c r="AB85" s="65"/>
      <c r="AC85" s="65"/>
    </row>
    <row r="86">
      <c r="A86" s="64"/>
      <c r="B86" s="64"/>
      <c r="C86" s="64"/>
      <c r="D86" s="64"/>
      <c r="E86" s="64"/>
      <c r="F86" s="64"/>
      <c r="G86" s="64"/>
      <c r="H86" s="63"/>
      <c r="I86" s="64"/>
      <c r="J86" s="64"/>
      <c r="K86" s="64"/>
      <c r="L86" s="64"/>
      <c r="M86" s="64"/>
      <c r="N86" s="64"/>
      <c r="O86" s="64"/>
      <c r="P86" s="64"/>
      <c r="Q86" s="64"/>
      <c r="R86" s="65" t="str">
        <f>IF($A86="","",IFERROR(MINIFS(Candidates!$K$2:$K$2000,Candidates!$A$2:$A$2000,$A86),""))</f>
        <v/>
      </c>
      <c r="S86" s="65" t="str">
        <f>IF($A86="","",IFERROR(MAXIFS(Candidates!$AA$2:$AA$2000,Candidates!$A$2:$A$2000,$A86),""))</f>
        <v/>
      </c>
      <c r="T86" s="64" t="str">
        <f>IFERROR(__xludf.DUMMYFUNCTION("IF($A86="""","""",IFERROR(TEXTJOIN("", "",TRUE,UNIQUE(FILTER(Candidates!$B$2:$B$2000,Candidates!$A$2:$A$2000=$A86))),""""))"),"")</f>
        <v/>
      </c>
      <c r="U86" s="66" t="str">
        <f>IF($A86="","",COUNTIF(Candidates!$A$2:$A$2000,$A86))</f>
        <v/>
      </c>
      <c r="V86" s="64" t="str">
        <f>IFERROR(__xludf.DUMMYFUNCTION("IF($A86="""","""",IFERROR(INDEX(FILTER(Candidates!$S$2:$S$2000,Candidates!$A$2:$A$2000=$A86),COUNTIF(Candidates!$A$2:$A$2000,$A86)),""""))"),"")</f>
        <v/>
      </c>
      <c r="W86" s="64" t="str">
        <f>IFERROR(__xludf.DUMMYFUNCTION("IF($A86="""","""",IFERROR(INDEX(FILTER(Candidates!$T$2:$T$2000,Candidates!$A$2:$A$2000=$A86),COUNTIF(Candidates!$A$2:$A$2000,$A86)),""""))"),"")</f>
        <v/>
      </c>
      <c r="X86" s="64"/>
      <c r="Y86" s="64"/>
      <c r="Z86" s="65"/>
      <c r="AA86" s="65"/>
      <c r="AB86" s="65"/>
      <c r="AC86" s="65"/>
    </row>
    <row r="87">
      <c r="A87" s="64"/>
      <c r="B87" s="64"/>
      <c r="C87" s="64"/>
      <c r="D87" s="64"/>
      <c r="E87" s="64"/>
      <c r="F87" s="64"/>
      <c r="G87" s="64"/>
      <c r="H87" s="63"/>
      <c r="I87" s="64"/>
      <c r="J87" s="64"/>
      <c r="K87" s="64"/>
      <c r="L87" s="64"/>
      <c r="M87" s="64"/>
      <c r="N87" s="64"/>
      <c r="O87" s="64"/>
      <c r="P87" s="64"/>
      <c r="Q87" s="64"/>
      <c r="R87" s="65" t="str">
        <f>IF($A87="","",IFERROR(MINIFS(Candidates!$K$2:$K$2000,Candidates!$A$2:$A$2000,$A87),""))</f>
        <v/>
      </c>
      <c r="S87" s="65" t="str">
        <f>IF($A87="","",IFERROR(MAXIFS(Candidates!$AA$2:$AA$2000,Candidates!$A$2:$A$2000,$A87),""))</f>
        <v/>
      </c>
      <c r="T87" s="64" t="str">
        <f>IFERROR(__xludf.DUMMYFUNCTION("IF($A87="""","""",IFERROR(TEXTJOIN("", "",TRUE,UNIQUE(FILTER(Candidates!$B$2:$B$2000,Candidates!$A$2:$A$2000=$A87))),""""))"),"")</f>
        <v/>
      </c>
      <c r="U87" s="66" t="str">
        <f>IF($A87="","",COUNTIF(Candidates!$A$2:$A$2000,$A87))</f>
        <v/>
      </c>
      <c r="V87" s="64" t="str">
        <f>IFERROR(__xludf.DUMMYFUNCTION("IF($A87="""","""",IFERROR(INDEX(FILTER(Candidates!$S$2:$S$2000,Candidates!$A$2:$A$2000=$A87),COUNTIF(Candidates!$A$2:$A$2000,$A87)),""""))"),"")</f>
        <v/>
      </c>
      <c r="W87" s="64" t="str">
        <f>IFERROR(__xludf.DUMMYFUNCTION("IF($A87="""","""",IFERROR(INDEX(FILTER(Candidates!$T$2:$T$2000,Candidates!$A$2:$A$2000=$A87),COUNTIF(Candidates!$A$2:$A$2000,$A87)),""""))"),"")</f>
        <v/>
      </c>
      <c r="X87" s="64"/>
      <c r="Y87" s="64"/>
      <c r="Z87" s="65"/>
      <c r="AA87" s="65"/>
      <c r="AB87" s="65"/>
      <c r="AC87" s="65"/>
    </row>
    <row r="88">
      <c r="A88" s="64"/>
      <c r="B88" s="64"/>
      <c r="C88" s="64"/>
      <c r="D88" s="64"/>
      <c r="E88" s="64"/>
      <c r="F88" s="64"/>
      <c r="G88" s="64"/>
      <c r="H88" s="63"/>
      <c r="I88" s="64"/>
      <c r="J88" s="64"/>
      <c r="K88" s="64"/>
      <c r="L88" s="64"/>
      <c r="M88" s="64"/>
      <c r="N88" s="64"/>
      <c r="O88" s="64"/>
      <c r="P88" s="64"/>
      <c r="Q88" s="64"/>
      <c r="R88" s="65" t="str">
        <f>IF($A88="","",IFERROR(MINIFS(Candidates!$K$2:$K$2000,Candidates!$A$2:$A$2000,$A88),""))</f>
        <v/>
      </c>
      <c r="S88" s="65" t="str">
        <f>IF($A88="","",IFERROR(MAXIFS(Candidates!$AA$2:$AA$2000,Candidates!$A$2:$A$2000,$A88),""))</f>
        <v/>
      </c>
      <c r="T88" s="64" t="str">
        <f>IFERROR(__xludf.DUMMYFUNCTION("IF($A88="""","""",IFERROR(TEXTJOIN("", "",TRUE,UNIQUE(FILTER(Candidates!$B$2:$B$2000,Candidates!$A$2:$A$2000=$A88))),""""))"),"")</f>
        <v/>
      </c>
      <c r="U88" s="66" t="str">
        <f>IF($A88="","",COUNTIF(Candidates!$A$2:$A$2000,$A88))</f>
        <v/>
      </c>
      <c r="V88" s="64" t="str">
        <f>IFERROR(__xludf.DUMMYFUNCTION("IF($A88="""","""",IFERROR(INDEX(FILTER(Candidates!$S$2:$S$2000,Candidates!$A$2:$A$2000=$A88),COUNTIF(Candidates!$A$2:$A$2000,$A88)),""""))"),"")</f>
        <v/>
      </c>
      <c r="W88" s="64" t="str">
        <f>IFERROR(__xludf.DUMMYFUNCTION("IF($A88="""","""",IFERROR(INDEX(FILTER(Candidates!$T$2:$T$2000,Candidates!$A$2:$A$2000=$A88),COUNTIF(Candidates!$A$2:$A$2000,$A88)),""""))"),"")</f>
        <v/>
      </c>
      <c r="X88" s="64"/>
      <c r="Y88" s="64"/>
      <c r="Z88" s="65"/>
      <c r="AA88" s="65"/>
      <c r="AB88" s="65"/>
      <c r="AC88" s="65"/>
    </row>
    <row r="89">
      <c r="A89" s="64"/>
      <c r="B89" s="64"/>
      <c r="C89" s="64"/>
      <c r="D89" s="64"/>
      <c r="E89" s="64"/>
      <c r="F89" s="64"/>
      <c r="G89" s="64"/>
      <c r="H89" s="63"/>
      <c r="I89" s="64"/>
      <c r="J89" s="64"/>
      <c r="K89" s="64"/>
      <c r="L89" s="64"/>
      <c r="M89" s="64"/>
      <c r="N89" s="64"/>
      <c r="O89" s="64"/>
      <c r="P89" s="64"/>
      <c r="Q89" s="64"/>
      <c r="R89" s="65" t="str">
        <f>IF($A89="","",IFERROR(MINIFS(Candidates!$K$2:$K$2000,Candidates!$A$2:$A$2000,$A89),""))</f>
        <v/>
      </c>
      <c r="S89" s="65" t="str">
        <f>IF($A89="","",IFERROR(MAXIFS(Candidates!$AA$2:$AA$2000,Candidates!$A$2:$A$2000,$A89),""))</f>
        <v/>
      </c>
      <c r="T89" s="64" t="str">
        <f>IFERROR(__xludf.DUMMYFUNCTION("IF($A89="""","""",IFERROR(TEXTJOIN("", "",TRUE,UNIQUE(FILTER(Candidates!$B$2:$B$2000,Candidates!$A$2:$A$2000=$A89))),""""))"),"")</f>
        <v/>
      </c>
      <c r="U89" s="66" t="str">
        <f>IF($A89="","",COUNTIF(Candidates!$A$2:$A$2000,$A89))</f>
        <v/>
      </c>
      <c r="V89" s="64" t="str">
        <f>IFERROR(__xludf.DUMMYFUNCTION("IF($A89="""","""",IFERROR(INDEX(FILTER(Candidates!$S$2:$S$2000,Candidates!$A$2:$A$2000=$A89),COUNTIF(Candidates!$A$2:$A$2000,$A89)),""""))"),"")</f>
        <v/>
      </c>
      <c r="W89" s="64" t="str">
        <f>IFERROR(__xludf.DUMMYFUNCTION("IF($A89="""","""",IFERROR(INDEX(FILTER(Candidates!$T$2:$T$2000,Candidates!$A$2:$A$2000=$A89),COUNTIF(Candidates!$A$2:$A$2000,$A89)),""""))"),"")</f>
        <v/>
      </c>
      <c r="X89" s="64"/>
      <c r="Y89" s="64"/>
      <c r="Z89" s="65"/>
      <c r="AA89" s="65"/>
      <c r="AB89" s="65"/>
      <c r="AC89" s="65"/>
    </row>
    <row r="90">
      <c r="A90" s="64"/>
      <c r="B90" s="64"/>
      <c r="C90" s="64"/>
      <c r="D90" s="64"/>
      <c r="E90" s="64"/>
      <c r="F90" s="64"/>
      <c r="G90" s="64"/>
      <c r="H90" s="63"/>
      <c r="I90" s="64"/>
      <c r="J90" s="64"/>
      <c r="K90" s="64"/>
      <c r="L90" s="64"/>
      <c r="M90" s="64"/>
      <c r="N90" s="64"/>
      <c r="O90" s="64"/>
      <c r="P90" s="64"/>
      <c r="Q90" s="64"/>
      <c r="R90" s="65" t="str">
        <f>IF($A90="","",IFERROR(MINIFS(Candidates!$K$2:$K$2000,Candidates!$A$2:$A$2000,$A90),""))</f>
        <v/>
      </c>
      <c r="S90" s="65" t="str">
        <f>IF($A90="","",IFERROR(MAXIFS(Candidates!$AA$2:$AA$2000,Candidates!$A$2:$A$2000,$A90),""))</f>
        <v/>
      </c>
      <c r="T90" s="64" t="str">
        <f>IFERROR(__xludf.DUMMYFUNCTION("IF($A90="""","""",IFERROR(TEXTJOIN("", "",TRUE,UNIQUE(FILTER(Candidates!$B$2:$B$2000,Candidates!$A$2:$A$2000=$A90))),""""))"),"")</f>
        <v/>
      </c>
      <c r="U90" s="66" t="str">
        <f>IF($A90="","",COUNTIF(Candidates!$A$2:$A$2000,$A90))</f>
        <v/>
      </c>
      <c r="V90" s="64" t="str">
        <f>IFERROR(__xludf.DUMMYFUNCTION("IF($A90="""","""",IFERROR(INDEX(FILTER(Candidates!$S$2:$S$2000,Candidates!$A$2:$A$2000=$A90),COUNTIF(Candidates!$A$2:$A$2000,$A90)),""""))"),"")</f>
        <v/>
      </c>
      <c r="W90" s="64" t="str">
        <f>IFERROR(__xludf.DUMMYFUNCTION("IF($A90="""","""",IFERROR(INDEX(FILTER(Candidates!$T$2:$T$2000,Candidates!$A$2:$A$2000=$A90),COUNTIF(Candidates!$A$2:$A$2000,$A90)),""""))"),"")</f>
        <v/>
      </c>
      <c r="X90" s="64"/>
      <c r="Y90" s="64"/>
      <c r="Z90" s="65"/>
      <c r="AA90" s="65"/>
      <c r="AB90" s="65"/>
      <c r="AC90" s="65"/>
    </row>
    <row r="91">
      <c r="A91" s="64"/>
      <c r="B91" s="64"/>
      <c r="C91" s="64"/>
      <c r="D91" s="64"/>
      <c r="E91" s="64"/>
      <c r="F91" s="64"/>
      <c r="G91" s="64"/>
      <c r="H91" s="63"/>
      <c r="I91" s="64"/>
      <c r="J91" s="64"/>
      <c r="K91" s="64"/>
      <c r="L91" s="64"/>
      <c r="M91" s="64"/>
      <c r="N91" s="64"/>
      <c r="O91" s="64"/>
      <c r="P91" s="64"/>
      <c r="Q91" s="64"/>
      <c r="R91" s="65" t="str">
        <f>IF($A91="","",IFERROR(MINIFS(Candidates!$K$2:$K$2000,Candidates!$A$2:$A$2000,$A91),""))</f>
        <v/>
      </c>
      <c r="S91" s="65" t="str">
        <f>IF($A91="","",IFERROR(MAXIFS(Candidates!$AA$2:$AA$2000,Candidates!$A$2:$A$2000,$A91),""))</f>
        <v/>
      </c>
      <c r="T91" s="64" t="str">
        <f>IFERROR(__xludf.DUMMYFUNCTION("IF($A91="""","""",IFERROR(TEXTJOIN("", "",TRUE,UNIQUE(FILTER(Candidates!$B$2:$B$2000,Candidates!$A$2:$A$2000=$A91))),""""))"),"")</f>
        <v/>
      </c>
      <c r="U91" s="66" t="str">
        <f>IF($A91="","",COUNTIF(Candidates!$A$2:$A$2000,$A91))</f>
        <v/>
      </c>
      <c r="V91" s="64" t="str">
        <f>IFERROR(__xludf.DUMMYFUNCTION("IF($A91="""","""",IFERROR(INDEX(FILTER(Candidates!$S$2:$S$2000,Candidates!$A$2:$A$2000=$A91),COUNTIF(Candidates!$A$2:$A$2000,$A91)),""""))"),"")</f>
        <v/>
      </c>
      <c r="W91" s="64" t="str">
        <f>IFERROR(__xludf.DUMMYFUNCTION("IF($A91="""","""",IFERROR(INDEX(FILTER(Candidates!$T$2:$T$2000,Candidates!$A$2:$A$2000=$A91),COUNTIF(Candidates!$A$2:$A$2000,$A91)),""""))"),"")</f>
        <v/>
      </c>
      <c r="X91" s="64"/>
      <c r="Y91" s="64"/>
      <c r="Z91" s="65"/>
      <c r="AA91" s="65"/>
      <c r="AB91" s="65"/>
      <c r="AC91" s="65"/>
    </row>
    <row r="92">
      <c r="A92" s="64"/>
      <c r="B92" s="64"/>
      <c r="C92" s="64"/>
      <c r="D92" s="64"/>
      <c r="E92" s="64"/>
      <c r="F92" s="64"/>
      <c r="G92" s="64"/>
      <c r="H92" s="63"/>
      <c r="I92" s="64"/>
      <c r="J92" s="64"/>
      <c r="K92" s="64"/>
      <c r="L92" s="64"/>
      <c r="M92" s="64"/>
      <c r="N92" s="64"/>
      <c r="O92" s="64"/>
      <c r="P92" s="64"/>
      <c r="Q92" s="64"/>
      <c r="R92" s="65" t="str">
        <f>IF($A92="","",IFERROR(MINIFS(Candidates!$K$2:$K$2000,Candidates!$A$2:$A$2000,$A92),""))</f>
        <v/>
      </c>
      <c r="S92" s="65" t="str">
        <f>IF($A92="","",IFERROR(MAXIFS(Candidates!$AA$2:$AA$2000,Candidates!$A$2:$A$2000,$A92),""))</f>
        <v/>
      </c>
      <c r="T92" s="64" t="str">
        <f>IFERROR(__xludf.DUMMYFUNCTION("IF($A92="""","""",IFERROR(TEXTJOIN("", "",TRUE,UNIQUE(FILTER(Candidates!$B$2:$B$2000,Candidates!$A$2:$A$2000=$A92))),""""))"),"")</f>
        <v/>
      </c>
      <c r="U92" s="66" t="str">
        <f>IF($A92="","",COUNTIF(Candidates!$A$2:$A$2000,$A92))</f>
        <v/>
      </c>
      <c r="V92" s="64" t="str">
        <f>IFERROR(__xludf.DUMMYFUNCTION("IF($A92="""","""",IFERROR(INDEX(FILTER(Candidates!$S$2:$S$2000,Candidates!$A$2:$A$2000=$A92),COUNTIF(Candidates!$A$2:$A$2000,$A92)),""""))"),"")</f>
        <v/>
      </c>
      <c r="W92" s="64" t="str">
        <f>IFERROR(__xludf.DUMMYFUNCTION("IF($A92="""","""",IFERROR(INDEX(FILTER(Candidates!$T$2:$T$2000,Candidates!$A$2:$A$2000=$A92),COUNTIF(Candidates!$A$2:$A$2000,$A92)),""""))"),"")</f>
        <v/>
      </c>
      <c r="X92" s="64"/>
      <c r="Y92" s="64"/>
      <c r="Z92" s="65"/>
      <c r="AA92" s="65"/>
      <c r="AB92" s="65"/>
      <c r="AC92" s="65"/>
    </row>
    <row r="93">
      <c r="A93" s="64"/>
      <c r="B93" s="64"/>
      <c r="C93" s="64"/>
      <c r="D93" s="64"/>
      <c r="E93" s="64"/>
      <c r="F93" s="64"/>
      <c r="G93" s="64"/>
      <c r="H93" s="63"/>
      <c r="I93" s="64"/>
      <c r="J93" s="64"/>
      <c r="K93" s="64"/>
      <c r="L93" s="64"/>
      <c r="M93" s="64"/>
      <c r="N93" s="64"/>
      <c r="O93" s="64"/>
      <c r="P93" s="64"/>
      <c r="Q93" s="64"/>
      <c r="R93" s="65" t="str">
        <f>IF($A93="","",IFERROR(MINIFS(Candidates!$K$2:$K$2000,Candidates!$A$2:$A$2000,$A93),""))</f>
        <v/>
      </c>
      <c r="S93" s="65" t="str">
        <f>IF($A93="","",IFERROR(MAXIFS(Candidates!$AA$2:$AA$2000,Candidates!$A$2:$A$2000,$A93),""))</f>
        <v/>
      </c>
      <c r="T93" s="64" t="str">
        <f>IFERROR(__xludf.DUMMYFUNCTION("IF($A93="""","""",IFERROR(TEXTJOIN("", "",TRUE,UNIQUE(FILTER(Candidates!$B$2:$B$2000,Candidates!$A$2:$A$2000=$A93))),""""))"),"")</f>
        <v/>
      </c>
      <c r="U93" s="66" t="str">
        <f>IF($A93="","",COUNTIF(Candidates!$A$2:$A$2000,$A93))</f>
        <v/>
      </c>
      <c r="V93" s="64" t="str">
        <f>IFERROR(__xludf.DUMMYFUNCTION("IF($A93="""","""",IFERROR(INDEX(FILTER(Candidates!$S$2:$S$2000,Candidates!$A$2:$A$2000=$A93),COUNTIF(Candidates!$A$2:$A$2000,$A93)),""""))"),"")</f>
        <v/>
      </c>
      <c r="W93" s="64" t="str">
        <f>IFERROR(__xludf.DUMMYFUNCTION("IF($A93="""","""",IFERROR(INDEX(FILTER(Candidates!$T$2:$T$2000,Candidates!$A$2:$A$2000=$A93),COUNTIF(Candidates!$A$2:$A$2000,$A93)),""""))"),"")</f>
        <v/>
      </c>
      <c r="X93" s="64"/>
      <c r="Y93" s="64"/>
      <c r="Z93" s="65"/>
      <c r="AA93" s="65"/>
      <c r="AB93" s="65"/>
      <c r="AC93" s="65"/>
    </row>
    <row r="94">
      <c r="A94" s="64"/>
      <c r="B94" s="64"/>
      <c r="C94" s="64"/>
      <c r="D94" s="64"/>
      <c r="E94" s="64"/>
      <c r="F94" s="64"/>
      <c r="G94" s="64"/>
      <c r="H94" s="63"/>
      <c r="I94" s="64"/>
      <c r="J94" s="64"/>
      <c r="K94" s="64"/>
      <c r="L94" s="64"/>
      <c r="M94" s="64"/>
      <c r="N94" s="64"/>
      <c r="O94" s="64"/>
      <c r="P94" s="64"/>
      <c r="Q94" s="64"/>
      <c r="R94" s="65" t="str">
        <f>IF($A94="","",IFERROR(MINIFS(Candidates!$K$2:$K$2000,Candidates!$A$2:$A$2000,$A94),""))</f>
        <v/>
      </c>
      <c r="S94" s="65" t="str">
        <f>IF($A94="","",IFERROR(MAXIFS(Candidates!$AA$2:$AA$2000,Candidates!$A$2:$A$2000,$A94),""))</f>
        <v/>
      </c>
      <c r="T94" s="64" t="str">
        <f>IFERROR(__xludf.DUMMYFUNCTION("IF($A94="""","""",IFERROR(TEXTJOIN("", "",TRUE,UNIQUE(FILTER(Candidates!$B$2:$B$2000,Candidates!$A$2:$A$2000=$A94))),""""))"),"")</f>
        <v/>
      </c>
      <c r="U94" s="66" t="str">
        <f>IF($A94="","",COUNTIF(Candidates!$A$2:$A$2000,$A94))</f>
        <v/>
      </c>
      <c r="V94" s="64" t="str">
        <f>IFERROR(__xludf.DUMMYFUNCTION("IF($A94="""","""",IFERROR(INDEX(FILTER(Candidates!$S$2:$S$2000,Candidates!$A$2:$A$2000=$A94),COUNTIF(Candidates!$A$2:$A$2000,$A94)),""""))"),"")</f>
        <v/>
      </c>
      <c r="W94" s="64" t="str">
        <f>IFERROR(__xludf.DUMMYFUNCTION("IF($A94="""","""",IFERROR(INDEX(FILTER(Candidates!$T$2:$T$2000,Candidates!$A$2:$A$2000=$A94),COUNTIF(Candidates!$A$2:$A$2000,$A94)),""""))"),"")</f>
        <v/>
      </c>
      <c r="X94" s="64"/>
      <c r="Y94" s="64"/>
      <c r="Z94" s="65"/>
      <c r="AA94" s="65"/>
      <c r="AB94" s="65"/>
      <c r="AC94" s="65"/>
    </row>
    <row r="95">
      <c r="A95" s="64"/>
      <c r="B95" s="64"/>
      <c r="C95" s="64"/>
      <c r="D95" s="64"/>
      <c r="E95" s="64"/>
      <c r="F95" s="64"/>
      <c r="G95" s="64"/>
      <c r="H95" s="63"/>
      <c r="I95" s="64"/>
      <c r="J95" s="64"/>
      <c r="K95" s="64"/>
      <c r="L95" s="64"/>
      <c r="M95" s="64"/>
      <c r="N95" s="64"/>
      <c r="O95" s="64"/>
      <c r="P95" s="64"/>
      <c r="Q95" s="64"/>
      <c r="R95" s="65" t="str">
        <f>IF($A95="","",IFERROR(MINIFS(Candidates!$K$2:$K$2000,Candidates!$A$2:$A$2000,$A95),""))</f>
        <v/>
      </c>
      <c r="S95" s="65" t="str">
        <f>IF($A95="","",IFERROR(MAXIFS(Candidates!$AA$2:$AA$2000,Candidates!$A$2:$A$2000,$A95),""))</f>
        <v/>
      </c>
      <c r="T95" s="64" t="str">
        <f>IFERROR(__xludf.DUMMYFUNCTION("IF($A95="""","""",IFERROR(TEXTJOIN("", "",TRUE,UNIQUE(FILTER(Candidates!$B$2:$B$2000,Candidates!$A$2:$A$2000=$A95))),""""))"),"")</f>
        <v/>
      </c>
      <c r="U95" s="66" t="str">
        <f>IF($A95="","",COUNTIF(Candidates!$A$2:$A$2000,$A95))</f>
        <v/>
      </c>
      <c r="V95" s="64" t="str">
        <f>IFERROR(__xludf.DUMMYFUNCTION("IF($A95="""","""",IFERROR(INDEX(FILTER(Candidates!$S$2:$S$2000,Candidates!$A$2:$A$2000=$A95),COUNTIF(Candidates!$A$2:$A$2000,$A95)),""""))"),"")</f>
        <v/>
      </c>
      <c r="W95" s="64" t="str">
        <f>IFERROR(__xludf.DUMMYFUNCTION("IF($A95="""","""",IFERROR(INDEX(FILTER(Candidates!$T$2:$T$2000,Candidates!$A$2:$A$2000=$A95),COUNTIF(Candidates!$A$2:$A$2000,$A95)),""""))"),"")</f>
        <v/>
      </c>
      <c r="X95" s="64"/>
      <c r="Y95" s="64"/>
      <c r="Z95" s="65"/>
      <c r="AA95" s="65"/>
      <c r="AB95" s="65"/>
      <c r="AC95" s="65"/>
    </row>
    <row r="96">
      <c r="A96" s="64"/>
      <c r="B96" s="64"/>
      <c r="C96" s="64"/>
      <c r="D96" s="64"/>
      <c r="E96" s="64"/>
      <c r="F96" s="64"/>
      <c r="G96" s="64"/>
      <c r="H96" s="63"/>
      <c r="I96" s="64"/>
      <c r="J96" s="64"/>
      <c r="K96" s="64"/>
      <c r="L96" s="64"/>
      <c r="M96" s="64"/>
      <c r="N96" s="64"/>
      <c r="O96" s="64"/>
      <c r="P96" s="64"/>
      <c r="Q96" s="64"/>
      <c r="R96" s="65" t="str">
        <f>IF($A96="","",IFERROR(MINIFS(Candidates!$K$2:$K$2000,Candidates!$A$2:$A$2000,$A96),""))</f>
        <v/>
      </c>
      <c r="S96" s="65" t="str">
        <f>IF($A96="","",IFERROR(MAXIFS(Candidates!$AA$2:$AA$2000,Candidates!$A$2:$A$2000,$A96),""))</f>
        <v/>
      </c>
      <c r="T96" s="64" t="str">
        <f>IFERROR(__xludf.DUMMYFUNCTION("IF($A96="""","""",IFERROR(TEXTJOIN("", "",TRUE,UNIQUE(FILTER(Candidates!$B$2:$B$2000,Candidates!$A$2:$A$2000=$A96))),""""))"),"")</f>
        <v/>
      </c>
      <c r="U96" s="66" t="str">
        <f>IF($A96="","",COUNTIF(Candidates!$A$2:$A$2000,$A96))</f>
        <v/>
      </c>
      <c r="V96" s="64" t="str">
        <f>IFERROR(__xludf.DUMMYFUNCTION("IF($A96="""","""",IFERROR(INDEX(FILTER(Candidates!$S$2:$S$2000,Candidates!$A$2:$A$2000=$A96),COUNTIF(Candidates!$A$2:$A$2000,$A96)),""""))"),"")</f>
        <v/>
      </c>
      <c r="W96" s="64" t="str">
        <f>IFERROR(__xludf.DUMMYFUNCTION("IF($A96="""","""",IFERROR(INDEX(FILTER(Candidates!$T$2:$T$2000,Candidates!$A$2:$A$2000=$A96),COUNTIF(Candidates!$A$2:$A$2000,$A96)),""""))"),"")</f>
        <v/>
      </c>
      <c r="X96" s="64"/>
      <c r="Y96" s="64"/>
      <c r="Z96" s="65"/>
      <c r="AA96" s="65"/>
      <c r="AB96" s="65"/>
      <c r="AC96" s="65"/>
    </row>
    <row r="97">
      <c r="A97" s="64"/>
      <c r="B97" s="64"/>
      <c r="C97" s="64"/>
      <c r="D97" s="64"/>
      <c r="E97" s="64"/>
      <c r="F97" s="64"/>
      <c r="G97" s="64"/>
      <c r="H97" s="63"/>
      <c r="I97" s="64"/>
      <c r="J97" s="64"/>
      <c r="K97" s="64"/>
      <c r="L97" s="64"/>
      <c r="M97" s="64"/>
      <c r="N97" s="64"/>
      <c r="O97" s="64"/>
      <c r="P97" s="64"/>
      <c r="Q97" s="64"/>
      <c r="R97" s="65" t="str">
        <f>IF($A97="","",IFERROR(MINIFS(Candidates!$K$2:$K$2000,Candidates!$A$2:$A$2000,$A97),""))</f>
        <v/>
      </c>
      <c r="S97" s="65" t="str">
        <f>IF($A97="","",IFERROR(MAXIFS(Candidates!$AA$2:$AA$2000,Candidates!$A$2:$A$2000,$A97),""))</f>
        <v/>
      </c>
      <c r="T97" s="64" t="str">
        <f>IFERROR(__xludf.DUMMYFUNCTION("IF($A97="""","""",IFERROR(TEXTJOIN("", "",TRUE,UNIQUE(FILTER(Candidates!$B$2:$B$2000,Candidates!$A$2:$A$2000=$A97))),""""))"),"")</f>
        <v/>
      </c>
      <c r="U97" s="66" t="str">
        <f>IF($A97="","",COUNTIF(Candidates!$A$2:$A$2000,$A97))</f>
        <v/>
      </c>
      <c r="V97" s="64" t="str">
        <f>IFERROR(__xludf.DUMMYFUNCTION("IF($A97="""","""",IFERROR(INDEX(FILTER(Candidates!$S$2:$S$2000,Candidates!$A$2:$A$2000=$A97),COUNTIF(Candidates!$A$2:$A$2000,$A97)),""""))"),"")</f>
        <v/>
      </c>
      <c r="W97" s="64" t="str">
        <f>IFERROR(__xludf.DUMMYFUNCTION("IF($A97="""","""",IFERROR(INDEX(FILTER(Candidates!$T$2:$T$2000,Candidates!$A$2:$A$2000=$A97),COUNTIF(Candidates!$A$2:$A$2000,$A97)),""""))"),"")</f>
        <v/>
      </c>
      <c r="X97" s="64"/>
      <c r="Y97" s="64"/>
      <c r="Z97" s="65"/>
      <c r="AA97" s="65"/>
      <c r="AB97" s="65"/>
      <c r="AC97" s="65"/>
    </row>
    <row r="98">
      <c r="A98" s="64"/>
      <c r="B98" s="64"/>
      <c r="C98" s="64"/>
      <c r="D98" s="64"/>
      <c r="E98" s="64"/>
      <c r="F98" s="64"/>
      <c r="G98" s="64"/>
      <c r="H98" s="63"/>
      <c r="I98" s="64"/>
      <c r="J98" s="64"/>
      <c r="K98" s="64"/>
      <c r="L98" s="64"/>
      <c r="M98" s="64"/>
      <c r="N98" s="64"/>
      <c r="O98" s="64"/>
      <c r="P98" s="64"/>
      <c r="Q98" s="64"/>
      <c r="R98" s="65" t="str">
        <f>IF($A98="","",IFERROR(MINIFS(Candidates!$K$2:$K$2000,Candidates!$A$2:$A$2000,$A98),""))</f>
        <v/>
      </c>
      <c r="S98" s="65" t="str">
        <f>IF($A98="","",IFERROR(MAXIFS(Candidates!$AA$2:$AA$2000,Candidates!$A$2:$A$2000,$A98),""))</f>
        <v/>
      </c>
      <c r="T98" s="64" t="str">
        <f>IFERROR(__xludf.DUMMYFUNCTION("IF($A98="""","""",IFERROR(TEXTJOIN("", "",TRUE,UNIQUE(FILTER(Candidates!$B$2:$B$2000,Candidates!$A$2:$A$2000=$A98))),""""))"),"")</f>
        <v/>
      </c>
      <c r="U98" s="66" t="str">
        <f>IF($A98="","",COUNTIF(Candidates!$A$2:$A$2000,$A98))</f>
        <v/>
      </c>
      <c r="V98" s="64" t="str">
        <f>IFERROR(__xludf.DUMMYFUNCTION("IF($A98="""","""",IFERROR(INDEX(FILTER(Candidates!$S$2:$S$2000,Candidates!$A$2:$A$2000=$A98),COUNTIF(Candidates!$A$2:$A$2000,$A98)),""""))"),"")</f>
        <v/>
      </c>
      <c r="W98" s="64" t="str">
        <f>IFERROR(__xludf.DUMMYFUNCTION("IF($A98="""","""",IFERROR(INDEX(FILTER(Candidates!$T$2:$T$2000,Candidates!$A$2:$A$2000=$A98),COUNTIF(Candidates!$A$2:$A$2000,$A98)),""""))"),"")</f>
        <v/>
      </c>
      <c r="X98" s="64"/>
      <c r="Y98" s="64"/>
      <c r="Z98" s="65"/>
      <c r="AA98" s="65"/>
      <c r="AB98" s="65"/>
      <c r="AC98" s="65"/>
    </row>
    <row r="99">
      <c r="A99" s="64"/>
      <c r="B99" s="64"/>
      <c r="C99" s="64"/>
      <c r="D99" s="64"/>
      <c r="E99" s="64"/>
      <c r="F99" s="64"/>
      <c r="G99" s="64"/>
      <c r="H99" s="63"/>
      <c r="I99" s="64"/>
      <c r="J99" s="64"/>
      <c r="K99" s="64"/>
      <c r="L99" s="64"/>
      <c r="M99" s="64"/>
      <c r="N99" s="64"/>
      <c r="O99" s="64"/>
      <c r="P99" s="64"/>
      <c r="Q99" s="64"/>
      <c r="R99" s="65" t="str">
        <f>IF($A99="","",IFERROR(MINIFS(Candidates!$K$2:$K$2000,Candidates!$A$2:$A$2000,$A99),""))</f>
        <v/>
      </c>
      <c r="S99" s="65" t="str">
        <f>IF($A99="","",IFERROR(MAXIFS(Candidates!$AA$2:$AA$2000,Candidates!$A$2:$A$2000,$A99),""))</f>
        <v/>
      </c>
      <c r="T99" s="64" t="str">
        <f>IFERROR(__xludf.DUMMYFUNCTION("IF($A99="""","""",IFERROR(TEXTJOIN("", "",TRUE,UNIQUE(FILTER(Candidates!$B$2:$B$2000,Candidates!$A$2:$A$2000=$A99))),""""))"),"")</f>
        <v/>
      </c>
      <c r="U99" s="66" t="str">
        <f>IF($A99="","",COUNTIF(Candidates!$A$2:$A$2000,$A99))</f>
        <v/>
      </c>
      <c r="V99" s="64" t="str">
        <f>IFERROR(__xludf.DUMMYFUNCTION("IF($A99="""","""",IFERROR(INDEX(FILTER(Candidates!$S$2:$S$2000,Candidates!$A$2:$A$2000=$A99),COUNTIF(Candidates!$A$2:$A$2000,$A99)),""""))"),"")</f>
        <v/>
      </c>
      <c r="W99" s="64" t="str">
        <f>IFERROR(__xludf.DUMMYFUNCTION("IF($A99="""","""",IFERROR(INDEX(FILTER(Candidates!$T$2:$T$2000,Candidates!$A$2:$A$2000=$A99),COUNTIF(Candidates!$A$2:$A$2000,$A99)),""""))"),"")</f>
        <v/>
      </c>
      <c r="X99" s="64"/>
      <c r="Y99" s="64"/>
      <c r="Z99" s="65"/>
      <c r="AA99" s="65"/>
      <c r="AB99" s="65"/>
      <c r="AC99" s="65"/>
    </row>
    <row r="100">
      <c r="A100" s="64"/>
      <c r="B100" s="64"/>
      <c r="C100" s="64"/>
      <c r="D100" s="64"/>
      <c r="E100" s="64"/>
      <c r="F100" s="64"/>
      <c r="G100" s="64"/>
      <c r="H100" s="63"/>
      <c r="I100" s="64"/>
      <c r="J100" s="64"/>
      <c r="K100" s="64"/>
      <c r="L100" s="64"/>
      <c r="M100" s="64"/>
      <c r="N100" s="64"/>
      <c r="O100" s="64"/>
      <c r="P100" s="64"/>
      <c r="Q100" s="64"/>
      <c r="R100" s="65" t="str">
        <f>IF($A100="","",IFERROR(MINIFS(Candidates!$K$2:$K$2000,Candidates!$A$2:$A$2000,$A100),""))</f>
        <v/>
      </c>
      <c r="S100" s="65" t="str">
        <f>IF($A100="","",IFERROR(MAXIFS(Candidates!$AA$2:$AA$2000,Candidates!$A$2:$A$2000,$A100),""))</f>
        <v/>
      </c>
      <c r="T100" s="64" t="str">
        <f>IFERROR(__xludf.DUMMYFUNCTION("IF($A100="""","""",IFERROR(TEXTJOIN("", "",TRUE,UNIQUE(FILTER(Candidates!$B$2:$B$2000,Candidates!$A$2:$A$2000=$A100))),""""))"),"")</f>
        <v/>
      </c>
      <c r="U100" s="66" t="str">
        <f>IF($A100="","",COUNTIF(Candidates!$A$2:$A$2000,$A100))</f>
        <v/>
      </c>
      <c r="V100" s="64" t="str">
        <f>IFERROR(__xludf.DUMMYFUNCTION("IF($A100="""","""",IFERROR(INDEX(FILTER(Candidates!$S$2:$S$2000,Candidates!$A$2:$A$2000=$A100),COUNTIF(Candidates!$A$2:$A$2000,$A100)),""""))"),"")</f>
        <v/>
      </c>
      <c r="W100" s="64" t="str">
        <f>IFERROR(__xludf.DUMMYFUNCTION("IF($A100="""","""",IFERROR(INDEX(FILTER(Candidates!$T$2:$T$2000,Candidates!$A$2:$A$2000=$A100),COUNTIF(Candidates!$A$2:$A$2000,$A100)),""""))"),"")</f>
        <v/>
      </c>
      <c r="X100" s="64"/>
      <c r="Y100" s="64"/>
      <c r="Z100" s="65"/>
      <c r="AA100" s="65"/>
      <c r="AB100" s="65"/>
      <c r="AC100" s="65"/>
    </row>
    <row r="101">
      <c r="A101" s="64"/>
      <c r="B101" s="64"/>
      <c r="C101" s="64"/>
      <c r="D101" s="64"/>
      <c r="E101" s="64"/>
      <c r="F101" s="64"/>
      <c r="G101" s="64"/>
      <c r="H101" s="63"/>
      <c r="I101" s="64"/>
      <c r="J101" s="64"/>
      <c r="K101" s="64"/>
      <c r="L101" s="64"/>
      <c r="M101" s="64"/>
      <c r="N101" s="64"/>
      <c r="O101" s="64"/>
      <c r="P101" s="64"/>
      <c r="Q101" s="64"/>
      <c r="R101" s="65" t="str">
        <f>IF($A101="","",IFERROR(MINIFS(Candidates!$K$2:$K$2000,Candidates!$A$2:$A$2000,$A101),""))</f>
        <v/>
      </c>
      <c r="S101" s="65" t="str">
        <f>IF($A101="","",IFERROR(MAXIFS(Candidates!$AA$2:$AA$2000,Candidates!$A$2:$A$2000,$A101),""))</f>
        <v/>
      </c>
      <c r="T101" s="64" t="str">
        <f>IFERROR(__xludf.DUMMYFUNCTION("IF($A101="""","""",IFERROR(TEXTJOIN("", "",TRUE,UNIQUE(FILTER(Candidates!$B$2:$B$2000,Candidates!$A$2:$A$2000=$A101))),""""))"),"")</f>
        <v/>
      </c>
      <c r="U101" s="66" t="str">
        <f>IF($A101="","",COUNTIF(Candidates!$A$2:$A$2000,$A101))</f>
        <v/>
      </c>
      <c r="V101" s="64" t="str">
        <f>IFERROR(__xludf.DUMMYFUNCTION("IF($A101="""","""",IFERROR(INDEX(FILTER(Candidates!$S$2:$S$2000,Candidates!$A$2:$A$2000=$A101),COUNTIF(Candidates!$A$2:$A$2000,$A101)),""""))"),"")</f>
        <v/>
      </c>
      <c r="W101" s="64" t="str">
        <f>IFERROR(__xludf.DUMMYFUNCTION("IF($A101="""","""",IFERROR(INDEX(FILTER(Candidates!$T$2:$T$2000,Candidates!$A$2:$A$2000=$A101),COUNTIF(Candidates!$A$2:$A$2000,$A101)),""""))"),"")</f>
        <v/>
      </c>
      <c r="X101" s="64"/>
      <c r="Y101" s="64"/>
      <c r="Z101" s="65"/>
      <c r="AA101" s="65"/>
      <c r="AB101" s="65"/>
      <c r="AC101" s="65"/>
    </row>
    <row r="102">
      <c r="A102" s="64"/>
      <c r="B102" s="64"/>
      <c r="C102" s="64"/>
      <c r="D102" s="64"/>
      <c r="E102" s="64"/>
      <c r="F102" s="64"/>
      <c r="G102" s="64"/>
      <c r="H102" s="63"/>
      <c r="I102" s="64"/>
      <c r="J102" s="64"/>
      <c r="K102" s="64"/>
      <c r="L102" s="64"/>
      <c r="M102" s="64"/>
      <c r="N102" s="64"/>
      <c r="O102" s="64"/>
      <c r="P102" s="64"/>
      <c r="Q102" s="64"/>
      <c r="R102" s="65" t="str">
        <f>IF($A102="","",IFERROR(MINIFS(Candidates!$K$2:$K$2000,Candidates!$A$2:$A$2000,$A102),""))</f>
        <v/>
      </c>
      <c r="S102" s="65" t="str">
        <f>IF($A102="","",IFERROR(MAXIFS(Candidates!$AA$2:$AA$2000,Candidates!$A$2:$A$2000,$A102),""))</f>
        <v/>
      </c>
      <c r="T102" s="64" t="str">
        <f>IFERROR(__xludf.DUMMYFUNCTION("IF($A102="""","""",IFERROR(TEXTJOIN("", "",TRUE,UNIQUE(FILTER(Candidates!$B$2:$B$2000,Candidates!$A$2:$A$2000=$A102))),""""))"),"")</f>
        <v/>
      </c>
      <c r="U102" s="66" t="str">
        <f>IF($A102="","",COUNTIF(Candidates!$A$2:$A$2000,$A102))</f>
        <v/>
      </c>
      <c r="V102" s="64" t="str">
        <f>IFERROR(__xludf.DUMMYFUNCTION("IF($A102="""","""",IFERROR(INDEX(FILTER(Candidates!$S$2:$S$2000,Candidates!$A$2:$A$2000=$A102),COUNTIF(Candidates!$A$2:$A$2000,$A102)),""""))"),"")</f>
        <v/>
      </c>
      <c r="W102" s="64" t="str">
        <f>IFERROR(__xludf.DUMMYFUNCTION("IF($A102="""","""",IFERROR(INDEX(FILTER(Candidates!$T$2:$T$2000,Candidates!$A$2:$A$2000=$A102),COUNTIF(Candidates!$A$2:$A$2000,$A102)),""""))"),"")</f>
        <v/>
      </c>
      <c r="X102" s="64"/>
      <c r="Y102" s="64"/>
      <c r="Z102" s="65"/>
      <c r="AA102" s="65"/>
      <c r="AB102" s="65"/>
      <c r="AC102" s="65"/>
    </row>
    <row r="103">
      <c r="A103" s="64"/>
      <c r="B103" s="64"/>
      <c r="C103" s="64"/>
      <c r="D103" s="64"/>
      <c r="E103" s="64"/>
      <c r="F103" s="64"/>
      <c r="G103" s="64"/>
      <c r="H103" s="63"/>
      <c r="I103" s="64"/>
      <c r="J103" s="64"/>
      <c r="K103" s="64"/>
      <c r="L103" s="64"/>
      <c r="M103" s="64"/>
      <c r="N103" s="64"/>
      <c r="O103" s="64"/>
      <c r="P103" s="64"/>
      <c r="Q103" s="64"/>
      <c r="R103" s="65" t="str">
        <f>IF($A103="","",IFERROR(MINIFS(Candidates!$K$2:$K$2000,Candidates!$A$2:$A$2000,$A103),""))</f>
        <v/>
      </c>
      <c r="S103" s="65" t="str">
        <f>IF($A103="","",IFERROR(MAXIFS(Candidates!$AA$2:$AA$2000,Candidates!$A$2:$A$2000,$A103),""))</f>
        <v/>
      </c>
      <c r="T103" s="64" t="str">
        <f>IFERROR(__xludf.DUMMYFUNCTION("IF($A103="""","""",IFERROR(TEXTJOIN("", "",TRUE,UNIQUE(FILTER(Candidates!$B$2:$B$2000,Candidates!$A$2:$A$2000=$A103))),""""))"),"")</f>
        <v/>
      </c>
      <c r="U103" s="66" t="str">
        <f>IF($A103="","",COUNTIF(Candidates!$A$2:$A$2000,$A103))</f>
        <v/>
      </c>
      <c r="V103" s="64" t="str">
        <f>IFERROR(__xludf.DUMMYFUNCTION("IF($A103="""","""",IFERROR(INDEX(FILTER(Candidates!$S$2:$S$2000,Candidates!$A$2:$A$2000=$A103),COUNTIF(Candidates!$A$2:$A$2000,$A103)),""""))"),"")</f>
        <v/>
      </c>
      <c r="W103" s="64" t="str">
        <f>IFERROR(__xludf.DUMMYFUNCTION("IF($A103="""","""",IFERROR(INDEX(FILTER(Candidates!$T$2:$T$2000,Candidates!$A$2:$A$2000=$A103),COUNTIF(Candidates!$A$2:$A$2000,$A103)),""""))"),"")</f>
        <v/>
      </c>
      <c r="X103" s="64"/>
      <c r="Y103" s="64"/>
      <c r="Z103" s="65"/>
      <c r="AA103" s="65"/>
      <c r="AB103" s="65"/>
      <c r="AC103" s="65"/>
    </row>
    <row r="104">
      <c r="A104" s="64"/>
      <c r="B104" s="64"/>
      <c r="C104" s="64"/>
      <c r="D104" s="64"/>
      <c r="E104" s="64"/>
      <c r="F104" s="64"/>
      <c r="G104" s="64"/>
      <c r="H104" s="63"/>
      <c r="I104" s="64"/>
      <c r="J104" s="64"/>
      <c r="K104" s="64"/>
      <c r="L104" s="64"/>
      <c r="M104" s="64"/>
      <c r="N104" s="64"/>
      <c r="O104" s="64"/>
      <c r="P104" s="64"/>
      <c r="Q104" s="64"/>
      <c r="R104" s="65" t="str">
        <f>IF($A104="","",IFERROR(MINIFS(Candidates!$K$2:$K$2000,Candidates!$A$2:$A$2000,$A104),""))</f>
        <v/>
      </c>
      <c r="S104" s="65" t="str">
        <f>IF($A104="","",IFERROR(MAXIFS(Candidates!$AA$2:$AA$2000,Candidates!$A$2:$A$2000,$A104),""))</f>
        <v/>
      </c>
      <c r="T104" s="64" t="str">
        <f>IFERROR(__xludf.DUMMYFUNCTION("IF($A104="""","""",IFERROR(TEXTJOIN("", "",TRUE,UNIQUE(FILTER(Candidates!$B$2:$B$2000,Candidates!$A$2:$A$2000=$A104))),""""))"),"")</f>
        <v/>
      </c>
      <c r="U104" s="66" t="str">
        <f>IF($A104="","",COUNTIF(Candidates!$A$2:$A$2000,$A104))</f>
        <v/>
      </c>
      <c r="V104" s="64" t="str">
        <f>IFERROR(__xludf.DUMMYFUNCTION("IF($A104="""","""",IFERROR(INDEX(FILTER(Candidates!$S$2:$S$2000,Candidates!$A$2:$A$2000=$A104),COUNTIF(Candidates!$A$2:$A$2000,$A104)),""""))"),"")</f>
        <v/>
      </c>
      <c r="W104" s="64" t="str">
        <f>IFERROR(__xludf.DUMMYFUNCTION("IF($A104="""","""",IFERROR(INDEX(FILTER(Candidates!$T$2:$T$2000,Candidates!$A$2:$A$2000=$A104),COUNTIF(Candidates!$A$2:$A$2000,$A104)),""""))"),"")</f>
        <v/>
      </c>
      <c r="X104" s="64"/>
      <c r="Y104" s="64"/>
      <c r="Z104" s="65"/>
      <c r="AA104" s="65"/>
      <c r="AB104" s="65"/>
      <c r="AC104" s="65"/>
    </row>
    <row r="105">
      <c r="A105" s="64"/>
      <c r="B105" s="64"/>
      <c r="C105" s="64"/>
      <c r="D105" s="64"/>
      <c r="E105" s="64"/>
      <c r="F105" s="64"/>
      <c r="G105" s="64"/>
      <c r="H105" s="63"/>
      <c r="I105" s="64"/>
      <c r="J105" s="64"/>
      <c r="K105" s="64"/>
      <c r="L105" s="64"/>
      <c r="M105" s="64"/>
      <c r="N105" s="64"/>
      <c r="O105" s="64"/>
      <c r="P105" s="64"/>
      <c r="Q105" s="64"/>
      <c r="R105" s="65" t="str">
        <f>IF($A105="","",IFERROR(MINIFS(Candidates!$K$2:$K$2000,Candidates!$A$2:$A$2000,$A105),""))</f>
        <v/>
      </c>
      <c r="S105" s="65" t="str">
        <f>IF($A105="","",IFERROR(MAXIFS(Candidates!$AA$2:$AA$2000,Candidates!$A$2:$A$2000,$A105),""))</f>
        <v/>
      </c>
      <c r="T105" s="64" t="str">
        <f>IFERROR(__xludf.DUMMYFUNCTION("IF($A105="""","""",IFERROR(TEXTJOIN("", "",TRUE,UNIQUE(FILTER(Candidates!$B$2:$B$2000,Candidates!$A$2:$A$2000=$A105))),""""))"),"")</f>
        <v/>
      </c>
      <c r="U105" s="66" t="str">
        <f>IF($A105="","",COUNTIF(Candidates!$A$2:$A$2000,$A105))</f>
        <v/>
      </c>
      <c r="V105" s="64" t="str">
        <f>IFERROR(__xludf.DUMMYFUNCTION("IF($A105="""","""",IFERROR(INDEX(FILTER(Candidates!$S$2:$S$2000,Candidates!$A$2:$A$2000=$A105),COUNTIF(Candidates!$A$2:$A$2000,$A105)),""""))"),"")</f>
        <v/>
      </c>
      <c r="W105" s="64" t="str">
        <f>IFERROR(__xludf.DUMMYFUNCTION("IF($A105="""","""",IFERROR(INDEX(FILTER(Candidates!$T$2:$T$2000,Candidates!$A$2:$A$2000=$A105),COUNTIF(Candidates!$A$2:$A$2000,$A105)),""""))"),"")</f>
        <v/>
      </c>
      <c r="X105" s="64"/>
      <c r="Y105" s="64"/>
      <c r="Z105" s="65"/>
      <c r="AA105" s="65"/>
      <c r="AB105" s="65"/>
      <c r="AC105" s="65"/>
    </row>
    <row r="106">
      <c r="A106" s="64"/>
      <c r="B106" s="64"/>
      <c r="C106" s="64"/>
      <c r="D106" s="64"/>
      <c r="E106" s="64"/>
      <c r="F106" s="64"/>
      <c r="G106" s="64"/>
      <c r="H106" s="63"/>
      <c r="I106" s="64"/>
      <c r="J106" s="64"/>
      <c r="K106" s="64"/>
      <c r="L106" s="64"/>
      <c r="M106" s="64"/>
      <c r="N106" s="64"/>
      <c r="O106" s="64"/>
      <c r="P106" s="64"/>
      <c r="Q106" s="64"/>
      <c r="R106" s="65" t="str">
        <f>IF($A106="","",IFERROR(MINIFS(Candidates!$K$2:$K$2000,Candidates!$A$2:$A$2000,$A106),""))</f>
        <v/>
      </c>
      <c r="S106" s="65" t="str">
        <f>IF($A106="","",IFERROR(MAXIFS(Candidates!$AA$2:$AA$2000,Candidates!$A$2:$A$2000,$A106),""))</f>
        <v/>
      </c>
      <c r="T106" s="64" t="str">
        <f>IFERROR(__xludf.DUMMYFUNCTION("IF($A106="""","""",IFERROR(TEXTJOIN("", "",TRUE,UNIQUE(FILTER(Candidates!$B$2:$B$2000,Candidates!$A$2:$A$2000=$A106))),""""))"),"")</f>
        <v/>
      </c>
      <c r="U106" s="66" t="str">
        <f>IF($A106="","",COUNTIF(Candidates!$A$2:$A$2000,$A106))</f>
        <v/>
      </c>
      <c r="V106" s="64" t="str">
        <f>IFERROR(__xludf.DUMMYFUNCTION("IF($A106="""","""",IFERROR(INDEX(FILTER(Candidates!$S$2:$S$2000,Candidates!$A$2:$A$2000=$A106),COUNTIF(Candidates!$A$2:$A$2000,$A106)),""""))"),"")</f>
        <v/>
      </c>
      <c r="W106" s="64" t="str">
        <f>IFERROR(__xludf.DUMMYFUNCTION("IF($A106="""","""",IFERROR(INDEX(FILTER(Candidates!$T$2:$T$2000,Candidates!$A$2:$A$2000=$A106),COUNTIF(Candidates!$A$2:$A$2000,$A106)),""""))"),"")</f>
        <v/>
      </c>
      <c r="X106" s="64"/>
      <c r="Y106" s="64"/>
      <c r="Z106" s="65"/>
      <c r="AA106" s="65"/>
      <c r="AB106" s="65"/>
      <c r="AC106" s="65"/>
    </row>
    <row r="107">
      <c r="A107" s="64"/>
      <c r="B107" s="64"/>
      <c r="C107" s="64"/>
      <c r="D107" s="64"/>
      <c r="E107" s="64"/>
      <c r="F107" s="64"/>
      <c r="G107" s="64"/>
      <c r="H107" s="63"/>
      <c r="I107" s="64"/>
      <c r="J107" s="64"/>
      <c r="K107" s="64"/>
      <c r="L107" s="64"/>
      <c r="M107" s="64"/>
      <c r="N107" s="64"/>
      <c r="O107" s="64"/>
      <c r="P107" s="64"/>
      <c r="Q107" s="64"/>
      <c r="R107" s="65" t="str">
        <f>IF($A107="","",IFERROR(MINIFS(Candidates!$K$2:$K$2000,Candidates!$A$2:$A$2000,$A107),""))</f>
        <v/>
      </c>
      <c r="S107" s="65" t="str">
        <f>IF($A107="","",IFERROR(MAXIFS(Candidates!$AA$2:$AA$2000,Candidates!$A$2:$A$2000,$A107),""))</f>
        <v/>
      </c>
      <c r="T107" s="64" t="str">
        <f>IFERROR(__xludf.DUMMYFUNCTION("IF($A107="""","""",IFERROR(TEXTJOIN("", "",TRUE,UNIQUE(FILTER(Candidates!$B$2:$B$2000,Candidates!$A$2:$A$2000=$A107))),""""))"),"")</f>
        <v/>
      </c>
      <c r="U107" s="66" t="str">
        <f>IF($A107="","",COUNTIF(Candidates!$A$2:$A$2000,$A107))</f>
        <v/>
      </c>
      <c r="V107" s="64" t="str">
        <f>IFERROR(__xludf.DUMMYFUNCTION("IF($A107="""","""",IFERROR(INDEX(FILTER(Candidates!$S$2:$S$2000,Candidates!$A$2:$A$2000=$A107),COUNTIF(Candidates!$A$2:$A$2000,$A107)),""""))"),"")</f>
        <v/>
      </c>
      <c r="W107" s="64" t="str">
        <f>IFERROR(__xludf.DUMMYFUNCTION("IF($A107="""","""",IFERROR(INDEX(FILTER(Candidates!$T$2:$T$2000,Candidates!$A$2:$A$2000=$A107),COUNTIF(Candidates!$A$2:$A$2000,$A107)),""""))"),"")</f>
        <v/>
      </c>
      <c r="X107" s="64"/>
      <c r="Y107" s="64"/>
      <c r="Z107" s="65"/>
      <c r="AA107" s="65"/>
      <c r="AB107" s="65"/>
      <c r="AC107" s="65"/>
    </row>
    <row r="108">
      <c r="A108" s="64"/>
      <c r="B108" s="64"/>
      <c r="C108" s="64"/>
      <c r="D108" s="64"/>
      <c r="E108" s="64"/>
      <c r="F108" s="64"/>
      <c r="G108" s="64"/>
      <c r="H108" s="63"/>
      <c r="I108" s="64"/>
      <c r="J108" s="64"/>
      <c r="K108" s="64"/>
      <c r="L108" s="64"/>
      <c r="M108" s="64"/>
      <c r="N108" s="64"/>
      <c r="O108" s="64"/>
      <c r="P108" s="64"/>
      <c r="Q108" s="64"/>
      <c r="R108" s="65" t="str">
        <f>IF($A108="","",IFERROR(MINIFS(Candidates!$K$2:$K$2000,Candidates!$A$2:$A$2000,$A108),""))</f>
        <v/>
      </c>
      <c r="S108" s="65" t="str">
        <f>IF($A108="","",IFERROR(MAXIFS(Candidates!$AA$2:$AA$2000,Candidates!$A$2:$A$2000,$A108),""))</f>
        <v/>
      </c>
      <c r="T108" s="64" t="str">
        <f>IFERROR(__xludf.DUMMYFUNCTION("IF($A108="""","""",IFERROR(TEXTJOIN("", "",TRUE,UNIQUE(FILTER(Candidates!$B$2:$B$2000,Candidates!$A$2:$A$2000=$A108))),""""))"),"")</f>
        <v/>
      </c>
      <c r="U108" s="66" t="str">
        <f>IF($A108="","",COUNTIF(Candidates!$A$2:$A$2000,$A108))</f>
        <v/>
      </c>
      <c r="V108" s="64" t="str">
        <f>IFERROR(__xludf.DUMMYFUNCTION("IF($A108="""","""",IFERROR(INDEX(FILTER(Candidates!$S$2:$S$2000,Candidates!$A$2:$A$2000=$A108),COUNTIF(Candidates!$A$2:$A$2000,$A108)),""""))"),"")</f>
        <v/>
      </c>
      <c r="W108" s="64" t="str">
        <f>IFERROR(__xludf.DUMMYFUNCTION("IF($A108="""","""",IFERROR(INDEX(FILTER(Candidates!$T$2:$T$2000,Candidates!$A$2:$A$2000=$A108),COUNTIF(Candidates!$A$2:$A$2000,$A108)),""""))"),"")</f>
        <v/>
      </c>
      <c r="X108" s="64"/>
      <c r="Y108" s="64"/>
      <c r="Z108" s="65"/>
      <c r="AA108" s="65"/>
      <c r="AB108" s="65"/>
      <c r="AC108" s="65"/>
    </row>
    <row r="109">
      <c r="A109" s="64"/>
      <c r="B109" s="64"/>
      <c r="C109" s="64"/>
      <c r="D109" s="64"/>
      <c r="E109" s="64"/>
      <c r="F109" s="64"/>
      <c r="G109" s="64"/>
      <c r="H109" s="63"/>
      <c r="I109" s="64"/>
      <c r="J109" s="64"/>
      <c r="K109" s="64"/>
      <c r="L109" s="64"/>
      <c r="M109" s="64"/>
      <c r="N109" s="64"/>
      <c r="O109" s="64"/>
      <c r="P109" s="64"/>
      <c r="Q109" s="64"/>
      <c r="R109" s="65" t="str">
        <f>IF($A109="","",IFERROR(MINIFS(Candidates!$K$2:$K$2000,Candidates!$A$2:$A$2000,$A109),""))</f>
        <v/>
      </c>
      <c r="S109" s="65" t="str">
        <f>IF($A109="","",IFERROR(MAXIFS(Candidates!$AA$2:$AA$2000,Candidates!$A$2:$A$2000,$A109),""))</f>
        <v/>
      </c>
      <c r="T109" s="64" t="str">
        <f>IFERROR(__xludf.DUMMYFUNCTION("IF($A109="""","""",IFERROR(TEXTJOIN("", "",TRUE,UNIQUE(FILTER(Candidates!$B$2:$B$2000,Candidates!$A$2:$A$2000=$A109))),""""))"),"")</f>
        <v/>
      </c>
      <c r="U109" s="66" t="str">
        <f>IF($A109="","",COUNTIF(Candidates!$A$2:$A$2000,$A109))</f>
        <v/>
      </c>
      <c r="V109" s="64" t="str">
        <f>IFERROR(__xludf.DUMMYFUNCTION("IF($A109="""","""",IFERROR(INDEX(FILTER(Candidates!$S$2:$S$2000,Candidates!$A$2:$A$2000=$A109),COUNTIF(Candidates!$A$2:$A$2000,$A109)),""""))"),"")</f>
        <v/>
      </c>
      <c r="W109" s="64" t="str">
        <f>IFERROR(__xludf.DUMMYFUNCTION("IF($A109="""","""",IFERROR(INDEX(FILTER(Candidates!$T$2:$T$2000,Candidates!$A$2:$A$2000=$A109),COUNTIF(Candidates!$A$2:$A$2000,$A109)),""""))"),"")</f>
        <v/>
      </c>
      <c r="X109" s="64"/>
      <c r="Y109" s="64"/>
      <c r="Z109" s="65"/>
      <c r="AA109" s="65"/>
      <c r="AB109" s="65"/>
      <c r="AC109" s="65"/>
    </row>
    <row r="110">
      <c r="A110" s="64"/>
      <c r="B110" s="64"/>
      <c r="C110" s="64"/>
      <c r="D110" s="64"/>
      <c r="E110" s="64"/>
      <c r="F110" s="64"/>
      <c r="G110" s="64"/>
      <c r="H110" s="63"/>
      <c r="I110" s="64"/>
      <c r="J110" s="64"/>
      <c r="K110" s="64"/>
      <c r="L110" s="64"/>
      <c r="M110" s="64"/>
      <c r="N110" s="64"/>
      <c r="O110" s="64"/>
      <c r="P110" s="64"/>
      <c r="Q110" s="64"/>
      <c r="R110" s="65" t="str">
        <f>IF($A110="","",IFERROR(MINIFS(Candidates!$K$2:$K$2000,Candidates!$A$2:$A$2000,$A110),""))</f>
        <v/>
      </c>
      <c r="S110" s="65" t="str">
        <f>IF($A110="","",IFERROR(MAXIFS(Candidates!$AA$2:$AA$2000,Candidates!$A$2:$A$2000,$A110),""))</f>
        <v/>
      </c>
      <c r="T110" s="64" t="str">
        <f>IFERROR(__xludf.DUMMYFUNCTION("IF($A110="""","""",IFERROR(TEXTJOIN("", "",TRUE,UNIQUE(FILTER(Candidates!$B$2:$B$2000,Candidates!$A$2:$A$2000=$A110))),""""))"),"")</f>
        <v/>
      </c>
      <c r="U110" s="66" t="str">
        <f>IF($A110="","",COUNTIF(Candidates!$A$2:$A$2000,$A110))</f>
        <v/>
      </c>
      <c r="V110" s="64" t="str">
        <f>IFERROR(__xludf.DUMMYFUNCTION("IF($A110="""","""",IFERROR(INDEX(FILTER(Candidates!$S$2:$S$2000,Candidates!$A$2:$A$2000=$A110),COUNTIF(Candidates!$A$2:$A$2000,$A110)),""""))"),"")</f>
        <v/>
      </c>
      <c r="W110" s="64" t="str">
        <f>IFERROR(__xludf.DUMMYFUNCTION("IF($A110="""","""",IFERROR(INDEX(FILTER(Candidates!$T$2:$T$2000,Candidates!$A$2:$A$2000=$A110),COUNTIF(Candidates!$A$2:$A$2000,$A110)),""""))"),"")</f>
        <v/>
      </c>
      <c r="X110" s="64"/>
      <c r="Y110" s="64"/>
      <c r="Z110" s="65"/>
      <c r="AA110" s="65"/>
      <c r="AB110" s="65"/>
      <c r="AC110" s="65"/>
    </row>
    <row r="111">
      <c r="A111" s="64"/>
      <c r="B111" s="64"/>
      <c r="C111" s="64"/>
      <c r="D111" s="64"/>
      <c r="E111" s="64"/>
      <c r="F111" s="64"/>
      <c r="G111" s="64"/>
      <c r="H111" s="63"/>
      <c r="I111" s="64"/>
      <c r="J111" s="64"/>
      <c r="K111" s="64"/>
      <c r="L111" s="64"/>
      <c r="M111" s="64"/>
      <c r="N111" s="64"/>
      <c r="O111" s="64"/>
      <c r="P111" s="64"/>
      <c r="Q111" s="64"/>
      <c r="R111" s="65" t="str">
        <f>IF($A111="","",IFERROR(MINIFS(Candidates!$K$2:$K$2000,Candidates!$A$2:$A$2000,$A111),""))</f>
        <v/>
      </c>
      <c r="S111" s="65" t="str">
        <f>IF($A111="","",IFERROR(MAXIFS(Candidates!$AA$2:$AA$2000,Candidates!$A$2:$A$2000,$A111),""))</f>
        <v/>
      </c>
      <c r="T111" s="64" t="str">
        <f>IFERROR(__xludf.DUMMYFUNCTION("IF($A111="""","""",IFERROR(TEXTJOIN("", "",TRUE,UNIQUE(FILTER(Candidates!$B$2:$B$2000,Candidates!$A$2:$A$2000=$A111))),""""))"),"")</f>
        <v/>
      </c>
      <c r="U111" s="66" t="str">
        <f>IF($A111="","",COUNTIF(Candidates!$A$2:$A$2000,$A111))</f>
        <v/>
      </c>
      <c r="V111" s="64" t="str">
        <f>IFERROR(__xludf.DUMMYFUNCTION("IF($A111="""","""",IFERROR(INDEX(FILTER(Candidates!$S$2:$S$2000,Candidates!$A$2:$A$2000=$A111),COUNTIF(Candidates!$A$2:$A$2000,$A111)),""""))"),"")</f>
        <v/>
      </c>
      <c r="W111" s="64" t="str">
        <f>IFERROR(__xludf.DUMMYFUNCTION("IF($A111="""","""",IFERROR(INDEX(FILTER(Candidates!$T$2:$T$2000,Candidates!$A$2:$A$2000=$A111),COUNTIF(Candidates!$A$2:$A$2000,$A111)),""""))"),"")</f>
        <v/>
      </c>
      <c r="X111" s="64"/>
      <c r="Y111" s="64"/>
      <c r="Z111" s="65"/>
      <c r="AA111" s="65"/>
      <c r="AB111" s="65"/>
      <c r="AC111" s="65"/>
    </row>
    <row r="112">
      <c r="A112" s="64"/>
      <c r="B112" s="64"/>
      <c r="C112" s="64"/>
      <c r="D112" s="64"/>
      <c r="E112" s="64"/>
      <c r="F112" s="64"/>
      <c r="G112" s="64"/>
      <c r="H112" s="63"/>
      <c r="I112" s="64"/>
      <c r="J112" s="64"/>
      <c r="K112" s="64"/>
      <c r="L112" s="64"/>
      <c r="M112" s="64"/>
      <c r="N112" s="64"/>
      <c r="O112" s="64"/>
      <c r="P112" s="64"/>
      <c r="Q112" s="64"/>
      <c r="R112" s="65" t="str">
        <f>IF($A112="","",IFERROR(MINIFS(Candidates!$K$2:$K$2000,Candidates!$A$2:$A$2000,$A112),""))</f>
        <v/>
      </c>
      <c r="S112" s="65" t="str">
        <f>IF($A112="","",IFERROR(MAXIFS(Candidates!$AA$2:$AA$2000,Candidates!$A$2:$A$2000,$A112),""))</f>
        <v/>
      </c>
      <c r="T112" s="64" t="str">
        <f>IFERROR(__xludf.DUMMYFUNCTION("IF($A112="""","""",IFERROR(TEXTJOIN("", "",TRUE,UNIQUE(FILTER(Candidates!$B$2:$B$2000,Candidates!$A$2:$A$2000=$A112))),""""))"),"")</f>
        <v/>
      </c>
      <c r="U112" s="66" t="str">
        <f>IF($A112="","",COUNTIF(Candidates!$A$2:$A$2000,$A112))</f>
        <v/>
      </c>
      <c r="V112" s="64" t="str">
        <f>IFERROR(__xludf.DUMMYFUNCTION("IF($A112="""","""",IFERROR(INDEX(FILTER(Candidates!$S$2:$S$2000,Candidates!$A$2:$A$2000=$A112),COUNTIF(Candidates!$A$2:$A$2000,$A112)),""""))"),"")</f>
        <v/>
      </c>
      <c r="W112" s="64" t="str">
        <f>IFERROR(__xludf.DUMMYFUNCTION("IF($A112="""","""",IFERROR(INDEX(FILTER(Candidates!$T$2:$T$2000,Candidates!$A$2:$A$2000=$A112),COUNTIF(Candidates!$A$2:$A$2000,$A112)),""""))"),"")</f>
        <v/>
      </c>
      <c r="X112" s="64"/>
      <c r="Y112" s="64"/>
      <c r="Z112" s="65"/>
      <c r="AA112" s="65"/>
      <c r="AB112" s="65"/>
      <c r="AC112" s="65"/>
    </row>
    <row r="113">
      <c r="A113" s="64"/>
      <c r="B113" s="64"/>
      <c r="C113" s="64"/>
      <c r="D113" s="64"/>
      <c r="E113" s="64"/>
      <c r="F113" s="64"/>
      <c r="G113" s="64"/>
      <c r="H113" s="63"/>
      <c r="I113" s="64"/>
      <c r="J113" s="64"/>
      <c r="K113" s="64"/>
      <c r="L113" s="64"/>
      <c r="M113" s="64"/>
      <c r="N113" s="64"/>
      <c r="O113" s="64"/>
      <c r="P113" s="64"/>
      <c r="Q113" s="64"/>
      <c r="R113" s="65" t="str">
        <f>IF($A113="","",IFERROR(MINIFS(Candidates!$K$2:$K$2000,Candidates!$A$2:$A$2000,$A113),""))</f>
        <v/>
      </c>
      <c r="S113" s="65" t="str">
        <f>IF($A113="","",IFERROR(MAXIFS(Candidates!$AA$2:$AA$2000,Candidates!$A$2:$A$2000,$A113),""))</f>
        <v/>
      </c>
      <c r="T113" s="64" t="str">
        <f>IFERROR(__xludf.DUMMYFUNCTION("IF($A113="""","""",IFERROR(TEXTJOIN("", "",TRUE,UNIQUE(FILTER(Candidates!$B$2:$B$2000,Candidates!$A$2:$A$2000=$A113))),""""))"),"")</f>
        <v/>
      </c>
      <c r="U113" s="66" t="str">
        <f>IF($A113="","",COUNTIF(Candidates!$A$2:$A$2000,$A113))</f>
        <v/>
      </c>
      <c r="V113" s="64" t="str">
        <f>IFERROR(__xludf.DUMMYFUNCTION("IF($A113="""","""",IFERROR(INDEX(FILTER(Candidates!$S$2:$S$2000,Candidates!$A$2:$A$2000=$A113),COUNTIF(Candidates!$A$2:$A$2000,$A113)),""""))"),"")</f>
        <v/>
      </c>
      <c r="W113" s="64" t="str">
        <f>IFERROR(__xludf.DUMMYFUNCTION("IF($A113="""","""",IFERROR(INDEX(FILTER(Candidates!$T$2:$T$2000,Candidates!$A$2:$A$2000=$A113),COUNTIF(Candidates!$A$2:$A$2000,$A113)),""""))"),"")</f>
        <v/>
      </c>
      <c r="X113" s="64"/>
      <c r="Y113" s="64"/>
      <c r="Z113" s="65"/>
      <c r="AA113" s="65"/>
      <c r="AB113" s="65"/>
      <c r="AC113" s="65"/>
    </row>
    <row r="114">
      <c r="A114" s="64"/>
      <c r="B114" s="64"/>
      <c r="C114" s="64"/>
      <c r="D114" s="64"/>
      <c r="E114" s="64"/>
      <c r="F114" s="64"/>
      <c r="G114" s="64"/>
      <c r="H114" s="63"/>
      <c r="I114" s="64"/>
      <c r="J114" s="64"/>
      <c r="K114" s="64"/>
      <c r="L114" s="64"/>
      <c r="M114" s="64"/>
      <c r="N114" s="64"/>
      <c r="O114" s="64"/>
      <c r="P114" s="64"/>
      <c r="Q114" s="64"/>
      <c r="R114" s="65" t="str">
        <f>IF($A114="","",IFERROR(MINIFS(Candidates!$K$2:$K$2000,Candidates!$A$2:$A$2000,$A114),""))</f>
        <v/>
      </c>
      <c r="S114" s="65" t="str">
        <f>IF($A114="","",IFERROR(MAXIFS(Candidates!$AA$2:$AA$2000,Candidates!$A$2:$A$2000,$A114),""))</f>
        <v/>
      </c>
      <c r="T114" s="64" t="str">
        <f>IFERROR(__xludf.DUMMYFUNCTION("IF($A114="""","""",IFERROR(TEXTJOIN("", "",TRUE,UNIQUE(FILTER(Candidates!$B$2:$B$2000,Candidates!$A$2:$A$2000=$A114))),""""))"),"")</f>
        <v/>
      </c>
      <c r="U114" s="66" t="str">
        <f>IF($A114="","",COUNTIF(Candidates!$A$2:$A$2000,$A114))</f>
        <v/>
      </c>
      <c r="V114" s="64" t="str">
        <f>IFERROR(__xludf.DUMMYFUNCTION("IF($A114="""","""",IFERROR(INDEX(FILTER(Candidates!$S$2:$S$2000,Candidates!$A$2:$A$2000=$A114),COUNTIF(Candidates!$A$2:$A$2000,$A114)),""""))"),"")</f>
        <v/>
      </c>
      <c r="W114" s="64" t="str">
        <f>IFERROR(__xludf.DUMMYFUNCTION("IF($A114="""","""",IFERROR(INDEX(FILTER(Candidates!$T$2:$T$2000,Candidates!$A$2:$A$2000=$A114),COUNTIF(Candidates!$A$2:$A$2000,$A114)),""""))"),"")</f>
        <v/>
      </c>
      <c r="X114" s="64"/>
      <c r="Y114" s="64"/>
      <c r="Z114" s="65"/>
      <c r="AA114" s="65"/>
      <c r="AB114" s="65"/>
      <c r="AC114" s="65"/>
    </row>
    <row r="115">
      <c r="A115" s="64"/>
      <c r="B115" s="64"/>
      <c r="C115" s="64"/>
      <c r="D115" s="64"/>
      <c r="E115" s="64"/>
      <c r="F115" s="64"/>
      <c r="G115" s="64"/>
      <c r="H115" s="63"/>
      <c r="I115" s="64"/>
      <c r="J115" s="64"/>
      <c r="K115" s="64"/>
      <c r="L115" s="64"/>
      <c r="M115" s="64"/>
      <c r="N115" s="64"/>
      <c r="O115" s="64"/>
      <c r="P115" s="64"/>
      <c r="Q115" s="64"/>
      <c r="R115" s="65" t="str">
        <f>IF($A115="","",IFERROR(MINIFS(Candidates!$K$2:$K$2000,Candidates!$A$2:$A$2000,$A115),""))</f>
        <v/>
      </c>
      <c r="S115" s="65" t="str">
        <f>IF($A115="","",IFERROR(MAXIFS(Candidates!$AA$2:$AA$2000,Candidates!$A$2:$A$2000,$A115),""))</f>
        <v/>
      </c>
      <c r="T115" s="64" t="str">
        <f>IFERROR(__xludf.DUMMYFUNCTION("IF($A115="""","""",IFERROR(TEXTJOIN("", "",TRUE,UNIQUE(FILTER(Candidates!$B$2:$B$2000,Candidates!$A$2:$A$2000=$A115))),""""))"),"")</f>
        <v/>
      </c>
      <c r="U115" s="66" t="str">
        <f>IF($A115="","",COUNTIF(Candidates!$A$2:$A$2000,$A115))</f>
        <v/>
      </c>
      <c r="V115" s="64" t="str">
        <f>IFERROR(__xludf.DUMMYFUNCTION("IF($A115="""","""",IFERROR(INDEX(FILTER(Candidates!$S$2:$S$2000,Candidates!$A$2:$A$2000=$A115),COUNTIF(Candidates!$A$2:$A$2000,$A115)),""""))"),"")</f>
        <v/>
      </c>
      <c r="W115" s="64" t="str">
        <f>IFERROR(__xludf.DUMMYFUNCTION("IF($A115="""","""",IFERROR(INDEX(FILTER(Candidates!$T$2:$T$2000,Candidates!$A$2:$A$2000=$A115),COUNTIF(Candidates!$A$2:$A$2000,$A115)),""""))"),"")</f>
        <v/>
      </c>
      <c r="X115" s="64"/>
      <c r="Y115" s="64"/>
      <c r="Z115" s="65"/>
      <c r="AA115" s="65"/>
      <c r="AB115" s="65"/>
      <c r="AC115" s="65"/>
    </row>
    <row r="116">
      <c r="A116" s="64"/>
      <c r="B116" s="64"/>
      <c r="C116" s="64"/>
      <c r="D116" s="64"/>
      <c r="E116" s="64"/>
      <c r="F116" s="64"/>
      <c r="G116" s="64"/>
      <c r="H116" s="63"/>
      <c r="I116" s="64"/>
      <c r="J116" s="64"/>
      <c r="K116" s="64"/>
      <c r="L116" s="64"/>
      <c r="M116" s="64"/>
      <c r="N116" s="64"/>
      <c r="O116" s="64"/>
      <c r="P116" s="64"/>
      <c r="Q116" s="64"/>
      <c r="R116" s="65" t="str">
        <f>IF($A116="","",IFERROR(MINIFS(Candidates!$K$2:$K$2000,Candidates!$A$2:$A$2000,$A116),""))</f>
        <v/>
      </c>
      <c r="S116" s="65" t="str">
        <f>IF($A116="","",IFERROR(MAXIFS(Candidates!$AA$2:$AA$2000,Candidates!$A$2:$A$2000,$A116),""))</f>
        <v/>
      </c>
      <c r="T116" s="64" t="str">
        <f>IFERROR(__xludf.DUMMYFUNCTION("IF($A116="""","""",IFERROR(TEXTJOIN("", "",TRUE,UNIQUE(FILTER(Candidates!$B$2:$B$2000,Candidates!$A$2:$A$2000=$A116))),""""))"),"")</f>
        <v/>
      </c>
      <c r="U116" s="66" t="str">
        <f>IF($A116="","",COUNTIF(Candidates!$A$2:$A$2000,$A116))</f>
        <v/>
      </c>
      <c r="V116" s="64" t="str">
        <f>IFERROR(__xludf.DUMMYFUNCTION("IF($A116="""","""",IFERROR(INDEX(FILTER(Candidates!$S$2:$S$2000,Candidates!$A$2:$A$2000=$A116),COUNTIF(Candidates!$A$2:$A$2000,$A116)),""""))"),"")</f>
        <v/>
      </c>
      <c r="W116" s="64" t="str">
        <f>IFERROR(__xludf.DUMMYFUNCTION("IF($A116="""","""",IFERROR(INDEX(FILTER(Candidates!$T$2:$T$2000,Candidates!$A$2:$A$2000=$A116),COUNTIF(Candidates!$A$2:$A$2000,$A116)),""""))"),"")</f>
        <v/>
      </c>
      <c r="X116" s="64"/>
      <c r="Y116" s="64"/>
      <c r="Z116" s="65"/>
      <c r="AA116" s="65"/>
      <c r="AB116" s="65"/>
      <c r="AC116" s="65"/>
    </row>
    <row r="117">
      <c r="A117" s="64"/>
      <c r="B117" s="64"/>
      <c r="C117" s="64"/>
      <c r="D117" s="64"/>
      <c r="E117" s="64"/>
      <c r="F117" s="64"/>
      <c r="G117" s="64"/>
      <c r="H117" s="63"/>
      <c r="I117" s="64"/>
      <c r="J117" s="64"/>
      <c r="K117" s="64"/>
      <c r="L117" s="64"/>
      <c r="M117" s="64"/>
      <c r="N117" s="64"/>
      <c r="O117" s="64"/>
      <c r="P117" s="64"/>
      <c r="Q117" s="64"/>
      <c r="R117" s="65" t="str">
        <f>IF($A117="","",IFERROR(MINIFS(Candidates!$K$2:$K$2000,Candidates!$A$2:$A$2000,$A117),""))</f>
        <v/>
      </c>
      <c r="S117" s="65" t="str">
        <f>IF($A117="","",IFERROR(MAXIFS(Candidates!$AA$2:$AA$2000,Candidates!$A$2:$A$2000,$A117),""))</f>
        <v/>
      </c>
      <c r="T117" s="64" t="str">
        <f>IFERROR(__xludf.DUMMYFUNCTION("IF($A117="""","""",IFERROR(TEXTJOIN("", "",TRUE,UNIQUE(FILTER(Candidates!$B$2:$B$2000,Candidates!$A$2:$A$2000=$A117))),""""))"),"")</f>
        <v/>
      </c>
      <c r="U117" s="66" t="str">
        <f>IF($A117="","",COUNTIF(Candidates!$A$2:$A$2000,$A117))</f>
        <v/>
      </c>
      <c r="V117" s="64" t="str">
        <f>IFERROR(__xludf.DUMMYFUNCTION("IF($A117="""","""",IFERROR(INDEX(FILTER(Candidates!$S$2:$S$2000,Candidates!$A$2:$A$2000=$A117),COUNTIF(Candidates!$A$2:$A$2000,$A117)),""""))"),"")</f>
        <v/>
      </c>
      <c r="W117" s="64" t="str">
        <f>IFERROR(__xludf.DUMMYFUNCTION("IF($A117="""","""",IFERROR(INDEX(FILTER(Candidates!$T$2:$T$2000,Candidates!$A$2:$A$2000=$A117),COUNTIF(Candidates!$A$2:$A$2000,$A117)),""""))"),"")</f>
        <v/>
      </c>
      <c r="X117" s="64"/>
      <c r="Y117" s="64"/>
      <c r="Z117" s="65"/>
      <c r="AA117" s="65"/>
      <c r="AB117" s="65"/>
      <c r="AC117" s="65"/>
    </row>
    <row r="118">
      <c r="A118" s="64"/>
      <c r="B118" s="64"/>
      <c r="C118" s="64"/>
      <c r="D118" s="64"/>
      <c r="E118" s="64"/>
      <c r="F118" s="64"/>
      <c r="G118" s="64"/>
      <c r="H118" s="63"/>
      <c r="I118" s="64"/>
      <c r="J118" s="64"/>
      <c r="K118" s="64"/>
      <c r="L118" s="64"/>
      <c r="M118" s="64"/>
      <c r="N118" s="64"/>
      <c r="O118" s="64"/>
      <c r="P118" s="64"/>
      <c r="Q118" s="64"/>
      <c r="R118" s="65" t="str">
        <f>IF($A118="","",IFERROR(MINIFS(Candidates!$K$2:$K$2000,Candidates!$A$2:$A$2000,$A118),""))</f>
        <v/>
      </c>
      <c r="S118" s="65" t="str">
        <f>IF($A118="","",IFERROR(MAXIFS(Candidates!$AA$2:$AA$2000,Candidates!$A$2:$A$2000,$A118),""))</f>
        <v/>
      </c>
      <c r="T118" s="64" t="str">
        <f>IFERROR(__xludf.DUMMYFUNCTION("IF($A118="""","""",IFERROR(TEXTJOIN("", "",TRUE,UNIQUE(FILTER(Candidates!$B$2:$B$2000,Candidates!$A$2:$A$2000=$A118))),""""))"),"")</f>
        <v/>
      </c>
      <c r="U118" s="66" t="str">
        <f>IF($A118="","",COUNTIF(Candidates!$A$2:$A$2000,$A118))</f>
        <v/>
      </c>
      <c r="V118" s="64" t="str">
        <f>IFERROR(__xludf.DUMMYFUNCTION("IF($A118="""","""",IFERROR(INDEX(FILTER(Candidates!$S$2:$S$2000,Candidates!$A$2:$A$2000=$A118),COUNTIF(Candidates!$A$2:$A$2000,$A118)),""""))"),"")</f>
        <v/>
      </c>
      <c r="W118" s="64" t="str">
        <f>IFERROR(__xludf.DUMMYFUNCTION("IF($A118="""","""",IFERROR(INDEX(FILTER(Candidates!$T$2:$T$2000,Candidates!$A$2:$A$2000=$A118),COUNTIF(Candidates!$A$2:$A$2000,$A118)),""""))"),"")</f>
        <v/>
      </c>
      <c r="X118" s="64"/>
      <c r="Y118" s="64"/>
      <c r="Z118" s="65"/>
      <c r="AA118" s="65"/>
      <c r="AB118" s="65"/>
      <c r="AC118" s="65"/>
    </row>
    <row r="119">
      <c r="A119" s="64"/>
      <c r="B119" s="64"/>
      <c r="C119" s="64"/>
      <c r="D119" s="64"/>
      <c r="E119" s="64"/>
      <c r="F119" s="64"/>
      <c r="G119" s="64"/>
      <c r="H119" s="63"/>
      <c r="I119" s="64"/>
      <c r="J119" s="64"/>
      <c r="K119" s="64"/>
      <c r="L119" s="64"/>
      <c r="M119" s="64"/>
      <c r="N119" s="64"/>
      <c r="O119" s="64"/>
      <c r="P119" s="64"/>
      <c r="Q119" s="64"/>
      <c r="R119" s="65" t="str">
        <f>IF($A119="","",IFERROR(MINIFS(Candidates!$K$2:$K$2000,Candidates!$A$2:$A$2000,$A119),""))</f>
        <v/>
      </c>
      <c r="S119" s="65" t="str">
        <f>IF($A119="","",IFERROR(MAXIFS(Candidates!$AA$2:$AA$2000,Candidates!$A$2:$A$2000,$A119),""))</f>
        <v/>
      </c>
      <c r="T119" s="64" t="str">
        <f>IFERROR(__xludf.DUMMYFUNCTION("IF($A119="""","""",IFERROR(TEXTJOIN("", "",TRUE,UNIQUE(FILTER(Candidates!$B$2:$B$2000,Candidates!$A$2:$A$2000=$A119))),""""))"),"")</f>
        <v/>
      </c>
      <c r="U119" s="66" t="str">
        <f>IF($A119="","",COUNTIF(Candidates!$A$2:$A$2000,$A119))</f>
        <v/>
      </c>
      <c r="V119" s="64" t="str">
        <f>IFERROR(__xludf.DUMMYFUNCTION("IF($A119="""","""",IFERROR(INDEX(FILTER(Candidates!$S$2:$S$2000,Candidates!$A$2:$A$2000=$A119),COUNTIF(Candidates!$A$2:$A$2000,$A119)),""""))"),"")</f>
        <v/>
      </c>
      <c r="W119" s="64" t="str">
        <f>IFERROR(__xludf.DUMMYFUNCTION("IF($A119="""","""",IFERROR(INDEX(FILTER(Candidates!$T$2:$T$2000,Candidates!$A$2:$A$2000=$A119),COUNTIF(Candidates!$A$2:$A$2000,$A119)),""""))"),"")</f>
        <v/>
      </c>
      <c r="X119" s="64"/>
      <c r="Y119" s="64"/>
      <c r="Z119" s="65"/>
      <c r="AA119" s="65"/>
      <c r="AB119" s="65"/>
      <c r="AC119" s="65"/>
    </row>
    <row r="120">
      <c r="A120" s="64"/>
      <c r="B120" s="64"/>
      <c r="C120" s="64"/>
      <c r="D120" s="64"/>
      <c r="E120" s="64"/>
      <c r="F120" s="64"/>
      <c r="G120" s="64"/>
      <c r="H120" s="63"/>
      <c r="I120" s="64"/>
      <c r="J120" s="64"/>
      <c r="K120" s="64"/>
      <c r="L120" s="64"/>
      <c r="M120" s="64"/>
      <c r="N120" s="64"/>
      <c r="O120" s="64"/>
      <c r="P120" s="64"/>
      <c r="Q120" s="64"/>
      <c r="R120" s="65" t="str">
        <f>IF($A120="","",IFERROR(MINIFS(Candidates!$K$2:$K$2000,Candidates!$A$2:$A$2000,$A120),""))</f>
        <v/>
      </c>
      <c r="S120" s="65" t="str">
        <f>IF($A120="","",IFERROR(MAXIFS(Candidates!$AA$2:$AA$2000,Candidates!$A$2:$A$2000,$A120),""))</f>
        <v/>
      </c>
      <c r="T120" s="64" t="str">
        <f>IFERROR(__xludf.DUMMYFUNCTION("IF($A120="""","""",IFERROR(TEXTJOIN("", "",TRUE,UNIQUE(FILTER(Candidates!$B$2:$B$2000,Candidates!$A$2:$A$2000=$A120))),""""))"),"")</f>
        <v/>
      </c>
      <c r="U120" s="66" t="str">
        <f>IF($A120="","",COUNTIF(Candidates!$A$2:$A$2000,$A120))</f>
        <v/>
      </c>
      <c r="V120" s="64" t="str">
        <f>IFERROR(__xludf.DUMMYFUNCTION("IF($A120="""","""",IFERROR(INDEX(FILTER(Candidates!$S$2:$S$2000,Candidates!$A$2:$A$2000=$A120),COUNTIF(Candidates!$A$2:$A$2000,$A120)),""""))"),"")</f>
        <v/>
      </c>
      <c r="W120" s="64" t="str">
        <f>IFERROR(__xludf.DUMMYFUNCTION("IF($A120="""","""",IFERROR(INDEX(FILTER(Candidates!$T$2:$T$2000,Candidates!$A$2:$A$2000=$A120),COUNTIF(Candidates!$A$2:$A$2000,$A120)),""""))"),"")</f>
        <v/>
      </c>
      <c r="X120" s="64"/>
      <c r="Y120" s="64"/>
      <c r="Z120" s="65"/>
      <c r="AA120" s="65"/>
      <c r="AB120" s="65"/>
      <c r="AC120" s="65"/>
    </row>
    <row r="121">
      <c r="A121" s="64"/>
      <c r="B121" s="64"/>
      <c r="C121" s="64"/>
      <c r="D121" s="64"/>
      <c r="E121" s="64"/>
      <c r="F121" s="64"/>
      <c r="G121" s="64"/>
      <c r="H121" s="63"/>
      <c r="I121" s="64"/>
      <c r="J121" s="64"/>
      <c r="K121" s="64"/>
      <c r="L121" s="64"/>
      <c r="M121" s="64"/>
      <c r="N121" s="64"/>
      <c r="O121" s="64"/>
      <c r="P121" s="64"/>
      <c r="Q121" s="64"/>
      <c r="R121" s="65" t="str">
        <f>IF($A121="","",IFERROR(MINIFS(Candidates!$K$2:$K$2000,Candidates!$A$2:$A$2000,$A121),""))</f>
        <v/>
      </c>
      <c r="S121" s="65" t="str">
        <f>IF($A121="","",IFERROR(MAXIFS(Candidates!$AA$2:$AA$2000,Candidates!$A$2:$A$2000,$A121),""))</f>
        <v/>
      </c>
      <c r="T121" s="64" t="str">
        <f>IFERROR(__xludf.DUMMYFUNCTION("IF($A121="""","""",IFERROR(TEXTJOIN("", "",TRUE,UNIQUE(FILTER(Candidates!$B$2:$B$2000,Candidates!$A$2:$A$2000=$A121))),""""))"),"")</f>
        <v/>
      </c>
      <c r="U121" s="66" t="str">
        <f>IF($A121="","",COUNTIF(Candidates!$A$2:$A$2000,$A121))</f>
        <v/>
      </c>
      <c r="V121" s="64" t="str">
        <f>IFERROR(__xludf.DUMMYFUNCTION("IF($A121="""","""",IFERROR(INDEX(FILTER(Candidates!$S$2:$S$2000,Candidates!$A$2:$A$2000=$A121),COUNTIF(Candidates!$A$2:$A$2000,$A121)),""""))"),"")</f>
        <v/>
      </c>
      <c r="W121" s="64" t="str">
        <f>IFERROR(__xludf.DUMMYFUNCTION("IF($A121="""","""",IFERROR(INDEX(FILTER(Candidates!$T$2:$T$2000,Candidates!$A$2:$A$2000=$A121),COUNTIF(Candidates!$A$2:$A$2000,$A121)),""""))"),"")</f>
        <v/>
      </c>
      <c r="X121" s="64"/>
      <c r="Y121" s="64"/>
      <c r="Z121" s="65"/>
      <c r="AA121" s="65"/>
      <c r="AB121" s="65"/>
      <c r="AC121" s="65"/>
    </row>
    <row r="122">
      <c r="A122" s="64"/>
      <c r="B122" s="64"/>
      <c r="C122" s="64"/>
      <c r="D122" s="64"/>
      <c r="E122" s="64"/>
      <c r="F122" s="64"/>
      <c r="G122" s="64"/>
      <c r="H122" s="63"/>
      <c r="I122" s="64"/>
      <c r="J122" s="64"/>
      <c r="K122" s="64"/>
      <c r="L122" s="64"/>
      <c r="M122" s="64"/>
      <c r="N122" s="64"/>
      <c r="O122" s="64"/>
      <c r="P122" s="64"/>
      <c r="Q122" s="64"/>
      <c r="R122" s="65" t="str">
        <f>IF($A122="","",IFERROR(MINIFS(Candidates!$K$2:$K$2000,Candidates!$A$2:$A$2000,$A122),""))</f>
        <v/>
      </c>
      <c r="S122" s="65" t="str">
        <f>IF($A122="","",IFERROR(MAXIFS(Candidates!$AA$2:$AA$2000,Candidates!$A$2:$A$2000,$A122),""))</f>
        <v/>
      </c>
      <c r="T122" s="64" t="str">
        <f>IFERROR(__xludf.DUMMYFUNCTION("IF($A122="""","""",IFERROR(TEXTJOIN("", "",TRUE,UNIQUE(FILTER(Candidates!$B$2:$B$2000,Candidates!$A$2:$A$2000=$A122))),""""))"),"")</f>
        <v/>
      </c>
      <c r="U122" s="66" t="str">
        <f>IF($A122="","",COUNTIF(Candidates!$A$2:$A$2000,$A122))</f>
        <v/>
      </c>
      <c r="V122" s="64" t="str">
        <f>IFERROR(__xludf.DUMMYFUNCTION("IF($A122="""","""",IFERROR(INDEX(FILTER(Candidates!$S$2:$S$2000,Candidates!$A$2:$A$2000=$A122),COUNTIF(Candidates!$A$2:$A$2000,$A122)),""""))"),"")</f>
        <v/>
      </c>
      <c r="W122" s="64" t="str">
        <f>IFERROR(__xludf.DUMMYFUNCTION("IF($A122="""","""",IFERROR(INDEX(FILTER(Candidates!$T$2:$T$2000,Candidates!$A$2:$A$2000=$A122),COUNTIF(Candidates!$A$2:$A$2000,$A122)),""""))"),"")</f>
        <v/>
      </c>
      <c r="X122" s="64"/>
      <c r="Y122" s="64"/>
      <c r="Z122" s="65"/>
      <c r="AA122" s="65"/>
      <c r="AB122" s="65"/>
      <c r="AC122" s="65"/>
    </row>
    <row r="123">
      <c r="A123" s="64"/>
      <c r="B123" s="64"/>
      <c r="C123" s="64"/>
      <c r="D123" s="64"/>
      <c r="E123" s="64"/>
      <c r="F123" s="64"/>
      <c r="G123" s="64"/>
      <c r="H123" s="63"/>
      <c r="I123" s="64"/>
      <c r="J123" s="64"/>
      <c r="K123" s="64"/>
      <c r="L123" s="64"/>
      <c r="M123" s="64"/>
      <c r="N123" s="64"/>
      <c r="O123" s="64"/>
      <c r="P123" s="64"/>
      <c r="Q123" s="64"/>
      <c r="R123" s="65" t="str">
        <f>IF($A123="","",IFERROR(MINIFS(Candidates!$K$2:$K$2000,Candidates!$A$2:$A$2000,$A123),""))</f>
        <v/>
      </c>
      <c r="S123" s="65" t="str">
        <f>IF($A123="","",IFERROR(MAXIFS(Candidates!$AA$2:$AA$2000,Candidates!$A$2:$A$2000,$A123),""))</f>
        <v/>
      </c>
      <c r="T123" s="64" t="str">
        <f>IFERROR(__xludf.DUMMYFUNCTION("IF($A123="""","""",IFERROR(TEXTJOIN("", "",TRUE,UNIQUE(FILTER(Candidates!$B$2:$B$2000,Candidates!$A$2:$A$2000=$A123))),""""))"),"")</f>
        <v/>
      </c>
      <c r="U123" s="66" t="str">
        <f>IF($A123="","",COUNTIF(Candidates!$A$2:$A$2000,$A123))</f>
        <v/>
      </c>
      <c r="V123" s="64" t="str">
        <f>IFERROR(__xludf.DUMMYFUNCTION("IF($A123="""","""",IFERROR(INDEX(FILTER(Candidates!$S$2:$S$2000,Candidates!$A$2:$A$2000=$A123),COUNTIF(Candidates!$A$2:$A$2000,$A123)),""""))"),"")</f>
        <v/>
      </c>
      <c r="W123" s="64" t="str">
        <f>IFERROR(__xludf.DUMMYFUNCTION("IF($A123="""","""",IFERROR(INDEX(FILTER(Candidates!$T$2:$T$2000,Candidates!$A$2:$A$2000=$A123),COUNTIF(Candidates!$A$2:$A$2000,$A123)),""""))"),"")</f>
        <v/>
      </c>
      <c r="X123" s="64"/>
      <c r="Y123" s="64"/>
      <c r="Z123" s="65"/>
      <c r="AA123" s="65"/>
      <c r="AB123" s="65"/>
      <c r="AC123" s="65"/>
    </row>
    <row r="124">
      <c r="A124" s="64"/>
      <c r="B124" s="64"/>
      <c r="C124" s="64"/>
      <c r="D124" s="64"/>
      <c r="E124" s="64"/>
      <c r="F124" s="64"/>
      <c r="G124" s="64"/>
      <c r="H124" s="63"/>
      <c r="I124" s="64"/>
      <c r="J124" s="64"/>
      <c r="K124" s="64"/>
      <c r="L124" s="64"/>
      <c r="M124" s="64"/>
      <c r="N124" s="64"/>
      <c r="O124" s="64"/>
      <c r="P124" s="64"/>
      <c r="Q124" s="64"/>
      <c r="R124" s="65" t="str">
        <f>IF($A124="","",IFERROR(MINIFS(Candidates!$K$2:$K$2000,Candidates!$A$2:$A$2000,$A124),""))</f>
        <v/>
      </c>
      <c r="S124" s="65" t="str">
        <f>IF($A124="","",IFERROR(MAXIFS(Candidates!$AA$2:$AA$2000,Candidates!$A$2:$A$2000,$A124),""))</f>
        <v/>
      </c>
      <c r="T124" s="64" t="str">
        <f>IFERROR(__xludf.DUMMYFUNCTION("IF($A124="""","""",IFERROR(TEXTJOIN("", "",TRUE,UNIQUE(FILTER(Candidates!$B$2:$B$2000,Candidates!$A$2:$A$2000=$A124))),""""))"),"")</f>
        <v/>
      </c>
      <c r="U124" s="66" t="str">
        <f>IF($A124="","",COUNTIF(Candidates!$A$2:$A$2000,$A124))</f>
        <v/>
      </c>
      <c r="V124" s="64" t="str">
        <f>IFERROR(__xludf.DUMMYFUNCTION("IF($A124="""","""",IFERROR(INDEX(FILTER(Candidates!$S$2:$S$2000,Candidates!$A$2:$A$2000=$A124),COUNTIF(Candidates!$A$2:$A$2000,$A124)),""""))"),"")</f>
        <v/>
      </c>
      <c r="W124" s="64" t="str">
        <f>IFERROR(__xludf.DUMMYFUNCTION("IF($A124="""","""",IFERROR(INDEX(FILTER(Candidates!$T$2:$T$2000,Candidates!$A$2:$A$2000=$A124),COUNTIF(Candidates!$A$2:$A$2000,$A124)),""""))"),"")</f>
        <v/>
      </c>
      <c r="X124" s="64"/>
      <c r="Y124" s="64"/>
      <c r="Z124" s="65"/>
      <c r="AA124" s="65"/>
      <c r="AB124" s="65"/>
      <c r="AC124" s="65"/>
    </row>
    <row r="125">
      <c r="A125" s="64"/>
      <c r="B125" s="64"/>
      <c r="C125" s="64"/>
      <c r="D125" s="64"/>
      <c r="E125" s="64"/>
      <c r="F125" s="64"/>
      <c r="G125" s="64"/>
      <c r="H125" s="63"/>
      <c r="I125" s="64"/>
      <c r="J125" s="64"/>
      <c r="K125" s="64"/>
      <c r="L125" s="64"/>
      <c r="M125" s="64"/>
      <c r="N125" s="64"/>
      <c r="O125" s="64"/>
      <c r="P125" s="64"/>
      <c r="Q125" s="64"/>
      <c r="R125" s="65" t="str">
        <f>IF($A125="","",IFERROR(MINIFS(Candidates!$K$2:$K$2000,Candidates!$A$2:$A$2000,$A125),""))</f>
        <v/>
      </c>
      <c r="S125" s="65" t="str">
        <f>IF($A125="","",IFERROR(MAXIFS(Candidates!$AA$2:$AA$2000,Candidates!$A$2:$A$2000,$A125),""))</f>
        <v/>
      </c>
      <c r="T125" s="64" t="str">
        <f>IFERROR(__xludf.DUMMYFUNCTION("IF($A125="""","""",IFERROR(TEXTJOIN("", "",TRUE,UNIQUE(FILTER(Candidates!$B$2:$B$2000,Candidates!$A$2:$A$2000=$A125))),""""))"),"")</f>
        <v/>
      </c>
      <c r="U125" s="66" t="str">
        <f>IF($A125="","",COUNTIF(Candidates!$A$2:$A$2000,$A125))</f>
        <v/>
      </c>
      <c r="V125" s="64" t="str">
        <f>IFERROR(__xludf.DUMMYFUNCTION("IF($A125="""","""",IFERROR(INDEX(FILTER(Candidates!$S$2:$S$2000,Candidates!$A$2:$A$2000=$A125),COUNTIF(Candidates!$A$2:$A$2000,$A125)),""""))"),"")</f>
        <v/>
      </c>
      <c r="W125" s="64" t="str">
        <f>IFERROR(__xludf.DUMMYFUNCTION("IF($A125="""","""",IFERROR(INDEX(FILTER(Candidates!$T$2:$T$2000,Candidates!$A$2:$A$2000=$A125),COUNTIF(Candidates!$A$2:$A$2000,$A125)),""""))"),"")</f>
        <v/>
      </c>
      <c r="X125" s="64"/>
      <c r="Y125" s="64"/>
      <c r="Z125" s="65"/>
      <c r="AA125" s="65"/>
      <c r="AB125" s="65"/>
      <c r="AC125" s="65"/>
    </row>
    <row r="126">
      <c r="A126" s="64"/>
      <c r="B126" s="64"/>
      <c r="C126" s="64"/>
      <c r="D126" s="64"/>
      <c r="E126" s="64"/>
      <c r="F126" s="64"/>
      <c r="G126" s="64"/>
      <c r="H126" s="63"/>
      <c r="I126" s="64"/>
      <c r="J126" s="64"/>
      <c r="K126" s="64"/>
      <c r="L126" s="64"/>
      <c r="M126" s="64"/>
      <c r="N126" s="64"/>
      <c r="O126" s="64"/>
      <c r="P126" s="64"/>
      <c r="Q126" s="64"/>
      <c r="R126" s="65" t="str">
        <f>IF($A126="","",IFERROR(MINIFS(Candidates!$K$2:$K$2000,Candidates!$A$2:$A$2000,$A126),""))</f>
        <v/>
      </c>
      <c r="S126" s="65" t="str">
        <f>IF($A126="","",IFERROR(MAXIFS(Candidates!$AA$2:$AA$2000,Candidates!$A$2:$A$2000,$A126),""))</f>
        <v/>
      </c>
      <c r="T126" s="64" t="str">
        <f>IFERROR(__xludf.DUMMYFUNCTION("IF($A126="""","""",IFERROR(TEXTJOIN("", "",TRUE,UNIQUE(FILTER(Candidates!$B$2:$B$2000,Candidates!$A$2:$A$2000=$A126))),""""))"),"")</f>
        <v/>
      </c>
      <c r="U126" s="66" t="str">
        <f>IF($A126="","",COUNTIF(Candidates!$A$2:$A$2000,$A126))</f>
        <v/>
      </c>
      <c r="V126" s="64" t="str">
        <f>IFERROR(__xludf.DUMMYFUNCTION("IF($A126="""","""",IFERROR(INDEX(FILTER(Candidates!$S$2:$S$2000,Candidates!$A$2:$A$2000=$A126),COUNTIF(Candidates!$A$2:$A$2000,$A126)),""""))"),"")</f>
        <v/>
      </c>
      <c r="W126" s="64" t="str">
        <f>IFERROR(__xludf.DUMMYFUNCTION("IF($A126="""","""",IFERROR(INDEX(FILTER(Candidates!$T$2:$T$2000,Candidates!$A$2:$A$2000=$A126),COUNTIF(Candidates!$A$2:$A$2000,$A126)),""""))"),"")</f>
        <v/>
      </c>
      <c r="X126" s="64"/>
      <c r="Y126" s="64"/>
      <c r="Z126" s="65"/>
      <c r="AA126" s="65"/>
      <c r="AB126" s="65"/>
      <c r="AC126" s="65"/>
    </row>
    <row r="127">
      <c r="A127" s="64"/>
      <c r="B127" s="64"/>
      <c r="C127" s="64"/>
      <c r="D127" s="64"/>
      <c r="E127" s="64"/>
      <c r="F127" s="64"/>
      <c r="G127" s="64"/>
      <c r="H127" s="63"/>
      <c r="I127" s="64"/>
      <c r="J127" s="64"/>
      <c r="K127" s="64"/>
      <c r="L127" s="64"/>
      <c r="M127" s="64"/>
      <c r="N127" s="64"/>
      <c r="O127" s="64"/>
      <c r="P127" s="64"/>
      <c r="Q127" s="64"/>
      <c r="R127" s="65" t="str">
        <f>IF($A127="","",IFERROR(MINIFS(Candidates!$K$2:$K$2000,Candidates!$A$2:$A$2000,$A127),""))</f>
        <v/>
      </c>
      <c r="S127" s="65" t="str">
        <f>IF($A127="","",IFERROR(MAXIFS(Candidates!$AA$2:$AA$2000,Candidates!$A$2:$A$2000,$A127),""))</f>
        <v/>
      </c>
      <c r="T127" s="64" t="str">
        <f>IFERROR(__xludf.DUMMYFUNCTION("IF($A127="""","""",IFERROR(TEXTJOIN("", "",TRUE,UNIQUE(FILTER(Candidates!$B$2:$B$2000,Candidates!$A$2:$A$2000=$A127))),""""))"),"")</f>
        <v/>
      </c>
      <c r="U127" s="66" t="str">
        <f>IF($A127="","",COUNTIF(Candidates!$A$2:$A$2000,$A127))</f>
        <v/>
      </c>
      <c r="V127" s="64" t="str">
        <f>IFERROR(__xludf.DUMMYFUNCTION("IF($A127="""","""",IFERROR(INDEX(FILTER(Candidates!$S$2:$S$2000,Candidates!$A$2:$A$2000=$A127),COUNTIF(Candidates!$A$2:$A$2000,$A127)),""""))"),"")</f>
        <v/>
      </c>
      <c r="W127" s="64" t="str">
        <f>IFERROR(__xludf.DUMMYFUNCTION("IF($A127="""","""",IFERROR(INDEX(FILTER(Candidates!$T$2:$T$2000,Candidates!$A$2:$A$2000=$A127),COUNTIF(Candidates!$A$2:$A$2000,$A127)),""""))"),"")</f>
        <v/>
      </c>
      <c r="X127" s="64"/>
      <c r="Y127" s="64"/>
      <c r="Z127" s="65"/>
      <c r="AA127" s="65"/>
      <c r="AB127" s="65"/>
      <c r="AC127" s="65"/>
    </row>
    <row r="128">
      <c r="A128" s="64"/>
      <c r="B128" s="64"/>
      <c r="C128" s="64"/>
      <c r="D128" s="64"/>
      <c r="E128" s="64"/>
      <c r="F128" s="64"/>
      <c r="G128" s="64"/>
      <c r="H128" s="63"/>
      <c r="I128" s="64"/>
      <c r="J128" s="64"/>
      <c r="K128" s="64"/>
      <c r="L128" s="64"/>
      <c r="M128" s="64"/>
      <c r="N128" s="64"/>
      <c r="O128" s="64"/>
      <c r="P128" s="64"/>
      <c r="Q128" s="64"/>
      <c r="R128" s="65" t="str">
        <f>IF($A128="","",IFERROR(MINIFS(Candidates!$K$2:$K$2000,Candidates!$A$2:$A$2000,$A128),""))</f>
        <v/>
      </c>
      <c r="S128" s="65" t="str">
        <f>IF($A128="","",IFERROR(MAXIFS(Candidates!$AA$2:$AA$2000,Candidates!$A$2:$A$2000,$A128),""))</f>
        <v/>
      </c>
      <c r="T128" s="64" t="str">
        <f>IFERROR(__xludf.DUMMYFUNCTION("IF($A128="""","""",IFERROR(TEXTJOIN("", "",TRUE,UNIQUE(FILTER(Candidates!$B$2:$B$2000,Candidates!$A$2:$A$2000=$A128))),""""))"),"")</f>
        <v/>
      </c>
      <c r="U128" s="66" t="str">
        <f>IF($A128="","",COUNTIF(Candidates!$A$2:$A$2000,$A128))</f>
        <v/>
      </c>
      <c r="V128" s="64" t="str">
        <f>IFERROR(__xludf.DUMMYFUNCTION("IF($A128="""","""",IFERROR(INDEX(FILTER(Candidates!$S$2:$S$2000,Candidates!$A$2:$A$2000=$A128),COUNTIF(Candidates!$A$2:$A$2000,$A128)),""""))"),"")</f>
        <v/>
      </c>
      <c r="W128" s="64" t="str">
        <f>IFERROR(__xludf.DUMMYFUNCTION("IF($A128="""","""",IFERROR(INDEX(FILTER(Candidates!$T$2:$T$2000,Candidates!$A$2:$A$2000=$A128),COUNTIF(Candidates!$A$2:$A$2000,$A128)),""""))"),"")</f>
        <v/>
      </c>
      <c r="X128" s="64"/>
      <c r="Y128" s="64"/>
      <c r="Z128" s="65"/>
      <c r="AA128" s="65"/>
      <c r="AB128" s="65"/>
      <c r="AC128" s="65"/>
    </row>
    <row r="129">
      <c r="A129" s="64"/>
      <c r="B129" s="64"/>
      <c r="C129" s="64"/>
      <c r="D129" s="64"/>
      <c r="E129" s="64"/>
      <c r="F129" s="64"/>
      <c r="G129" s="64"/>
      <c r="H129" s="63"/>
      <c r="I129" s="64"/>
      <c r="J129" s="64"/>
      <c r="K129" s="64"/>
      <c r="L129" s="64"/>
      <c r="M129" s="64"/>
      <c r="N129" s="64"/>
      <c r="O129" s="64"/>
      <c r="P129" s="64"/>
      <c r="Q129" s="64"/>
      <c r="R129" s="65" t="str">
        <f>IF($A129="","",IFERROR(MINIFS(Candidates!$K$2:$K$2000,Candidates!$A$2:$A$2000,$A129),""))</f>
        <v/>
      </c>
      <c r="S129" s="65" t="str">
        <f>IF($A129="","",IFERROR(MAXIFS(Candidates!$AA$2:$AA$2000,Candidates!$A$2:$A$2000,$A129),""))</f>
        <v/>
      </c>
      <c r="T129" s="64" t="str">
        <f>IFERROR(__xludf.DUMMYFUNCTION("IF($A129="""","""",IFERROR(TEXTJOIN("", "",TRUE,UNIQUE(FILTER(Candidates!$B$2:$B$2000,Candidates!$A$2:$A$2000=$A129))),""""))"),"")</f>
        <v/>
      </c>
      <c r="U129" s="66" t="str">
        <f>IF($A129="","",COUNTIF(Candidates!$A$2:$A$2000,$A129))</f>
        <v/>
      </c>
      <c r="V129" s="64" t="str">
        <f>IFERROR(__xludf.DUMMYFUNCTION("IF($A129="""","""",IFERROR(INDEX(FILTER(Candidates!$S$2:$S$2000,Candidates!$A$2:$A$2000=$A129),COUNTIF(Candidates!$A$2:$A$2000,$A129)),""""))"),"")</f>
        <v/>
      </c>
      <c r="W129" s="64" t="str">
        <f>IFERROR(__xludf.DUMMYFUNCTION("IF($A129="""","""",IFERROR(INDEX(FILTER(Candidates!$T$2:$T$2000,Candidates!$A$2:$A$2000=$A129),COUNTIF(Candidates!$A$2:$A$2000,$A129)),""""))"),"")</f>
        <v/>
      </c>
      <c r="X129" s="64"/>
      <c r="Y129" s="64"/>
      <c r="Z129" s="65"/>
      <c r="AA129" s="65"/>
      <c r="AB129" s="65"/>
      <c r="AC129" s="65"/>
    </row>
    <row r="130">
      <c r="A130" s="64"/>
      <c r="B130" s="64"/>
      <c r="C130" s="64"/>
      <c r="D130" s="64"/>
      <c r="E130" s="64"/>
      <c r="F130" s="64"/>
      <c r="G130" s="64"/>
      <c r="H130" s="63"/>
      <c r="I130" s="64"/>
      <c r="J130" s="64"/>
      <c r="K130" s="64"/>
      <c r="L130" s="64"/>
      <c r="M130" s="64"/>
      <c r="N130" s="64"/>
      <c r="O130" s="64"/>
      <c r="P130" s="64"/>
      <c r="Q130" s="64"/>
      <c r="R130" s="65" t="str">
        <f>IF($A130="","",IFERROR(MINIFS(Candidates!$K$2:$K$2000,Candidates!$A$2:$A$2000,$A130),""))</f>
        <v/>
      </c>
      <c r="S130" s="65" t="str">
        <f>IF($A130="","",IFERROR(MAXIFS(Candidates!$AA$2:$AA$2000,Candidates!$A$2:$A$2000,$A130),""))</f>
        <v/>
      </c>
      <c r="T130" s="64" t="str">
        <f>IFERROR(__xludf.DUMMYFUNCTION("IF($A130="""","""",IFERROR(TEXTJOIN("", "",TRUE,UNIQUE(FILTER(Candidates!$B$2:$B$2000,Candidates!$A$2:$A$2000=$A130))),""""))"),"")</f>
        <v/>
      </c>
      <c r="U130" s="66" t="str">
        <f>IF($A130="","",COUNTIF(Candidates!$A$2:$A$2000,$A130))</f>
        <v/>
      </c>
      <c r="V130" s="64" t="str">
        <f>IFERROR(__xludf.DUMMYFUNCTION("IF($A130="""","""",IFERROR(INDEX(FILTER(Candidates!$S$2:$S$2000,Candidates!$A$2:$A$2000=$A130),COUNTIF(Candidates!$A$2:$A$2000,$A130)),""""))"),"")</f>
        <v/>
      </c>
      <c r="W130" s="64" t="str">
        <f>IFERROR(__xludf.DUMMYFUNCTION("IF($A130="""","""",IFERROR(INDEX(FILTER(Candidates!$T$2:$T$2000,Candidates!$A$2:$A$2000=$A130),COUNTIF(Candidates!$A$2:$A$2000,$A130)),""""))"),"")</f>
        <v/>
      </c>
      <c r="X130" s="64"/>
      <c r="Y130" s="64"/>
      <c r="Z130" s="65"/>
      <c r="AA130" s="65"/>
      <c r="AB130" s="65"/>
      <c r="AC130" s="65"/>
    </row>
    <row r="131">
      <c r="A131" s="64"/>
      <c r="B131" s="64"/>
      <c r="C131" s="64"/>
      <c r="D131" s="64"/>
      <c r="E131" s="64"/>
      <c r="F131" s="64"/>
      <c r="G131" s="64"/>
      <c r="H131" s="63"/>
      <c r="I131" s="64"/>
      <c r="J131" s="64"/>
      <c r="K131" s="64"/>
      <c r="L131" s="64"/>
      <c r="M131" s="64"/>
      <c r="N131" s="64"/>
      <c r="O131" s="64"/>
      <c r="P131" s="64"/>
      <c r="Q131" s="64"/>
      <c r="R131" s="65" t="str">
        <f>IF($A131="","",IFERROR(MINIFS(Candidates!$K$2:$K$2000,Candidates!$A$2:$A$2000,$A131),""))</f>
        <v/>
      </c>
      <c r="S131" s="65" t="str">
        <f>IF($A131="","",IFERROR(MAXIFS(Candidates!$AA$2:$AA$2000,Candidates!$A$2:$A$2000,$A131),""))</f>
        <v/>
      </c>
      <c r="T131" s="64" t="str">
        <f>IFERROR(__xludf.DUMMYFUNCTION("IF($A131="""","""",IFERROR(TEXTJOIN("", "",TRUE,UNIQUE(FILTER(Candidates!$B$2:$B$2000,Candidates!$A$2:$A$2000=$A131))),""""))"),"")</f>
        <v/>
      </c>
      <c r="U131" s="66" t="str">
        <f>IF($A131="","",COUNTIF(Candidates!$A$2:$A$2000,$A131))</f>
        <v/>
      </c>
      <c r="V131" s="64" t="str">
        <f>IFERROR(__xludf.DUMMYFUNCTION("IF($A131="""","""",IFERROR(INDEX(FILTER(Candidates!$S$2:$S$2000,Candidates!$A$2:$A$2000=$A131),COUNTIF(Candidates!$A$2:$A$2000,$A131)),""""))"),"")</f>
        <v/>
      </c>
      <c r="W131" s="64" t="str">
        <f>IFERROR(__xludf.DUMMYFUNCTION("IF($A131="""","""",IFERROR(INDEX(FILTER(Candidates!$T$2:$T$2000,Candidates!$A$2:$A$2000=$A131),COUNTIF(Candidates!$A$2:$A$2000,$A131)),""""))"),"")</f>
        <v/>
      </c>
      <c r="X131" s="64"/>
      <c r="Y131" s="64"/>
      <c r="Z131" s="65"/>
      <c r="AA131" s="65"/>
      <c r="AB131" s="65"/>
      <c r="AC131" s="65"/>
    </row>
    <row r="132">
      <c r="A132" s="64"/>
      <c r="B132" s="64"/>
      <c r="C132" s="64"/>
      <c r="D132" s="64"/>
      <c r="E132" s="64"/>
      <c r="F132" s="64"/>
      <c r="G132" s="64"/>
      <c r="H132" s="63"/>
      <c r="I132" s="64"/>
      <c r="J132" s="64"/>
      <c r="K132" s="64"/>
      <c r="L132" s="64"/>
      <c r="M132" s="64"/>
      <c r="N132" s="64"/>
      <c r="O132" s="64"/>
      <c r="P132" s="64"/>
      <c r="Q132" s="64"/>
      <c r="R132" s="65" t="str">
        <f>IF($A132="","",IFERROR(MINIFS(Candidates!$K$2:$K$2000,Candidates!$A$2:$A$2000,$A132),""))</f>
        <v/>
      </c>
      <c r="S132" s="65" t="str">
        <f>IF($A132="","",IFERROR(MAXIFS(Candidates!$AA$2:$AA$2000,Candidates!$A$2:$A$2000,$A132),""))</f>
        <v/>
      </c>
      <c r="T132" s="64" t="str">
        <f>IFERROR(__xludf.DUMMYFUNCTION("IF($A132="""","""",IFERROR(TEXTJOIN("", "",TRUE,UNIQUE(FILTER(Candidates!$B$2:$B$2000,Candidates!$A$2:$A$2000=$A132))),""""))"),"")</f>
        <v/>
      </c>
      <c r="U132" s="66" t="str">
        <f>IF($A132="","",COUNTIF(Candidates!$A$2:$A$2000,$A132))</f>
        <v/>
      </c>
      <c r="V132" s="64" t="str">
        <f>IFERROR(__xludf.DUMMYFUNCTION("IF($A132="""","""",IFERROR(INDEX(FILTER(Candidates!$S$2:$S$2000,Candidates!$A$2:$A$2000=$A132),COUNTIF(Candidates!$A$2:$A$2000,$A132)),""""))"),"")</f>
        <v/>
      </c>
      <c r="W132" s="64" t="str">
        <f>IFERROR(__xludf.DUMMYFUNCTION("IF($A132="""","""",IFERROR(INDEX(FILTER(Candidates!$T$2:$T$2000,Candidates!$A$2:$A$2000=$A132),COUNTIF(Candidates!$A$2:$A$2000,$A132)),""""))"),"")</f>
        <v/>
      </c>
      <c r="X132" s="64"/>
      <c r="Y132" s="64"/>
      <c r="Z132" s="65"/>
      <c r="AA132" s="65"/>
      <c r="AB132" s="65"/>
      <c r="AC132" s="65"/>
    </row>
    <row r="133">
      <c r="A133" s="64"/>
      <c r="B133" s="64"/>
      <c r="C133" s="64"/>
      <c r="D133" s="64"/>
      <c r="E133" s="64"/>
      <c r="F133" s="64"/>
      <c r="G133" s="64"/>
      <c r="H133" s="63"/>
      <c r="I133" s="64"/>
      <c r="J133" s="64"/>
      <c r="K133" s="64"/>
      <c r="L133" s="64"/>
      <c r="M133" s="64"/>
      <c r="N133" s="64"/>
      <c r="O133" s="64"/>
      <c r="P133" s="64"/>
      <c r="Q133" s="64"/>
      <c r="R133" s="65" t="str">
        <f>IF($A133="","",IFERROR(MINIFS(Candidates!$K$2:$K$2000,Candidates!$A$2:$A$2000,$A133),""))</f>
        <v/>
      </c>
      <c r="S133" s="65" t="str">
        <f>IF($A133="","",IFERROR(MAXIFS(Candidates!$AA$2:$AA$2000,Candidates!$A$2:$A$2000,$A133),""))</f>
        <v/>
      </c>
      <c r="T133" s="64" t="str">
        <f>IFERROR(__xludf.DUMMYFUNCTION("IF($A133="""","""",IFERROR(TEXTJOIN("", "",TRUE,UNIQUE(FILTER(Candidates!$B$2:$B$2000,Candidates!$A$2:$A$2000=$A133))),""""))"),"")</f>
        <v/>
      </c>
      <c r="U133" s="66" t="str">
        <f>IF($A133="","",COUNTIF(Candidates!$A$2:$A$2000,$A133))</f>
        <v/>
      </c>
      <c r="V133" s="64" t="str">
        <f>IFERROR(__xludf.DUMMYFUNCTION("IF($A133="""","""",IFERROR(INDEX(FILTER(Candidates!$S$2:$S$2000,Candidates!$A$2:$A$2000=$A133),COUNTIF(Candidates!$A$2:$A$2000,$A133)),""""))"),"")</f>
        <v/>
      </c>
      <c r="W133" s="64" t="str">
        <f>IFERROR(__xludf.DUMMYFUNCTION("IF($A133="""","""",IFERROR(INDEX(FILTER(Candidates!$T$2:$T$2000,Candidates!$A$2:$A$2000=$A133),COUNTIF(Candidates!$A$2:$A$2000,$A133)),""""))"),"")</f>
        <v/>
      </c>
      <c r="X133" s="64"/>
      <c r="Y133" s="64"/>
      <c r="Z133" s="65"/>
      <c r="AA133" s="65"/>
      <c r="AB133" s="65"/>
      <c r="AC133" s="65"/>
    </row>
    <row r="134">
      <c r="A134" s="64"/>
      <c r="B134" s="64"/>
      <c r="C134" s="64"/>
      <c r="D134" s="64"/>
      <c r="E134" s="64"/>
      <c r="F134" s="64"/>
      <c r="G134" s="64"/>
      <c r="H134" s="63"/>
      <c r="I134" s="64"/>
      <c r="J134" s="64"/>
      <c r="K134" s="64"/>
      <c r="L134" s="64"/>
      <c r="M134" s="64"/>
      <c r="N134" s="64"/>
      <c r="O134" s="64"/>
      <c r="P134" s="64"/>
      <c r="Q134" s="64"/>
      <c r="R134" s="65" t="str">
        <f>IF($A134="","",IFERROR(MINIFS(Candidates!$K$2:$K$2000,Candidates!$A$2:$A$2000,$A134),""))</f>
        <v/>
      </c>
      <c r="S134" s="65" t="str">
        <f>IF($A134="","",IFERROR(MAXIFS(Candidates!$AA$2:$AA$2000,Candidates!$A$2:$A$2000,$A134),""))</f>
        <v/>
      </c>
      <c r="T134" s="64" t="str">
        <f>IFERROR(__xludf.DUMMYFUNCTION("IF($A134="""","""",IFERROR(TEXTJOIN("", "",TRUE,UNIQUE(FILTER(Candidates!$B$2:$B$2000,Candidates!$A$2:$A$2000=$A134))),""""))"),"")</f>
        <v/>
      </c>
      <c r="U134" s="66" t="str">
        <f>IF($A134="","",COUNTIF(Candidates!$A$2:$A$2000,$A134))</f>
        <v/>
      </c>
      <c r="V134" s="64" t="str">
        <f>IFERROR(__xludf.DUMMYFUNCTION("IF($A134="""","""",IFERROR(INDEX(FILTER(Candidates!$S$2:$S$2000,Candidates!$A$2:$A$2000=$A134),COUNTIF(Candidates!$A$2:$A$2000,$A134)),""""))"),"")</f>
        <v/>
      </c>
      <c r="W134" s="64" t="str">
        <f>IFERROR(__xludf.DUMMYFUNCTION("IF($A134="""","""",IFERROR(INDEX(FILTER(Candidates!$T$2:$T$2000,Candidates!$A$2:$A$2000=$A134),COUNTIF(Candidates!$A$2:$A$2000,$A134)),""""))"),"")</f>
        <v/>
      </c>
      <c r="X134" s="64"/>
      <c r="Y134" s="64"/>
      <c r="Z134" s="65"/>
      <c r="AA134" s="65"/>
      <c r="AB134" s="65"/>
      <c r="AC134" s="65"/>
    </row>
    <row r="135">
      <c r="A135" s="64"/>
      <c r="B135" s="64"/>
      <c r="C135" s="64"/>
      <c r="D135" s="64"/>
      <c r="E135" s="64"/>
      <c r="F135" s="64"/>
      <c r="G135" s="64"/>
      <c r="H135" s="63"/>
      <c r="I135" s="64"/>
      <c r="J135" s="64"/>
      <c r="K135" s="64"/>
      <c r="L135" s="64"/>
      <c r="M135" s="64"/>
      <c r="N135" s="64"/>
      <c r="O135" s="64"/>
      <c r="P135" s="64"/>
      <c r="Q135" s="64"/>
      <c r="R135" s="65" t="str">
        <f>IF($A135="","",IFERROR(MINIFS(Candidates!$K$2:$K$2000,Candidates!$A$2:$A$2000,$A135),""))</f>
        <v/>
      </c>
      <c r="S135" s="65" t="str">
        <f>IF($A135="","",IFERROR(MAXIFS(Candidates!$AA$2:$AA$2000,Candidates!$A$2:$A$2000,$A135),""))</f>
        <v/>
      </c>
      <c r="T135" s="64" t="str">
        <f>IFERROR(__xludf.DUMMYFUNCTION("IF($A135="""","""",IFERROR(TEXTJOIN("", "",TRUE,UNIQUE(FILTER(Candidates!$B$2:$B$2000,Candidates!$A$2:$A$2000=$A135))),""""))"),"")</f>
        <v/>
      </c>
      <c r="U135" s="66" t="str">
        <f>IF($A135="","",COUNTIF(Candidates!$A$2:$A$2000,$A135))</f>
        <v/>
      </c>
      <c r="V135" s="64" t="str">
        <f>IFERROR(__xludf.DUMMYFUNCTION("IF($A135="""","""",IFERROR(INDEX(FILTER(Candidates!$S$2:$S$2000,Candidates!$A$2:$A$2000=$A135),COUNTIF(Candidates!$A$2:$A$2000,$A135)),""""))"),"")</f>
        <v/>
      </c>
      <c r="W135" s="64" t="str">
        <f>IFERROR(__xludf.DUMMYFUNCTION("IF($A135="""","""",IFERROR(INDEX(FILTER(Candidates!$T$2:$T$2000,Candidates!$A$2:$A$2000=$A135),COUNTIF(Candidates!$A$2:$A$2000,$A135)),""""))"),"")</f>
        <v/>
      </c>
      <c r="X135" s="64"/>
      <c r="Y135" s="64"/>
      <c r="Z135" s="65"/>
      <c r="AA135" s="65"/>
      <c r="AB135" s="65"/>
      <c r="AC135" s="65"/>
    </row>
    <row r="136">
      <c r="A136" s="64"/>
      <c r="B136" s="64"/>
      <c r="C136" s="64"/>
      <c r="D136" s="64"/>
      <c r="E136" s="64"/>
      <c r="F136" s="64"/>
      <c r="G136" s="64"/>
      <c r="H136" s="63"/>
      <c r="I136" s="64"/>
      <c r="J136" s="64"/>
      <c r="K136" s="64"/>
      <c r="L136" s="64"/>
      <c r="M136" s="64"/>
      <c r="N136" s="64"/>
      <c r="O136" s="64"/>
      <c r="P136" s="64"/>
      <c r="Q136" s="64"/>
      <c r="R136" s="65" t="str">
        <f>IF($A136="","",IFERROR(MINIFS(Candidates!$K$2:$K$2000,Candidates!$A$2:$A$2000,$A136),""))</f>
        <v/>
      </c>
      <c r="S136" s="65" t="str">
        <f>IF($A136="","",IFERROR(MAXIFS(Candidates!$AA$2:$AA$2000,Candidates!$A$2:$A$2000,$A136),""))</f>
        <v/>
      </c>
      <c r="T136" s="64" t="str">
        <f>IFERROR(__xludf.DUMMYFUNCTION("IF($A136="""","""",IFERROR(TEXTJOIN("", "",TRUE,UNIQUE(FILTER(Candidates!$B$2:$B$2000,Candidates!$A$2:$A$2000=$A136))),""""))"),"")</f>
        <v/>
      </c>
      <c r="U136" s="66" t="str">
        <f>IF($A136="","",COUNTIF(Candidates!$A$2:$A$2000,$A136))</f>
        <v/>
      </c>
      <c r="V136" s="64" t="str">
        <f>IFERROR(__xludf.DUMMYFUNCTION("IF($A136="""","""",IFERROR(INDEX(FILTER(Candidates!$S$2:$S$2000,Candidates!$A$2:$A$2000=$A136),COUNTIF(Candidates!$A$2:$A$2000,$A136)),""""))"),"")</f>
        <v/>
      </c>
      <c r="W136" s="64" t="str">
        <f>IFERROR(__xludf.DUMMYFUNCTION("IF($A136="""","""",IFERROR(INDEX(FILTER(Candidates!$T$2:$T$2000,Candidates!$A$2:$A$2000=$A136),COUNTIF(Candidates!$A$2:$A$2000,$A136)),""""))"),"")</f>
        <v/>
      </c>
      <c r="X136" s="64"/>
      <c r="Y136" s="64"/>
      <c r="Z136" s="65"/>
      <c r="AA136" s="65"/>
      <c r="AB136" s="65"/>
      <c r="AC136" s="65"/>
    </row>
    <row r="137">
      <c r="A137" s="64"/>
      <c r="B137" s="64"/>
      <c r="C137" s="64"/>
      <c r="D137" s="64"/>
      <c r="E137" s="64"/>
      <c r="F137" s="64"/>
      <c r="G137" s="64"/>
      <c r="H137" s="63"/>
      <c r="I137" s="64"/>
      <c r="J137" s="64"/>
      <c r="K137" s="64"/>
      <c r="L137" s="64"/>
      <c r="M137" s="64"/>
      <c r="N137" s="64"/>
      <c r="O137" s="64"/>
      <c r="P137" s="64"/>
      <c r="Q137" s="64"/>
      <c r="R137" s="65" t="str">
        <f>IF($A137="","",IFERROR(MINIFS(Candidates!$K$2:$K$2000,Candidates!$A$2:$A$2000,$A137),""))</f>
        <v/>
      </c>
      <c r="S137" s="65" t="str">
        <f>IF($A137="","",IFERROR(MAXIFS(Candidates!$AA$2:$AA$2000,Candidates!$A$2:$A$2000,$A137),""))</f>
        <v/>
      </c>
      <c r="T137" s="64" t="str">
        <f>IFERROR(__xludf.DUMMYFUNCTION("IF($A137="""","""",IFERROR(TEXTJOIN("", "",TRUE,UNIQUE(FILTER(Candidates!$B$2:$B$2000,Candidates!$A$2:$A$2000=$A137))),""""))"),"")</f>
        <v/>
      </c>
      <c r="U137" s="66" t="str">
        <f>IF($A137="","",COUNTIF(Candidates!$A$2:$A$2000,$A137))</f>
        <v/>
      </c>
      <c r="V137" s="64" t="str">
        <f>IFERROR(__xludf.DUMMYFUNCTION("IF($A137="""","""",IFERROR(INDEX(FILTER(Candidates!$S$2:$S$2000,Candidates!$A$2:$A$2000=$A137),COUNTIF(Candidates!$A$2:$A$2000,$A137)),""""))"),"")</f>
        <v/>
      </c>
      <c r="W137" s="64" t="str">
        <f>IFERROR(__xludf.DUMMYFUNCTION("IF($A137="""","""",IFERROR(INDEX(FILTER(Candidates!$T$2:$T$2000,Candidates!$A$2:$A$2000=$A137),COUNTIF(Candidates!$A$2:$A$2000,$A137)),""""))"),"")</f>
        <v/>
      </c>
      <c r="X137" s="64"/>
      <c r="Y137" s="64"/>
      <c r="Z137" s="65"/>
      <c r="AA137" s="65"/>
      <c r="AB137" s="65"/>
      <c r="AC137" s="65"/>
    </row>
    <row r="138">
      <c r="A138" s="64"/>
      <c r="B138" s="64"/>
      <c r="C138" s="64"/>
      <c r="D138" s="64"/>
      <c r="E138" s="64"/>
      <c r="F138" s="64"/>
      <c r="G138" s="64"/>
      <c r="H138" s="63"/>
      <c r="I138" s="64"/>
      <c r="J138" s="64"/>
      <c r="K138" s="64"/>
      <c r="L138" s="64"/>
      <c r="M138" s="64"/>
      <c r="N138" s="64"/>
      <c r="O138" s="64"/>
      <c r="P138" s="64"/>
      <c r="Q138" s="64"/>
      <c r="R138" s="65" t="str">
        <f>IF($A138="","",IFERROR(MINIFS(Candidates!$K$2:$K$2000,Candidates!$A$2:$A$2000,$A138),""))</f>
        <v/>
      </c>
      <c r="S138" s="65" t="str">
        <f>IF($A138="","",IFERROR(MAXIFS(Candidates!$AA$2:$AA$2000,Candidates!$A$2:$A$2000,$A138),""))</f>
        <v/>
      </c>
      <c r="T138" s="64" t="str">
        <f>IFERROR(__xludf.DUMMYFUNCTION("IF($A138="""","""",IFERROR(TEXTJOIN("", "",TRUE,UNIQUE(FILTER(Candidates!$B$2:$B$2000,Candidates!$A$2:$A$2000=$A138))),""""))"),"")</f>
        <v/>
      </c>
      <c r="U138" s="66" t="str">
        <f>IF($A138="","",COUNTIF(Candidates!$A$2:$A$2000,$A138))</f>
        <v/>
      </c>
      <c r="V138" s="64" t="str">
        <f>IFERROR(__xludf.DUMMYFUNCTION("IF($A138="""","""",IFERROR(INDEX(FILTER(Candidates!$S$2:$S$2000,Candidates!$A$2:$A$2000=$A138),COUNTIF(Candidates!$A$2:$A$2000,$A138)),""""))"),"")</f>
        <v/>
      </c>
      <c r="W138" s="64" t="str">
        <f>IFERROR(__xludf.DUMMYFUNCTION("IF($A138="""","""",IFERROR(INDEX(FILTER(Candidates!$T$2:$T$2000,Candidates!$A$2:$A$2000=$A138),COUNTIF(Candidates!$A$2:$A$2000,$A138)),""""))"),"")</f>
        <v/>
      </c>
      <c r="X138" s="64"/>
      <c r="Y138" s="64"/>
      <c r="Z138" s="65"/>
      <c r="AA138" s="65"/>
      <c r="AB138" s="65"/>
      <c r="AC138" s="65"/>
    </row>
    <row r="139">
      <c r="A139" s="64"/>
      <c r="B139" s="64"/>
      <c r="C139" s="64"/>
      <c r="D139" s="64"/>
      <c r="E139" s="64"/>
      <c r="F139" s="64"/>
      <c r="G139" s="64"/>
      <c r="H139" s="63"/>
      <c r="I139" s="64"/>
      <c r="J139" s="64"/>
      <c r="K139" s="64"/>
      <c r="L139" s="64"/>
      <c r="M139" s="64"/>
      <c r="N139" s="64"/>
      <c r="O139" s="64"/>
      <c r="P139" s="64"/>
      <c r="Q139" s="64"/>
      <c r="R139" s="65" t="str">
        <f>IF($A139="","",IFERROR(MINIFS(Candidates!$K$2:$K$2000,Candidates!$A$2:$A$2000,$A139),""))</f>
        <v/>
      </c>
      <c r="S139" s="65" t="str">
        <f>IF($A139="","",IFERROR(MAXIFS(Candidates!$AA$2:$AA$2000,Candidates!$A$2:$A$2000,$A139),""))</f>
        <v/>
      </c>
      <c r="T139" s="64" t="str">
        <f>IFERROR(__xludf.DUMMYFUNCTION("IF($A139="""","""",IFERROR(TEXTJOIN("", "",TRUE,UNIQUE(FILTER(Candidates!$B$2:$B$2000,Candidates!$A$2:$A$2000=$A139))),""""))"),"")</f>
        <v/>
      </c>
      <c r="U139" s="66" t="str">
        <f>IF($A139="","",COUNTIF(Candidates!$A$2:$A$2000,$A139))</f>
        <v/>
      </c>
      <c r="V139" s="64" t="str">
        <f>IFERROR(__xludf.DUMMYFUNCTION("IF($A139="""","""",IFERROR(INDEX(FILTER(Candidates!$S$2:$S$2000,Candidates!$A$2:$A$2000=$A139),COUNTIF(Candidates!$A$2:$A$2000,$A139)),""""))"),"")</f>
        <v/>
      </c>
      <c r="W139" s="64" t="str">
        <f>IFERROR(__xludf.DUMMYFUNCTION("IF($A139="""","""",IFERROR(INDEX(FILTER(Candidates!$T$2:$T$2000,Candidates!$A$2:$A$2000=$A139),COUNTIF(Candidates!$A$2:$A$2000,$A139)),""""))"),"")</f>
        <v/>
      </c>
      <c r="X139" s="64"/>
      <c r="Y139" s="64"/>
      <c r="Z139" s="65"/>
      <c r="AA139" s="65"/>
      <c r="AB139" s="65"/>
      <c r="AC139" s="65"/>
    </row>
    <row r="140">
      <c r="A140" s="64"/>
      <c r="B140" s="64"/>
      <c r="C140" s="64"/>
      <c r="D140" s="64"/>
      <c r="E140" s="64"/>
      <c r="F140" s="64"/>
      <c r="G140" s="64"/>
      <c r="H140" s="63"/>
      <c r="I140" s="64"/>
      <c r="J140" s="64"/>
      <c r="K140" s="64"/>
      <c r="L140" s="64"/>
      <c r="M140" s="64"/>
      <c r="N140" s="64"/>
      <c r="O140" s="64"/>
      <c r="P140" s="64"/>
      <c r="Q140" s="64"/>
      <c r="R140" s="65" t="str">
        <f>IF($A140="","",IFERROR(MINIFS(Candidates!$K$2:$K$2000,Candidates!$A$2:$A$2000,$A140),""))</f>
        <v/>
      </c>
      <c r="S140" s="65" t="str">
        <f>IF($A140="","",IFERROR(MAXIFS(Candidates!$AA$2:$AA$2000,Candidates!$A$2:$A$2000,$A140),""))</f>
        <v/>
      </c>
      <c r="T140" s="64" t="str">
        <f>IFERROR(__xludf.DUMMYFUNCTION("IF($A140="""","""",IFERROR(TEXTJOIN("", "",TRUE,UNIQUE(FILTER(Candidates!$B$2:$B$2000,Candidates!$A$2:$A$2000=$A140))),""""))"),"")</f>
        <v/>
      </c>
      <c r="U140" s="66" t="str">
        <f>IF($A140="","",COUNTIF(Candidates!$A$2:$A$2000,$A140))</f>
        <v/>
      </c>
      <c r="V140" s="64" t="str">
        <f>IFERROR(__xludf.DUMMYFUNCTION("IF($A140="""","""",IFERROR(INDEX(FILTER(Candidates!$S$2:$S$2000,Candidates!$A$2:$A$2000=$A140),COUNTIF(Candidates!$A$2:$A$2000,$A140)),""""))"),"")</f>
        <v/>
      </c>
      <c r="W140" s="64" t="str">
        <f>IFERROR(__xludf.DUMMYFUNCTION("IF($A140="""","""",IFERROR(INDEX(FILTER(Candidates!$T$2:$T$2000,Candidates!$A$2:$A$2000=$A140),COUNTIF(Candidates!$A$2:$A$2000,$A140)),""""))"),"")</f>
        <v/>
      </c>
      <c r="X140" s="64"/>
      <c r="Y140" s="64"/>
      <c r="Z140" s="65"/>
      <c r="AA140" s="65"/>
      <c r="AB140" s="65"/>
      <c r="AC140" s="65"/>
    </row>
    <row r="141">
      <c r="A141" s="64"/>
      <c r="B141" s="64"/>
      <c r="C141" s="64"/>
      <c r="D141" s="64"/>
      <c r="E141" s="64"/>
      <c r="F141" s="64"/>
      <c r="G141" s="64"/>
      <c r="H141" s="63"/>
      <c r="I141" s="64"/>
      <c r="J141" s="64"/>
      <c r="K141" s="64"/>
      <c r="L141" s="64"/>
      <c r="M141" s="64"/>
      <c r="N141" s="64"/>
      <c r="O141" s="64"/>
      <c r="P141" s="64"/>
      <c r="Q141" s="64"/>
      <c r="R141" s="65" t="str">
        <f>IF($A141="","",IFERROR(MINIFS(Candidates!$K$2:$K$2000,Candidates!$A$2:$A$2000,$A141),""))</f>
        <v/>
      </c>
      <c r="S141" s="65" t="str">
        <f>IF($A141="","",IFERROR(MAXIFS(Candidates!$AA$2:$AA$2000,Candidates!$A$2:$A$2000,$A141),""))</f>
        <v/>
      </c>
      <c r="T141" s="64" t="str">
        <f>IFERROR(__xludf.DUMMYFUNCTION("IF($A141="""","""",IFERROR(TEXTJOIN("", "",TRUE,UNIQUE(FILTER(Candidates!$B$2:$B$2000,Candidates!$A$2:$A$2000=$A141))),""""))"),"")</f>
        <v/>
      </c>
      <c r="U141" s="66" t="str">
        <f>IF($A141="","",COUNTIF(Candidates!$A$2:$A$2000,$A141))</f>
        <v/>
      </c>
      <c r="V141" s="64" t="str">
        <f>IFERROR(__xludf.DUMMYFUNCTION("IF($A141="""","""",IFERROR(INDEX(FILTER(Candidates!$S$2:$S$2000,Candidates!$A$2:$A$2000=$A141),COUNTIF(Candidates!$A$2:$A$2000,$A141)),""""))"),"")</f>
        <v/>
      </c>
      <c r="W141" s="64" t="str">
        <f>IFERROR(__xludf.DUMMYFUNCTION("IF($A141="""","""",IFERROR(INDEX(FILTER(Candidates!$T$2:$T$2000,Candidates!$A$2:$A$2000=$A141),COUNTIF(Candidates!$A$2:$A$2000,$A141)),""""))"),"")</f>
        <v/>
      </c>
      <c r="X141" s="64"/>
      <c r="Y141" s="64"/>
      <c r="Z141" s="65"/>
      <c r="AA141" s="65"/>
      <c r="AB141" s="65"/>
      <c r="AC141" s="65"/>
    </row>
    <row r="142">
      <c r="A142" s="64"/>
      <c r="B142" s="64"/>
      <c r="C142" s="64"/>
      <c r="D142" s="64"/>
      <c r="E142" s="64"/>
      <c r="F142" s="64"/>
      <c r="G142" s="64"/>
      <c r="H142" s="63"/>
      <c r="I142" s="64"/>
      <c r="J142" s="64"/>
      <c r="K142" s="64"/>
      <c r="L142" s="64"/>
      <c r="M142" s="64"/>
      <c r="N142" s="64"/>
      <c r="O142" s="64"/>
      <c r="P142" s="64"/>
      <c r="Q142" s="64"/>
      <c r="R142" s="65" t="str">
        <f>IF($A142="","",IFERROR(MINIFS(Candidates!$K$2:$K$2000,Candidates!$A$2:$A$2000,$A142),""))</f>
        <v/>
      </c>
      <c r="S142" s="65" t="str">
        <f>IF($A142="","",IFERROR(MAXIFS(Candidates!$AA$2:$AA$2000,Candidates!$A$2:$A$2000,$A142),""))</f>
        <v/>
      </c>
      <c r="T142" s="64" t="str">
        <f>IFERROR(__xludf.DUMMYFUNCTION("IF($A142="""","""",IFERROR(TEXTJOIN("", "",TRUE,UNIQUE(FILTER(Candidates!$B$2:$B$2000,Candidates!$A$2:$A$2000=$A142))),""""))"),"")</f>
        <v/>
      </c>
      <c r="U142" s="66" t="str">
        <f>IF($A142="","",COUNTIF(Candidates!$A$2:$A$2000,$A142))</f>
        <v/>
      </c>
      <c r="V142" s="64" t="str">
        <f>IFERROR(__xludf.DUMMYFUNCTION("IF($A142="""","""",IFERROR(INDEX(FILTER(Candidates!$S$2:$S$2000,Candidates!$A$2:$A$2000=$A142),COUNTIF(Candidates!$A$2:$A$2000,$A142)),""""))"),"")</f>
        <v/>
      </c>
      <c r="W142" s="64" t="str">
        <f>IFERROR(__xludf.DUMMYFUNCTION("IF($A142="""","""",IFERROR(INDEX(FILTER(Candidates!$T$2:$T$2000,Candidates!$A$2:$A$2000=$A142),COUNTIF(Candidates!$A$2:$A$2000,$A142)),""""))"),"")</f>
        <v/>
      </c>
      <c r="X142" s="64"/>
      <c r="Y142" s="64"/>
      <c r="Z142" s="65"/>
      <c r="AA142" s="65"/>
      <c r="AB142" s="65"/>
      <c r="AC142" s="65"/>
    </row>
    <row r="143">
      <c r="A143" s="64"/>
      <c r="B143" s="64"/>
      <c r="C143" s="64"/>
      <c r="D143" s="64"/>
      <c r="E143" s="64"/>
      <c r="F143" s="64"/>
      <c r="G143" s="64"/>
      <c r="H143" s="63"/>
      <c r="I143" s="64"/>
      <c r="J143" s="64"/>
      <c r="K143" s="64"/>
      <c r="L143" s="64"/>
      <c r="M143" s="64"/>
      <c r="N143" s="64"/>
      <c r="O143" s="64"/>
      <c r="P143" s="64"/>
      <c r="Q143" s="64"/>
      <c r="R143" s="65" t="str">
        <f>IF($A143="","",IFERROR(MINIFS(Candidates!$K$2:$K$2000,Candidates!$A$2:$A$2000,$A143),""))</f>
        <v/>
      </c>
      <c r="S143" s="65" t="str">
        <f>IF($A143="","",IFERROR(MAXIFS(Candidates!$AA$2:$AA$2000,Candidates!$A$2:$A$2000,$A143),""))</f>
        <v/>
      </c>
      <c r="T143" s="64" t="str">
        <f>IFERROR(__xludf.DUMMYFUNCTION("IF($A143="""","""",IFERROR(TEXTJOIN("", "",TRUE,UNIQUE(FILTER(Candidates!$B$2:$B$2000,Candidates!$A$2:$A$2000=$A143))),""""))"),"")</f>
        <v/>
      </c>
      <c r="U143" s="66" t="str">
        <f>IF($A143="","",COUNTIF(Candidates!$A$2:$A$2000,$A143))</f>
        <v/>
      </c>
      <c r="V143" s="64" t="str">
        <f>IFERROR(__xludf.DUMMYFUNCTION("IF($A143="""","""",IFERROR(INDEX(FILTER(Candidates!$S$2:$S$2000,Candidates!$A$2:$A$2000=$A143),COUNTIF(Candidates!$A$2:$A$2000,$A143)),""""))"),"")</f>
        <v/>
      </c>
      <c r="W143" s="64" t="str">
        <f>IFERROR(__xludf.DUMMYFUNCTION("IF($A143="""","""",IFERROR(INDEX(FILTER(Candidates!$T$2:$T$2000,Candidates!$A$2:$A$2000=$A143),COUNTIF(Candidates!$A$2:$A$2000,$A143)),""""))"),"")</f>
        <v/>
      </c>
      <c r="X143" s="64"/>
      <c r="Y143" s="64"/>
      <c r="Z143" s="65"/>
      <c r="AA143" s="65"/>
      <c r="AB143" s="65"/>
      <c r="AC143" s="65"/>
    </row>
    <row r="144">
      <c r="A144" s="64"/>
      <c r="B144" s="64"/>
      <c r="C144" s="64"/>
      <c r="D144" s="64"/>
      <c r="E144" s="64"/>
      <c r="F144" s="64"/>
      <c r="G144" s="64"/>
      <c r="H144" s="63"/>
      <c r="I144" s="64"/>
      <c r="J144" s="64"/>
      <c r="K144" s="64"/>
      <c r="L144" s="64"/>
      <c r="M144" s="64"/>
      <c r="N144" s="64"/>
      <c r="O144" s="64"/>
      <c r="P144" s="64"/>
      <c r="Q144" s="64"/>
      <c r="R144" s="65" t="str">
        <f>IF($A144="","",IFERROR(MINIFS(Candidates!$K$2:$K$2000,Candidates!$A$2:$A$2000,$A144),""))</f>
        <v/>
      </c>
      <c r="S144" s="65" t="str">
        <f>IF($A144="","",IFERROR(MAXIFS(Candidates!$AA$2:$AA$2000,Candidates!$A$2:$A$2000,$A144),""))</f>
        <v/>
      </c>
      <c r="T144" s="64" t="str">
        <f>IFERROR(__xludf.DUMMYFUNCTION("IF($A144="""","""",IFERROR(TEXTJOIN("", "",TRUE,UNIQUE(FILTER(Candidates!$B$2:$B$2000,Candidates!$A$2:$A$2000=$A144))),""""))"),"")</f>
        <v/>
      </c>
      <c r="U144" s="66" t="str">
        <f>IF($A144="","",COUNTIF(Candidates!$A$2:$A$2000,$A144))</f>
        <v/>
      </c>
      <c r="V144" s="64" t="str">
        <f>IFERROR(__xludf.DUMMYFUNCTION("IF($A144="""","""",IFERROR(INDEX(FILTER(Candidates!$S$2:$S$2000,Candidates!$A$2:$A$2000=$A144),COUNTIF(Candidates!$A$2:$A$2000,$A144)),""""))"),"")</f>
        <v/>
      </c>
      <c r="W144" s="64" t="str">
        <f>IFERROR(__xludf.DUMMYFUNCTION("IF($A144="""","""",IFERROR(INDEX(FILTER(Candidates!$T$2:$T$2000,Candidates!$A$2:$A$2000=$A144),COUNTIF(Candidates!$A$2:$A$2000,$A144)),""""))"),"")</f>
        <v/>
      </c>
      <c r="X144" s="64"/>
      <c r="Y144" s="64"/>
      <c r="Z144" s="65"/>
      <c r="AA144" s="65"/>
      <c r="AB144" s="65"/>
      <c r="AC144" s="65"/>
    </row>
    <row r="145">
      <c r="A145" s="64"/>
      <c r="B145" s="64"/>
      <c r="C145" s="64"/>
      <c r="D145" s="64"/>
      <c r="E145" s="64"/>
      <c r="F145" s="64"/>
      <c r="G145" s="64"/>
      <c r="H145" s="63"/>
      <c r="I145" s="64"/>
      <c r="J145" s="64"/>
      <c r="K145" s="64"/>
      <c r="L145" s="64"/>
      <c r="M145" s="64"/>
      <c r="N145" s="64"/>
      <c r="O145" s="64"/>
      <c r="P145" s="64"/>
      <c r="Q145" s="64"/>
      <c r="R145" s="65" t="str">
        <f>IF($A145="","",IFERROR(MINIFS(Candidates!$K$2:$K$2000,Candidates!$A$2:$A$2000,$A145),""))</f>
        <v/>
      </c>
      <c r="S145" s="65" t="str">
        <f>IF($A145="","",IFERROR(MAXIFS(Candidates!$AA$2:$AA$2000,Candidates!$A$2:$A$2000,$A145),""))</f>
        <v/>
      </c>
      <c r="T145" s="64" t="str">
        <f>IFERROR(__xludf.DUMMYFUNCTION("IF($A145="""","""",IFERROR(TEXTJOIN("", "",TRUE,UNIQUE(FILTER(Candidates!$B$2:$B$2000,Candidates!$A$2:$A$2000=$A145))),""""))"),"")</f>
        <v/>
      </c>
      <c r="U145" s="66" t="str">
        <f>IF($A145="","",COUNTIF(Candidates!$A$2:$A$2000,$A145))</f>
        <v/>
      </c>
      <c r="V145" s="64" t="str">
        <f>IFERROR(__xludf.DUMMYFUNCTION("IF($A145="""","""",IFERROR(INDEX(FILTER(Candidates!$S$2:$S$2000,Candidates!$A$2:$A$2000=$A145),COUNTIF(Candidates!$A$2:$A$2000,$A145)),""""))"),"")</f>
        <v/>
      </c>
      <c r="W145" s="64" t="str">
        <f>IFERROR(__xludf.DUMMYFUNCTION("IF($A145="""","""",IFERROR(INDEX(FILTER(Candidates!$T$2:$T$2000,Candidates!$A$2:$A$2000=$A145),COUNTIF(Candidates!$A$2:$A$2000,$A145)),""""))"),"")</f>
        <v/>
      </c>
      <c r="X145" s="64"/>
      <c r="Y145" s="64"/>
      <c r="Z145" s="65"/>
      <c r="AA145" s="65"/>
      <c r="AB145" s="65"/>
      <c r="AC145" s="65"/>
    </row>
    <row r="146">
      <c r="A146" s="64"/>
      <c r="B146" s="64"/>
      <c r="C146" s="64"/>
      <c r="D146" s="64"/>
      <c r="E146" s="64"/>
      <c r="F146" s="64"/>
      <c r="G146" s="64"/>
      <c r="H146" s="63"/>
      <c r="I146" s="64"/>
      <c r="J146" s="64"/>
      <c r="K146" s="64"/>
      <c r="L146" s="64"/>
      <c r="M146" s="64"/>
      <c r="N146" s="64"/>
      <c r="O146" s="64"/>
      <c r="P146" s="64"/>
      <c r="Q146" s="64"/>
      <c r="R146" s="65" t="str">
        <f>IF($A146="","",IFERROR(MINIFS(Candidates!$K$2:$K$2000,Candidates!$A$2:$A$2000,$A146),""))</f>
        <v/>
      </c>
      <c r="S146" s="65" t="str">
        <f>IF($A146="","",IFERROR(MAXIFS(Candidates!$AA$2:$AA$2000,Candidates!$A$2:$A$2000,$A146),""))</f>
        <v/>
      </c>
      <c r="T146" s="64" t="str">
        <f>IFERROR(__xludf.DUMMYFUNCTION("IF($A146="""","""",IFERROR(TEXTJOIN("", "",TRUE,UNIQUE(FILTER(Candidates!$B$2:$B$2000,Candidates!$A$2:$A$2000=$A146))),""""))"),"")</f>
        <v/>
      </c>
      <c r="U146" s="66" t="str">
        <f>IF($A146="","",COUNTIF(Candidates!$A$2:$A$2000,$A146))</f>
        <v/>
      </c>
      <c r="V146" s="64" t="str">
        <f>IFERROR(__xludf.DUMMYFUNCTION("IF($A146="""","""",IFERROR(INDEX(FILTER(Candidates!$S$2:$S$2000,Candidates!$A$2:$A$2000=$A146),COUNTIF(Candidates!$A$2:$A$2000,$A146)),""""))"),"")</f>
        <v/>
      </c>
      <c r="W146" s="64" t="str">
        <f>IFERROR(__xludf.DUMMYFUNCTION("IF($A146="""","""",IFERROR(INDEX(FILTER(Candidates!$T$2:$T$2000,Candidates!$A$2:$A$2000=$A146),COUNTIF(Candidates!$A$2:$A$2000,$A146)),""""))"),"")</f>
        <v/>
      </c>
      <c r="X146" s="64"/>
      <c r="Y146" s="64"/>
      <c r="Z146" s="65"/>
      <c r="AA146" s="65"/>
      <c r="AB146" s="65"/>
      <c r="AC146" s="65"/>
    </row>
    <row r="147">
      <c r="A147" s="64"/>
      <c r="B147" s="64"/>
      <c r="C147" s="64"/>
      <c r="D147" s="64"/>
      <c r="E147" s="64"/>
      <c r="F147" s="64"/>
      <c r="G147" s="64"/>
      <c r="H147" s="63"/>
      <c r="I147" s="64"/>
      <c r="J147" s="64"/>
      <c r="K147" s="64"/>
      <c r="L147" s="64"/>
      <c r="M147" s="64"/>
      <c r="N147" s="64"/>
      <c r="O147" s="64"/>
      <c r="P147" s="64"/>
      <c r="Q147" s="64"/>
      <c r="R147" s="65" t="str">
        <f>IF($A147="","",IFERROR(MINIFS(Candidates!$K$2:$K$2000,Candidates!$A$2:$A$2000,$A147),""))</f>
        <v/>
      </c>
      <c r="S147" s="65" t="str">
        <f>IF($A147="","",IFERROR(MAXIFS(Candidates!$AA$2:$AA$2000,Candidates!$A$2:$A$2000,$A147),""))</f>
        <v/>
      </c>
      <c r="T147" s="64" t="str">
        <f>IFERROR(__xludf.DUMMYFUNCTION("IF($A147="""","""",IFERROR(TEXTJOIN("", "",TRUE,UNIQUE(FILTER(Candidates!$B$2:$B$2000,Candidates!$A$2:$A$2000=$A147))),""""))"),"")</f>
        <v/>
      </c>
      <c r="U147" s="66" t="str">
        <f>IF($A147="","",COUNTIF(Candidates!$A$2:$A$2000,$A147))</f>
        <v/>
      </c>
      <c r="V147" s="64" t="str">
        <f>IFERROR(__xludf.DUMMYFUNCTION("IF($A147="""","""",IFERROR(INDEX(FILTER(Candidates!$S$2:$S$2000,Candidates!$A$2:$A$2000=$A147),COUNTIF(Candidates!$A$2:$A$2000,$A147)),""""))"),"")</f>
        <v/>
      </c>
      <c r="W147" s="64" t="str">
        <f>IFERROR(__xludf.DUMMYFUNCTION("IF($A147="""","""",IFERROR(INDEX(FILTER(Candidates!$T$2:$T$2000,Candidates!$A$2:$A$2000=$A147),COUNTIF(Candidates!$A$2:$A$2000,$A147)),""""))"),"")</f>
        <v/>
      </c>
      <c r="X147" s="64"/>
      <c r="Y147" s="64"/>
      <c r="Z147" s="65"/>
      <c r="AA147" s="65"/>
      <c r="AB147" s="65"/>
      <c r="AC147" s="65"/>
    </row>
    <row r="148">
      <c r="A148" s="64"/>
      <c r="B148" s="64"/>
      <c r="C148" s="64"/>
      <c r="D148" s="64"/>
      <c r="E148" s="64"/>
      <c r="F148" s="64"/>
      <c r="G148" s="64"/>
      <c r="H148" s="63"/>
      <c r="I148" s="64"/>
      <c r="J148" s="64"/>
      <c r="K148" s="64"/>
      <c r="L148" s="64"/>
      <c r="M148" s="64"/>
      <c r="N148" s="64"/>
      <c r="O148" s="64"/>
      <c r="P148" s="64"/>
      <c r="Q148" s="64"/>
      <c r="R148" s="65" t="str">
        <f>IF($A148="","",IFERROR(MINIFS(Candidates!$K$2:$K$2000,Candidates!$A$2:$A$2000,$A148),""))</f>
        <v/>
      </c>
      <c r="S148" s="65" t="str">
        <f>IF($A148="","",IFERROR(MAXIFS(Candidates!$AA$2:$AA$2000,Candidates!$A$2:$A$2000,$A148),""))</f>
        <v/>
      </c>
      <c r="T148" s="64" t="str">
        <f>IFERROR(__xludf.DUMMYFUNCTION("IF($A148="""","""",IFERROR(TEXTJOIN("", "",TRUE,UNIQUE(FILTER(Candidates!$B$2:$B$2000,Candidates!$A$2:$A$2000=$A148))),""""))"),"")</f>
        <v/>
      </c>
      <c r="U148" s="66" t="str">
        <f>IF($A148="","",COUNTIF(Candidates!$A$2:$A$2000,$A148))</f>
        <v/>
      </c>
      <c r="V148" s="64" t="str">
        <f>IFERROR(__xludf.DUMMYFUNCTION("IF($A148="""","""",IFERROR(INDEX(FILTER(Candidates!$S$2:$S$2000,Candidates!$A$2:$A$2000=$A148),COUNTIF(Candidates!$A$2:$A$2000,$A148)),""""))"),"")</f>
        <v/>
      </c>
      <c r="W148" s="64" t="str">
        <f>IFERROR(__xludf.DUMMYFUNCTION("IF($A148="""","""",IFERROR(INDEX(FILTER(Candidates!$T$2:$T$2000,Candidates!$A$2:$A$2000=$A148),COUNTIF(Candidates!$A$2:$A$2000,$A148)),""""))"),"")</f>
        <v/>
      </c>
      <c r="X148" s="64"/>
      <c r="Y148" s="64"/>
      <c r="Z148" s="65"/>
      <c r="AA148" s="65"/>
      <c r="AB148" s="65"/>
      <c r="AC148" s="65"/>
    </row>
    <row r="149">
      <c r="A149" s="64"/>
      <c r="B149" s="64"/>
      <c r="C149" s="64"/>
      <c r="D149" s="64"/>
      <c r="E149" s="64"/>
      <c r="F149" s="64"/>
      <c r="G149" s="64"/>
      <c r="H149" s="63"/>
      <c r="I149" s="64"/>
      <c r="J149" s="64"/>
      <c r="K149" s="64"/>
      <c r="L149" s="64"/>
      <c r="M149" s="64"/>
      <c r="N149" s="64"/>
      <c r="O149" s="64"/>
      <c r="P149" s="64"/>
      <c r="Q149" s="64"/>
      <c r="R149" s="65" t="str">
        <f>IF($A149="","",IFERROR(MINIFS(Candidates!$K$2:$K$2000,Candidates!$A$2:$A$2000,$A149),""))</f>
        <v/>
      </c>
      <c r="S149" s="65" t="str">
        <f>IF($A149="","",IFERROR(MAXIFS(Candidates!$AA$2:$AA$2000,Candidates!$A$2:$A$2000,$A149),""))</f>
        <v/>
      </c>
      <c r="T149" s="64" t="str">
        <f>IFERROR(__xludf.DUMMYFUNCTION("IF($A149="""","""",IFERROR(TEXTJOIN("", "",TRUE,UNIQUE(FILTER(Candidates!$B$2:$B$2000,Candidates!$A$2:$A$2000=$A149))),""""))"),"")</f>
        <v/>
      </c>
      <c r="U149" s="66" t="str">
        <f>IF($A149="","",COUNTIF(Candidates!$A$2:$A$2000,$A149))</f>
        <v/>
      </c>
      <c r="V149" s="64" t="str">
        <f>IFERROR(__xludf.DUMMYFUNCTION("IF($A149="""","""",IFERROR(INDEX(FILTER(Candidates!$S$2:$S$2000,Candidates!$A$2:$A$2000=$A149),COUNTIF(Candidates!$A$2:$A$2000,$A149)),""""))"),"")</f>
        <v/>
      </c>
      <c r="W149" s="64" t="str">
        <f>IFERROR(__xludf.DUMMYFUNCTION("IF($A149="""","""",IFERROR(INDEX(FILTER(Candidates!$T$2:$T$2000,Candidates!$A$2:$A$2000=$A149),COUNTIF(Candidates!$A$2:$A$2000,$A149)),""""))"),"")</f>
        <v/>
      </c>
      <c r="X149" s="64"/>
      <c r="Y149" s="64"/>
      <c r="Z149" s="65"/>
      <c r="AA149" s="65"/>
      <c r="AB149" s="65"/>
      <c r="AC149" s="65"/>
    </row>
    <row r="150">
      <c r="A150" s="64"/>
      <c r="B150" s="64"/>
      <c r="C150" s="64"/>
      <c r="D150" s="64"/>
      <c r="E150" s="64"/>
      <c r="F150" s="64"/>
      <c r="G150" s="64"/>
      <c r="H150" s="63"/>
      <c r="I150" s="64"/>
      <c r="J150" s="64"/>
      <c r="K150" s="64"/>
      <c r="L150" s="64"/>
      <c r="M150" s="64"/>
      <c r="N150" s="64"/>
      <c r="O150" s="64"/>
      <c r="P150" s="64"/>
      <c r="Q150" s="64"/>
      <c r="R150" s="65" t="str">
        <f>IF($A150="","",IFERROR(MINIFS(Candidates!$K$2:$K$2000,Candidates!$A$2:$A$2000,$A150),""))</f>
        <v/>
      </c>
      <c r="S150" s="65" t="str">
        <f>IF($A150="","",IFERROR(MAXIFS(Candidates!$AA$2:$AA$2000,Candidates!$A$2:$A$2000,$A150),""))</f>
        <v/>
      </c>
      <c r="T150" s="64" t="str">
        <f>IFERROR(__xludf.DUMMYFUNCTION("IF($A150="""","""",IFERROR(TEXTJOIN("", "",TRUE,UNIQUE(FILTER(Candidates!$B$2:$B$2000,Candidates!$A$2:$A$2000=$A150))),""""))"),"")</f>
        <v/>
      </c>
      <c r="U150" s="66" t="str">
        <f>IF($A150="","",COUNTIF(Candidates!$A$2:$A$2000,$A150))</f>
        <v/>
      </c>
      <c r="V150" s="64" t="str">
        <f>IFERROR(__xludf.DUMMYFUNCTION("IF($A150="""","""",IFERROR(INDEX(FILTER(Candidates!$S$2:$S$2000,Candidates!$A$2:$A$2000=$A150),COUNTIF(Candidates!$A$2:$A$2000,$A150)),""""))"),"")</f>
        <v/>
      </c>
      <c r="W150" s="64" t="str">
        <f>IFERROR(__xludf.DUMMYFUNCTION("IF($A150="""","""",IFERROR(INDEX(FILTER(Candidates!$T$2:$T$2000,Candidates!$A$2:$A$2000=$A150),COUNTIF(Candidates!$A$2:$A$2000,$A150)),""""))"),"")</f>
        <v/>
      </c>
      <c r="X150" s="64"/>
      <c r="Y150" s="64"/>
      <c r="Z150" s="65"/>
      <c r="AA150" s="65"/>
      <c r="AB150" s="65"/>
      <c r="AC150" s="65"/>
    </row>
    <row r="151">
      <c r="A151" s="64"/>
      <c r="B151" s="64"/>
      <c r="C151" s="64"/>
      <c r="D151" s="64"/>
      <c r="E151" s="64"/>
      <c r="F151" s="64"/>
      <c r="G151" s="64"/>
      <c r="H151" s="63"/>
      <c r="I151" s="64"/>
      <c r="J151" s="64"/>
      <c r="K151" s="64"/>
      <c r="L151" s="64"/>
      <c r="M151" s="64"/>
      <c r="N151" s="64"/>
      <c r="O151" s="64"/>
      <c r="P151" s="64"/>
      <c r="Q151" s="64"/>
      <c r="R151" s="65" t="str">
        <f>IF($A151="","",IFERROR(MINIFS(Candidates!$K$2:$K$2000,Candidates!$A$2:$A$2000,$A151),""))</f>
        <v/>
      </c>
      <c r="S151" s="65" t="str">
        <f>IF($A151="","",IFERROR(MAXIFS(Candidates!$AA$2:$AA$2000,Candidates!$A$2:$A$2000,$A151),""))</f>
        <v/>
      </c>
      <c r="T151" s="64" t="str">
        <f>IFERROR(__xludf.DUMMYFUNCTION("IF($A151="""","""",IFERROR(TEXTJOIN("", "",TRUE,UNIQUE(FILTER(Candidates!$B$2:$B$2000,Candidates!$A$2:$A$2000=$A151))),""""))"),"")</f>
        <v/>
      </c>
      <c r="U151" s="66" t="str">
        <f>IF($A151="","",COUNTIF(Candidates!$A$2:$A$2000,$A151))</f>
        <v/>
      </c>
      <c r="V151" s="64" t="str">
        <f>IFERROR(__xludf.DUMMYFUNCTION("IF($A151="""","""",IFERROR(INDEX(FILTER(Candidates!$S$2:$S$2000,Candidates!$A$2:$A$2000=$A151),COUNTIF(Candidates!$A$2:$A$2000,$A151)),""""))"),"")</f>
        <v/>
      </c>
      <c r="W151" s="64" t="str">
        <f>IFERROR(__xludf.DUMMYFUNCTION("IF($A151="""","""",IFERROR(INDEX(FILTER(Candidates!$T$2:$T$2000,Candidates!$A$2:$A$2000=$A151),COUNTIF(Candidates!$A$2:$A$2000,$A151)),""""))"),"")</f>
        <v/>
      </c>
      <c r="X151" s="64"/>
      <c r="Y151" s="64"/>
      <c r="Z151" s="65"/>
      <c r="AA151" s="65"/>
      <c r="AB151" s="65"/>
      <c r="AC151" s="65"/>
    </row>
    <row r="152">
      <c r="A152" s="64"/>
      <c r="B152" s="64"/>
      <c r="C152" s="64"/>
      <c r="D152" s="64"/>
      <c r="E152" s="64"/>
      <c r="F152" s="64"/>
      <c r="G152" s="64"/>
      <c r="H152" s="63"/>
      <c r="I152" s="64"/>
      <c r="J152" s="64"/>
      <c r="K152" s="64"/>
      <c r="L152" s="64"/>
      <c r="M152" s="64"/>
      <c r="N152" s="64"/>
      <c r="O152" s="64"/>
      <c r="P152" s="64"/>
      <c r="Q152" s="64"/>
      <c r="R152" s="65" t="str">
        <f>IF($A152="","",IFERROR(MINIFS(Candidates!$K$2:$K$2000,Candidates!$A$2:$A$2000,$A152),""))</f>
        <v/>
      </c>
      <c r="S152" s="65" t="str">
        <f>IF($A152="","",IFERROR(MAXIFS(Candidates!$AA$2:$AA$2000,Candidates!$A$2:$A$2000,$A152),""))</f>
        <v/>
      </c>
      <c r="T152" s="64" t="str">
        <f>IFERROR(__xludf.DUMMYFUNCTION("IF($A152="""","""",IFERROR(TEXTJOIN("", "",TRUE,UNIQUE(FILTER(Candidates!$B$2:$B$2000,Candidates!$A$2:$A$2000=$A152))),""""))"),"")</f>
        <v/>
      </c>
      <c r="U152" s="66" t="str">
        <f>IF($A152="","",COUNTIF(Candidates!$A$2:$A$2000,$A152))</f>
        <v/>
      </c>
      <c r="V152" s="64" t="str">
        <f>IFERROR(__xludf.DUMMYFUNCTION("IF($A152="""","""",IFERROR(INDEX(FILTER(Candidates!$S$2:$S$2000,Candidates!$A$2:$A$2000=$A152),COUNTIF(Candidates!$A$2:$A$2000,$A152)),""""))"),"")</f>
        <v/>
      </c>
      <c r="W152" s="64" t="str">
        <f>IFERROR(__xludf.DUMMYFUNCTION("IF($A152="""","""",IFERROR(INDEX(FILTER(Candidates!$T$2:$T$2000,Candidates!$A$2:$A$2000=$A152),COUNTIF(Candidates!$A$2:$A$2000,$A152)),""""))"),"")</f>
        <v/>
      </c>
      <c r="X152" s="64"/>
      <c r="Y152" s="64"/>
      <c r="Z152" s="65"/>
      <c r="AA152" s="65"/>
      <c r="AB152" s="65"/>
      <c r="AC152" s="65"/>
    </row>
    <row r="153">
      <c r="A153" s="64"/>
      <c r="B153" s="64"/>
      <c r="C153" s="64"/>
      <c r="D153" s="64"/>
      <c r="E153" s="64"/>
      <c r="F153" s="64"/>
      <c r="G153" s="64"/>
      <c r="H153" s="63"/>
      <c r="I153" s="64"/>
      <c r="J153" s="64"/>
      <c r="K153" s="64"/>
      <c r="L153" s="64"/>
      <c r="M153" s="64"/>
      <c r="N153" s="64"/>
      <c r="O153" s="64"/>
      <c r="P153" s="64"/>
      <c r="Q153" s="64"/>
      <c r="R153" s="65" t="str">
        <f>IF($A153="","",IFERROR(MINIFS(Candidates!$K$2:$K$2000,Candidates!$A$2:$A$2000,$A153),""))</f>
        <v/>
      </c>
      <c r="S153" s="65" t="str">
        <f>IF($A153="","",IFERROR(MAXIFS(Candidates!$AA$2:$AA$2000,Candidates!$A$2:$A$2000,$A153),""))</f>
        <v/>
      </c>
      <c r="T153" s="64" t="str">
        <f>IFERROR(__xludf.DUMMYFUNCTION("IF($A153="""","""",IFERROR(TEXTJOIN("", "",TRUE,UNIQUE(FILTER(Candidates!$B$2:$B$2000,Candidates!$A$2:$A$2000=$A153))),""""))"),"")</f>
        <v/>
      </c>
      <c r="U153" s="66" t="str">
        <f>IF($A153="","",COUNTIF(Candidates!$A$2:$A$2000,$A153))</f>
        <v/>
      </c>
      <c r="V153" s="64" t="str">
        <f>IFERROR(__xludf.DUMMYFUNCTION("IF($A153="""","""",IFERROR(INDEX(FILTER(Candidates!$S$2:$S$2000,Candidates!$A$2:$A$2000=$A153),COUNTIF(Candidates!$A$2:$A$2000,$A153)),""""))"),"")</f>
        <v/>
      </c>
      <c r="W153" s="64" t="str">
        <f>IFERROR(__xludf.DUMMYFUNCTION("IF($A153="""","""",IFERROR(INDEX(FILTER(Candidates!$T$2:$T$2000,Candidates!$A$2:$A$2000=$A153),COUNTIF(Candidates!$A$2:$A$2000,$A153)),""""))"),"")</f>
        <v/>
      </c>
      <c r="X153" s="64"/>
      <c r="Y153" s="64"/>
      <c r="Z153" s="65"/>
      <c r="AA153" s="65"/>
      <c r="AB153" s="65"/>
      <c r="AC153" s="65"/>
    </row>
    <row r="154">
      <c r="A154" s="64"/>
      <c r="B154" s="64"/>
      <c r="C154" s="64"/>
      <c r="D154" s="64"/>
      <c r="E154" s="64"/>
      <c r="F154" s="64"/>
      <c r="G154" s="64"/>
      <c r="H154" s="63"/>
      <c r="I154" s="64"/>
      <c r="J154" s="64"/>
      <c r="K154" s="64"/>
      <c r="L154" s="64"/>
      <c r="M154" s="64"/>
      <c r="N154" s="64"/>
      <c r="O154" s="64"/>
      <c r="P154" s="64"/>
      <c r="Q154" s="64"/>
      <c r="R154" s="65" t="str">
        <f>IF($A154="","",IFERROR(MINIFS(Candidates!$K$2:$K$2000,Candidates!$A$2:$A$2000,$A154),""))</f>
        <v/>
      </c>
      <c r="S154" s="65" t="str">
        <f>IF($A154="","",IFERROR(MAXIFS(Candidates!$AA$2:$AA$2000,Candidates!$A$2:$A$2000,$A154),""))</f>
        <v/>
      </c>
      <c r="T154" s="64" t="str">
        <f>IFERROR(__xludf.DUMMYFUNCTION("IF($A154="""","""",IFERROR(TEXTJOIN("", "",TRUE,UNIQUE(FILTER(Candidates!$B$2:$B$2000,Candidates!$A$2:$A$2000=$A154))),""""))"),"")</f>
        <v/>
      </c>
      <c r="U154" s="66" t="str">
        <f>IF($A154="","",COUNTIF(Candidates!$A$2:$A$2000,$A154))</f>
        <v/>
      </c>
      <c r="V154" s="64" t="str">
        <f>IFERROR(__xludf.DUMMYFUNCTION("IF($A154="""","""",IFERROR(INDEX(FILTER(Candidates!$S$2:$S$2000,Candidates!$A$2:$A$2000=$A154),COUNTIF(Candidates!$A$2:$A$2000,$A154)),""""))"),"")</f>
        <v/>
      </c>
      <c r="W154" s="64" t="str">
        <f>IFERROR(__xludf.DUMMYFUNCTION("IF($A154="""","""",IFERROR(INDEX(FILTER(Candidates!$T$2:$T$2000,Candidates!$A$2:$A$2000=$A154),COUNTIF(Candidates!$A$2:$A$2000,$A154)),""""))"),"")</f>
        <v/>
      </c>
      <c r="X154" s="64"/>
      <c r="Y154" s="64"/>
      <c r="Z154" s="65"/>
      <c r="AA154" s="65"/>
      <c r="AB154" s="65"/>
      <c r="AC154" s="65"/>
    </row>
    <row r="155">
      <c r="A155" s="64"/>
      <c r="B155" s="64"/>
      <c r="C155" s="64"/>
      <c r="D155" s="64"/>
      <c r="E155" s="64"/>
      <c r="F155" s="64"/>
      <c r="G155" s="64"/>
      <c r="H155" s="63"/>
      <c r="I155" s="64"/>
      <c r="J155" s="64"/>
      <c r="K155" s="64"/>
      <c r="L155" s="64"/>
      <c r="M155" s="64"/>
      <c r="N155" s="64"/>
      <c r="O155" s="64"/>
      <c r="P155" s="64"/>
      <c r="Q155" s="64"/>
      <c r="R155" s="65" t="str">
        <f>IF($A155="","",IFERROR(MINIFS(Candidates!$K$2:$K$2000,Candidates!$A$2:$A$2000,$A155),""))</f>
        <v/>
      </c>
      <c r="S155" s="65" t="str">
        <f>IF($A155="","",IFERROR(MAXIFS(Candidates!$AA$2:$AA$2000,Candidates!$A$2:$A$2000,$A155),""))</f>
        <v/>
      </c>
      <c r="T155" s="64" t="str">
        <f>IFERROR(__xludf.DUMMYFUNCTION("IF($A155="""","""",IFERROR(TEXTJOIN("", "",TRUE,UNIQUE(FILTER(Candidates!$B$2:$B$2000,Candidates!$A$2:$A$2000=$A155))),""""))"),"")</f>
        <v/>
      </c>
      <c r="U155" s="66" t="str">
        <f>IF($A155="","",COUNTIF(Candidates!$A$2:$A$2000,$A155))</f>
        <v/>
      </c>
      <c r="V155" s="64" t="str">
        <f>IFERROR(__xludf.DUMMYFUNCTION("IF($A155="""","""",IFERROR(INDEX(FILTER(Candidates!$S$2:$S$2000,Candidates!$A$2:$A$2000=$A155),COUNTIF(Candidates!$A$2:$A$2000,$A155)),""""))"),"")</f>
        <v/>
      </c>
      <c r="W155" s="64" t="str">
        <f>IFERROR(__xludf.DUMMYFUNCTION("IF($A155="""","""",IFERROR(INDEX(FILTER(Candidates!$T$2:$T$2000,Candidates!$A$2:$A$2000=$A155),COUNTIF(Candidates!$A$2:$A$2000,$A155)),""""))"),"")</f>
        <v/>
      </c>
      <c r="X155" s="64"/>
      <c r="Y155" s="64"/>
      <c r="Z155" s="65"/>
      <c r="AA155" s="65"/>
      <c r="AB155" s="65"/>
      <c r="AC155" s="65"/>
    </row>
    <row r="156">
      <c r="A156" s="64"/>
      <c r="B156" s="64"/>
      <c r="C156" s="64"/>
      <c r="D156" s="64"/>
      <c r="E156" s="64"/>
      <c r="F156" s="64"/>
      <c r="G156" s="64"/>
      <c r="H156" s="63"/>
      <c r="I156" s="64"/>
      <c r="J156" s="64"/>
      <c r="K156" s="64"/>
      <c r="L156" s="64"/>
      <c r="M156" s="64"/>
      <c r="N156" s="64"/>
      <c r="O156" s="64"/>
      <c r="P156" s="64"/>
      <c r="Q156" s="64"/>
      <c r="R156" s="65" t="str">
        <f>IF($A156="","",IFERROR(MINIFS(Candidates!$K$2:$K$2000,Candidates!$A$2:$A$2000,$A156),""))</f>
        <v/>
      </c>
      <c r="S156" s="65" t="str">
        <f>IF($A156="","",IFERROR(MAXIFS(Candidates!$AA$2:$AA$2000,Candidates!$A$2:$A$2000,$A156),""))</f>
        <v/>
      </c>
      <c r="T156" s="64" t="str">
        <f>IFERROR(__xludf.DUMMYFUNCTION("IF($A156="""","""",IFERROR(TEXTJOIN("", "",TRUE,UNIQUE(FILTER(Candidates!$B$2:$B$2000,Candidates!$A$2:$A$2000=$A156))),""""))"),"")</f>
        <v/>
      </c>
      <c r="U156" s="66" t="str">
        <f>IF($A156="","",COUNTIF(Candidates!$A$2:$A$2000,$A156))</f>
        <v/>
      </c>
      <c r="V156" s="64" t="str">
        <f>IFERROR(__xludf.DUMMYFUNCTION("IF($A156="""","""",IFERROR(INDEX(FILTER(Candidates!$S$2:$S$2000,Candidates!$A$2:$A$2000=$A156),COUNTIF(Candidates!$A$2:$A$2000,$A156)),""""))"),"")</f>
        <v/>
      </c>
      <c r="W156" s="64" t="str">
        <f>IFERROR(__xludf.DUMMYFUNCTION("IF($A156="""","""",IFERROR(INDEX(FILTER(Candidates!$T$2:$T$2000,Candidates!$A$2:$A$2000=$A156),COUNTIF(Candidates!$A$2:$A$2000,$A156)),""""))"),"")</f>
        <v/>
      </c>
      <c r="X156" s="64"/>
      <c r="Y156" s="64"/>
      <c r="Z156" s="65"/>
      <c r="AA156" s="65"/>
      <c r="AB156" s="65"/>
      <c r="AC156" s="65"/>
    </row>
    <row r="157">
      <c r="A157" s="64"/>
      <c r="B157" s="64"/>
      <c r="C157" s="64"/>
      <c r="D157" s="64"/>
      <c r="E157" s="64"/>
      <c r="F157" s="64"/>
      <c r="G157" s="64"/>
      <c r="H157" s="63"/>
      <c r="I157" s="64"/>
      <c r="J157" s="64"/>
      <c r="K157" s="64"/>
      <c r="L157" s="64"/>
      <c r="M157" s="64"/>
      <c r="N157" s="64"/>
      <c r="O157" s="64"/>
      <c r="P157" s="64"/>
      <c r="Q157" s="64"/>
      <c r="R157" s="65" t="str">
        <f>IF($A157="","",IFERROR(MINIFS(Candidates!$K$2:$K$2000,Candidates!$A$2:$A$2000,$A157),""))</f>
        <v/>
      </c>
      <c r="S157" s="65" t="str">
        <f>IF($A157="","",IFERROR(MAXIFS(Candidates!$AA$2:$AA$2000,Candidates!$A$2:$A$2000,$A157),""))</f>
        <v/>
      </c>
      <c r="T157" s="64" t="str">
        <f>IFERROR(__xludf.DUMMYFUNCTION("IF($A157="""","""",IFERROR(TEXTJOIN("", "",TRUE,UNIQUE(FILTER(Candidates!$B$2:$B$2000,Candidates!$A$2:$A$2000=$A157))),""""))"),"")</f>
        <v/>
      </c>
      <c r="U157" s="66" t="str">
        <f>IF($A157="","",COUNTIF(Candidates!$A$2:$A$2000,$A157))</f>
        <v/>
      </c>
      <c r="V157" s="64" t="str">
        <f>IFERROR(__xludf.DUMMYFUNCTION("IF($A157="""","""",IFERROR(INDEX(FILTER(Candidates!$S$2:$S$2000,Candidates!$A$2:$A$2000=$A157),COUNTIF(Candidates!$A$2:$A$2000,$A157)),""""))"),"")</f>
        <v/>
      </c>
      <c r="W157" s="64" t="str">
        <f>IFERROR(__xludf.DUMMYFUNCTION("IF($A157="""","""",IFERROR(INDEX(FILTER(Candidates!$T$2:$T$2000,Candidates!$A$2:$A$2000=$A157),COUNTIF(Candidates!$A$2:$A$2000,$A157)),""""))"),"")</f>
        <v/>
      </c>
      <c r="X157" s="64"/>
      <c r="Y157" s="64"/>
      <c r="Z157" s="65"/>
      <c r="AA157" s="65"/>
      <c r="AB157" s="65"/>
      <c r="AC157" s="65"/>
    </row>
    <row r="158">
      <c r="A158" s="64"/>
      <c r="B158" s="64"/>
      <c r="C158" s="64"/>
      <c r="D158" s="64"/>
      <c r="E158" s="64"/>
      <c r="F158" s="64"/>
      <c r="G158" s="64"/>
      <c r="H158" s="63"/>
      <c r="I158" s="64"/>
      <c r="J158" s="64"/>
      <c r="K158" s="64"/>
      <c r="L158" s="64"/>
      <c r="M158" s="64"/>
      <c r="N158" s="64"/>
      <c r="O158" s="64"/>
      <c r="P158" s="64"/>
      <c r="Q158" s="64"/>
      <c r="R158" s="65" t="str">
        <f>IF($A158="","",IFERROR(MINIFS(Candidates!$K$2:$K$2000,Candidates!$A$2:$A$2000,$A158),""))</f>
        <v/>
      </c>
      <c r="S158" s="65" t="str">
        <f>IF($A158="","",IFERROR(MAXIFS(Candidates!$AA$2:$AA$2000,Candidates!$A$2:$A$2000,$A158),""))</f>
        <v/>
      </c>
      <c r="T158" s="64" t="str">
        <f>IFERROR(__xludf.DUMMYFUNCTION("IF($A158="""","""",IFERROR(TEXTJOIN("", "",TRUE,UNIQUE(FILTER(Candidates!$B$2:$B$2000,Candidates!$A$2:$A$2000=$A158))),""""))"),"")</f>
        <v/>
      </c>
      <c r="U158" s="66" t="str">
        <f>IF($A158="","",COUNTIF(Candidates!$A$2:$A$2000,$A158))</f>
        <v/>
      </c>
      <c r="V158" s="64" t="str">
        <f>IFERROR(__xludf.DUMMYFUNCTION("IF($A158="""","""",IFERROR(INDEX(FILTER(Candidates!$S$2:$S$2000,Candidates!$A$2:$A$2000=$A158),COUNTIF(Candidates!$A$2:$A$2000,$A158)),""""))"),"")</f>
        <v/>
      </c>
      <c r="W158" s="64" t="str">
        <f>IFERROR(__xludf.DUMMYFUNCTION("IF($A158="""","""",IFERROR(INDEX(FILTER(Candidates!$T$2:$T$2000,Candidates!$A$2:$A$2000=$A158),COUNTIF(Candidates!$A$2:$A$2000,$A158)),""""))"),"")</f>
        <v/>
      </c>
      <c r="X158" s="64"/>
      <c r="Y158" s="64"/>
      <c r="Z158" s="65"/>
      <c r="AA158" s="65"/>
      <c r="AB158" s="65"/>
      <c r="AC158" s="65"/>
    </row>
    <row r="159">
      <c r="A159" s="64"/>
      <c r="B159" s="64"/>
      <c r="C159" s="64"/>
      <c r="D159" s="64"/>
      <c r="E159" s="64"/>
      <c r="F159" s="64"/>
      <c r="G159" s="64"/>
      <c r="H159" s="63"/>
      <c r="I159" s="64"/>
      <c r="J159" s="64"/>
      <c r="K159" s="64"/>
      <c r="L159" s="64"/>
      <c r="M159" s="64"/>
      <c r="N159" s="64"/>
      <c r="O159" s="64"/>
      <c r="P159" s="64"/>
      <c r="Q159" s="64"/>
      <c r="R159" s="65" t="str">
        <f>IF($A159="","",IFERROR(MINIFS(Candidates!$K$2:$K$2000,Candidates!$A$2:$A$2000,$A159),""))</f>
        <v/>
      </c>
      <c r="S159" s="65" t="str">
        <f>IF($A159="","",IFERROR(MAXIFS(Candidates!$AA$2:$AA$2000,Candidates!$A$2:$A$2000,$A159),""))</f>
        <v/>
      </c>
      <c r="T159" s="64" t="str">
        <f>IFERROR(__xludf.DUMMYFUNCTION("IF($A159="""","""",IFERROR(TEXTJOIN("", "",TRUE,UNIQUE(FILTER(Candidates!$B$2:$B$2000,Candidates!$A$2:$A$2000=$A159))),""""))"),"")</f>
        <v/>
      </c>
      <c r="U159" s="66" t="str">
        <f>IF($A159="","",COUNTIF(Candidates!$A$2:$A$2000,$A159))</f>
        <v/>
      </c>
      <c r="V159" s="64" t="str">
        <f>IFERROR(__xludf.DUMMYFUNCTION("IF($A159="""","""",IFERROR(INDEX(FILTER(Candidates!$S$2:$S$2000,Candidates!$A$2:$A$2000=$A159),COUNTIF(Candidates!$A$2:$A$2000,$A159)),""""))"),"")</f>
        <v/>
      </c>
      <c r="W159" s="64" t="str">
        <f>IFERROR(__xludf.DUMMYFUNCTION("IF($A159="""","""",IFERROR(INDEX(FILTER(Candidates!$T$2:$T$2000,Candidates!$A$2:$A$2000=$A159),COUNTIF(Candidates!$A$2:$A$2000,$A159)),""""))"),"")</f>
        <v/>
      </c>
      <c r="X159" s="64"/>
      <c r="Y159" s="64"/>
      <c r="Z159" s="65"/>
      <c r="AA159" s="65"/>
      <c r="AB159" s="65"/>
      <c r="AC159" s="65"/>
    </row>
    <row r="160">
      <c r="A160" s="64"/>
      <c r="B160" s="64"/>
      <c r="C160" s="64"/>
      <c r="D160" s="64"/>
      <c r="E160" s="64"/>
      <c r="F160" s="64"/>
      <c r="G160" s="64"/>
      <c r="H160" s="63"/>
      <c r="I160" s="64"/>
      <c r="J160" s="64"/>
      <c r="K160" s="64"/>
      <c r="L160" s="64"/>
      <c r="M160" s="64"/>
      <c r="N160" s="64"/>
      <c r="O160" s="64"/>
      <c r="P160" s="64"/>
      <c r="Q160" s="64"/>
      <c r="R160" s="65" t="str">
        <f>IF($A160="","",IFERROR(MINIFS(Candidates!$K$2:$K$2000,Candidates!$A$2:$A$2000,$A160),""))</f>
        <v/>
      </c>
      <c r="S160" s="65" t="str">
        <f>IF($A160="","",IFERROR(MAXIFS(Candidates!$AA$2:$AA$2000,Candidates!$A$2:$A$2000,$A160),""))</f>
        <v/>
      </c>
      <c r="T160" s="64" t="str">
        <f>IFERROR(__xludf.DUMMYFUNCTION("IF($A160="""","""",IFERROR(TEXTJOIN("", "",TRUE,UNIQUE(FILTER(Candidates!$B$2:$B$2000,Candidates!$A$2:$A$2000=$A160))),""""))"),"")</f>
        <v/>
      </c>
      <c r="U160" s="66" t="str">
        <f>IF($A160="","",COUNTIF(Candidates!$A$2:$A$2000,$A160))</f>
        <v/>
      </c>
      <c r="V160" s="64" t="str">
        <f>IFERROR(__xludf.DUMMYFUNCTION("IF($A160="""","""",IFERROR(INDEX(FILTER(Candidates!$S$2:$S$2000,Candidates!$A$2:$A$2000=$A160),COUNTIF(Candidates!$A$2:$A$2000,$A160)),""""))"),"")</f>
        <v/>
      </c>
      <c r="W160" s="64" t="str">
        <f>IFERROR(__xludf.DUMMYFUNCTION("IF($A160="""","""",IFERROR(INDEX(FILTER(Candidates!$T$2:$T$2000,Candidates!$A$2:$A$2000=$A160),COUNTIF(Candidates!$A$2:$A$2000,$A160)),""""))"),"")</f>
        <v/>
      </c>
      <c r="X160" s="64"/>
      <c r="Y160" s="64"/>
      <c r="Z160" s="65"/>
      <c r="AA160" s="65"/>
      <c r="AB160" s="65"/>
      <c r="AC160" s="65"/>
    </row>
    <row r="161">
      <c r="A161" s="64"/>
      <c r="B161" s="64"/>
      <c r="C161" s="64"/>
      <c r="D161" s="64"/>
      <c r="E161" s="64"/>
      <c r="F161" s="64"/>
      <c r="G161" s="64"/>
      <c r="H161" s="63"/>
      <c r="I161" s="64"/>
      <c r="J161" s="64"/>
      <c r="K161" s="64"/>
      <c r="L161" s="64"/>
      <c r="M161" s="64"/>
      <c r="N161" s="64"/>
      <c r="O161" s="64"/>
      <c r="P161" s="64"/>
      <c r="Q161" s="64"/>
      <c r="R161" s="65" t="str">
        <f>IF($A161="","",IFERROR(MINIFS(Candidates!$K$2:$K$2000,Candidates!$A$2:$A$2000,$A161),""))</f>
        <v/>
      </c>
      <c r="S161" s="65" t="str">
        <f>IF($A161="","",IFERROR(MAXIFS(Candidates!$AA$2:$AA$2000,Candidates!$A$2:$A$2000,$A161),""))</f>
        <v/>
      </c>
      <c r="T161" s="64" t="str">
        <f>IFERROR(__xludf.DUMMYFUNCTION("IF($A161="""","""",IFERROR(TEXTJOIN("", "",TRUE,UNIQUE(FILTER(Candidates!$B$2:$B$2000,Candidates!$A$2:$A$2000=$A161))),""""))"),"")</f>
        <v/>
      </c>
      <c r="U161" s="66" t="str">
        <f>IF($A161="","",COUNTIF(Candidates!$A$2:$A$2000,$A161))</f>
        <v/>
      </c>
      <c r="V161" s="64" t="str">
        <f>IFERROR(__xludf.DUMMYFUNCTION("IF($A161="""","""",IFERROR(INDEX(FILTER(Candidates!$S$2:$S$2000,Candidates!$A$2:$A$2000=$A161),COUNTIF(Candidates!$A$2:$A$2000,$A161)),""""))"),"")</f>
        <v/>
      </c>
      <c r="W161" s="64" t="str">
        <f>IFERROR(__xludf.DUMMYFUNCTION("IF($A161="""","""",IFERROR(INDEX(FILTER(Candidates!$T$2:$T$2000,Candidates!$A$2:$A$2000=$A161),COUNTIF(Candidates!$A$2:$A$2000,$A161)),""""))"),"")</f>
        <v/>
      </c>
      <c r="X161" s="64"/>
      <c r="Y161" s="64"/>
      <c r="Z161" s="65"/>
      <c r="AA161" s="65"/>
      <c r="AB161" s="65"/>
      <c r="AC161" s="65"/>
    </row>
    <row r="162">
      <c r="A162" s="64"/>
      <c r="B162" s="64"/>
      <c r="C162" s="64"/>
      <c r="D162" s="64"/>
      <c r="E162" s="64"/>
      <c r="F162" s="64"/>
      <c r="G162" s="64"/>
      <c r="H162" s="63"/>
      <c r="I162" s="64"/>
      <c r="J162" s="64"/>
      <c r="K162" s="64"/>
      <c r="L162" s="64"/>
      <c r="M162" s="64"/>
      <c r="N162" s="64"/>
      <c r="O162" s="64"/>
      <c r="P162" s="64"/>
      <c r="Q162" s="64"/>
      <c r="R162" s="65" t="str">
        <f>IF($A162="","",IFERROR(MINIFS(Candidates!$K$2:$K$2000,Candidates!$A$2:$A$2000,$A162),""))</f>
        <v/>
      </c>
      <c r="S162" s="65" t="str">
        <f>IF($A162="","",IFERROR(MAXIFS(Candidates!$AA$2:$AA$2000,Candidates!$A$2:$A$2000,$A162),""))</f>
        <v/>
      </c>
      <c r="T162" s="64" t="str">
        <f>IFERROR(__xludf.DUMMYFUNCTION("IF($A162="""","""",IFERROR(TEXTJOIN("", "",TRUE,UNIQUE(FILTER(Candidates!$B$2:$B$2000,Candidates!$A$2:$A$2000=$A162))),""""))"),"")</f>
        <v/>
      </c>
      <c r="U162" s="66" t="str">
        <f>IF($A162="","",COUNTIF(Candidates!$A$2:$A$2000,$A162))</f>
        <v/>
      </c>
      <c r="V162" s="64" t="str">
        <f>IFERROR(__xludf.DUMMYFUNCTION("IF($A162="""","""",IFERROR(INDEX(FILTER(Candidates!$S$2:$S$2000,Candidates!$A$2:$A$2000=$A162),COUNTIF(Candidates!$A$2:$A$2000,$A162)),""""))"),"")</f>
        <v/>
      </c>
      <c r="W162" s="64" t="str">
        <f>IFERROR(__xludf.DUMMYFUNCTION("IF($A162="""","""",IFERROR(INDEX(FILTER(Candidates!$T$2:$T$2000,Candidates!$A$2:$A$2000=$A162),COUNTIF(Candidates!$A$2:$A$2000,$A162)),""""))"),"")</f>
        <v/>
      </c>
      <c r="X162" s="64"/>
      <c r="Y162" s="64"/>
      <c r="Z162" s="65"/>
      <c r="AA162" s="65"/>
      <c r="AB162" s="65"/>
      <c r="AC162" s="65"/>
    </row>
    <row r="163">
      <c r="A163" s="64"/>
      <c r="B163" s="64"/>
      <c r="C163" s="64"/>
      <c r="D163" s="64"/>
      <c r="E163" s="64"/>
      <c r="F163" s="64"/>
      <c r="G163" s="64"/>
      <c r="H163" s="63"/>
      <c r="I163" s="64"/>
      <c r="J163" s="64"/>
      <c r="K163" s="64"/>
      <c r="L163" s="64"/>
      <c r="M163" s="64"/>
      <c r="N163" s="64"/>
      <c r="O163" s="64"/>
      <c r="P163" s="64"/>
      <c r="Q163" s="64"/>
      <c r="R163" s="65" t="str">
        <f>IF($A163="","",IFERROR(MINIFS(Candidates!$K$2:$K$2000,Candidates!$A$2:$A$2000,$A163),""))</f>
        <v/>
      </c>
      <c r="S163" s="65" t="str">
        <f>IF($A163="","",IFERROR(MAXIFS(Candidates!$AA$2:$AA$2000,Candidates!$A$2:$A$2000,$A163),""))</f>
        <v/>
      </c>
      <c r="T163" s="64" t="str">
        <f>IFERROR(__xludf.DUMMYFUNCTION("IF($A163="""","""",IFERROR(TEXTJOIN("", "",TRUE,UNIQUE(FILTER(Candidates!$B$2:$B$2000,Candidates!$A$2:$A$2000=$A163))),""""))"),"")</f>
        <v/>
      </c>
      <c r="U163" s="66" t="str">
        <f>IF($A163="","",COUNTIF(Candidates!$A$2:$A$2000,$A163))</f>
        <v/>
      </c>
      <c r="V163" s="64" t="str">
        <f>IFERROR(__xludf.DUMMYFUNCTION("IF($A163="""","""",IFERROR(INDEX(FILTER(Candidates!$S$2:$S$2000,Candidates!$A$2:$A$2000=$A163),COUNTIF(Candidates!$A$2:$A$2000,$A163)),""""))"),"")</f>
        <v/>
      </c>
      <c r="W163" s="64" t="str">
        <f>IFERROR(__xludf.DUMMYFUNCTION("IF($A163="""","""",IFERROR(INDEX(FILTER(Candidates!$T$2:$T$2000,Candidates!$A$2:$A$2000=$A163),COUNTIF(Candidates!$A$2:$A$2000,$A163)),""""))"),"")</f>
        <v/>
      </c>
      <c r="X163" s="64"/>
      <c r="Y163" s="64"/>
      <c r="Z163" s="65"/>
      <c r="AA163" s="65"/>
      <c r="AB163" s="65"/>
      <c r="AC163" s="65"/>
    </row>
    <row r="164">
      <c r="A164" s="64"/>
      <c r="B164" s="64"/>
      <c r="C164" s="64"/>
      <c r="D164" s="64"/>
      <c r="E164" s="64"/>
      <c r="F164" s="64"/>
      <c r="G164" s="64"/>
      <c r="H164" s="63"/>
      <c r="I164" s="64"/>
      <c r="J164" s="64"/>
      <c r="K164" s="64"/>
      <c r="L164" s="64"/>
      <c r="M164" s="64"/>
      <c r="N164" s="64"/>
      <c r="O164" s="64"/>
      <c r="P164" s="64"/>
      <c r="Q164" s="64"/>
      <c r="R164" s="65" t="str">
        <f>IF($A164="","",IFERROR(MINIFS(Candidates!$K$2:$K$2000,Candidates!$A$2:$A$2000,$A164),""))</f>
        <v/>
      </c>
      <c r="S164" s="65" t="str">
        <f>IF($A164="","",IFERROR(MAXIFS(Candidates!$AA$2:$AA$2000,Candidates!$A$2:$A$2000,$A164),""))</f>
        <v/>
      </c>
      <c r="T164" s="64" t="str">
        <f>IFERROR(__xludf.DUMMYFUNCTION("IF($A164="""","""",IFERROR(TEXTJOIN("", "",TRUE,UNIQUE(FILTER(Candidates!$B$2:$B$2000,Candidates!$A$2:$A$2000=$A164))),""""))"),"")</f>
        <v/>
      </c>
      <c r="U164" s="66" t="str">
        <f>IF($A164="","",COUNTIF(Candidates!$A$2:$A$2000,$A164))</f>
        <v/>
      </c>
      <c r="V164" s="64" t="str">
        <f>IFERROR(__xludf.DUMMYFUNCTION("IF($A164="""","""",IFERROR(INDEX(FILTER(Candidates!$S$2:$S$2000,Candidates!$A$2:$A$2000=$A164),COUNTIF(Candidates!$A$2:$A$2000,$A164)),""""))"),"")</f>
        <v/>
      </c>
      <c r="W164" s="64" t="str">
        <f>IFERROR(__xludf.DUMMYFUNCTION("IF($A164="""","""",IFERROR(INDEX(FILTER(Candidates!$T$2:$T$2000,Candidates!$A$2:$A$2000=$A164),COUNTIF(Candidates!$A$2:$A$2000,$A164)),""""))"),"")</f>
        <v/>
      </c>
      <c r="X164" s="64"/>
      <c r="Y164" s="64"/>
      <c r="Z164" s="65"/>
      <c r="AA164" s="65"/>
      <c r="AB164" s="65"/>
      <c r="AC164" s="65"/>
    </row>
    <row r="165">
      <c r="A165" s="64"/>
      <c r="B165" s="64"/>
      <c r="C165" s="64"/>
      <c r="D165" s="64"/>
      <c r="E165" s="64"/>
      <c r="F165" s="64"/>
      <c r="G165" s="64"/>
      <c r="H165" s="63"/>
      <c r="I165" s="64"/>
      <c r="J165" s="64"/>
      <c r="K165" s="64"/>
      <c r="L165" s="64"/>
      <c r="M165" s="64"/>
      <c r="N165" s="64"/>
      <c r="O165" s="64"/>
      <c r="P165" s="64"/>
      <c r="Q165" s="64"/>
      <c r="R165" s="65" t="str">
        <f>IF($A165="","",IFERROR(MINIFS(Candidates!$K$2:$K$2000,Candidates!$A$2:$A$2000,$A165),""))</f>
        <v/>
      </c>
      <c r="S165" s="65" t="str">
        <f>IF($A165="","",IFERROR(MAXIFS(Candidates!$AA$2:$AA$2000,Candidates!$A$2:$A$2000,$A165),""))</f>
        <v/>
      </c>
      <c r="T165" s="64" t="str">
        <f>IFERROR(__xludf.DUMMYFUNCTION("IF($A165="""","""",IFERROR(TEXTJOIN("", "",TRUE,UNIQUE(FILTER(Candidates!$B$2:$B$2000,Candidates!$A$2:$A$2000=$A165))),""""))"),"")</f>
        <v/>
      </c>
      <c r="U165" s="66" t="str">
        <f>IF($A165="","",COUNTIF(Candidates!$A$2:$A$2000,$A165))</f>
        <v/>
      </c>
      <c r="V165" s="64" t="str">
        <f>IFERROR(__xludf.DUMMYFUNCTION("IF($A165="""","""",IFERROR(INDEX(FILTER(Candidates!$S$2:$S$2000,Candidates!$A$2:$A$2000=$A165),COUNTIF(Candidates!$A$2:$A$2000,$A165)),""""))"),"")</f>
        <v/>
      </c>
      <c r="W165" s="64" t="str">
        <f>IFERROR(__xludf.DUMMYFUNCTION("IF($A165="""","""",IFERROR(INDEX(FILTER(Candidates!$T$2:$T$2000,Candidates!$A$2:$A$2000=$A165),COUNTIF(Candidates!$A$2:$A$2000,$A165)),""""))"),"")</f>
        <v/>
      </c>
      <c r="X165" s="64"/>
      <c r="Y165" s="64"/>
      <c r="Z165" s="65"/>
      <c r="AA165" s="65"/>
      <c r="AB165" s="65"/>
      <c r="AC165" s="65"/>
    </row>
    <row r="166">
      <c r="A166" s="64"/>
      <c r="B166" s="64"/>
      <c r="C166" s="64"/>
      <c r="D166" s="64"/>
      <c r="E166" s="64"/>
      <c r="F166" s="64"/>
      <c r="G166" s="64"/>
      <c r="H166" s="63"/>
      <c r="I166" s="64"/>
      <c r="J166" s="64"/>
      <c r="K166" s="64"/>
      <c r="L166" s="64"/>
      <c r="M166" s="64"/>
      <c r="N166" s="64"/>
      <c r="O166" s="64"/>
      <c r="P166" s="64"/>
      <c r="Q166" s="64"/>
      <c r="R166" s="65" t="str">
        <f>IF($A166="","",IFERROR(MINIFS(Candidates!$K$2:$K$2000,Candidates!$A$2:$A$2000,$A166),""))</f>
        <v/>
      </c>
      <c r="S166" s="65" t="str">
        <f>IF($A166="","",IFERROR(MAXIFS(Candidates!$AA$2:$AA$2000,Candidates!$A$2:$A$2000,$A166),""))</f>
        <v/>
      </c>
      <c r="T166" s="64" t="str">
        <f>IFERROR(__xludf.DUMMYFUNCTION("IF($A166="""","""",IFERROR(TEXTJOIN("", "",TRUE,UNIQUE(FILTER(Candidates!$B$2:$B$2000,Candidates!$A$2:$A$2000=$A166))),""""))"),"")</f>
        <v/>
      </c>
      <c r="U166" s="66" t="str">
        <f>IF($A166="","",COUNTIF(Candidates!$A$2:$A$2000,$A166))</f>
        <v/>
      </c>
      <c r="V166" s="64" t="str">
        <f>IFERROR(__xludf.DUMMYFUNCTION("IF($A166="""","""",IFERROR(INDEX(FILTER(Candidates!$S$2:$S$2000,Candidates!$A$2:$A$2000=$A166),COUNTIF(Candidates!$A$2:$A$2000,$A166)),""""))"),"")</f>
        <v/>
      </c>
      <c r="W166" s="64" t="str">
        <f>IFERROR(__xludf.DUMMYFUNCTION("IF($A166="""","""",IFERROR(INDEX(FILTER(Candidates!$T$2:$T$2000,Candidates!$A$2:$A$2000=$A166),COUNTIF(Candidates!$A$2:$A$2000,$A166)),""""))"),"")</f>
        <v/>
      </c>
      <c r="X166" s="64"/>
      <c r="Y166" s="64"/>
      <c r="Z166" s="65"/>
      <c r="AA166" s="65"/>
      <c r="AB166" s="65"/>
      <c r="AC166" s="65"/>
    </row>
    <row r="167">
      <c r="A167" s="64"/>
      <c r="B167" s="64"/>
      <c r="C167" s="64"/>
      <c r="D167" s="64"/>
      <c r="E167" s="64"/>
      <c r="F167" s="64"/>
      <c r="G167" s="64"/>
      <c r="H167" s="63"/>
      <c r="I167" s="64"/>
      <c r="J167" s="64"/>
      <c r="K167" s="64"/>
      <c r="L167" s="64"/>
      <c r="M167" s="64"/>
      <c r="N167" s="64"/>
      <c r="O167" s="64"/>
      <c r="P167" s="64"/>
      <c r="Q167" s="64"/>
      <c r="R167" s="65" t="str">
        <f>IF($A167="","",IFERROR(MINIFS(Candidates!$K$2:$K$2000,Candidates!$A$2:$A$2000,$A167),""))</f>
        <v/>
      </c>
      <c r="S167" s="65" t="str">
        <f>IF($A167="","",IFERROR(MAXIFS(Candidates!$AA$2:$AA$2000,Candidates!$A$2:$A$2000,$A167),""))</f>
        <v/>
      </c>
      <c r="T167" s="64" t="str">
        <f>IFERROR(__xludf.DUMMYFUNCTION("IF($A167="""","""",IFERROR(TEXTJOIN("", "",TRUE,UNIQUE(FILTER(Candidates!$B$2:$B$2000,Candidates!$A$2:$A$2000=$A167))),""""))"),"")</f>
        <v/>
      </c>
      <c r="U167" s="66" t="str">
        <f>IF($A167="","",COUNTIF(Candidates!$A$2:$A$2000,$A167))</f>
        <v/>
      </c>
      <c r="V167" s="64" t="str">
        <f>IFERROR(__xludf.DUMMYFUNCTION("IF($A167="""","""",IFERROR(INDEX(FILTER(Candidates!$S$2:$S$2000,Candidates!$A$2:$A$2000=$A167),COUNTIF(Candidates!$A$2:$A$2000,$A167)),""""))"),"")</f>
        <v/>
      </c>
      <c r="W167" s="64" t="str">
        <f>IFERROR(__xludf.DUMMYFUNCTION("IF($A167="""","""",IFERROR(INDEX(FILTER(Candidates!$T$2:$T$2000,Candidates!$A$2:$A$2000=$A167),COUNTIF(Candidates!$A$2:$A$2000,$A167)),""""))"),"")</f>
        <v/>
      </c>
      <c r="X167" s="64"/>
      <c r="Y167" s="64"/>
      <c r="Z167" s="65"/>
      <c r="AA167" s="65"/>
      <c r="AB167" s="65"/>
      <c r="AC167" s="65"/>
    </row>
    <row r="168">
      <c r="A168" s="64"/>
      <c r="B168" s="64"/>
      <c r="C168" s="64"/>
      <c r="D168" s="64"/>
      <c r="E168" s="64"/>
      <c r="F168" s="64"/>
      <c r="G168" s="64"/>
      <c r="H168" s="63"/>
      <c r="I168" s="64"/>
      <c r="J168" s="64"/>
      <c r="K168" s="64"/>
      <c r="L168" s="64"/>
      <c r="M168" s="64"/>
      <c r="N168" s="64"/>
      <c r="O168" s="64"/>
      <c r="P168" s="64"/>
      <c r="Q168" s="64"/>
      <c r="R168" s="65" t="str">
        <f>IF($A168="","",IFERROR(MINIFS(Candidates!$K$2:$K$2000,Candidates!$A$2:$A$2000,$A168),""))</f>
        <v/>
      </c>
      <c r="S168" s="65" t="str">
        <f>IF($A168="","",IFERROR(MAXIFS(Candidates!$AA$2:$AA$2000,Candidates!$A$2:$A$2000,$A168),""))</f>
        <v/>
      </c>
      <c r="T168" s="64" t="str">
        <f>IFERROR(__xludf.DUMMYFUNCTION("IF($A168="""","""",IFERROR(TEXTJOIN("", "",TRUE,UNIQUE(FILTER(Candidates!$B$2:$B$2000,Candidates!$A$2:$A$2000=$A168))),""""))"),"")</f>
        <v/>
      </c>
      <c r="U168" s="66" t="str">
        <f>IF($A168="","",COUNTIF(Candidates!$A$2:$A$2000,$A168))</f>
        <v/>
      </c>
      <c r="V168" s="64" t="str">
        <f>IFERROR(__xludf.DUMMYFUNCTION("IF($A168="""","""",IFERROR(INDEX(FILTER(Candidates!$S$2:$S$2000,Candidates!$A$2:$A$2000=$A168),COUNTIF(Candidates!$A$2:$A$2000,$A168)),""""))"),"")</f>
        <v/>
      </c>
      <c r="W168" s="64" t="str">
        <f>IFERROR(__xludf.DUMMYFUNCTION("IF($A168="""","""",IFERROR(INDEX(FILTER(Candidates!$T$2:$T$2000,Candidates!$A$2:$A$2000=$A168),COUNTIF(Candidates!$A$2:$A$2000,$A168)),""""))"),"")</f>
        <v/>
      </c>
      <c r="X168" s="64"/>
      <c r="Y168" s="64"/>
      <c r="Z168" s="65"/>
      <c r="AA168" s="65"/>
      <c r="AB168" s="65"/>
      <c r="AC168" s="65"/>
    </row>
    <row r="169">
      <c r="A169" s="64"/>
      <c r="B169" s="64"/>
      <c r="C169" s="64"/>
      <c r="D169" s="64"/>
      <c r="E169" s="64"/>
      <c r="F169" s="64"/>
      <c r="G169" s="64"/>
      <c r="H169" s="63"/>
      <c r="I169" s="64"/>
      <c r="J169" s="64"/>
      <c r="K169" s="64"/>
      <c r="L169" s="64"/>
      <c r="M169" s="64"/>
      <c r="N169" s="64"/>
      <c r="O169" s="64"/>
      <c r="P169" s="64"/>
      <c r="Q169" s="64"/>
      <c r="R169" s="65" t="str">
        <f>IF($A169="","",IFERROR(MINIFS(Candidates!$K$2:$K$2000,Candidates!$A$2:$A$2000,$A169),""))</f>
        <v/>
      </c>
      <c r="S169" s="65" t="str">
        <f>IF($A169="","",IFERROR(MAXIFS(Candidates!$AA$2:$AA$2000,Candidates!$A$2:$A$2000,$A169),""))</f>
        <v/>
      </c>
      <c r="T169" s="64" t="str">
        <f>IFERROR(__xludf.DUMMYFUNCTION("IF($A169="""","""",IFERROR(TEXTJOIN("", "",TRUE,UNIQUE(FILTER(Candidates!$B$2:$B$2000,Candidates!$A$2:$A$2000=$A169))),""""))"),"")</f>
        <v/>
      </c>
      <c r="U169" s="66" t="str">
        <f>IF($A169="","",COUNTIF(Candidates!$A$2:$A$2000,$A169))</f>
        <v/>
      </c>
      <c r="V169" s="64" t="str">
        <f>IFERROR(__xludf.DUMMYFUNCTION("IF($A169="""","""",IFERROR(INDEX(FILTER(Candidates!$S$2:$S$2000,Candidates!$A$2:$A$2000=$A169),COUNTIF(Candidates!$A$2:$A$2000,$A169)),""""))"),"")</f>
        <v/>
      </c>
      <c r="W169" s="64" t="str">
        <f>IFERROR(__xludf.DUMMYFUNCTION("IF($A169="""","""",IFERROR(INDEX(FILTER(Candidates!$T$2:$T$2000,Candidates!$A$2:$A$2000=$A169),COUNTIF(Candidates!$A$2:$A$2000,$A169)),""""))"),"")</f>
        <v/>
      </c>
      <c r="X169" s="64"/>
      <c r="Y169" s="64"/>
      <c r="Z169" s="65"/>
      <c r="AA169" s="65"/>
      <c r="AB169" s="65"/>
      <c r="AC169" s="65"/>
    </row>
    <row r="170">
      <c r="A170" s="64"/>
      <c r="B170" s="64"/>
      <c r="C170" s="64"/>
      <c r="D170" s="64"/>
      <c r="E170" s="64"/>
      <c r="F170" s="64"/>
      <c r="G170" s="64"/>
      <c r="H170" s="63"/>
      <c r="I170" s="64"/>
      <c r="J170" s="64"/>
      <c r="K170" s="64"/>
      <c r="L170" s="64"/>
      <c r="M170" s="64"/>
      <c r="N170" s="64"/>
      <c r="O170" s="64"/>
      <c r="P170" s="64"/>
      <c r="Q170" s="64"/>
      <c r="R170" s="65" t="str">
        <f>IF($A170="","",IFERROR(MINIFS(Candidates!$K$2:$K$2000,Candidates!$A$2:$A$2000,$A170),""))</f>
        <v/>
      </c>
      <c r="S170" s="65" t="str">
        <f>IF($A170="","",IFERROR(MAXIFS(Candidates!$AA$2:$AA$2000,Candidates!$A$2:$A$2000,$A170),""))</f>
        <v/>
      </c>
      <c r="T170" s="64" t="str">
        <f>IFERROR(__xludf.DUMMYFUNCTION("IF($A170="""","""",IFERROR(TEXTJOIN("", "",TRUE,UNIQUE(FILTER(Candidates!$B$2:$B$2000,Candidates!$A$2:$A$2000=$A170))),""""))"),"")</f>
        <v/>
      </c>
      <c r="U170" s="66" t="str">
        <f>IF($A170="","",COUNTIF(Candidates!$A$2:$A$2000,$A170))</f>
        <v/>
      </c>
      <c r="V170" s="64" t="str">
        <f>IFERROR(__xludf.DUMMYFUNCTION("IF($A170="""","""",IFERROR(INDEX(FILTER(Candidates!$S$2:$S$2000,Candidates!$A$2:$A$2000=$A170),COUNTIF(Candidates!$A$2:$A$2000,$A170)),""""))"),"")</f>
        <v/>
      </c>
      <c r="W170" s="64" t="str">
        <f>IFERROR(__xludf.DUMMYFUNCTION("IF($A170="""","""",IFERROR(INDEX(FILTER(Candidates!$T$2:$T$2000,Candidates!$A$2:$A$2000=$A170),COUNTIF(Candidates!$A$2:$A$2000,$A170)),""""))"),"")</f>
        <v/>
      </c>
      <c r="X170" s="64"/>
      <c r="Y170" s="64"/>
      <c r="Z170" s="65"/>
      <c r="AA170" s="65"/>
      <c r="AB170" s="65"/>
      <c r="AC170" s="65"/>
    </row>
    <row r="171">
      <c r="A171" s="64"/>
      <c r="B171" s="64"/>
      <c r="C171" s="64"/>
      <c r="D171" s="64"/>
      <c r="E171" s="64"/>
      <c r="F171" s="64"/>
      <c r="G171" s="64"/>
      <c r="H171" s="63"/>
      <c r="I171" s="64"/>
      <c r="J171" s="64"/>
      <c r="K171" s="64"/>
      <c r="L171" s="64"/>
      <c r="M171" s="64"/>
      <c r="N171" s="64"/>
      <c r="O171" s="64"/>
      <c r="P171" s="64"/>
      <c r="Q171" s="64"/>
      <c r="R171" s="65" t="str">
        <f>IF($A171="","",IFERROR(MINIFS(Candidates!$K$2:$K$2000,Candidates!$A$2:$A$2000,$A171),""))</f>
        <v/>
      </c>
      <c r="S171" s="65" t="str">
        <f>IF($A171="","",IFERROR(MAXIFS(Candidates!$AA$2:$AA$2000,Candidates!$A$2:$A$2000,$A171),""))</f>
        <v/>
      </c>
      <c r="T171" s="64" t="str">
        <f>IFERROR(__xludf.DUMMYFUNCTION("IF($A171="""","""",IFERROR(TEXTJOIN("", "",TRUE,UNIQUE(FILTER(Candidates!$B$2:$B$2000,Candidates!$A$2:$A$2000=$A171))),""""))"),"")</f>
        <v/>
      </c>
      <c r="U171" s="66" t="str">
        <f>IF($A171="","",COUNTIF(Candidates!$A$2:$A$2000,$A171))</f>
        <v/>
      </c>
      <c r="V171" s="64" t="str">
        <f>IFERROR(__xludf.DUMMYFUNCTION("IF($A171="""","""",IFERROR(INDEX(FILTER(Candidates!$S$2:$S$2000,Candidates!$A$2:$A$2000=$A171),COUNTIF(Candidates!$A$2:$A$2000,$A171)),""""))"),"")</f>
        <v/>
      </c>
      <c r="W171" s="64" t="str">
        <f>IFERROR(__xludf.DUMMYFUNCTION("IF($A171="""","""",IFERROR(INDEX(FILTER(Candidates!$T$2:$T$2000,Candidates!$A$2:$A$2000=$A171),COUNTIF(Candidates!$A$2:$A$2000,$A171)),""""))"),"")</f>
        <v/>
      </c>
      <c r="X171" s="64"/>
      <c r="Y171" s="64"/>
      <c r="Z171" s="65"/>
      <c r="AA171" s="65"/>
      <c r="AB171" s="65"/>
      <c r="AC171" s="65"/>
    </row>
    <row r="172">
      <c r="A172" s="64"/>
      <c r="B172" s="64"/>
      <c r="C172" s="64"/>
      <c r="D172" s="64"/>
      <c r="E172" s="64"/>
      <c r="F172" s="64"/>
      <c r="G172" s="64"/>
      <c r="H172" s="63"/>
      <c r="I172" s="64"/>
      <c r="J172" s="64"/>
      <c r="K172" s="64"/>
      <c r="L172" s="64"/>
      <c r="M172" s="64"/>
      <c r="N172" s="64"/>
      <c r="O172" s="64"/>
      <c r="P172" s="64"/>
      <c r="Q172" s="64"/>
      <c r="R172" s="65" t="str">
        <f>IF($A172="","",IFERROR(MINIFS(Candidates!$K$2:$K$2000,Candidates!$A$2:$A$2000,$A172),""))</f>
        <v/>
      </c>
      <c r="S172" s="65" t="str">
        <f>IF($A172="","",IFERROR(MAXIFS(Candidates!$AA$2:$AA$2000,Candidates!$A$2:$A$2000,$A172),""))</f>
        <v/>
      </c>
      <c r="T172" s="64" t="str">
        <f>IFERROR(__xludf.DUMMYFUNCTION("IF($A172="""","""",IFERROR(TEXTJOIN("", "",TRUE,UNIQUE(FILTER(Candidates!$B$2:$B$2000,Candidates!$A$2:$A$2000=$A172))),""""))"),"")</f>
        <v/>
      </c>
      <c r="U172" s="66" t="str">
        <f>IF($A172="","",COUNTIF(Candidates!$A$2:$A$2000,$A172))</f>
        <v/>
      </c>
      <c r="V172" s="64" t="str">
        <f>IFERROR(__xludf.DUMMYFUNCTION("IF($A172="""","""",IFERROR(INDEX(FILTER(Candidates!$S$2:$S$2000,Candidates!$A$2:$A$2000=$A172),COUNTIF(Candidates!$A$2:$A$2000,$A172)),""""))"),"")</f>
        <v/>
      </c>
      <c r="W172" s="64" t="str">
        <f>IFERROR(__xludf.DUMMYFUNCTION("IF($A172="""","""",IFERROR(INDEX(FILTER(Candidates!$T$2:$T$2000,Candidates!$A$2:$A$2000=$A172),COUNTIF(Candidates!$A$2:$A$2000,$A172)),""""))"),"")</f>
        <v/>
      </c>
      <c r="X172" s="64"/>
      <c r="Y172" s="64"/>
      <c r="Z172" s="65"/>
      <c r="AA172" s="65"/>
      <c r="AB172" s="65"/>
      <c r="AC172" s="65"/>
    </row>
    <row r="173">
      <c r="A173" s="64"/>
      <c r="B173" s="64"/>
      <c r="C173" s="64"/>
      <c r="D173" s="64"/>
      <c r="E173" s="64"/>
      <c r="F173" s="64"/>
      <c r="G173" s="64"/>
      <c r="H173" s="63"/>
      <c r="I173" s="64"/>
      <c r="J173" s="64"/>
      <c r="K173" s="64"/>
      <c r="L173" s="64"/>
      <c r="M173" s="64"/>
      <c r="N173" s="64"/>
      <c r="O173" s="64"/>
      <c r="P173" s="64"/>
      <c r="Q173" s="64"/>
      <c r="R173" s="65" t="str">
        <f>IF($A173="","",IFERROR(MINIFS(Candidates!$K$2:$K$2000,Candidates!$A$2:$A$2000,$A173),""))</f>
        <v/>
      </c>
      <c r="S173" s="65" t="str">
        <f>IF($A173="","",IFERROR(MAXIFS(Candidates!$AA$2:$AA$2000,Candidates!$A$2:$A$2000,$A173),""))</f>
        <v/>
      </c>
      <c r="T173" s="64" t="str">
        <f>IFERROR(__xludf.DUMMYFUNCTION("IF($A173="""","""",IFERROR(TEXTJOIN("", "",TRUE,UNIQUE(FILTER(Candidates!$B$2:$B$2000,Candidates!$A$2:$A$2000=$A173))),""""))"),"")</f>
        <v/>
      </c>
      <c r="U173" s="66" t="str">
        <f>IF($A173="","",COUNTIF(Candidates!$A$2:$A$2000,$A173))</f>
        <v/>
      </c>
      <c r="V173" s="64" t="str">
        <f>IFERROR(__xludf.DUMMYFUNCTION("IF($A173="""","""",IFERROR(INDEX(FILTER(Candidates!$S$2:$S$2000,Candidates!$A$2:$A$2000=$A173),COUNTIF(Candidates!$A$2:$A$2000,$A173)),""""))"),"")</f>
        <v/>
      </c>
      <c r="W173" s="64" t="str">
        <f>IFERROR(__xludf.DUMMYFUNCTION("IF($A173="""","""",IFERROR(INDEX(FILTER(Candidates!$T$2:$T$2000,Candidates!$A$2:$A$2000=$A173),COUNTIF(Candidates!$A$2:$A$2000,$A173)),""""))"),"")</f>
        <v/>
      </c>
      <c r="X173" s="64"/>
      <c r="Y173" s="64"/>
      <c r="Z173" s="65"/>
      <c r="AA173" s="65"/>
      <c r="AB173" s="65"/>
      <c r="AC173" s="65"/>
    </row>
    <row r="174">
      <c r="A174" s="64"/>
      <c r="B174" s="64"/>
      <c r="C174" s="64"/>
      <c r="D174" s="64"/>
      <c r="E174" s="64"/>
      <c r="F174" s="64"/>
      <c r="G174" s="64"/>
      <c r="H174" s="63"/>
      <c r="I174" s="64"/>
      <c r="J174" s="64"/>
      <c r="K174" s="64"/>
      <c r="L174" s="64"/>
      <c r="M174" s="64"/>
      <c r="N174" s="64"/>
      <c r="O174" s="64"/>
      <c r="P174" s="64"/>
      <c r="Q174" s="64"/>
      <c r="R174" s="65" t="str">
        <f>IF($A174="","",IFERROR(MINIFS(Candidates!$K$2:$K$2000,Candidates!$A$2:$A$2000,$A174),""))</f>
        <v/>
      </c>
      <c r="S174" s="65" t="str">
        <f>IF($A174="","",IFERROR(MAXIFS(Candidates!$AA$2:$AA$2000,Candidates!$A$2:$A$2000,$A174),""))</f>
        <v/>
      </c>
      <c r="T174" s="64" t="str">
        <f>IFERROR(__xludf.DUMMYFUNCTION("IF($A174="""","""",IFERROR(TEXTJOIN("", "",TRUE,UNIQUE(FILTER(Candidates!$B$2:$B$2000,Candidates!$A$2:$A$2000=$A174))),""""))"),"")</f>
        <v/>
      </c>
      <c r="U174" s="66" t="str">
        <f>IF($A174="","",COUNTIF(Candidates!$A$2:$A$2000,$A174))</f>
        <v/>
      </c>
      <c r="V174" s="64" t="str">
        <f>IFERROR(__xludf.DUMMYFUNCTION("IF($A174="""","""",IFERROR(INDEX(FILTER(Candidates!$S$2:$S$2000,Candidates!$A$2:$A$2000=$A174),COUNTIF(Candidates!$A$2:$A$2000,$A174)),""""))"),"")</f>
        <v/>
      </c>
      <c r="W174" s="64" t="str">
        <f>IFERROR(__xludf.DUMMYFUNCTION("IF($A174="""","""",IFERROR(INDEX(FILTER(Candidates!$T$2:$T$2000,Candidates!$A$2:$A$2000=$A174),COUNTIF(Candidates!$A$2:$A$2000,$A174)),""""))"),"")</f>
        <v/>
      </c>
      <c r="X174" s="64"/>
      <c r="Y174" s="64"/>
      <c r="Z174" s="65"/>
      <c r="AA174" s="65"/>
      <c r="AB174" s="65"/>
      <c r="AC174" s="65"/>
    </row>
    <row r="175">
      <c r="A175" s="64"/>
      <c r="B175" s="64"/>
      <c r="C175" s="64"/>
      <c r="D175" s="64"/>
      <c r="E175" s="64"/>
      <c r="F175" s="64"/>
      <c r="G175" s="64"/>
      <c r="H175" s="63"/>
      <c r="I175" s="64"/>
      <c r="J175" s="64"/>
      <c r="K175" s="64"/>
      <c r="L175" s="64"/>
      <c r="M175" s="64"/>
      <c r="N175" s="64"/>
      <c r="O175" s="64"/>
      <c r="P175" s="64"/>
      <c r="Q175" s="64"/>
      <c r="R175" s="65" t="str">
        <f>IF($A175="","",IFERROR(MINIFS(Candidates!$K$2:$K$2000,Candidates!$A$2:$A$2000,$A175),""))</f>
        <v/>
      </c>
      <c r="S175" s="65" t="str">
        <f>IF($A175="","",IFERROR(MAXIFS(Candidates!$AA$2:$AA$2000,Candidates!$A$2:$A$2000,$A175),""))</f>
        <v/>
      </c>
      <c r="T175" s="64" t="str">
        <f>IFERROR(__xludf.DUMMYFUNCTION("IF($A175="""","""",IFERROR(TEXTJOIN("", "",TRUE,UNIQUE(FILTER(Candidates!$B$2:$B$2000,Candidates!$A$2:$A$2000=$A175))),""""))"),"")</f>
        <v/>
      </c>
      <c r="U175" s="66" t="str">
        <f>IF($A175="","",COUNTIF(Candidates!$A$2:$A$2000,$A175))</f>
        <v/>
      </c>
      <c r="V175" s="64" t="str">
        <f>IFERROR(__xludf.DUMMYFUNCTION("IF($A175="""","""",IFERROR(INDEX(FILTER(Candidates!$S$2:$S$2000,Candidates!$A$2:$A$2000=$A175),COUNTIF(Candidates!$A$2:$A$2000,$A175)),""""))"),"")</f>
        <v/>
      </c>
      <c r="W175" s="64" t="str">
        <f>IFERROR(__xludf.DUMMYFUNCTION("IF($A175="""","""",IFERROR(INDEX(FILTER(Candidates!$T$2:$T$2000,Candidates!$A$2:$A$2000=$A175),COUNTIF(Candidates!$A$2:$A$2000,$A175)),""""))"),"")</f>
        <v/>
      </c>
      <c r="X175" s="64"/>
      <c r="Y175" s="64"/>
      <c r="Z175" s="65"/>
      <c r="AA175" s="65"/>
      <c r="AB175" s="65"/>
      <c r="AC175" s="65"/>
    </row>
    <row r="176">
      <c r="A176" s="64"/>
      <c r="B176" s="64"/>
      <c r="C176" s="64"/>
      <c r="D176" s="64"/>
      <c r="E176" s="64"/>
      <c r="F176" s="64"/>
      <c r="G176" s="64"/>
      <c r="H176" s="63"/>
      <c r="I176" s="64"/>
      <c r="J176" s="64"/>
      <c r="K176" s="64"/>
      <c r="L176" s="64"/>
      <c r="M176" s="64"/>
      <c r="N176" s="64"/>
      <c r="O176" s="64"/>
      <c r="P176" s="64"/>
      <c r="Q176" s="64"/>
      <c r="R176" s="65" t="str">
        <f>IF($A176="","",IFERROR(MINIFS(Candidates!$K$2:$K$2000,Candidates!$A$2:$A$2000,$A176),""))</f>
        <v/>
      </c>
      <c r="S176" s="65" t="str">
        <f>IF($A176="","",IFERROR(MAXIFS(Candidates!$AA$2:$AA$2000,Candidates!$A$2:$A$2000,$A176),""))</f>
        <v/>
      </c>
      <c r="T176" s="64" t="str">
        <f>IFERROR(__xludf.DUMMYFUNCTION("IF($A176="""","""",IFERROR(TEXTJOIN("", "",TRUE,UNIQUE(FILTER(Candidates!$B$2:$B$2000,Candidates!$A$2:$A$2000=$A176))),""""))"),"")</f>
        <v/>
      </c>
      <c r="U176" s="66" t="str">
        <f>IF($A176="","",COUNTIF(Candidates!$A$2:$A$2000,$A176))</f>
        <v/>
      </c>
      <c r="V176" s="64" t="str">
        <f>IFERROR(__xludf.DUMMYFUNCTION("IF($A176="""","""",IFERROR(INDEX(FILTER(Candidates!$S$2:$S$2000,Candidates!$A$2:$A$2000=$A176),COUNTIF(Candidates!$A$2:$A$2000,$A176)),""""))"),"")</f>
        <v/>
      </c>
      <c r="W176" s="64" t="str">
        <f>IFERROR(__xludf.DUMMYFUNCTION("IF($A176="""","""",IFERROR(INDEX(FILTER(Candidates!$T$2:$T$2000,Candidates!$A$2:$A$2000=$A176),COUNTIF(Candidates!$A$2:$A$2000,$A176)),""""))"),"")</f>
        <v/>
      </c>
      <c r="X176" s="64"/>
      <c r="Y176" s="64"/>
      <c r="Z176" s="65"/>
      <c r="AA176" s="65"/>
      <c r="AB176" s="65"/>
      <c r="AC176" s="65"/>
    </row>
    <row r="177">
      <c r="A177" s="64"/>
      <c r="B177" s="64"/>
      <c r="C177" s="64"/>
      <c r="D177" s="64"/>
      <c r="E177" s="64"/>
      <c r="F177" s="64"/>
      <c r="G177" s="64"/>
      <c r="H177" s="63"/>
      <c r="I177" s="64"/>
      <c r="J177" s="64"/>
      <c r="K177" s="64"/>
      <c r="L177" s="64"/>
      <c r="M177" s="64"/>
      <c r="N177" s="64"/>
      <c r="O177" s="64"/>
      <c r="P177" s="64"/>
      <c r="Q177" s="64"/>
      <c r="R177" s="65" t="str">
        <f>IF($A177="","",IFERROR(MINIFS(Candidates!$K$2:$K$2000,Candidates!$A$2:$A$2000,$A177),""))</f>
        <v/>
      </c>
      <c r="S177" s="65" t="str">
        <f>IF($A177="","",IFERROR(MAXIFS(Candidates!$AA$2:$AA$2000,Candidates!$A$2:$A$2000,$A177),""))</f>
        <v/>
      </c>
      <c r="T177" s="64" t="str">
        <f>IFERROR(__xludf.DUMMYFUNCTION("IF($A177="""","""",IFERROR(TEXTJOIN("", "",TRUE,UNIQUE(FILTER(Candidates!$B$2:$B$2000,Candidates!$A$2:$A$2000=$A177))),""""))"),"")</f>
        <v/>
      </c>
      <c r="U177" s="66" t="str">
        <f>IF($A177="","",COUNTIF(Candidates!$A$2:$A$2000,$A177))</f>
        <v/>
      </c>
      <c r="V177" s="64" t="str">
        <f>IFERROR(__xludf.DUMMYFUNCTION("IF($A177="""","""",IFERROR(INDEX(FILTER(Candidates!$S$2:$S$2000,Candidates!$A$2:$A$2000=$A177),COUNTIF(Candidates!$A$2:$A$2000,$A177)),""""))"),"")</f>
        <v/>
      </c>
      <c r="W177" s="64" t="str">
        <f>IFERROR(__xludf.DUMMYFUNCTION("IF($A177="""","""",IFERROR(INDEX(FILTER(Candidates!$T$2:$T$2000,Candidates!$A$2:$A$2000=$A177),COUNTIF(Candidates!$A$2:$A$2000,$A177)),""""))"),"")</f>
        <v/>
      </c>
      <c r="X177" s="64"/>
      <c r="Y177" s="64"/>
      <c r="Z177" s="65"/>
      <c r="AA177" s="65"/>
      <c r="AB177" s="65"/>
      <c r="AC177" s="65"/>
    </row>
    <row r="178">
      <c r="A178" s="64"/>
      <c r="B178" s="64"/>
      <c r="C178" s="64"/>
      <c r="D178" s="64"/>
      <c r="E178" s="64"/>
      <c r="F178" s="64"/>
      <c r="G178" s="64"/>
      <c r="H178" s="63"/>
      <c r="I178" s="64"/>
      <c r="J178" s="64"/>
      <c r="K178" s="64"/>
      <c r="L178" s="64"/>
      <c r="M178" s="64"/>
      <c r="N178" s="64"/>
      <c r="O178" s="64"/>
      <c r="P178" s="64"/>
      <c r="Q178" s="64"/>
      <c r="R178" s="65" t="str">
        <f>IF($A178="","",IFERROR(MINIFS(Candidates!$K$2:$K$2000,Candidates!$A$2:$A$2000,$A178),""))</f>
        <v/>
      </c>
      <c r="S178" s="65" t="str">
        <f>IF($A178="","",IFERROR(MAXIFS(Candidates!$AA$2:$AA$2000,Candidates!$A$2:$A$2000,$A178),""))</f>
        <v/>
      </c>
      <c r="T178" s="64" t="str">
        <f>IFERROR(__xludf.DUMMYFUNCTION("IF($A178="""","""",IFERROR(TEXTJOIN("", "",TRUE,UNIQUE(FILTER(Candidates!$B$2:$B$2000,Candidates!$A$2:$A$2000=$A178))),""""))"),"")</f>
        <v/>
      </c>
      <c r="U178" s="66" t="str">
        <f>IF($A178="","",COUNTIF(Candidates!$A$2:$A$2000,$A178))</f>
        <v/>
      </c>
      <c r="V178" s="64" t="str">
        <f>IFERROR(__xludf.DUMMYFUNCTION("IF($A178="""","""",IFERROR(INDEX(FILTER(Candidates!$S$2:$S$2000,Candidates!$A$2:$A$2000=$A178),COUNTIF(Candidates!$A$2:$A$2000,$A178)),""""))"),"")</f>
        <v/>
      </c>
      <c r="W178" s="64" t="str">
        <f>IFERROR(__xludf.DUMMYFUNCTION("IF($A178="""","""",IFERROR(INDEX(FILTER(Candidates!$T$2:$T$2000,Candidates!$A$2:$A$2000=$A178),COUNTIF(Candidates!$A$2:$A$2000,$A178)),""""))"),"")</f>
        <v/>
      </c>
      <c r="X178" s="64"/>
      <c r="Y178" s="64"/>
      <c r="Z178" s="65"/>
      <c r="AA178" s="65"/>
      <c r="AB178" s="65"/>
      <c r="AC178" s="65"/>
    </row>
    <row r="179">
      <c r="A179" s="64"/>
      <c r="B179" s="64"/>
      <c r="C179" s="64"/>
      <c r="D179" s="64"/>
      <c r="E179" s="64"/>
      <c r="F179" s="64"/>
      <c r="G179" s="64"/>
      <c r="H179" s="63"/>
      <c r="I179" s="64"/>
      <c r="J179" s="64"/>
      <c r="K179" s="64"/>
      <c r="L179" s="64"/>
      <c r="M179" s="64"/>
      <c r="N179" s="64"/>
      <c r="O179" s="64"/>
      <c r="P179" s="64"/>
      <c r="Q179" s="64"/>
      <c r="R179" s="65" t="str">
        <f>IF($A179="","",IFERROR(MINIFS(Candidates!$K$2:$K$2000,Candidates!$A$2:$A$2000,$A179),""))</f>
        <v/>
      </c>
      <c r="S179" s="65" t="str">
        <f>IF($A179="","",IFERROR(MAXIFS(Candidates!$AA$2:$AA$2000,Candidates!$A$2:$A$2000,$A179),""))</f>
        <v/>
      </c>
      <c r="T179" s="64" t="str">
        <f>IFERROR(__xludf.DUMMYFUNCTION("IF($A179="""","""",IFERROR(TEXTJOIN("", "",TRUE,UNIQUE(FILTER(Candidates!$B$2:$B$2000,Candidates!$A$2:$A$2000=$A179))),""""))"),"")</f>
        <v/>
      </c>
      <c r="U179" s="66" t="str">
        <f>IF($A179="","",COUNTIF(Candidates!$A$2:$A$2000,$A179))</f>
        <v/>
      </c>
      <c r="V179" s="64" t="str">
        <f>IFERROR(__xludf.DUMMYFUNCTION("IF($A179="""","""",IFERROR(INDEX(FILTER(Candidates!$S$2:$S$2000,Candidates!$A$2:$A$2000=$A179),COUNTIF(Candidates!$A$2:$A$2000,$A179)),""""))"),"")</f>
        <v/>
      </c>
      <c r="W179" s="64" t="str">
        <f>IFERROR(__xludf.DUMMYFUNCTION("IF($A179="""","""",IFERROR(INDEX(FILTER(Candidates!$T$2:$T$2000,Candidates!$A$2:$A$2000=$A179),COUNTIF(Candidates!$A$2:$A$2000,$A179)),""""))"),"")</f>
        <v/>
      </c>
      <c r="X179" s="64"/>
      <c r="Y179" s="64"/>
      <c r="Z179" s="65"/>
      <c r="AA179" s="65"/>
      <c r="AB179" s="65"/>
      <c r="AC179" s="65"/>
    </row>
    <row r="180">
      <c r="A180" s="64"/>
      <c r="B180" s="64"/>
      <c r="C180" s="64"/>
      <c r="D180" s="64"/>
      <c r="E180" s="64"/>
      <c r="F180" s="64"/>
      <c r="G180" s="64"/>
      <c r="H180" s="63"/>
      <c r="I180" s="64"/>
      <c r="J180" s="64"/>
      <c r="K180" s="64"/>
      <c r="L180" s="64"/>
      <c r="M180" s="64"/>
      <c r="N180" s="64"/>
      <c r="O180" s="64"/>
      <c r="P180" s="64"/>
      <c r="Q180" s="64"/>
      <c r="R180" s="65" t="str">
        <f>IF($A180="","",IFERROR(MINIFS(Candidates!$K$2:$K$2000,Candidates!$A$2:$A$2000,$A180),""))</f>
        <v/>
      </c>
      <c r="S180" s="65" t="str">
        <f>IF($A180="","",IFERROR(MAXIFS(Candidates!$AA$2:$AA$2000,Candidates!$A$2:$A$2000,$A180),""))</f>
        <v/>
      </c>
      <c r="T180" s="64" t="str">
        <f>IFERROR(__xludf.DUMMYFUNCTION("IF($A180="""","""",IFERROR(TEXTJOIN("", "",TRUE,UNIQUE(FILTER(Candidates!$B$2:$B$2000,Candidates!$A$2:$A$2000=$A180))),""""))"),"")</f>
        <v/>
      </c>
      <c r="U180" s="66" t="str">
        <f>IF($A180="","",COUNTIF(Candidates!$A$2:$A$2000,$A180))</f>
        <v/>
      </c>
      <c r="V180" s="64" t="str">
        <f>IFERROR(__xludf.DUMMYFUNCTION("IF($A180="""","""",IFERROR(INDEX(FILTER(Candidates!$S$2:$S$2000,Candidates!$A$2:$A$2000=$A180),COUNTIF(Candidates!$A$2:$A$2000,$A180)),""""))"),"")</f>
        <v/>
      </c>
      <c r="W180" s="64" t="str">
        <f>IFERROR(__xludf.DUMMYFUNCTION("IF($A180="""","""",IFERROR(INDEX(FILTER(Candidates!$T$2:$T$2000,Candidates!$A$2:$A$2000=$A180),COUNTIF(Candidates!$A$2:$A$2000,$A180)),""""))"),"")</f>
        <v/>
      </c>
      <c r="X180" s="64"/>
      <c r="Y180" s="64"/>
      <c r="Z180" s="65"/>
      <c r="AA180" s="65"/>
      <c r="AB180" s="65"/>
      <c r="AC180" s="65"/>
    </row>
    <row r="181">
      <c r="A181" s="64"/>
      <c r="B181" s="64"/>
      <c r="C181" s="64"/>
      <c r="D181" s="64"/>
      <c r="E181" s="64"/>
      <c r="F181" s="64"/>
      <c r="G181" s="64"/>
      <c r="H181" s="63"/>
      <c r="I181" s="64"/>
      <c r="J181" s="64"/>
      <c r="K181" s="64"/>
      <c r="L181" s="64"/>
      <c r="M181" s="64"/>
      <c r="N181" s="64"/>
      <c r="O181" s="64"/>
      <c r="P181" s="64"/>
      <c r="Q181" s="64"/>
      <c r="R181" s="65" t="str">
        <f>IF($A181="","",IFERROR(MINIFS(Candidates!$K$2:$K$2000,Candidates!$A$2:$A$2000,$A181),""))</f>
        <v/>
      </c>
      <c r="S181" s="65" t="str">
        <f>IF($A181="","",IFERROR(MAXIFS(Candidates!$AA$2:$AA$2000,Candidates!$A$2:$A$2000,$A181),""))</f>
        <v/>
      </c>
      <c r="T181" s="64" t="str">
        <f>IFERROR(__xludf.DUMMYFUNCTION("IF($A181="""","""",IFERROR(TEXTJOIN("", "",TRUE,UNIQUE(FILTER(Candidates!$B$2:$B$2000,Candidates!$A$2:$A$2000=$A181))),""""))"),"")</f>
        <v/>
      </c>
      <c r="U181" s="66" t="str">
        <f>IF($A181="","",COUNTIF(Candidates!$A$2:$A$2000,$A181))</f>
        <v/>
      </c>
      <c r="V181" s="64" t="str">
        <f>IFERROR(__xludf.DUMMYFUNCTION("IF($A181="""","""",IFERROR(INDEX(FILTER(Candidates!$S$2:$S$2000,Candidates!$A$2:$A$2000=$A181),COUNTIF(Candidates!$A$2:$A$2000,$A181)),""""))"),"")</f>
        <v/>
      </c>
      <c r="W181" s="64" t="str">
        <f>IFERROR(__xludf.DUMMYFUNCTION("IF($A181="""","""",IFERROR(INDEX(FILTER(Candidates!$T$2:$T$2000,Candidates!$A$2:$A$2000=$A181),COUNTIF(Candidates!$A$2:$A$2000,$A181)),""""))"),"")</f>
        <v/>
      </c>
      <c r="X181" s="64"/>
      <c r="Y181" s="64"/>
      <c r="Z181" s="65"/>
      <c r="AA181" s="65"/>
      <c r="AB181" s="65"/>
      <c r="AC181" s="65"/>
    </row>
    <row r="182">
      <c r="A182" s="64"/>
      <c r="B182" s="64"/>
      <c r="C182" s="64"/>
      <c r="D182" s="64"/>
      <c r="E182" s="64"/>
      <c r="F182" s="64"/>
      <c r="G182" s="64"/>
      <c r="H182" s="63"/>
      <c r="I182" s="64"/>
      <c r="J182" s="64"/>
      <c r="K182" s="64"/>
      <c r="L182" s="64"/>
      <c r="M182" s="64"/>
      <c r="N182" s="64"/>
      <c r="O182" s="64"/>
      <c r="P182" s="64"/>
      <c r="Q182" s="64"/>
      <c r="R182" s="65" t="str">
        <f>IF($A182="","",IFERROR(MINIFS(Candidates!$K$2:$K$2000,Candidates!$A$2:$A$2000,$A182),""))</f>
        <v/>
      </c>
      <c r="S182" s="65" t="str">
        <f>IF($A182="","",IFERROR(MAXIFS(Candidates!$AA$2:$AA$2000,Candidates!$A$2:$A$2000,$A182),""))</f>
        <v/>
      </c>
      <c r="T182" s="64" t="str">
        <f>IFERROR(__xludf.DUMMYFUNCTION("IF($A182="""","""",IFERROR(TEXTJOIN("", "",TRUE,UNIQUE(FILTER(Candidates!$B$2:$B$2000,Candidates!$A$2:$A$2000=$A182))),""""))"),"")</f>
        <v/>
      </c>
      <c r="U182" s="66" t="str">
        <f>IF($A182="","",COUNTIF(Candidates!$A$2:$A$2000,$A182))</f>
        <v/>
      </c>
      <c r="V182" s="64" t="str">
        <f>IFERROR(__xludf.DUMMYFUNCTION("IF($A182="""","""",IFERROR(INDEX(FILTER(Candidates!$S$2:$S$2000,Candidates!$A$2:$A$2000=$A182),COUNTIF(Candidates!$A$2:$A$2000,$A182)),""""))"),"")</f>
        <v/>
      </c>
      <c r="W182" s="64" t="str">
        <f>IFERROR(__xludf.DUMMYFUNCTION("IF($A182="""","""",IFERROR(INDEX(FILTER(Candidates!$T$2:$T$2000,Candidates!$A$2:$A$2000=$A182),COUNTIF(Candidates!$A$2:$A$2000,$A182)),""""))"),"")</f>
        <v/>
      </c>
      <c r="X182" s="64"/>
      <c r="Y182" s="64"/>
      <c r="Z182" s="65"/>
      <c r="AA182" s="65"/>
      <c r="AB182" s="65"/>
      <c r="AC182" s="65"/>
    </row>
    <row r="183">
      <c r="A183" s="64"/>
      <c r="B183" s="64"/>
      <c r="C183" s="64"/>
      <c r="D183" s="64"/>
      <c r="E183" s="64"/>
      <c r="F183" s="64"/>
      <c r="G183" s="64"/>
      <c r="H183" s="63"/>
      <c r="I183" s="64"/>
      <c r="J183" s="64"/>
      <c r="K183" s="64"/>
      <c r="L183" s="64"/>
      <c r="M183" s="64"/>
      <c r="N183" s="64"/>
      <c r="O183" s="64"/>
      <c r="P183" s="64"/>
      <c r="Q183" s="64"/>
      <c r="R183" s="65" t="str">
        <f>IF($A183="","",IFERROR(MINIFS(Candidates!$K$2:$K$2000,Candidates!$A$2:$A$2000,$A183),""))</f>
        <v/>
      </c>
      <c r="S183" s="65" t="str">
        <f>IF($A183="","",IFERROR(MAXIFS(Candidates!$AA$2:$AA$2000,Candidates!$A$2:$A$2000,$A183),""))</f>
        <v/>
      </c>
      <c r="T183" s="64" t="str">
        <f>IFERROR(__xludf.DUMMYFUNCTION("IF($A183="""","""",IFERROR(TEXTJOIN("", "",TRUE,UNIQUE(FILTER(Candidates!$B$2:$B$2000,Candidates!$A$2:$A$2000=$A183))),""""))"),"")</f>
        <v/>
      </c>
      <c r="U183" s="66" t="str">
        <f>IF($A183="","",COUNTIF(Candidates!$A$2:$A$2000,$A183))</f>
        <v/>
      </c>
      <c r="V183" s="64" t="str">
        <f>IFERROR(__xludf.DUMMYFUNCTION("IF($A183="""","""",IFERROR(INDEX(FILTER(Candidates!$S$2:$S$2000,Candidates!$A$2:$A$2000=$A183),COUNTIF(Candidates!$A$2:$A$2000,$A183)),""""))"),"")</f>
        <v/>
      </c>
      <c r="W183" s="64" t="str">
        <f>IFERROR(__xludf.DUMMYFUNCTION("IF($A183="""","""",IFERROR(INDEX(FILTER(Candidates!$T$2:$T$2000,Candidates!$A$2:$A$2000=$A183),COUNTIF(Candidates!$A$2:$A$2000,$A183)),""""))"),"")</f>
        <v/>
      </c>
      <c r="X183" s="64"/>
      <c r="Y183" s="64"/>
      <c r="Z183" s="65"/>
      <c r="AA183" s="65"/>
      <c r="AB183" s="65"/>
      <c r="AC183" s="65"/>
    </row>
    <row r="184">
      <c r="A184" s="64"/>
      <c r="B184" s="64"/>
      <c r="C184" s="64"/>
      <c r="D184" s="64"/>
      <c r="E184" s="64"/>
      <c r="F184" s="64"/>
      <c r="G184" s="64"/>
      <c r="H184" s="63"/>
      <c r="I184" s="64"/>
      <c r="J184" s="64"/>
      <c r="K184" s="64"/>
      <c r="L184" s="64"/>
      <c r="M184" s="64"/>
      <c r="N184" s="64"/>
      <c r="O184" s="64"/>
      <c r="P184" s="64"/>
      <c r="Q184" s="64"/>
      <c r="R184" s="65" t="str">
        <f>IF($A184="","",IFERROR(MINIFS(Candidates!$K$2:$K$2000,Candidates!$A$2:$A$2000,$A184),""))</f>
        <v/>
      </c>
      <c r="S184" s="65" t="str">
        <f>IF($A184="","",IFERROR(MAXIFS(Candidates!$AA$2:$AA$2000,Candidates!$A$2:$A$2000,$A184),""))</f>
        <v/>
      </c>
      <c r="T184" s="64" t="str">
        <f>IFERROR(__xludf.DUMMYFUNCTION("IF($A184="""","""",IFERROR(TEXTJOIN("", "",TRUE,UNIQUE(FILTER(Candidates!$B$2:$B$2000,Candidates!$A$2:$A$2000=$A184))),""""))"),"")</f>
        <v/>
      </c>
      <c r="U184" s="66" t="str">
        <f>IF($A184="","",COUNTIF(Candidates!$A$2:$A$2000,$A184))</f>
        <v/>
      </c>
      <c r="V184" s="64" t="str">
        <f>IFERROR(__xludf.DUMMYFUNCTION("IF($A184="""","""",IFERROR(INDEX(FILTER(Candidates!$S$2:$S$2000,Candidates!$A$2:$A$2000=$A184),COUNTIF(Candidates!$A$2:$A$2000,$A184)),""""))"),"")</f>
        <v/>
      </c>
      <c r="W184" s="64" t="str">
        <f>IFERROR(__xludf.DUMMYFUNCTION("IF($A184="""","""",IFERROR(INDEX(FILTER(Candidates!$T$2:$T$2000,Candidates!$A$2:$A$2000=$A184),COUNTIF(Candidates!$A$2:$A$2000,$A184)),""""))"),"")</f>
        <v/>
      </c>
      <c r="X184" s="64"/>
      <c r="Y184" s="64"/>
      <c r="Z184" s="65"/>
      <c r="AA184" s="65"/>
      <c r="AB184" s="65"/>
      <c r="AC184" s="65"/>
    </row>
    <row r="185">
      <c r="A185" s="64"/>
      <c r="B185" s="64"/>
      <c r="C185" s="64"/>
      <c r="D185" s="64"/>
      <c r="E185" s="64"/>
      <c r="F185" s="64"/>
      <c r="G185" s="64"/>
      <c r="H185" s="63"/>
      <c r="I185" s="64"/>
      <c r="J185" s="64"/>
      <c r="K185" s="64"/>
      <c r="L185" s="64"/>
      <c r="M185" s="64"/>
      <c r="N185" s="64"/>
      <c r="O185" s="64"/>
      <c r="P185" s="64"/>
      <c r="Q185" s="64"/>
      <c r="R185" s="65" t="str">
        <f>IF($A185="","",IFERROR(MINIFS(Candidates!$K$2:$K$2000,Candidates!$A$2:$A$2000,$A185),""))</f>
        <v/>
      </c>
      <c r="S185" s="65" t="str">
        <f>IF($A185="","",IFERROR(MAXIFS(Candidates!$AA$2:$AA$2000,Candidates!$A$2:$A$2000,$A185),""))</f>
        <v/>
      </c>
      <c r="T185" s="64" t="str">
        <f>IFERROR(__xludf.DUMMYFUNCTION("IF($A185="""","""",IFERROR(TEXTJOIN("", "",TRUE,UNIQUE(FILTER(Candidates!$B$2:$B$2000,Candidates!$A$2:$A$2000=$A185))),""""))"),"")</f>
        <v/>
      </c>
      <c r="U185" s="66" t="str">
        <f>IF($A185="","",COUNTIF(Candidates!$A$2:$A$2000,$A185))</f>
        <v/>
      </c>
      <c r="V185" s="64" t="str">
        <f>IFERROR(__xludf.DUMMYFUNCTION("IF($A185="""","""",IFERROR(INDEX(FILTER(Candidates!$S$2:$S$2000,Candidates!$A$2:$A$2000=$A185),COUNTIF(Candidates!$A$2:$A$2000,$A185)),""""))"),"")</f>
        <v/>
      </c>
      <c r="W185" s="64" t="str">
        <f>IFERROR(__xludf.DUMMYFUNCTION("IF($A185="""","""",IFERROR(INDEX(FILTER(Candidates!$T$2:$T$2000,Candidates!$A$2:$A$2000=$A185),COUNTIF(Candidates!$A$2:$A$2000,$A185)),""""))"),"")</f>
        <v/>
      </c>
      <c r="X185" s="64"/>
      <c r="Y185" s="64"/>
      <c r="Z185" s="65"/>
      <c r="AA185" s="65"/>
      <c r="AB185" s="65"/>
      <c r="AC185" s="65"/>
    </row>
    <row r="186">
      <c r="A186" s="64"/>
      <c r="B186" s="64"/>
      <c r="C186" s="64"/>
      <c r="D186" s="64"/>
      <c r="E186" s="64"/>
      <c r="F186" s="64"/>
      <c r="G186" s="64"/>
      <c r="H186" s="63"/>
      <c r="I186" s="64"/>
      <c r="J186" s="64"/>
      <c r="K186" s="64"/>
      <c r="L186" s="64"/>
      <c r="M186" s="64"/>
      <c r="N186" s="64"/>
      <c r="O186" s="64"/>
      <c r="P186" s="64"/>
      <c r="Q186" s="64"/>
      <c r="R186" s="65" t="str">
        <f>IF($A186="","",IFERROR(MINIFS(Candidates!$K$2:$K$2000,Candidates!$A$2:$A$2000,$A186),""))</f>
        <v/>
      </c>
      <c r="S186" s="65" t="str">
        <f>IF($A186="","",IFERROR(MAXIFS(Candidates!$AA$2:$AA$2000,Candidates!$A$2:$A$2000,$A186),""))</f>
        <v/>
      </c>
      <c r="T186" s="64" t="str">
        <f>IFERROR(__xludf.DUMMYFUNCTION("IF($A186="""","""",IFERROR(TEXTJOIN("", "",TRUE,UNIQUE(FILTER(Candidates!$B$2:$B$2000,Candidates!$A$2:$A$2000=$A186))),""""))"),"")</f>
        <v/>
      </c>
      <c r="U186" s="66" t="str">
        <f>IF($A186="","",COUNTIF(Candidates!$A$2:$A$2000,$A186))</f>
        <v/>
      </c>
      <c r="V186" s="64" t="str">
        <f>IFERROR(__xludf.DUMMYFUNCTION("IF($A186="""","""",IFERROR(INDEX(FILTER(Candidates!$S$2:$S$2000,Candidates!$A$2:$A$2000=$A186),COUNTIF(Candidates!$A$2:$A$2000,$A186)),""""))"),"")</f>
        <v/>
      </c>
      <c r="W186" s="64" t="str">
        <f>IFERROR(__xludf.DUMMYFUNCTION("IF($A186="""","""",IFERROR(INDEX(FILTER(Candidates!$T$2:$T$2000,Candidates!$A$2:$A$2000=$A186),COUNTIF(Candidates!$A$2:$A$2000,$A186)),""""))"),"")</f>
        <v/>
      </c>
      <c r="X186" s="64"/>
      <c r="Y186" s="64"/>
      <c r="Z186" s="65"/>
      <c r="AA186" s="65"/>
      <c r="AB186" s="65"/>
      <c r="AC186" s="65"/>
    </row>
    <row r="187">
      <c r="A187" s="64"/>
      <c r="B187" s="64"/>
      <c r="C187" s="64"/>
      <c r="D187" s="64"/>
      <c r="E187" s="64"/>
      <c r="F187" s="64"/>
      <c r="G187" s="64"/>
      <c r="H187" s="63"/>
      <c r="I187" s="64"/>
      <c r="J187" s="64"/>
      <c r="K187" s="64"/>
      <c r="L187" s="64"/>
      <c r="M187" s="64"/>
      <c r="N187" s="64"/>
      <c r="O187" s="64"/>
      <c r="P187" s="64"/>
      <c r="Q187" s="64"/>
      <c r="R187" s="65" t="str">
        <f>IF($A187="","",IFERROR(MINIFS(Candidates!$K$2:$K$2000,Candidates!$A$2:$A$2000,$A187),""))</f>
        <v/>
      </c>
      <c r="S187" s="65" t="str">
        <f>IF($A187="","",IFERROR(MAXIFS(Candidates!$AA$2:$AA$2000,Candidates!$A$2:$A$2000,$A187),""))</f>
        <v/>
      </c>
      <c r="T187" s="64" t="str">
        <f>IFERROR(__xludf.DUMMYFUNCTION("IF($A187="""","""",IFERROR(TEXTJOIN("", "",TRUE,UNIQUE(FILTER(Candidates!$B$2:$B$2000,Candidates!$A$2:$A$2000=$A187))),""""))"),"")</f>
        <v/>
      </c>
      <c r="U187" s="66" t="str">
        <f>IF($A187="","",COUNTIF(Candidates!$A$2:$A$2000,$A187))</f>
        <v/>
      </c>
      <c r="V187" s="64" t="str">
        <f>IFERROR(__xludf.DUMMYFUNCTION("IF($A187="""","""",IFERROR(INDEX(FILTER(Candidates!$S$2:$S$2000,Candidates!$A$2:$A$2000=$A187),COUNTIF(Candidates!$A$2:$A$2000,$A187)),""""))"),"")</f>
        <v/>
      </c>
      <c r="W187" s="64" t="str">
        <f>IFERROR(__xludf.DUMMYFUNCTION("IF($A187="""","""",IFERROR(INDEX(FILTER(Candidates!$T$2:$T$2000,Candidates!$A$2:$A$2000=$A187),COUNTIF(Candidates!$A$2:$A$2000,$A187)),""""))"),"")</f>
        <v/>
      </c>
      <c r="X187" s="64"/>
      <c r="Y187" s="64"/>
      <c r="Z187" s="65"/>
      <c r="AA187" s="65"/>
      <c r="AB187" s="65"/>
      <c r="AC187" s="65"/>
    </row>
    <row r="188">
      <c r="A188" s="64"/>
      <c r="B188" s="64"/>
      <c r="C188" s="64"/>
      <c r="D188" s="64"/>
      <c r="E188" s="64"/>
      <c r="F188" s="64"/>
      <c r="G188" s="64"/>
      <c r="H188" s="63"/>
      <c r="I188" s="64"/>
      <c r="J188" s="64"/>
      <c r="K188" s="64"/>
      <c r="L188" s="64"/>
      <c r="M188" s="64"/>
      <c r="N188" s="64"/>
      <c r="O188" s="64"/>
      <c r="P188" s="64"/>
      <c r="Q188" s="64"/>
      <c r="R188" s="65" t="str">
        <f>IF($A188="","",IFERROR(MINIFS(Candidates!$K$2:$K$2000,Candidates!$A$2:$A$2000,$A188),""))</f>
        <v/>
      </c>
      <c r="S188" s="65" t="str">
        <f>IF($A188="","",IFERROR(MAXIFS(Candidates!$AA$2:$AA$2000,Candidates!$A$2:$A$2000,$A188),""))</f>
        <v/>
      </c>
      <c r="T188" s="64" t="str">
        <f>IFERROR(__xludf.DUMMYFUNCTION("IF($A188="""","""",IFERROR(TEXTJOIN("", "",TRUE,UNIQUE(FILTER(Candidates!$B$2:$B$2000,Candidates!$A$2:$A$2000=$A188))),""""))"),"")</f>
        <v/>
      </c>
      <c r="U188" s="66" t="str">
        <f>IF($A188="","",COUNTIF(Candidates!$A$2:$A$2000,$A188))</f>
        <v/>
      </c>
      <c r="V188" s="64" t="str">
        <f>IFERROR(__xludf.DUMMYFUNCTION("IF($A188="""","""",IFERROR(INDEX(FILTER(Candidates!$S$2:$S$2000,Candidates!$A$2:$A$2000=$A188),COUNTIF(Candidates!$A$2:$A$2000,$A188)),""""))"),"")</f>
        <v/>
      </c>
      <c r="W188" s="64" t="str">
        <f>IFERROR(__xludf.DUMMYFUNCTION("IF($A188="""","""",IFERROR(INDEX(FILTER(Candidates!$T$2:$T$2000,Candidates!$A$2:$A$2000=$A188),COUNTIF(Candidates!$A$2:$A$2000,$A188)),""""))"),"")</f>
        <v/>
      </c>
      <c r="X188" s="64"/>
      <c r="Y188" s="64"/>
      <c r="Z188" s="65"/>
      <c r="AA188" s="65"/>
      <c r="AB188" s="65"/>
      <c r="AC188" s="65"/>
    </row>
    <row r="189">
      <c r="A189" s="64"/>
      <c r="B189" s="64"/>
      <c r="C189" s="64"/>
      <c r="D189" s="64"/>
      <c r="E189" s="64"/>
      <c r="F189" s="64"/>
      <c r="G189" s="64"/>
      <c r="H189" s="63"/>
      <c r="I189" s="64"/>
      <c r="J189" s="64"/>
      <c r="K189" s="64"/>
      <c r="L189" s="64"/>
      <c r="M189" s="64"/>
      <c r="N189" s="64"/>
      <c r="O189" s="64"/>
      <c r="P189" s="64"/>
      <c r="Q189" s="64"/>
      <c r="R189" s="65" t="str">
        <f>IF($A189="","",IFERROR(MINIFS(Candidates!$K$2:$K$2000,Candidates!$A$2:$A$2000,$A189),""))</f>
        <v/>
      </c>
      <c r="S189" s="65" t="str">
        <f>IF($A189="","",IFERROR(MAXIFS(Candidates!$AA$2:$AA$2000,Candidates!$A$2:$A$2000,$A189),""))</f>
        <v/>
      </c>
      <c r="T189" s="64" t="str">
        <f>IFERROR(__xludf.DUMMYFUNCTION("IF($A189="""","""",IFERROR(TEXTJOIN("", "",TRUE,UNIQUE(FILTER(Candidates!$B$2:$B$2000,Candidates!$A$2:$A$2000=$A189))),""""))"),"")</f>
        <v/>
      </c>
      <c r="U189" s="66" t="str">
        <f>IF($A189="","",COUNTIF(Candidates!$A$2:$A$2000,$A189))</f>
        <v/>
      </c>
      <c r="V189" s="64" t="str">
        <f>IFERROR(__xludf.DUMMYFUNCTION("IF($A189="""","""",IFERROR(INDEX(FILTER(Candidates!$S$2:$S$2000,Candidates!$A$2:$A$2000=$A189),COUNTIF(Candidates!$A$2:$A$2000,$A189)),""""))"),"")</f>
        <v/>
      </c>
      <c r="W189" s="64" t="str">
        <f>IFERROR(__xludf.DUMMYFUNCTION("IF($A189="""","""",IFERROR(INDEX(FILTER(Candidates!$T$2:$T$2000,Candidates!$A$2:$A$2000=$A189),COUNTIF(Candidates!$A$2:$A$2000,$A189)),""""))"),"")</f>
        <v/>
      </c>
      <c r="X189" s="64"/>
      <c r="Y189" s="64"/>
      <c r="Z189" s="65"/>
      <c r="AA189" s="65"/>
      <c r="AB189" s="65"/>
      <c r="AC189" s="65"/>
    </row>
    <row r="190">
      <c r="A190" s="64"/>
      <c r="B190" s="64"/>
      <c r="C190" s="64"/>
      <c r="D190" s="64"/>
      <c r="E190" s="64"/>
      <c r="F190" s="64"/>
      <c r="G190" s="64"/>
      <c r="H190" s="63"/>
      <c r="I190" s="64"/>
      <c r="J190" s="64"/>
      <c r="K190" s="64"/>
      <c r="L190" s="64"/>
      <c r="M190" s="64"/>
      <c r="N190" s="64"/>
      <c r="O190" s="64"/>
      <c r="P190" s="64"/>
      <c r="Q190" s="64"/>
      <c r="R190" s="65" t="str">
        <f>IF($A190="","",IFERROR(MINIFS(Candidates!$K$2:$K$2000,Candidates!$A$2:$A$2000,$A190),""))</f>
        <v/>
      </c>
      <c r="S190" s="65" t="str">
        <f>IF($A190="","",IFERROR(MAXIFS(Candidates!$AA$2:$AA$2000,Candidates!$A$2:$A$2000,$A190),""))</f>
        <v/>
      </c>
      <c r="T190" s="64" t="str">
        <f>IFERROR(__xludf.DUMMYFUNCTION("IF($A190="""","""",IFERROR(TEXTJOIN("", "",TRUE,UNIQUE(FILTER(Candidates!$B$2:$B$2000,Candidates!$A$2:$A$2000=$A190))),""""))"),"")</f>
        <v/>
      </c>
      <c r="U190" s="66" t="str">
        <f>IF($A190="","",COUNTIF(Candidates!$A$2:$A$2000,$A190))</f>
        <v/>
      </c>
      <c r="V190" s="64" t="str">
        <f>IFERROR(__xludf.DUMMYFUNCTION("IF($A190="""","""",IFERROR(INDEX(FILTER(Candidates!$S$2:$S$2000,Candidates!$A$2:$A$2000=$A190),COUNTIF(Candidates!$A$2:$A$2000,$A190)),""""))"),"")</f>
        <v/>
      </c>
      <c r="W190" s="64" t="str">
        <f>IFERROR(__xludf.DUMMYFUNCTION("IF($A190="""","""",IFERROR(INDEX(FILTER(Candidates!$T$2:$T$2000,Candidates!$A$2:$A$2000=$A190),COUNTIF(Candidates!$A$2:$A$2000,$A190)),""""))"),"")</f>
        <v/>
      </c>
      <c r="X190" s="64"/>
      <c r="Y190" s="64"/>
      <c r="Z190" s="65"/>
      <c r="AA190" s="65"/>
      <c r="AB190" s="65"/>
      <c r="AC190" s="65"/>
    </row>
    <row r="191">
      <c r="A191" s="64"/>
      <c r="B191" s="64"/>
      <c r="C191" s="64"/>
      <c r="D191" s="64"/>
      <c r="E191" s="64"/>
      <c r="F191" s="64"/>
      <c r="G191" s="64"/>
      <c r="H191" s="63"/>
      <c r="I191" s="64"/>
      <c r="J191" s="64"/>
      <c r="K191" s="64"/>
      <c r="L191" s="64"/>
      <c r="M191" s="64"/>
      <c r="N191" s="64"/>
      <c r="O191" s="64"/>
      <c r="P191" s="64"/>
      <c r="Q191" s="64"/>
      <c r="R191" s="65" t="str">
        <f>IF($A191="","",IFERROR(MINIFS(Candidates!$K$2:$K$2000,Candidates!$A$2:$A$2000,$A191),""))</f>
        <v/>
      </c>
      <c r="S191" s="65" t="str">
        <f>IF($A191="","",IFERROR(MAXIFS(Candidates!$AA$2:$AA$2000,Candidates!$A$2:$A$2000,$A191),""))</f>
        <v/>
      </c>
      <c r="T191" s="64" t="str">
        <f>IFERROR(__xludf.DUMMYFUNCTION("IF($A191="""","""",IFERROR(TEXTJOIN("", "",TRUE,UNIQUE(FILTER(Candidates!$B$2:$B$2000,Candidates!$A$2:$A$2000=$A191))),""""))"),"")</f>
        <v/>
      </c>
      <c r="U191" s="66" t="str">
        <f>IF($A191="","",COUNTIF(Candidates!$A$2:$A$2000,$A191))</f>
        <v/>
      </c>
      <c r="V191" s="64" t="str">
        <f>IFERROR(__xludf.DUMMYFUNCTION("IF($A191="""","""",IFERROR(INDEX(FILTER(Candidates!$S$2:$S$2000,Candidates!$A$2:$A$2000=$A191),COUNTIF(Candidates!$A$2:$A$2000,$A191)),""""))"),"")</f>
        <v/>
      </c>
      <c r="W191" s="64" t="str">
        <f>IFERROR(__xludf.DUMMYFUNCTION("IF($A191="""","""",IFERROR(INDEX(FILTER(Candidates!$T$2:$T$2000,Candidates!$A$2:$A$2000=$A191),COUNTIF(Candidates!$A$2:$A$2000,$A191)),""""))"),"")</f>
        <v/>
      </c>
      <c r="X191" s="64"/>
      <c r="Y191" s="64"/>
      <c r="Z191" s="65"/>
      <c r="AA191" s="65"/>
      <c r="AB191" s="65"/>
      <c r="AC191" s="65"/>
    </row>
    <row r="192">
      <c r="A192" s="64"/>
      <c r="B192" s="64"/>
      <c r="C192" s="64"/>
      <c r="D192" s="64"/>
      <c r="E192" s="64"/>
      <c r="F192" s="64"/>
      <c r="G192" s="64"/>
      <c r="H192" s="63"/>
      <c r="I192" s="64"/>
      <c r="J192" s="64"/>
      <c r="K192" s="64"/>
      <c r="L192" s="64"/>
      <c r="M192" s="64"/>
      <c r="N192" s="64"/>
      <c r="O192" s="64"/>
      <c r="P192" s="64"/>
      <c r="Q192" s="64"/>
      <c r="R192" s="65" t="str">
        <f>IF($A192="","",IFERROR(MINIFS(Candidates!$K$2:$K$2000,Candidates!$A$2:$A$2000,$A192),""))</f>
        <v/>
      </c>
      <c r="S192" s="65" t="str">
        <f>IF($A192="","",IFERROR(MAXIFS(Candidates!$AA$2:$AA$2000,Candidates!$A$2:$A$2000,$A192),""))</f>
        <v/>
      </c>
      <c r="T192" s="64" t="str">
        <f>IFERROR(__xludf.DUMMYFUNCTION("IF($A192="""","""",IFERROR(TEXTJOIN("", "",TRUE,UNIQUE(FILTER(Candidates!$B$2:$B$2000,Candidates!$A$2:$A$2000=$A192))),""""))"),"")</f>
        <v/>
      </c>
      <c r="U192" s="66" t="str">
        <f>IF($A192="","",COUNTIF(Candidates!$A$2:$A$2000,$A192))</f>
        <v/>
      </c>
      <c r="V192" s="64" t="str">
        <f>IFERROR(__xludf.DUMMYFUNCTION("IF($A192="""","""",IFERROR(INDEX(FILTER(Candidates!$S$2:$S$2000,Candidates!$A$2:$A$2000=$A192),COUNTIF(Candidates!$A$2:$A$2000,$A192)),""""))"),"")</f>
        <v/>
      </c>
      <c r="W192" s="64" t="str">
        <f>IFERROR(__xludf.DUMMYFUNCTION("IF($A192="""","""",IFERROR(INDEX(FILTER(Candidates!$T$2:$T$2000,Candidates!$A$2:$A$2000=$A192),COUNTIF(Candidates!$A$2:$A$2000,$A192)),""""))"),"")</f>
        <v/>
      </c>
      <c r="X192" s="64"/>
      <c r="Y192" s="64"/>
      <c r="Z192" s="65"/>
      <c r="AA192" s="65"/>
      <c r="AB192" s="65"/>
      <c r="AC192" s="65"/>
    </row>
    <row r="193">
      <c r="A193" s="64"/>
      <c r="B193" s="64"/>
      <c r="C193" s="64"/>
      <c r="D193" s="64"/>
      <c r="E193" s="64"/>
      <c r="F193" s="64"/>
      <c r="G193" s="64"/>
      <c r="H193" s="63"/>
      <c r="I193" s="64"/>
      <c r="J193" s="64"/>
      <c r="K193" s="64"/>
      <c r="L193" s="64"/>
      <c r="M193" s="64"/>
      <c r="N193" s="64"/>
      <c r="O193" s="64"/>
      <c r="P193" s="64"/>
      <c r="Q193" s="64"/>
      <c r="R193" s="65" t="str">
        <f>IF($A193="","",IFERROR(MINIFS(Candidates!$K$2:$K$2000,Candidates!$A$2:$A$2000,$A193),""))</f>
        <v/>
      </c>
      <c r="S193" s="65" t="str">
        <f>IF($A193="","",IFERROR(MAXIFS(Candidates!$AA$2:$AA$2000,Candidates!$A$2:$A$2000,$A193),""))</f>
        <v/>
      </c>
      <c r="T193" s="64" t="str">
        <f>IFERROR(__xludf.DUMMYFUNCTION("IF($A193="""","""",IFERROR(TEXTJOIN("", "",TRUE,UNIQUE(FILTER(Candidates!$B$2:$B$2000,Candidates!$A$2:$A$2000=$A193))),""""))"),"")</f>
        <v/>
      </c>
      <c r="U193" s="66" t="str">
        <f>IF($A193="","",COUNTIF(Candidates!$A$2:$A$2000,$A193))</f>
        <v/>
      </c>
      <c r="V193" s="64" t="str">
        <f>IFERROR(__xludf.DUMMYFUNCTION("IF($A193="""","""",IFERROR(INDEX(FILTER(Candidates!$S$2:$S$2000,Candidates!$A$2:$A$2000=$A193),COUNTIF(Candidates!$A$2:$A$2000,$A193)),""""))"),"")</f>
        <v/>
      </c>
      <c r="W193" s="64" t="str">
        <f>IFERROR(__xludf.DUMMYFUNCTION("IF($A193="""","""",IFERROR(INDEX(FILTER(Candidates!$T$2:$T$2000,Candidates!$A$2:$A$2000=$A193),COUNTIF(Candidates!$A$2:$A$2000,$A193)),""""))"),"")</f>
        <v/>
      </c>
      <c r="X193" s="64"/>
      <c r="Y193" s="64"/>
      <c r="Z193" s="65"/>
      <c r="AA193" s="65"/>
      <c r="AB193" s="65"/>
      <c r="AC193" s="65"/>
    </row>
    <row r="194">
      <c r="A194" s="64"/>
      <c r="B194" s="64"/>
      <c r="C194" s="64"/>
      <c r="D194" s="64"/>
      <c r="E194" s="64"/>
      <c r="F194" s="64"/>
      <c r="G194" s="64"/>
      <c r="H194" s="63"/>
      <c r="I194" s="64"/>
      <c r="J194" s="64"/>
      <c r="K194" s="64"/>
      <c r="L194" s="64"/>
      <c r="M194" s="64"/>
      <c r="N194" s="64"/>
      <c r="O194" s="64"/>
      <c r="P194" s="64"/>
      <c r="Q194" s="64"/>
      <c r="R194" s="65" t="str">
        <f>IF($A194="","",IFERROR(MINIFS(Candidates!$K$2:$K$2000,Candidates!$A$2:$A$2000,$A194),""))</f>
        <v/>
      </c>
      <c r="S194" s="65" t="str">
        <f>IF($A194="","",IFERROR(MAXIFS(Candidates!$AA$2:$AA$2000,Candidates!$A$2:$A$2000,$A194),""))</f>
        <v/>
      </c>
      <c r="T194" s="64" t="str">
        <f>IFERROR(__xludf.DUMMYFUNCTION("IF($A194="""","""",IFERROR(TEXTJOIN("", "",TRUE,UNIQUE(FILTER(Candidates!$B$2:$B$2000,Candidates!$A$2:$A$2000=$A194))),""""))"),"")</f>
        <v/>
      </c>
      <c r="U194" s="66" t="str">
        <f>IF($A194="","",COUNTIF(Candidates!$A$2:$A$2000,$A194))</f>
        <v/>
      </c>
      <c r="V194" s="64" t="str">
        <f>IFERROR(__xludf.DUMMYFUNCTION("IF($A194="""","""",IFERROR(INDEX(FILTER(Candidates!$S$2:$S$2000,Candidates!$A$2:$A$2000=$A194),COUNTIF(Candidates!$A$2:$A$2000,$A194)),""""))"),"")</f>
        <v/>
      </c>
      <c r="W194" s="64" t="str">
        <f>IFERROR(__xludf.DUMMYFUNCTION("IF($A194="""","""",IFERROR(INDEX(FILTER(Candidates!$T$2:$T$2000,Candidates!$A$2:$A$2000=$A194),COUNTIF(Candidates!$A$2:$A$2000,$A194)),""""))"),"")</f>
        <v/>
      </c>
      <c r="X194" s="64"/>
      <c r="Y194" s="64"/>
      <c r="Z194" s="65"/>
      <c r="AA194" s="65"/>
      <c r="AB194" s="65"/>
      <c r="AC194" s="65"/>
    </row>
    <row r="195">
      <c r="A195" s="64"/>
      <c r="B195" s="64"/>
      <c r="C195" s="64"/>
      <c r="D195" s="64"/>
      <c r="E195" s="64"/>
      <c r="F195" s="64"/>
      <c r="G195" s="64"/>
      <c r="H195" s="63"/>
      <c r="I195" s="64"/>
      <c r="J195" s="64"/>
      <c r="K195" s="64"/>
      <c r="L195" s="64"/>
      <c r="M195" s="64"/>
      <c r="N195" s="64"/>
      <c r="O195" s="64"/>
      <c r="P195" s="64"/>
      <c r="Q195" s="64"/>
      <c r="R195" s="65" t="str">
        <f>IF($A195="","",IFERROR(MINIFS(Candidates!$K$2:$K$2000,Candidates!$A$2:$A$2000,$A195),""))</f>
        <v/>
      </c>
      <c r="S195" s="65" t="str">
        <f>IF($A195="","",IFERROR(MAXIFS(Candidates!$AA$2:$AA$2000,Candidates!$A$2:$A$2000,$A195),""))</f>
        <v/>
      </c>
      <c r="T195" s="64" t="str">
        <f>IFERROR(__xludf.DUMMYFUNCTION("IF($A195="""","""",IFERROR(TEXTJOIN("", "",TRUE,UNIQUE(FILTER(Candidates!$B$2:$B$2000,Candidates!$A$2:$A$2000=$A195))),""""))"),"")</f>
        <v/>
      </c>
      <c r="U195" s="66" t="str">
        <f>IF($A195="","",COUNTIF(Candidates!$A$2:$A$2000,$A195))</f>
        <v/>
      </c>
      <c r="V195" s="64" t="str">
        <f>IFERROR(__xludf.DUMMYFUNCTION("IF($A195="""","""",IFERROR(INDEX(FILTER(Candidates!$S$2:$S$2000,Candidates!$A$2:$A$2000=$A195),COUNTIF(Candidates!$A$2:$A$2000,$A195)),""""))"),"")</f>
        <v/>
      </c>
      <c r="W195" s="64" t="str">
        <f>IFERROR(__xludf.DUMMYFUNCTION("IF($A195="""","""",IFERROR(INDEX(FILTER(Candidates!$T$2:$T$2000,Candidates!$A$2:$A$2000=$A195),COUNTIF(Candidates!$A$2:$A$2000,$A195)),""""))"),"")</f>
        <v/>
      </c>
      <c r="X195" s="64"/>
      <c r="Y195" s="64"/>
      <c r="Z195" s="65"/>
      <c r="AA195" s="65"/>
      <c r="AB195" s="65"/>
      <c r="AC195" s="65"/>
    </row>
    <row r="196">
      <c r="A196" s="64"/>
      <c r="B196" s="64"/>
      <c r="C196" s="64"/>
      <c r="D196" s="64"/>
      <c r="E196" s="64"/>
      <c r="F196" s="64"/>
      <c r="G196" s="64"/>
      <c r="H196" s="63"/>
      <c r="I196" s="64"/>
      <c r="J196" s="64"/>
      <c r="K196" s="64"/>
      <c r="L196" s="64"/>
      <c r="M196" s="64"/>
      <c r="N196" s="64"/>
      <c r="O196" s="64"/>
      <c r="P196" s="64"/>
      <c r="Q196" s="64"/>
      <c r="R196" s="65" t="str">
        <f>IF($A196="","",IFERROR(MINIFS(Candidates!$K$2:$K$2000,Candidates!$A$2:$A$2000,$A196),""))</f>
        <v/>
      </c>
      <c r="S196" s="65" t="str">
        <f>IF($A196="","",IFERROR(MAXIFS(Candidates!$AA$2:$AA$2000,Candidates!$A$2:$A$2000,$A196),""))</f>
        <v/>
      </c>
      <c r="T196" s="64" t="str">
        <f>IFERROR(__xludf.DUMMYFUNCTION("IF($A196="""","""",IFERROR(TEXTJOIN("", "",TRUE,UNIQUE(FILTER(Candidates!$B$2:$B$2000,Candidates!$A$2:$A$2000=$A196))),""""))"),"")</f>
        <v/>
      </c>
      <c r="U196" s="66" t="str">
        <f>IF($A196="","",COUNTIF(Candidates!$A$2:$A$2000,$A196))</f>
        <v/>
      </c>
      <c r="V196" s="64" t="str">
        <f>IFERROR(__xludf.DUMMYFUNCTION("IF($A196="""","""",IFERROR(INDEX(FILTER(Candidates!$S$2:$S$2000,Candidates!$A$2:$A$2000=$A196),COUNTIF(Candidates!$A$2:$A$2000,$A196)),""""))"),"")</f>
        <v/>
      </c>
      <c r="W196" s="64" t="str">
        <f>IFERROR(__xludf.DUMMYFUNCTION("IF($A196="""","""",IFERROR(INDEX(FILTER(Candidates!$T$2:$T$2000,Candidates!$A$2:$A$2000=$A196),COUNTIF(Candidates!$A$2:$A$2000,$A196)),""""))"),"")</f>
        <v/>
      </c>
      <c r="X196" s="64"/>
      <c r="Y196" s="64"/>
      <c r="Z196" s="65"/>
      <c r="AA196" s="65"/>
      <c r="AB196" s="65"/>
      <c r="AC196" s="65"/>
    </row>
    <row r="197">
      <c r="A197" s="64"/>
      <c r="B197" s="64"/>
      <c r="C197" s="64"/>
      <c r="D197" s="64"/>
      <c r="E197" s="64"/>
      <c r="F197" s="64"/>
      <c r="G197" s="64"/>
      <c r="H197" s="63"/>
      <c r="I197" s="64"/>
      <c r="J197" s="64"/>
      <c r="K197" s="64"/>
      <c r="L197" s="64"/>
      <c r="M197" s="64"/>
      <c r="N197" s="64"/>
      <c r="O197" s="64"/>
      <c r="P197" s="64"/>
      <c r="Q197" s="64"/>
      <c r="R197" s="65" t="str">
        <f>IF($A197="","",IFERROR(MINIFS(Candidates!$K$2:$K$2000,Candidates!$A$2:$A$2000,$A197),""))</f>
        <v/>
      </c>
      <c r="S197" s="65" t="str">
        <f>IF($A197="","",IFERROR(MAXIFS(Candidates!$AA$2:$AA$2000,Candidates!$A$2:$A$2000,$A197),""))</f>
        <v/>
      </c>
      <c r="T197" s="64" t="str">
        <f>IFERROR(__xludf.DUMMYFUNCTION("IF($A197="""","""",IFERROR(TEXTJOIN("", "",TRUE,UNIQUE(FILTER(Candidates!$B$2:$B$2000,Candidates!$A$2:$A$2000=$A197))),""""))"),"")</f>
        <v/>
      </c>
      <c r="U197" s="66" t="str">
        <f>IF($A197="","",COUNTIF(Candidates!$A$2:$A$2000,$A197))</f>
        <v/>
      </c>
      <c r="V197" s="64" t="str">
        <f>IFERROR(__xludf.DUMMYFUNCTION("IF($A197="""","""",IFERROR(INDEX(FILTER(Candidates!$S$2:$S$2000,Candidates!$A$2:$A$2000=$A197),COUNTIF(Candidates!$A$2:$A$2000,$A197)),""""))"),"")</f>
        <v/>
      </c>
      <c r="W197" s="64" t="str">
        <f>IFERROR(__xludf.DUMMYFUNCTION("IF($A197="""","""",IFERROR(INDEX(FILTER(Candidates!$T$2:$T$2000,Candidates!$A$2:$A$2000=$A197),COUNTIF(Candidates!$A$2:$A$2000,$A197)),""""))"),"")</f>
        <v/>
      </c>
      <c r="X197" s="64"/>
      <c r="Y197" s="64"/>
      <c r="Z197" s="65"/>
      <c r="AA197" s="65"/>
      <c r="AB197" s="65"/>
      <c r="AC197" s="65"/>
    </row>
    <row r="198">
      <c r="A198" s="64"/>
      <c r="B198" s="64"/>
      <c r="C198" s="64"/>
      <c r="D198" s="64"/>
      <c r="E198" s="64"/>
      <c r="F198" s="64"/>
      <c r="G198" s="64"/>
      <c r="H198" s="63"/>
      <c r="I198" s="64"/>
      <c r="J198" s="64"/>
      <c r="K198" s="64"/>
      <c r="L198" s="64"/>
      <c r="M198" s="64"/>
      <c r="N198" s="64"/>
      <c r="O198" s="64"/>
      <c r="P198" s="64"/>
      <c r="Q198" s="64"/>
      <c r="R198" s="65" t="str">
        <f>IF($A198="","",IFERROR(MINIFS(Candidates!$K$2:$K$2000,Candidates!$A$2:$A$2000,$A198),""))</f>
        <v/>
      </c>
      <c r="S198" s="65" t="str">
        <f>IF($A198="","",IFERROR(MAXIFS(Candidates!$AA$2:$AA$2000,Candidates!$A$2:$A$2000,$A198),""))</f>
        <v/>
      </c>
      <c r="T198" s="64" t="str">
        <f>IFERROR(__xludf.DUMMYFUNCTION("IF($A198="""","""",IFERROR(TEXTJOIN("", "",TRUE,UNIQUE(FILTER(Candidates!$B$2:$B$2000,Candidates!$A$2:$A$2000=$A198))),""""))"),"")</f>
        <v/>
      </c>
      <c r="U198" s="66" t="str">
        <f>IF($A198="","",COUNTIF(Candidates!$A$2:$A$2000,$A198))</f>
        <v/>
      </c>
      <c r="V198" s="64" t="str">
        <f>IFERROR(__xludf.DUMMYFUNCTION("IF($A198="""","""",IFERROR(INDEX(FILTER(Candidates!$S$2:$S$2000,Candidates!$A$2:$A$2000=$A198),COUNTIF(Candidates!$A$2:$A$2000,$A198)),""""))"),"")</f>
        <v/>
      </c>
      <c r="W198" s="64" t="str">
        <f>IFERROR(__xludf.DUMMYFUNCTION("IF($A198="""","""",IFERROR(INDEX(FILTER(Candidates!$T$2:$T$2000,Candidates!$A$2:$A$2000=$A198),COUNTIF(Candidates!$A$2:$A$2000,$A198)),""""))"),"")</f>
        <v/>
      </c>
      <c r="X198" s="64"/>
      <c r="Y198" s="64"/>
      <c r="Z198" s="65"/>
      <c r="AA198" s="65"/>
      <c r="AB198" s="65"/>
      <c r="AC198" s="65"/>
    </row>
    <row r="199">
      <c r="A199" s="64"/>
      <c r="B199" s="64"/>
      <c r="C199" s="64"/>
      <c r="D199" s="64"/>
      <c r="E199" s="64"/>
      <c r="F199" s="64"/>
      <c r="G199" s="64"/>
      <c r="H199" s="63"/>
      <c r="I199" s="64"/>
      <c r="J199" s="64"/>
      <c r="K199" s="64"/>
      <c r="L199" s="64"/>
      <c r="M199" s="64"/>
      <c r="N199" s="64"/>
      <c r="O199" s="64"/>
      <c r="P199" s="64"/>
      <c r="Q199" s="64"/>
      <c r="R199" s="65" t="str">
        <f>IF($A199="","",IFERROR(MINIFS(Candidates!$K$2:$K$2000,Candidates!$A$2:$A$2000,$A199),""))</f>
        <v/>
      </c>
      <c r="S199" s="65" t="str">
        <f>IF($A199="","",IFERROR(MAXIFS(Candidates!$AA$2:$AA$2000,Candidates!$A$2:$A$2000,$A199),""))</f>
        <v/>
      </c>
      <c r="T199" s="64" t="str">
        <f>IFERROR(__xludf.DUMMYFUNCTION("IF($A199="""","""",IFERROR(TEXTJOIN("", "",TRUE,UNIQUE(FILTER(Candidates!$B$2:$B$2000,Candidates!$A$2:$A$2000=$A199))),""""))"),"")</f>
        <v/>
      </c>
      <c r="U199" s="66" t="str">
        <f>IF($A199="","",COUNTIF(Candidates!$A$2:$A$2000,$A199))</f>
        <v/>
      </c>
      <c r="V199" s="64" t="str">
        <f>IFERROR(__xludf.DUMMYFUNCTION("IF($A199="""","""",IFERROR(INDEX(FILTER(Candidates!$S$2:$S$2000,Candidates!$A$2:$A$2000=$A199),COUNTIF(Candidates!$A$2:$A$2000,$A199)),""""))"),"")</f>
        <v/>
      </c>
      <c r="W199" s="64" t="str">
        <f>IFERROR(__xludf.DUMMYFUNCTION("IF($A199="""","""",IFERROR(INDEX(FILTER(Candidates!$T$2:$T$2000,Candidates!$A$2:$A$2000=$A199),COUNTIF(Candidates!$A$2:$A$2000,$A199)),""""))"),"")</f>
        <v/>
      </c>
      <c r="X199" s="64"/>
      <c r="Y199" s="64"/>
      <c r="Z199" s="65"/>
      <c r="AA199" s="65"/>
      <c r="AB199" s="65"/>
      <c r="AC199" s="65"/>
    </row>
    <row r="200">
      <c r="A200" s="64"/>
      <c r="B200" s="64"/>
      <c r="C200" s="64"/>
      <c r="D200" s="64"/>
      <c r="E200" s="64"/>
      <c r="F200" s="64"/>
      <c r="G200" s="64"/>
      <c r="H200" s="63"/>
      <c r="I200" s="64"/>
      <c r="J200" s="64"/>
      <c r="K200" s="64"/>
      <c r="L200" s="64"/>
      <c r="M200" s="64"/>
      <c r="N200" s="64"/>
      <c r="O200" s="64"/>
      <c r="P200" s="64"/>
      <c r="Q200" s="64"/>
      <c r="R200" s="65" t="str">
        <f>IF($A200="","",IFERROR(MINIFS(Candidates!$K$2:$K$2000,Candidates!$A$2:$A$2000,$A200),""))</f>
        <v/>
      </c>
      <c r="S200" s="65" t="str">
        <f>IF($A200="","",IFERROR(MAXIFS(Candidates!$AA$2:$AA$2000,Candidates!$A$2:$A$2000,$A200),""))</f>
        <v/>
      </c>
      <c r="T200" s="64" t="str">
        <f>IFERROR(__xludf.DUMMYFUNCTION("IF($A200="""","""",IFERROR(TEXTJOIN("", "",TRUE,UNIQUE(FILTER(Candidates!$B$2:$B$2000,Candidates!$A$2:$A$2000=$A200))),""""))"),"")</f>
        <v/>
      </c>
      <c r="U200" s="66" t="str">
        <f>IF($A200="","",COUNTIF(Candidates!$A$2:$A$2000,$A200))</f>
        <v/>
      </c>
      <c r="V200" s="64" t="str">
        <f>IFERROR(__xludf.DUMMYFUNCTION("IF($A200="""","""",IFERROR(INDEX(FILTER(Candidates!$S$2:$S$2000,Candidates!$A$2:$A$2000=$A200),COUNTIF(Candidates!$A$2:$A$2000,$A200)),""""))"),"")</f>
        <v/>
      </c>
      <c r="W200" s="64" t="str">
        <f>IFERROR(__xludf.DUMMYFUNCTION("IF($A200="""","""",IFERROR(INDEX(FILTER(Candidates!$T$2:$T$2000,Candidates!$A$2:$A$2000=$A200),COUNTIF(Candidates!$A$2:$A$2000,$A200)),""""))"),"")</f>
        <v/>
      </c>
      <c r="X200" s="64"/>
      <c r="Y200" s="64"/>
      <c r="Z200" s="65"/>
      <c r="AA200" s="65"/>
      <c r="AB200" s="65"/>
      <c r="AC200" s="65"/>
    </row>
    <row r="201">
      <c r="A201" s="64"/>
      <c r="B201" s="64"/>
      <c r="C201" s="64"/>
      <c r="D201" s="64"/>
      <c r="E201" s="64"/>
      <c r="F201" s="64"/>
      <c r="G201" s="64"/>
      <c r="H201" s="63"/>
      <c r="I201" s="64"/>
      <c r="J201" s="64"/>
      <c r="K201" s="64"/>
      <c r="L201" s="64"/>
      <c r="M201" s="64"/>
      <c r="N201" s="64"/>
      <c r="O201" s="64"/>
      <c r="P201" s="64"/>
      <c r="Q201" s="64"/>
      <c r="R201" s="65" t="str">
        <f>IF($A201="","",IFERROR(MINIFS(Candidates!$K$2:$K$2000,Candidates!$A$2:$A$2000,$A201),""))</f>
        <v/>
      </c>
      <c r="S201" s="65" t="str">
        <f>IF($A201="","",IFERROR(MAXIFS(Candidates!$AA$2:$AA$2000,Candidates!$A$2:$A$2000,$A201),""))</f>
        <v/>
      </c>
      <c r="T201" s="64" t="str">
        <f>IFERROR(__xludf.DUMMYFUNCTION("IF($A201="""","""",IFERROR(TEXTJOIN("", "",TRUE,UNIQUE(FILTER(Candidates!$B$2:$B$2000,Candidates!$A$2:$A$2000=$A201))),""""))"),"")</f>
        <v/>
      </c>
      <c r="U201" s="66" t="str">
        <f>IF($A201="","",COUNTIF(Candidates!$A$2:$A$2000,$A201))</f>
        <v/>
      </c>
      <c r="V201" s="64" t="str">
        <f>IFERROR(__xludf.DUMMYFUNCTION("IF($A201="""","""",IFERROR(INDEX(FILTER(Candidates!$S$2:$S$2000,Candidates!$A$2:$A$2000=$A201),COUNTIF(Candidates!$A$2:$A$2000,$A201)),""""))"),"")</f>
        <v/>
      </c>
      <c r="W201" s="64" t="str">
        <f>IFERROR(__xludf.DUMMYFUNCTION("IF($A201="""","""",IFERROR(INDEX(FILTER(Candidates!$T$2:$T$2000,Candidates!$A$2:$A$2000=$A201),COUNTIF(Candidates!$A$2:$A$2000,$A201)),""""))"),"")</f>
        <v/>
      </c>
      <c r="X201" s="64"/>
      <c r="Y201" s="64"/>
      <c r="Z201" s="65"/>
      <c r="AA201" s="65"/>
      <c r="AB201" s="65"/>
      <c r="AC201" s="65"/>
    </row>
    <row r="202">
      <c r="A202" s="64"/>
      <c r="B202" s="64"/>
      <c r="C202" s="64"/>
      <c r="D202" s="64"/>
      <c r="E202" s="64"/>
      <c r="F202" s="64"/>
      <c r="G202" s="64"/>
      <c r="H202" s="63"/>
      <c r="I202" s="64"/>
      <c r="J202" s="64"/>
      <c r="K202" s="64"/>
      <c r="L202" s="64"/>
      <c r="M202" s="64"/>
      <c r="N202" s="64"/>
      <c r="O202" s="64"/>
      <c r="P202" s="64"/>
      <c r="Q202" s="64"/>
      <c r="R202" s="65" t="str">
        <f>IF($A202="","",IFERROR(MINIFS(Candidates!$K$2:$K$2000,Candidates!$A$2:$A$2000,$A202),""))</f>
        <v/>
      </c>
      <c r="S202" s="65" t="str">
        <f>IF($A202="","",IFERROR(MAXIFS(Candidates!$AA$2:$AA$2000,Candidates!$A$2:$A$2000,$A202),""))</f>
        <v/>
      </c>
      <c r="T202" s="64" t="str">
        <f>IFERROR(__xludf.DUMMYFUNCTION("IF($A202="""","""",IFERROR(TEXTJOIN("", "",TRUE,UNIQUE(FILTER(Candidates!$B$2:$B$2000,Candidates!$A$2:$A$2000=$A202))),""""))"),"")</f>
        <v/>
      </c>
      <c r="U202" s="66" t="str">
        <f>IF($A202="","",COUNTIF(Candidates!$A$2:$A$2000,$A202))</f>
        <v/>
      </c>
      <c r="V202" s="64" t="str">
        <f>IFERROR(__xludf.DUMMYFUNCTION("IF($A202="""","""",IFERROR(INDEX(FILTER(Candidates!$S$2:$S$2000,Candidates!$A$2:$A$2000=$A202),COUNTIF(Candidates!$A$2:$A$2000,$A202)),""""))"),"")</f>
        <v/>
      </c>
      <c r="W202" s="64" t="str">
        <f>IFERROR(__xludf.DUMMYFUNCTION("IF($A202="""","""",IFERROR(INDEX(FILTER(Candidates!$T$2:$T$2000,Candidates!$A$2:$A$2000=$A202),COUNTIF(Candidates!$A$2:$A$2000,$A202)),""""))"),"")</f>
        <v/>
      </c>
      <c r="X202" s="64"/>
      <c r="Y202" s="64"/>
      <c r="Z202" s="65"/>
      <c r="AA202" s="65"/>
      <c r="AB202" s="65"/>
      <c r="AC202" s="65"/>
    </row>
    <row r="203">
      <c r="A203" s="64"/>
      <c r="B203" s="64"/>
      <c r="C203" s="64"/>
      <c r="D203" s="64"/>
      <c r="E203" s="64"/>
      <c r="F203" s="64"/>
      <c r="G203" s="64"/>
      <c r="H203" s="63"/>
      <c r="I203" s="64"/>
      <c r="J203" s="64"/>
      <c r="K203" s="64"/>
      <c r="L203" s="64"/>
      <c r="M203" s="64"/>
      <c r="N203" s="64"/>
      <c r="O203" s="64"/>
      <c r="P203" s="64"/>
      <c r="Q203" s="64"/>
      <c r="R203" s="65" t="str">
        <f>IF($A203="","",IFERROR(MINIFS(Candidates!$K$2:$K$2000,Candidates!$A$2:$A$2000,$A203),""))</f>
        <v/>
      </c>
      <c r="S203" s="65" t="str">
        <f>IF($A203="","",IFERROR(MAXIFS(Candidates!$AA$2:$AA$2000,Candidates!$A$2:$A$2000,$A203),""))</f>
        <v/>
      </c>
      <c r="T203" s="64" t="str">
        <f>IFERROR(__xludf.DUMMYFUNCTION("IF($A203="""","""",IFERROR(TEXTJOIN("", "",TRUE,UNIQUE(FILTER(Candidates!$B$2:$B$2000,Candidates!$A$2:$A$2000=$A203))),""""))"),"")</f>
        <v/>
      </c>
      <c r="U203" s="66" t="str">
        <f>IF($A203="","",COUNTIF(Candidates!$A$2:$A$2000,$A203))</f>
        <v/>
      </c>
      <c r="V203" s="64" t="str">
        <f>IFERROR(__xludf.DUMMYFUNCTION("IF($A203="""","""",IFERROR(INDEX(FILTER(Candidates!$S$2:$S$2000,Candidates!$A$2:$A$2000=$A203),COUNTIF(Candidates!$A$2:$A$2000,$A203)),""""))"),"")</f>
        <v/>
      </c>
      <c r="W203" s="64" t="str">
        <f>IFERROR(__xludf.DUMMYFUNCTION("IF($A203="""","""",IFERROR(INDEX(FILTER(Candidates!$T$2:$T$2000,Candidates!$A$2:$A$2000=$A203),COUNTIF(Candidates!$A$2:$A$2000,$A203)),""""))"),"")</f>
        <v/>
      </c>
      <c r="X203" s="64"/>
      <c r="Y203" s="64"/>
      <c r="Z203" s="65"/>
      <c r="AA203" s="65"/>
      <c r="AB203" s="65"/>
      <c r="AC203" s="65"/>
    </row>
    <row r="204">
      <c r="A204" s="64"/>
      <c r="B204" s="64"/>
      <c r="C204" s="64"/>
      <c r="D204" s="64"/>
      <c r="E204" s="64"/>
      <c r="F204" s="64"/>
      <c r="G204" s="64"/>
      <c r="H204" s="63"/>
      <c r="I204" s="64"/>
      <c r="J204" s="64"/>
      <c r="K204" s="64"/>
      <c r="L204" s="64"/>
      <c r="M204" s="64"/>
      <c r="N204" s="64"/>
      <c r="O204" s="64"/>
      <c r="P204" s="64"/>
      <c r="Q204" s="64"/>
      <c r="R204" s="65" t="str">
        <f>IF($A204="","",IFERROR(MINIFS(Candidates!$K$2:$K$2000,Candidates!$A$2:$A$2000,$A204),""))</f>
        <v/>
      </c>
      <c r="S204" s="65" t="str">
        <f>IF($A204="","",IFERROR(MAXIFS(Candidates!$AA$2:$AA$2000,Candidates!$A$2:$A$2000,$A204),""))</f>
        <v/>
      </c>
      <c r="T204" s="64" t="str">
        <f>IFERROR(__xludf.DUMMYFUNCTION("IF($A204="""","""",IFERROR(TEXTJOIN("", "",TRUE,UNIQUE(FILTER(Candidates!$B$2:$B$2000,Candidates!$A$2:$A$2000=$A204))),""""))"),"")</f>
        <v/>
      </c>
      <c r="U204" s="66" t="str">
        <f>IF($A204="","",COUNTIF(Candidates!$A$2:$A$2000,$A204))</f>
        <v/>
      </c>
      <c r="V204" s="64" t="str">
        <f>IFERROR(__xludf.DUMMYFUNCTION("IF($A204="""","""",IFERROR(INDEX(FILTER(Candidates!$S$2:$S$2000,Candidates!$A$2:$A$2000=$A204),COUNTIF(Candidates!$A$2:$A$2000,$A204)),""""))"),"")</f>
        <v/>
      </c>
      <c r="W204" s="64" t="str">
        <f>IFERROR(__xludf.DUMMYFUNCTION("IF($A204="""","""",IFERROR(INDEX(FILTER(Candidates!$T$2:$T$2000,Candidates!$A$2:$A$2000=$A204),COUNTIF(Candidates!$A$2:$A$2000,$A204)),""""))"),"")</f>
        <v/>
      </c>
      <c r="X204" s="64"/>
      <c r="Y204" s="64"/>
      <c r="Z204" s="65"/>
      <c r="AA204" s="65"/>
      <c r="AB204" s="65"/>
      <c r="AC204" s="65"/>
    </row>
    <row r="205">
      <c r="A205" s="64"/>
      <c r="B205" s="64"/>
      <c r="C205" s="64"/>
      <c r="D205" s="64"/>
      <c r="E205" s="64"/>
      <c r="F205" s="64"/>
      <c r="G205" s="64"/>
      <c r="H205" s="63"/>
      <c r="I205" s="64"/>
      <c r="J205" s="64"/>
      <c r="K205" s="64"/>
      <c r="L205" s="64"/>
      <c r="M205" s="64"/>
      <c r="N205" s="64"/>
      <c r="O205" s="64"/>
      <c r="P205" s="64"/>
      <c r="Q205" s="64"/>
      <c r="R205" s="65" t="str">
        <f>IF($A205="","",IFERROR(MINIFS(Candidates!$K$2:$K$2000,Candidates!$A$2:$A$2000,$A205),""))</f>
        <v/>
      </c>
      <c r="S205" s="65" t="str">
        <f>IF($A205="","",IFERROR(MAXIFS(Candidates!$AA$2:$AA$2000,Candidates!$A$2:$A$2000,$A205),""))</f>
        <v/>
      </c>
      <c r="T205" s="64" t="str">
        <f>IFERROR(__xludf.DUMMYFUNCTION("IF($A205="""","""",IFERROR(TEXTJOIN("", "",TRUE,UNIQUE(FILTER(Candidates!$B$2:$B$2000,Candidates!$A$2:$A$2000=$A205))),""""))"),"")</f>
        <v/>
      </c>
      <c r="U205" s="66" t="str">
        <f>IF($A205="","",COUNTIF(Candidates!$A$2:$A$2000,$A205))</f>
        <v/>
      </c>
      <c r="V205" s="64" t="str">
        <f>IFERROR(__xludf.DUMMYFUNCTION("IF($A205="""","""",IFERROR(INDEX(FILTER(Candidates!$S$2:$S$2000,Candidates!$A$2:$A$2000=$A205),COUNTIF(Candidates!$A$2:$A$2000,$A205)),""""))"),"")</f>
        <v/>
      </c>
      <c r="W205" s="64" t="str">
        <f>IFERROR(__xludf.DUMMYFUNCTION("IF($A205="""","""",IFERROR(INDEX(FILTER(Candidates!$T$2:$T$2000,Candidates!$A$2:$A$2000=$A205),COUNTIF(Candidates!$A$2:$A$2000,$A205)),""""))"),"")</f>
        <v/>
      </c>
      <c r="X205" s="64"/>
      <c r="Y205" s="64"/>
      <c r="Z205" s="65"/>
      <c r="AA205" s="65"/>
      <c r="AB205" s="65"/>
      <c r="AC205" s="65"/>
    </row>
    <row r="206">
      <c r="A206" s="64"/>
      <c r="B206" s="64"/>
      <c r="C206" s="64"/>
      <c r="D206" s="64"/>
      <c r="E206" s="64"/>
      <c r="F206" s="64"/>
      <c r="G206" s="64"/>
      <c r="H206" s="63"/>
      <c r="I206" s="64"/>
      <c r="J206" s="64"/>
      <c r="K206" s="64"/>
      <c r="L206" s="64"/>
      <c r="M206" s="64"/>
      <c r="N206" s="64"/>
      <c r="O206" s="64"/>
      <c r="P206" s="64"/>
      <c r="Q206" s="64"/>
      <c r="R206" s="65" t="str">
        <f>IF($A206="","",IFERROR(MINIFS(Candidates!$K$2:$K$2000,Candidates!$A$2:$A$2000,$A206),""))</f>
        <v/>
      </c>
      <c r="S206" s="65" t="str">
        <f>IF($A206="","",IFERROR(MAXIFS(Candidates!$AA$2:$AA$2000,Candidates!$A$2:$A$2000,$A206),""))</f>
        <v/>
      </c>
      <c r="T206" s="64" t="str">
        <f>IFERROR(__xludf.DUMMYFUNCTION("IF($A206="""","""",IFERROR(TEXTJOIN("", "",TRUE,UNIQUE(FILTER(Candidates!$B$2:$B$2000,Candidates!$A$2:$A$2000=$A206))),""""))"),"")</f>
        <v/>
      </c>
      <c r="U206" s="66" t="str">
        <f>IF($A206="","",COUNTIF(Candidates!$A$2:$A$2000,$A206))</f>
        <v/>
      </c>
      <c r="V206" s="64" t="str">
        <f>IFERROR(__xludf.DUMMYFUNCTION("IF($A206="""","""",IFERROR(INDEX(FILTER(Candidates!$S$2:$S$2000,Candidates!$A$2:$A$2000=$A206),COUNTIF(Candidates!$A$2:$A$2000,$A206)),""""))"),"")</f>
        <v/>
      </c>
      <c r="W206" s="64" t="str">
        <f>IFERROR(__xludf.DUMMYFUNCTION("IF($A206="""","""",IFERROR(INDEX(FILTER(Candidates!$T$2:$T$2000,Candidates!$A$2:$A$2000=$A206),COUNTIF(Candidates!$A$2:$A$2000,$A206)),""""))"),"")</f>
        <v/>
      </c>
      <c r="X206" s="64"/>
      <c r="Y206" s="64"/>
      <c r="Z206" s="65"/>
      <c r="AA206" s="65"/>
      <c r="AB206" s="65"/>
      <c r="AC206" s="65"/>
    </row>
    <row r="207">
      <c r="A207" s="64"/>
      <c r="B207" s="64"/>
      <c r="C207" s="64"/>
      <c r="D207" s="64"/>
      <c r="E207" s="64"/>
      <c r="F207" s="64"/>
      <c r="G207" s="64"/>
      <c r="H207" s="63"/>
      <c r="I207" s="64"/>
      <c r="J207" s="64"/>
      <c r="K207" s="64"/>
      <c r="L207" s="64"/>
      <c r="M207" s="64"/>
      <c r="N207" s="64"/>
      <c r="O207" s="64"/>
      <c r="P207" s="64"/>
      <c r="Q207" s="64"/>
      <c r="R207" s="65" t="str">
        <f>IF($A207="","",IFERROR(MINIFS(Candidates!$K$2:$K$2000,Candidates!$A$2:$A$2000,$A207),""))</f>
        <v/>
      </c>
      <c r="S207" s="65" t="str">
        <f>IF($A207="","",IFERROR(MAXIFS(Candidates!$AA$2:$AA$2000,Candidates!$A$2:$A$2000,$A207),""))</f>
        <v/>
      </c>
      <c r="T207" s="64" t="str">
        <f>IFERROR(__xludf.DUMMYFUNCTION("IF($A207="""","""",IFERROR(TEXTJOIN("", "",TRUE,UNIQUE(FILTER(Candidates!$B$2:$B$2000,Candidates!$A$2:$A$2000=$A207))),""""))"),"")</f>
        <v/>
      </c>
      <c r="U207" s="66" t="str">
        <f>IF($A207="","",COUNTIF(Candidates!$A$2:$A$2000,$A207))</f>
        <v/>
      </c>
      <c r="V207" s="64" t="str">
        <f>IFERROR(__xludf.DUMMYFUNCTION("IF($A207="""","""",IFERROR(INDEX(FILTER(Candidates!$S$2:$S$2000,Candidates!$A$2:$A$2000=$A207),COUNTIF(Candidates!$A$2:$A$2000,$A207)),""""))"),"")</f>
        <v/>
      </c>
      <c r="W207" s="64" t="str">
        <f>IFERROR(__xludf.DUMMYFUNCTION("IF($A207="""","""",IFERROR(INDEX(FILTER(Candidates!$T$2:$T$2000,Candidates!$A$2:$A$2000=$A207),COUNTIF(Candidates!$A$2:$A$2000,$A207)),""""))"),"")</f>
        <v/>
      </c>
      <c r="X207" s="64"/>
      <c r="Y207" s="64"/>
      <c r="Z207" s="65"/>
      <c r="AA207" s="65"/>
      <c r="AB207" s="65"/>
      <c r="AC207" s="65"/>
    </row>
    <row r="208">
      <c r="A208" s="64"/>
      <c r="B208" s="64"/>
      <c r="C208" s="64"/>
      <c r="D208" s="64"/>
      <c r="E208" s="64"/>
      <c r="F208" s="64"/>
      <c r="G208" s="64"/>
      <c r="H208" s="63"/>
      <c r="I208" s="64"/>
      <c r="J208" s="64"/>
      <c r="K208" s="64"/>
      <c r="L208" s="64"/>
      <c r="M208" s="64"/>
      <c r="N208" s="64"/>
      <c r="O208" s="64"/>
      <c r="P208" s="64"/>
      <c r="Q208" s="64"/>
      <c r="R208" s="65" t="str">
        <f>IF($A208="","",IFERROR(MINIFS(Candidates!$K$2:$K$2000,Candidates!$A$2:$A$2000,$A208),""))</f>
        <v/>
      </c>
      <c r="S208" s="65" t="str">
        <f>IF($A208="","",IFERROR(MAXIFS(Candidates!$AA$2:$AA$2000,Candidates!$A$2:$A$2000,$A208),""))</f>
        <v/>
      </c>
      <c r="T208" s="64" t="str">
        <f>IFERROR(__xludf.DUMMYFUNCTION("IF($A208="""","""",IFERROR(TEXTJOIN("", "",TRUE,UNIQUE(FILTER(Candidates!$B$2:$B$2000,Candidates!$A$2:$A$2000=$A208))),""""))"),"")</f>
        <v/>
      </c>
      <c r="U208" s="66" t="str">
        <f>IF($A208="","",COUNTIF(Candidates!$A$2:$A$2000,$A208))</f>
        <v/>
      </c>
      <c r="V208" s="64" t="str">
        <f>IFERROR(__xludf.DUMMYFUNCTION("IF($A208="""","""",IFERROR(INDEX(FILTER(Candidates!$S$2:$S$2000,Candidates!$A$2:$A$2000=$A208),COUNTIF(Candidates!$A$2:$A$2000,$A208)),""""))"),"")</f>
        <v/>
      </c>
      <c r="W208" s="64" t="str">
        <f>IFERROR(__xludf.DUMMYFUNCTION("IF($A208="""","""",IFERROR(INDEX(FILTER(Candidates!$T$2:$T$2000,Candidates!$A$2:$A$2000=$A208),COUNTIF(Candidates!$A$2:$A$2000,$A208)),""""))"),"")</f>
        <v/>
      </c>
      <c r="X208" s="64"/>
      <c r="Y208" s="64"/>
      <c r="Z208" s="65"/>
      <c r="AA208" s="65"/>
      <c r="AB208" s="65"/>
      <c r="AC208" s="65"/>
    </row>
    <row r="209">
      <c r="A209" s="64"/>
      <c r="B209" s="64"/>
      <c r="C209" s="64"/>
      <c r="D209" s="64"/>
      <c r="E209" s="64"/>
      <c r="F209" s="64"/>
      <c r="G209" s="64"/>
      <c r="H209" s="63"/>
      <c r="I209" s="64"/>
      <c r="J209" s="64"/>
      <c r="K209" s="64"/>
      <c r="L209" s="64"/>
      <c r="M209" s="64"/>
      <c r="N209" s="64"/>
      <c r="O209" s="64"/>
      <c r="P209" s="64"/>
      <c r="Q209" s="64"/>
      <c r="R209" s="65" t="str">
        <f>IF($A209="","",IFERROR(MINIFS(Candidates!$K$2:$K$2000,Candidates!$A$2:$A$2000,$A209),""))</f>
        <v/>
      </c>
      <c r="S209" s="65" t="str">
        <f>IF($A209="","",IFERROR(MAXIFS(Candidates!$AA$2:$AA$2000,Candidates!$A$2:$A$2000,$A209),""))</f>
        <v/>
      </c>
      <c r="T209" s="64" t="str">
        <f>IFERROR(__xludf.DUMMYFUNCTION("IF($A209="""","""",IFERROR(TEXTJOIN("", "",TRUE,UNIQUE(FILTER(Candidates!$B$2:$B$2000,Candidates!$A$2:$A$2000=$A209))),""""))"),"")</f>
        <v/>
      </c>
      <c r="U209" s="66" t="str">
        <f>IF($A209="","",COUNTIF(Candidates!$A$2:$A$2000,$A209))</f>
        <v/>
      </c>
      <c r="V209" s="64" t="str">
        <f>IFERROR(__xludf.DUMMYFUNCTION("IF($A209="""","""",IFERROR(INDEX(FILTER(Candidates!$S$2:$S$2000,Candidates!$A$2:$A$2000=$A209),COUNTIF(Candidates!$A$2:$A$2000,$A209)),""""))"),"")</f>
        <v/>
      </c>
      <c r="W209" s="64" t="str">
        <f>IFERROR(__xludf.DUMMYFUNCTION("IF($A209="""","""",IFERROR(INDEX(FILTER(Candidates!$T$2:$T$2000,Candidates!$A$2:$A$2000=$A209),COUNTIF(Candidates!$A$2:$A$2000,$A209)),""""))"),"")</f>
        <v/>
      </c>
      <c r="X209" s="64"/>
      <c r="Y209" s="64"/>
      <c r="Z209" s="65"/>
      <c r="AA209" s="65"/>
      <c r="AB209" s="65"/>
      <c r="AC209" s="65"/>
    </row>
    <row r="210">
      <c r="A210" s="64"/>
      <c r="B210" s="64"/>
      <c r="C210" s="64"/>
      <c r="D210" s="64"/>
      <c r="E210" s="64"/>
      <c r="F210" s="64"/>
      <c r="G210" s="64"/>
      <c r="H210" s="63"/>
      <c r="I210" s="64"/>
      <c r="J210" s="64"/>
      <c r="K210" s="64"/>
      <c r="L210" s="64"/>
      <c r="M210" s="64"/>
      <c r="N210" s="64"/>
      <c r="O210" s="64"/>
      <c r="P210" s="64"/>
      <c r="Q210" s="64"/>
      <c r="R210" s="65" t="str">
        <f>IF($A210="","",IFERROR(MINIFS(Candidates!$K$2:$K$2000,Candidates!$A$2:$A$2000,$A210),""))</f>
        <v/>
      </c>
      <c r="S210" s="65" t="str">
        <f>IF($A210="","",IFERROR(MAXIFS(Candidates!$AA$2:$AA$2000,Candidates!$A$2:$A$2000,$A210),""))</f>
        <v/>
      </c>
      <c r="T210" s="64" t="str">
        <f>IFERROR(__xludf.DUMMYFUNCTION("IF($A210="""","""",IFERROR(TEXTJOIN("", "",TRUE,UNIQUE(FILTER(Candidates!$B$2:$B$2000,Candidates!$A$2:$A$2000=$A210))),""""))"),"")</f>
        <v/>
      </c>
      <c r="U210" s="66" t="str">
        <f>IF($A210="","",COUNTIF(Candidates!$A$2:$A$2000,$A210))</f>
        <v/>
      </c>
      <c r="V210" s="64" t="str">
        <f>IFERROR(__xludf.DUMMYFUNCTION("IF($A210="""","""",IFERROR(INDEX(FILTER(Candidates!$S$2:$S$2000,Candidates!$A$2:$A$2000=$A210),COUNTIF(Candidates!$A$2:$A$2000,$A210)),""""))"),"")</f>
        <v/>
      </c>
      <c r="W210" s="64" t="str">
        <f>IFERROR(__xludf.DUMMYFUNCTION("IF($A210="""","""",IFERROR(INDEX(FILTER(Candidates!$T$2:$T$2000,Candidates!$A$2:$A$2000=$A210),COUNTIF(Candidates!$A$2:$A$2000,$A210)),""""))"),"")</f>
        <v/>
      </c>
      <c r="X210" s="64"/>
      <c r="Y210" s="64"/>
      <c r="Z210" s="65"/>
      <c r="AA210" s="65"/>
      <c r="AB210" s="65"/>
      <c r="AC210" s="65"/>
    </row>
    <row r="211">
      <c r="A211" s="64"/>
      <c r="B211" s="64"/>
      <c r="C211" s="64"/>
      <c r="D211" s="64"/>
      <c r="E211" s="64"/>
      <c r="F211" s="64"/>
      <c r="G211" s="64"/>
      <c r="H211" s="63"/>
      <c r="I211" s="64"/>
      <c r="J211" s="64"/>
      <c r="K211" s="64"/>
      <c r="L211" s="64"/>
      <c r="M211" s="64"/>
      <c r="N211" s="64"/>
      <c r="O211" s="64"/>
      <c r="P211" s="64"/>
      <c r="Q211" s="64"/>
      <c r="R211" s="65" t="str">
        <f>IF($A211="","",IFERROR(MINIFS(Candidates!$K$2:$K$2000,Candidates!$A$2:$A$2000,$A211),""))</f>
        <v/>
      </c>
      <c r="S211" s="65" t="str">
        <f>IF($A211="","",IFERROR(MAXIFS(Candidates!$AA$2:$AA$2000,Candidates!$A$2:$A$2000,$A211),""))</f>
        <v/>
      </c>
      <c r="T211" s="64" t="str">
        <f>IFERROR(__xludf.DUMMYFUNCTION("IF($A211="""","""",IFERROR(TEXTJOIN("", "",TRUE,UNIQUE(FILTER(Candidates!$B$2:$B$2000,Candidates!$A$2:$A$2000=$A211))),""""))"),"")</f>
        <v/>
      </c>
      <c r="U211" s="66" t="str">
        <f>IF($A211="","",COUNTIF(Candidates!$A$2:$A$2000,$A211))</f>
        <v/>
      </c>
      <c r="V211" s="64" t="str">
        <f>IFERROR(__xludf.DUMMYFUNCTION("IF($A211="""","""",IFERROR(INDEX(FILTER(Candidates!$S$2:$S$2000,Candidates!$A$2:$A$2000=$A211),COUNTIF(Candidates!$A$2:$A$2000,$A211)),""""))"),"")</f>
        <v/>
      </c>
      <c r="W211" s="64" t="str">
        <f>IFERROR(__xludf.DUMMYFUNCTION("IF($A211="""","""",IFERROR(INDEX(FILTER(Candidates!$T$2:$T$2000,Candidates!$A$2:$A$2000=$A211),COUNTIF(Candidates!$A$2:$A$2000,$A211)),""""))"),"")</f>
        <v/>
      </c>
      <c r="X211" s="64"/>
      <c r="Y211" s="64"/>
      <c r="Z211" s="65"/>
      <c r="AA211" s="65"/>
      <c r="AB211" s="65"/>
      <c r="AC211" s="65"/>
    </row>
    <row r="212">
      <c r="A212" s="64"/>
      <c r="B212" s="64"/>
      <c r="C212" s="64"/>
      <c r="D212" s="64"/>
      <c r="E212" s="64"/>
      <c r="F212" s="64"/>
      <c r="G212" s="64"/>
      <c r="H212" s="63"/>
      <c r="I212" s="64"/>
      <c r="J212" s="64"/>
      <c r="K212" s="64"/>
      <c r="L212" s="64"/>
      <c r="M212" s="64"/>
      <c r="N212" s="64"/>
      <c r="O212" s="64"/>
      <c r="P212" s="64"/>
      <c r="Q212" s="64"/>
      <c r="R212" s="65" t="str">
        <f>IF($A212="","",IFERROR(MINIFS(Candidates!$K$2:$K$2000,Candidates!$A$2:$A$2000,$A212),""))</f>
        <v/>
      </c>
      <c r="S212" s="65" t="str">
        <f>IF($A212="","",IFERROR(MAXIFS(Candidates!$AA$2:$AA$2000,Candidates!$A$2:$A$2000,$A212),""))</f>
        <v/>
      </c>
      <c r="T212" s="64" t="str">
        <f>IFERROR(__xludf.DUMMYFUNCTION("IF($A212="""","""",IFERROR(TEXTJOIN("", "",TRUE,UNIQUE(FILTER(Candidates!$B$2:$B$2000,Candidates!$A$2:$A$2000=$A212))),""""))"),"")</f>
        <v/>
      </c>
      <c r="U212" s="66" t="str">
        <f>IF($A212="","",COUNTIF(Candidates!$A$2:$A$2000,$A212))</f>
        <v/>
      </c>
      <c r="V212" s="64" t="str">
        <f>IFERROR(__xludf.DUMMYFUNCTION("IF($A212="""","""",IFERROR(INDEX(FILTER(Candidates!$S$2:$S$2000,Candidates!$A$2:$A$2000=$A212),COUNTIF(Candidates!$A$2:$A$2000,$A212)),""""))"),"")</f>
        <v/>
      </c>
      <c r="W212" s="64" t="str">
        <f>IFERROR(__xludf.DUMMYFUNCTION("IF($A212="""","""",IFERROR(INDEX(FILTER(Candidates!$T$2:$T$2000,Candidates!$A$2:$A$2000=$A212),COUNTIF(Candidates!$A$2:$A$2000,$A212)),""""))"),"")</f>
        <v/>
      </c>
      <c r="X212" s="64"/>
      <c r="Y212" s="64"/>
      <c r="Z212" s="65"/>
      <c r="AA212" s="65"/>
      <c r="AB212" s="65"/>
      <c r="AC212" s="65"/>
    </row>
    <row r="213">
      <c r="A213" s="64"/>
      <c r="B213" s="64"/>
      <c r="C213" s="64"/>
      <c r="D213" s="64"/>
      <c r="E213" s="64"/>
      <c r="F213" s="64"/>
      <c r="G213" s="64"/>
      <c r="H213" s="63"/>
      <c r="I213" s="64"/>
      <c r="J213" s="64"/>
      <c r="K213" s="64"/>
      <c r="L213" s="64"/>
      <c r="M213" s="64"/>
      <c r="N213" s="64"/>
      <c r="O213" s="64"/>
      <c r="P213" s="64"/>
      <c r="Q213" s="64"/>
      <c r="R213" s="65" t="str">
        <f>IF($A213="","",IFERROR(MINIFS(Candidates!$K$2:$K$2000,Candidates!$A$2:$A$2000,$A213),""))</f>
        <v/>
      </c>
      <c r="S213" s="65" t="str">
        <f>IF($A213="","",IFERROR(MAXIFS(Candidates!$AA$2:$AA$2000,Candidates!$A$2:$A$2000,$A213),""))</f>
        <v/>
      </c>
      <c r="T213" s="64" t="str">
        <f>IFERROR(__xludf.DUMMYFUNCTION("IF($A213="""","""",IFERROR(TEXTJOIN("", "",TRUE,UNIQUE(FILTER(Candidates!$B$2:$B$2000,Candidates!$A$2:$A$2000=$A213))),""""))"),"")</f>
        <v/>
      </c>
      <c r="U213" s="66" t="str">
        <f>IF($A213="","",COUNTIF(Candidates!$A$2:$A$2000,$A213))</f>
        <v/>
      </c>
      <c r="V213" s="64" t="str">
        <f>IFERROR(__xludf.DUMMYFUNCTION("IF($A213="""","""",IFERROR(INDEX(FILTER(Candidates!$S$2:$S$2000,Candidates!$A$2:$A$2000=$A213),COUNTIF(Candidates!$A$2:$A$2000,$A213)),""""))"),"")</f>
        <v/>
      </c>
      <c r="W213" s="64" t="str">
        <f>IFERROR(__xludf.DUMMYFUNCTION("IF($A213="""","""",IFERROR(INDEX(FILTER(Candidates!$T$2:$T$2000,Candidates!$A$2:$A$2000=$A213),COUNTIF(Candidates!$A$2:$A$2000,$A213)),""""))"),"")</f>
        <v/>
      </c>
      <c r="X213" s="64"/>
      <c r="Y213" s="64"/>
      <c r="Z213" s="65"/>
      <c r="AA213" s="65"/>
      <c r="AB213" s="65"/>
      <c r="AC213" s="65"/>
    </row>
    <row r="214">
      <c r="A214" s="64"/>
      <c r="B214" s="64"/>
      <c r="C214" s="64"/>
      <c r="D214" s="64"/>
      <c r="E214" s="64"/>
      <c r="F214" s="64"/>
      <c r="G214" s="64"/>
      <c r="H214" s="63"/>
      <c r="I214" s="64"/>
      <c r="J214" s="64"/>
      <c r="K214" s="64"/>
      <c r="L214" s="64"/>
      <c r="M214" s="64"/>
      <c r="N214" s="64"/>
      <c r="O214" s="64"/>
      <c r="P214" s="64"/>
      <c r="Q214" s="64"/>
      <c r="R214" s="65" t="str">
        <f>IF($A214="","",IFERROR(MINIFS(Candidates!$K$2:$K$2000,Candidates!$A$2:$A$2000,$A214),""))</f>
        <v/>
      </c>
      <c r="S214" s="65" t="str">
        <f>IF($A214="","",IFERROR(MAXIFS(Candidates!$AA$2:$AA$2000,Candidates!$A$2:$A$2000,$A214),""))</f>
        <v/>
      </c>
      <c r="T214" s="64" t="str">
        <f>IFERROR(__xludf.DUMMYFUNCTION("IF($A214="""","""",IFERROR(TEXTJOIN("", "",TRUE,UNIQUE(FILTER(Candidates!$B$2:$B$2000,Candidates!$A$2:$A$2000=$A214))),""""))"),"")</f>
        <v/>
      </c>
      <c r="U214" s="66" t="str">
        <f>IF($A214="","",COUNTIF(Candidates!$A$2:$A$2000,$A214))</f>
        <v/>
      </c>
      <c r="V214" s="64" t="str">
        <f>IFERROR(__xludf.DUMMYFUNCTION("IF($A214="""","""",IFERROR(INDEX(FILTER(Candidates!$S$2:$S$2000,Candidates!$A$2:$A$2000=$A214),COUNTIF(Candidates!$A$2:$A$2000,$A214)),""""))"),"")</f>
        <v/>
      </c>
      <c r="W214" s="64" t="str">
        <f>IFERROR(__xludf.DUMMYFUNCTION("IF($A214="""","""",IFERROR(INDEX(FILTER(Candidates!$T$2:$T$2000,Candidates!$A$2:$A$2000=$A214),COUNTIF(Candidates!$A$2:$A$2000,$A214)),""""))"),"")</f>
        <v/>
      </c>
      <c r="X214" s="64"/>
      <c r="Y214" s="64"/>
      <c r="Z214" s="65"/>
      <c r="AA214" s="65"/>
      <c r="AB214" s="65"/>
      <c r="AC214" s="65"/>
    </row>
    <row r="215">
      <c r="A215" s="64"/>
      <c r="B215" s="64"/>
      <c r="C215" s="64"/>
      <c r="D215" s="64"/>
      <c r="E215" s="64"/>
      <c r="F215" s="64"/>
      <c r="G215" s="64"/>
      <c r="H215" s="63"/>
      <c r="I215" s="64"/>
      <c r="J215" s="64"/>
      <c r="K215" s="64"/>
      <c r="L215" s="64"/>
      <c r="M215" s="64"/>
      <c r="N215" s="64"/>
      <c r="O215" s="64"/>
      <c r="P215" s="64"/>
      <c r="Q215" s="64"/>
      <c r="R215" s="65" t="str">
        <f>IF($A215="","",IFERROR(MINIFS(Candidates!$K$2:$K$2000,Candidates!$A$2:$A$2000,$A215),""))</f>
        <v/>
      </c>
      <c r="S215" s="65" t="str">
        <f>IF($A215="","",IFERROR(MAXIFS(Candidates!$AA$2:$AA$2000,Candidates!$A$2:$A$2000,$A215),""))</f>
        <v/>
      </c>
      <c r="T215" s="64" t="str">
        <f>IFERROR(__xludf.DUMMYFUNCTION("IF($A215="""","""",IFERROR(TEXTJOIN("", "",TRUE,UNIQUE(FILTER(Candidates!$B$2:$B$2000,Candidates!$A$2:$A$2000=$A215))),""""))"),"")</f>
        <v/>
      </c>
      <c r="U215" s="66" t="str">
        <f>IF($A215="","",COUNTIF(Candidates!$A$2:$A$2000,$A215))</f>
        <v/>
      </c>
      <c r="V215" s="64" t="str">
        <f>IFERROR(__xludf.DUMMYFUNCTION("IF($A215="""","""",IFERROR(INDEX(FILTER(Candidates!$S$2:$S$2000,Candidates!$A$2:$A$2000=$A215),COUNTIF(Candidates!$A$2:$A$2000,$A215)),""""))"),"")</f>
        <v/>
      </c>
      <c r="W215" s="64" t="str">
        <f>IFERROR(__xludf.DUMMYFUNCTION("IF($A215="""","""",IFERROR(INDEX(FILTER(Candidates!$T$2:$T$2000,Candidates!$A$2:$A$2000=$A215),COUNTIF(Candidates!$A$2:$A$2000,$A215)),""""))"),"")</f>
        <v/>
      </c>
      <c r="X215" s="64"/>
      <c r="Y215" s="64"/>
      <c r="Z215" s="65"/>
      <c r="AA215" s="65"/>
      <c r="AB215" s="65"/>
      <c r="AC215" s="65"/>
    </row>
    <row r="216">
      <c r="A216" s="64"/>
      <c r="B216" s="64"/>
      <c r="C216" s="64"/>
      <c r="D216" s="64"/>
      <c r="E216" s="64"/>
      <c r="F216" s="64"/>
      <c r="G216" s="64"/>
      <c r="H216" s="63"/>
      <c r="I216" s="64"/>
      <c r="J216" s="64"/>
      <c r="K216" s="64"/>
      <c r="L216" s="64"/>
      <c r="M216" s="64"/>
      <c r="N216" s="64"/>
      <c r="O216" s="64"/>
      <c r="P216" s="64"/>
      <c r="Q216" s="64"/>
      <c r="R216" s="65" t="str">
        <f>IF($A216="","",IFERROR(MINIFS(Candidates!$K$2:$K$2000,Candidates!$A$2:$A$2000,$A216),""))</f>
        <v/>
      </c>
      <c r="S216" s="65" t="str">
        <f>IF($A216="","",IFERROR(MAXIFS(Candidates!$AA$2:$AA$2000,Candidates!$A$2:$A$2000,$A216),""))</f>
        <v/>
      </c>
      <c r="T216" s="64" t="str">
        <f>IFERROR(__xludf.DUMMYFUNCTION("IF($A216="""","""",IFERROR(TEXTJOIN("", "",TRUE,UNIQUE(FILTER(Candidates!$B$2:$B$2000,Candidates!$A$2:$A$2000=$A216))),""""))"),"")</f>
        <v/>
      </c>
      <c r="U216" s="66" t="str">
        <f>IF($A216="","",COUNTIF(Candidates!$A$2:$A$2000,$A216))</f>
        <v/>
      </c>
      <c r="V216" s="64" t="str">
        <f>IFERROR(__xludf.DUMMYFUNCTION("IF($A216="""","""",IFERROR(INDEX(FILTER(Candidates!$S$2:$S$2000,Candidates!$A$2:$A$2000=$A216),COUNTIF(Candidates!$A$2:$A$2000,$A216)),""""))"),"")</f>
        <v/>
      </c>
      <c r="W216" s="64" t="str">
        <f>IFERROR(__xludf.DUMMYFUNCTION("IF($A216="""","""",IFERROR(INDEX(FILTER(Candidates!$T$2:$T$2000,Candidates!$A$2:$A$2000=$A216),COUNTIF(Candidates!$A$2:$A$2000,$A216)),""""))"),"")</f>
        <v/>
      </c>
      <c r="X216" s="64"/>
      <c r="Y216" s="64"/>
      <c r="Z216" s="65"/>
      <c r="AA216" s="65"/>
      <c r="AB216" s="65"/>
      <c r="AC216" s="65"/>
    </row>
    <row r="217">
      <c r="A217" s="64"/>
      <c r="B217" s="64"/>
      <c r="C217" s="64"/>
      <c r="D217" s="64"/>
      <c r="E217" s="64"/>
      <c r="F217" s="64"/>
      <c r="G217" s="64"/>
      <c r="H217" s="63"/>
      <c r="I217" s="64"/>
      <c r="J217" s="64"/>
      <c r="K217" s="64"/>
      <c r="L217" s="64"/>
      <c r="M217" s="64"/>
      <c r="N217" s="64"/>
      <c r="O217" s="64"/>
      <c r="P217" s="64"/>
      <c r="Q217" s="64"/>
      <c r="R217" s="65" t="str">
        <f>IF($A217="","",IFERROR(MINIFS(Candidates!$K$2:$K$2000,Candidates!$A$2:$A$2000,$A217),""))</f>
        <v/>
      </c>
      <c r="S217" s="65" t="str">
        <f>IF($A217="","",IFERROR(MAXIFS(Candidates!$AA$2:$AA$2000,Candidates!$A$2:$A$2000,$A217),""))</f>
        <v/>
      </c>
      <c r="T217" s="64" t="str">
        <f>IFERROR(__xludf.DUMMYFUNCTION("IF($A217="""","""",IFERROR(TEXTJOIN("", "",TRUE,UNIQUE(FILTER(Candidates!$B$2:$B$2000,Candidates!$A$2:$A$2000=$A217))),""""))"),"")</f>
        <v/>
      </c>
      <c r="U217" s="66" t="str">
        <f>IF($A217="","",COUNTIF(Candidates!$A$2:$A$2000,$A217))</f>
        <v/>
      </c>
      <c r="V217" s="64" t="str">
        <f>IFERROR(__xludf.DUMMYFUNCTION("IF($A217="""","""",IFERROR(INDEX(FILTER(Candidates!$S$2:$S$2000,Candidates!$A$2:$A$2000=$A217),COUNTIF(Candidates!$A$2:$A$2000,$A217)),""""))"),"")</f>
        <v/>
      </c>
      <c r="W217" s="64" t="str">
        <f>IFERROR(__xludf.DUMMYFUNCTION("IF($A217="""","""",IFERROR(INDEX(FILTER(Candidates!$T$2:$T$2000,Candidates!$A$2:$A$2000=$A217),COUNTIF(Candidates!$A$2:$A$2000,$A217)),""""))"),"")</f>
        <v/>
      </c>
      <c r="X217" s="64"/>
      <c r="Y217" s="64"/>
      <c r="Z217" s="65"/>
      <c r="AA217" s="65"/>
      <c r="AB217" s="65"/>
      <c r="AC217" s="65"/>
    </row>
    <row r="218">
      <c r="A218" s="64"/>
      <c r="B218" s="64"/>
      <c r="C218" s="64"/>
      <c r="D218" s="64"/>
      <c r="E218" s="64"/>
      <c r="F218" s="64"/>
      <c r="G218" s="64"/>
      <c r="H218" s="63"/>
      <c r="I218" s="64"/>
      <c r="J218" s="64"/>
      <c r="K218" s="64"/>
      <c r="L218" s="64"/>
      <c r="M218" s="64"/>
      <c r="N218" s="64"/>
      <c r="O218" s="64"/>
      <c r="P218" s="64"/>
      <c r="Q218" s="64"/>
      <c r="R218" s="65" t="str">
        <f>IF($A218="","",IFERROR(MINIFS(Candidates!$K$2:$K$2000,Candidates!$A$2:$A$2000,$A218),""))</f>
        <v/>
      </c>
      <c r="S218" s="65" t="str">
        <f>IF($A218="","",IFERROR(MAXIFS(Candidates!$AA$2:$AA$2000,Candidates!$A$2:$A$2000,$A218),""))</f>
        <v/>
      </c>
      <c r="T218" s="64" t="str">
        <f>IFERROR(__xludf.DUMMYFUNCTION("IF($A218="""","""",IFERROR(TEXTJOIN("", "",TRUE,UNIQUE(FILTER(Candidates!$B$2:$B$2000,Candidates!$A$2:$A$2000=$A218))),""""))"),"")</f>
        <v/>
      </c>
      <c r="U218" s="66" t="str">
        <f>IF($A218="","",COUNTIF(Candidates!$A$2:$A$2000,$A218))</f>
        <v/>
      </c>
      <c r="V218" s="64" t="str">
        <f>IFERROR(__xludf.DUMMYFUNCTION("IF($A218="""","""",IFERROR(INDEX(FILTER(Candidates!$S$2:$S$2000,Candidates!$A$2:$A$2000=$A218),COUNTIF(Candidates!$A$2:$A$2000,$A218)),""""))"),"")</f>
        <v/>
      </c>
      <c r="W218" s="64" t="str">
        <f>IFERROR(__xludf.DUMMYFUNCTION("IF($A218="""","""",IFERROR(INDEX(FILTER(Candidates!$T$2:$T$2000,Candidates!$A$2:$A$2000=$A218),COUNTIF(Candidates!$A$2:$A$2000,$A218)),""""))"),"")</f>
        <v/>
      </c>
      <c r="X218" s="64"/>
      <c r="Y218" s="64"/>
      <c r="Z218" s="65"/>
      <c r="AA218" s="65"/>
      <c r="AB218" s="65"/>
      <c r="AC218" s="65"/>
    </row>
    <row r="219">
      <c r="A219" s="64"/>
      <c r="B219" s="64"/>
      <c r="C219" s="64"/>
      <c r="D219" s="64"/>
      <c r="E219" s="64"/>
      <c r="F219" s="64"/>
      <c r="G219" s="64"/>
      <c r="H219" s="63"/>
      <c r="I219" s="64"/>
      <c r="J219" s="64"/>
      <c r="K219" s="64"/>
      <c r="L219" s="64"/>
      <c r="M219" s="64"/>
      <c r="N219" s="64"/>
      <c r="O219" s="64"/>
      <c r="P219" s="64"/>
      <c r="Q219" s="64"/>
      <c r="R219" s="65" t="str">
        <f>IF($A219="","",IFERROR(MINIFS(Candidates!$K$2:$K$2000,Candidates!$A$2:$A$2000,$A219),""))</f>
        <v/>
      </c>
      <c r="S219" s="65" t="str">
        <f>IF($A219="","",IFERROR(MAXIFS(Candidates!$AA$2:$AA$2000,Candidates!$A$2:$A$2000,$A219),""))</f>
        <v/>
      </c>
      <c r="T219" s="64" t="str">
        <f>IFERROR(__xludf.DUMMYFUNCTION("IF($A219="""","""",IFERROR(TEXTJOIN("", "",TRUE,UNIQUE(FILTER(Candidates!$B$2:$B$2000,Candidates!$A$2:$A$2000=$A219))),""""))"),"")</f>
        <v/>
      </c>
      <c r="U219" s="66" t="str">
        <f>IF($A219="","",COUNTIF(Candidates!$A$2:$A$2000,$A219))</f>
        <v/>
      </c>
      <c r="V219" s="64" t="str">
        <f>IFERROR(__xludf.DUMMYFUNCTION("IF($A219="""","""",IFERROR(INDEX(FILTER(Candidates!$S$2:$S$2000,Candidates!$A$2:$A$2000=$A219),COUNTIF(Candidates!$A$2:$A$2000,$A219)),""""))"),"")</f>
        <v/>
      </c>
      <c r="W219" s="64" t="str">
        <f>IFERROR(__xludf.DUMMYFUNCTION("IF($A219="""","""",IFERROR(INDEX(FILTER(Candidates!$T$2:$T$2000,Candidates!$A$2:$A$2000=$A219),COUNTIF(Candidates!$A$2:$A$2000,$A219)),""""))"),"")</f>
        <v/>
      </c>
      <c r="X219" s="64"/>
      <c r="Y219" s="64"/>
      <c r="Z219" s="65"/>
      <c r="AA219" s="65"/>
      <c r="AB219" s="65"/>
      <c r="AC219" s="65"/>
    </row>
    <row r="220">
      <c r="A220" s="64"/>
      <c r="B220" s="64"/>
      <c r="C220" s="64"/>
      <c r="D220" s="64"/>
      <c r="E220" s="64"/>
      <c r="F220" s="64"/>
      <c r="G220" s="64"/>
      <c r="H220" s="63"/>
      <c r="I220" s="64"/>
      <c r="J220" s="64"/>
      <c r="K220" s="64"/>
      <c r="L220" s="64"/>
      <c r="M220" s="64"/>
      <c r="N220" s="64"/>
      <c r="O220" s="64"/>
      <c r="P220" s="64"/>
      <c r="Q220" s="64"/>
      <c r="R220" s="65" t="str">
        <f>IF($A220="","",IFERROR(MINIFS(Candidates!$K$2:$K$2000,Candidates!$A$2:$A$2000,$A220),""))</f>
        <v/>
      </c>
      <c r="S220" s="65" t="str">
        <f>IF($A220="","",IFERROR(MAXIFS(Candidates!$AA$2:$AA$2000,Candidates!$A$2:$A$2000,$A220),""))</f>
        <v/>
      </c>
      <c r="T220" s="64" t="str">
        <f>IFERROR(__xludf.DUMMYFUNCTION("IF($A220="""","""",IFERROR(TEXTJOIN("", "",TRUE,UNIQUE(FILTER(Candidates!$B$2:$B$2000,Candidates!$A$2:$A$2000=$A220))),""""))"),"")</f>
        <v/>
      </c>
      <c r="U220" s="66" t="str">
        <f>IF($A220="","",COUNTIF(Candidates!$A$2:$A$2000,$A220))</f>
        <v/>
      </c>
      <c r="V220" s="64" t="str">
        <f>IFERROR(__xludf.DUMMYFUNCTION("IF($A220="""","""",IFERROR(INDEX(FILTER(Candidates!$S$2:$S$2000,Candidates!$A$2:$A$2000=$A220),COUNTIF(Candidates!$A$2:$A$2000,$A220)),""""))"),"")</f>
        <v/>
      </c>
      <c r="W220" s="64" t="str">
        <f>IFERROR(__xludf.DUMMYFUNCTION("IF($A220="""","""",IFERROR(INDEX(FILTER(Candidates!$T$2:$T$2000,Candidates!$A$2:$A$2000=$A220),COUNTIF(Candidates!$A$2:$A$2000,$A220)),""""))"),"")</f>
        <v/>
      </c>
      <c r="X220" s="64"/>
      <c r="Y220" s="64"/>
      <c r="Z220" s="65"/>
      <c r="AA220" s="65"/>
      <c r="AB220" s="65"/>
      <c r="AC220" s="65"/>
    </row>
    <row r="221">
      <c r="A221" s="64"/>
      <c r="B221" s="64"/>
      <c r="C221" s="64"/>
      <c r="D221" s="64"/>
      <c r="E221" s="64"/>
      <c r="F221" s="64"/>
      <c r="G221" s="64"/>
      <c r="H221" s="63"/>
      <c r="I221" s="64"/>
      <c r="J221" s="64"/>
      <c r="K221" s="64"/>
      <c r="L221" s="64"/>
      <c r="M221" s="64"/>
      <c r="N221" s="64"/>
      <c r="O221" s="64"/>
      <c r="P221" s="64"/>
      <c r="Q221" s="64"/>
      <c r="R221" s="65" t="str">
        <f>IF($A221="","",IFERROR(MINIFS(Candidates!$K$2:$K$2000,Candidates!$A$2:$A$2000,$A221),""))</f>
        <v/>
      </c>
      <c r="S221" s="65" t="str">
        <f>IF($A221="","",IFERROR(MAXIFS(Candidates!$AA$2:$AA$2000,Candidates!$A$2:$A$2000,$A221),""))</f>
        <v/>
      </c>
      <c r="T221" s="64" t="str">
        <f>IFERROR(__xludf.DUMMYFUNCTION("IF($A221="""","""",IFERROR(TEXTJOIN("", "",TRUE,UNIQUE(FILTER(Candidates!$B$2:$B$2000,Candidates!$A$2:$A$2000=$A221))),""""))"),"")</f>
        <v/>
      </c>
      <c r="U221" s="66" t="str">
        <f>IF($A221="","",COUNTIF(Candidates!$A$2:$A$2000,$A221))</f>
        <v/>
      </c>
      <c r="V221" s="64" t="str">
        <f>IFERROR(__xludf.DUMMYFUNCTION("IF($A221="""","""",IFERROR(INDEX(FILTER(Candidates!$S$2:$S$2000,Candidates!$A$2:$A$2000=$A221),COUNTIF(Candidates!$A$2:$A$2000,$A221)),""""))"),"")</f>
        <v/>
      </c>
      <c r="W221" s="64" t="str">
        <f>IFERROR(__xludf.DUMMYFUNCTION("IF($A221="""","""",IFERROR(INDEX(FILTER(Candidates!$T$2:$T$2000,Candidates!$A$2:$A$2000=$A221),COUNTIF(Candidates!$A$2:$A$2000,$A221)),""""))"),"")</f>
        <v/>
      </c>
      <c r="X221" s="64"/>
      <c r="Y221" s="64"/>
      <c r="Z221" s="65"/>
      <c r="AA221" s="65"/>
      <c r="AB221" s="65"/>
      <c r="AC221" s="65"/>
    </row>
    <row r="222">
      <c r="A222" s="64"/>
      <c r="B222" s="64"/>
      <c r="C222" s="64"/>
      <c r="D222" s="64"/>
      <c r="E222" s="64"/>
      <c r="F222" s="64"/>
      <c r="G222" s="64"/>
      <c r="H222" s="63"/>
      <c r="I222" s="64"/>
      <c r="J222" s="64"/>
      <c r="K222" s="64"/>
      <c r="L222" s="64"/>
      <c r="M222" s="64"/>
      <c r="N222" s="64"/>
      <c r="O222" s="64"/>
      <c r="P222" s="64"/>
      <c r="Q222" s="64"/>
      <c r="R222" s="65" t="str">
        <f>IF($A222="","",IFERROR(MINIFS(Candidates!$K$2:$K$2000,Candidates!$A$2:$A$2000,$A222),""))</f>
        <v/>
      </c>
      <c r="S222" s="65" t="str">
        <f>IF($A222="","",IFERROR(MAXIFS(Candidates!$AA$2:$AA$2000,Candidates!$A$2:$A$2000,$A222),""))</f>
        <v/>
      </c>
      <c r="T222" s="64" t="str">
        <f>IFERROR(__xludf.DUMMYFUNCTION("IF($A222="""","""",IFERROR(TEXTJOIN("", "",TRUE,UNIQUE(FILTER(Candidates!$B$2:$B$2000,Candidates!$A$2:$A$2000=$A222))),""""))"),"")</f>
        <v/>
      </c>
      <c r="U222" s="66" t="str">
        <f>IF($A222="","",COUNTIF(Candidates!$A$2:$A$2000,$A222))</f>
        <v/>
      </c>
      <c r="V222" s="64" t="str">
        <f>IFERROR(__xludf.DUMMYFUNCTION("IF($A222="""","""",IFERROR(INDEX(FILTER(Candidates!$S$2:$S$2000,Candidates!$A$2:$A$2000=$A222),COUNTIF(Candidates!$A$2:$A$2000,$A222)),""""))"),"")</f>
        <v/>
      </c>
      <c r="W222" s="64" t="str">
        <f>IFERROR(__xludf.DUMMYFUNCTION("IF($A222="""","""",IFERROR(INDEX(FILTER(Candidates!$T$2:$T$2000,Candidates!$A$2:$A$2000=$A222),COUNTIF(Candidates!$A$2:$A$2000,$A222)),""""))"),"")</f>
        <v/>
      </c>
      <c r="X222" s="64"/>
      <c r="Y222" s="64"/>
      <c r="Z222" s="65"/>
      <c r="AA222" s="65"/>
      <c r="AB222" s="65"/>
      <c r="AC222" s="65"/>
    </row>
    <row r="223">
      <c r="A223" s="64"/>
      <c r="B223" s="64"/>
      <c r="C223" s="64"/>
      <c r="D223" s="64"/>
      <c r="E223" s="64"/>
      <c r="F223" s="64"/>
      <c r="G223" s="64"/>
      <c r="H223" s="63"/>
      <c r="I223" s="64"/>
      <c r="J223" s="64"/>
      <c r="K223" s="64"/>
      <c r="L223" s="64"/>
      <c r="M223" s="64"/>
      <c r="N223" s="64"/>
      <c r="O223" s="64"/>
      <c r="P223" s="64"/>
      <c r="Q223" s="64"/>
      <c r="R223" s="65" t="str">
        <f>IF($A223="","",IFERROR(MINIFS(Candidates!$K$2:$K$2000,Candidates!$A$2:$A$2000,$A223),""))</f>
        <v/>
      </c>
      <c r="S223" s="65" t="str">
        <f>IF($A223="","",IFERROR(MAXIFS(Candidates!$AA$2:$AA$2000,Candidates!$A$2:$A$2000,$A223),""))</f>
        <v/>
      </c>
      <c r="T223" s="64" t="str">
        <f>IFERROR(__xludf.DUMMYFUNCTION("IF($A223="""","""",IFERROR(TEXTJOIN("", "",TRUE,UNIQUE(FILTER(Candidates!$B$2:$B$2000,Candidates!$A$2:$A$2000=$A223))),""""))"),"")</f>
        <v/>
      </c>
      <c r="U223" s="66" t="str">
        <f>IF($A223="","",COUNTIF(Candidates!$A$2:$A$2000,$A223))</f>
        <v/>
      </c>
      <c r="V223" s="64" t="str">
        <f>IFERROR(__xludf.DUMMYFUNCTION("IF($A223="""","""",IFERROR(INDEX(FILTER(Candidates!$S$2:$S$2000,Candidates!$A$2:$A$2000=$A223),COUNTIF(Candidates!$A$2:$A$2000,$A223)),""""))"),"")</f>
        <v/>
      </c>
      <c r="W223" s="64" t="str">
        <f>IFERROR(__xludf.DUMMYFUNCTION("IF($A223="""","""",IFERROR(INDEX(FILTER(Candidates!$T$2:$T$2000,Candidates!$A$2:$A$2000=$A223),COUNTIF(Candidates!$A$2:$A$2000,$A223)),""""))"),"")</f>
        <v/>
      </c>
      <c r="X223" s="64"/>
      <c r="Y223" s="64"/>
      <c r="Z223" s="65"/>
      <c r="AA223" s="65"/>
      <c r="AB223" s="65"/>
      <c r="AC223" s="65"/>
    </row>
    <row r="224">
      <c r="A224" s="64"/>
      <c r="B224" s="64"/>
      <c r="C224" s="64"/>
      <c r="D224" s="64"/>
      <c r="E224" s="64"/>
      <c r="F224" s="64"/>
      <c r="G224" s="64"/>
      <c r="H224" s="63"/>
      <c r="I224" s="64"/>
      <c r="J224" s="64"/>
      <c r="K224" s="64"/>
      <c r="L224" s="64"/>
      <c r="M224" s="64"/>
      <c r="N224" s="64"/>
      <c r="O224" s="64"/>
      <c r="P224" s="64"/>
      <c r="Q224" s="64"/>
      <c r="R224" s="65" t="str">
        <f>IF($A224="","",IFERROR(MINIFS(Candidates!$K$2:$K$2000,Candidates!$A$2:$A$2000,$A224),""))</f>
        <v/>
      </c>
      <c r="S224" s="65" t="str">
        <f>IF($A224="","",IFERROR(MAXIFS(Candidates!$AA$2:$AA$2000,Candidates!$A$2:$A$2000,$A224),""))</f>
        <v/>
      </c>
      <c r="T224" s="64" t="str">
        <f>IFERROR(__xludf.DUMMYFUNCTION("IF($A224="""","""",IFERROR(TEXTJOIN("", "",TRUE,UNIQUE(FILTER(Candidates!$B$2:$B$2000,Candidates!$A$2:$A$2000=$A224))),""""))"),"")</f>
        <v/>
      </c>
      <c r="U224" s="66" t="str">
        <f>IF($A224="","",COUNTIF(Candidates!$A$2:$A$2000,$A224))</f>
        <v/>
      </c>
      <c r="V224" s="64" t="str">
        <f>IFERROR(__xludf.DUMMYFUNCTION("IF($A224="""","""",IFERROR(INDEX(FILTER(Candidates!$S$2:$S$2000,Candidates!$A$2:$A$2000=$A224),COUNTIF(Candidates!$A$2:$A$2000,$A224)),""""))"),"")</f>
        <v/>
      </c>
      <c r="W224" s="64" t="str">
        <f>IFERROR(__xludf.DUMMYFUNCTION("IF($A224="""","""",IFERROR(INDEX(FILTER(Candidates!$T$2:$T$2000,Candidates!$A$2:$A$2000=$A224),COUNTIF(Candidates!$A$2:$A$2000,$A224)),""""))"),"")</f>
        <v/>
      </c>
      <c r="X224" s="64"/>
      <c r="Y224" s="64"/>
      <c r="Z224" s="65"/>
      <c r="AA224" s="65"/>
      <c r="AB224" s="65"/>
      <c r="AC224" s="65"/>
    </row>
    <row r="225">
      <c r="A225" s="64"/>
      <c r="B225" s="64"/>
      <c r="C225" s="64"/>
      <c r="D225" s="64"/>
      <c r="E225" s="64"/>
      <c r="F225" s="64"/>
      <c r="G225" s="64"/>
      <c r="H225" s="63"/>
      <c r="I225" s="64"/>
      <c r="J225" s="64"/>
      <c r="K225" s="64"/>
      <c r="L225" s="64"/>
      <c r="M225" s="64"/>
      <c r="N225" s="64"/>
      <c r="O225" s="64"/>
      <c r="P225" s="64"/>
      <c r="Q225" s="64"/>
      <c r="R225" s="65" t="str">
        <f>IF($A225="","",IFERROR(MINIFS(Candidates!$K$2:$K$2000,Candidates!$A$2:$A$2000,$A225),""))</f>
        <v/>
      </c>
      <c r="S225" s="65" t="str">
        <f>IF($A225="","",IFERROR(MAXIFS(Candidates!$AA$2:$AA$2000,Candidates!$A$2:$A$2000,$A225),""))</f>
        <v/>
      </c>
      <c r="T225" s="64" t="str">
        <f>IFERROR(__xludf.DUMMYFUNCTION("IF($A225="""","""",IFERROR(TEXTJOIN("", "",TRUE,UNIQUE(FILTER(Candidates!$B$2:$B$2000,Candidates!$A$2:$A$2000=$A225))),""""))"),"")</f>
        <v/>
      </c>
      <c r="U225" s="66" t="str">
        <f>IF($A225="","",COUNTIF(Candidates!$A$2:$A$2000,$A225))</f>
        <v/>
      </c>
      <c r="V225" s="64" t="str">
        <f>IFERROR(__xludf.DUMMYFUNCTION("IF($A225="""","""",IFERROR(INDEX(FILTER(Candidates!$S$2:$S$2000,Candidates!$A$2:$A$2000=$A225),COUNTIF(Candidates!$A$2:$A$2000,$A225)),""""))"),"")</f>
        <v/>
      </c>
      <c r="W225" s="64" t="str">
        <f>IFERROR(__xludf.DUMMYFUNCTION("IF($A225="""","""",IFERROR(INDEX(FILTER(Candidates!$T$2:$T$2000,Candidates!$A$2:$A$2000=$A225),COUNTIF(Candidates!$A$2:$A$2000,$A225)),""""))"),"")</f>
        <v/>
      </c>
      <c r="X225" s="64"/>
      <c r="Y225" s="64"/>
      <c r="Z225" s="65"/>
      <c r="AA225" s="65"/>
      <c r="AB225" s="65"/>
      <c r="AC225" s="65"/>
    </row>
    <row r="226">
      <c r="A226" s="64"/>
      <c r="B226" s="64"/>
      <c r="C226" s="64"/>
      <c r="D226" s="64"/>
      <c r="E226" s="64"/>
      <c r="F226" s="64"/>
      <c r="G226" s="64"/>
      <c r="H226" s="63"/>
      <c r="I226" s="64"/>
      <c r="J226" s="64"/>
      <c r="K226" s="64"/>
      <c r="L226" s="64"/>
      <c r="M226" s="64"/>
      <c r="N226" s="64"/>
      <c r="O226" s="64"/>
      <c r="P226" s="64"/>
      <c r="Q226" s="64"/>
      <c r="R226" s="65" t="str">
        <f>IF($A226="","",IFERROR(MINIFS(Candidates!$K$2:$K$2000,Candidates!$A$2:$A$2000,$A226),""))</f>
        <v/>
      </c>
      <c r="S226" s="65" t="str">
        <f>IF($A226="","",IFERROR(MAXIFS(Candidates!$AA$2:$AA$2000,Candidates!$A$2:$A$2000,$A226),""))</f>
        <v/>
      </c>
      <c r="T226" s="64" t="str">
        <f>IFERROR(__xludf.DUMMYFUNCTION("IF($A226="""","""",IFERROR(TEXTJOIN("", "",TRUE,UNIQUE(FILTER(Candidates!$B$2:$B$2000,Candidates!$A$2:$A$2000=$A226))),""""))"),"")</f>
        <v/>
      </c>
      <c r="U226" s="66" t="str">
        <f>IF($A226="","",COUNTIF(Candidates!$A$2:$A$2000,$A226))</f>
        <v/>
      </c>
      <c r="V226" s="64" t="str">
        <f>IFERROR(__xludf.DUMMYFUNCTION("IF($A226="""","""",IFERROR(INDEX(FILTER(Candidates!$S$2:$S$2000,Candidates!$A$2:$A$2000=$A226),COUNTIF(Candidates!$A$2:$A$2000,$A226)),""""))"),"")</f>
        <v/>
      </c>
      <c r="W226" s="64" t="str">
        <f>IFERROR(__xludf.DUMMYFUNCTION("IF($A226="""","""",IFERROR(INDEX(FILTER(Candidates!$T$2:$T$2000,Candidates!$A$2:$A$2000=$A226),COUNTIF(Candidates!$A$2:$A$2000,$A226)),""""))"),"")</f>
        <v/>
      </c>
      <c r="X226" s="64"/>
      <c r="Y226" s="64"/>
      <c r="Z226" s="65"/>
      <c r="AA226" s="65"/>
      <c r="AB226" s="65"/>
      <c r="AC226" s="65"/>
    </row>
    <row r="227">
      <c r="A227" s="64"/>
      <c r="B227" s="64"/>
      <c r="C227" s="64"/>
      <c r="D227" s="64"/>
      <c r="E227" s="64"/>
      <c r="F227" s="64"/>
      <c r="G227" s="64"/>
      <c r="H227" s="63"/>
      <c r="I227" s="64"/>
      <c r="J227" s="64"/>
      <c r="K227" s="64"/>
      <c r="L227" s="64"/>
      <c r="M227" s="64"/>
      <c r="N227" s="64"/>
      <c r="O227" s="64"/>
      <c r="P227" s="64"/>
      <c r="Q227" s="64"/>
      <c r="R227" s="65" t="str">
        <f>IF($A227="","",IFERROR(MINIFS(Candidates!$K$2:$K$2000,Candidates!$A$2:$A$2000,$A227),""))</f>
        <v/>
      </c>
      <c r="S227" s="65" t="str">
        <f>IF($A227="","",IFERROR(MAXIFS(Candidates!$AA$2:$AA$2000,Candidates!$A$2:$A$2000,$A227),""))</f>
        <v/>
      </c>
      <c r="T227" s="64" t="str">
        <f>IFERROR(__xludf.DUMMYFUNCTION("IF($A227="""","""",IFERROR(TEXTJOIN("", "",TRUE,UNIQUE(FILTER(Candidates!$B$2:$B$2000,Candidates!$A$2:$A$2000=$A227))),""""))"),"")</f>
        <v/>
      </c>
      <c r="U227" s="66" t="str">
        <f>IF($A227="","",COUNTIF(Candidates!$A$2:$A$2000,$A227))</f>
        <v/>
      </c>
      <c r="V227" s="64" t="str">
        <f>IFERROR(__xludf.DUMMYFUNCTION("IF($A227="""","""",IFERROR(INDEX(FILTER(Candidates!$S$2:$S$2000,Candidates!$A$2:$A$2000=$A227),COUNTIF(Candidates!$A$2:$A$2000,$A227)),""""))"),"")</f>
        <v/>
      </c>
      <c r="W227" s="64" t="str">
        <f>IFERROR(__xludf.DUMMYFUNCTION("IF($A227="""","""",IFERROR(INDEX(FILTER(Candidates!$T$2:$T$2000,Candidates!$A$2:$A$2000=$A227),COUNTIF(Candidates!$A$2:$A$2000,$A227)),""""))"),"")</f>
        <v/>
      </c>
      <c r="X227" s="64"/>
      <c r="Y227" s="64"/>
      <c r="Z227" s="65"/>
      <c r="AA227" s="65"/>
      <c r="AB227" s="65"/>
      <c r="AC227" s="65"/>
    </row>
    <row r="228">
      <c r="A228" s="64"/>
      <c r="B228" s="64"/>
      <c r="C228" s="64"/>
      <c r="D228" s="64"/>
      <c r="E228" s="64"/>
      <c r="F228" s="64"/>
      <c r="G228" s="64"/>
      <c r="H228" s="63"/>
      <c r="I228" s="64"/>
      <c r="J228" s="64"/>
      <c r="K228" s="64"/>
      <c r="L228" s="64"/>
      <c r="M228" s="64"/>
      <c r="N228" s="64"/>
      <c r="O228" s="64"/>
      <c r="P228" s="64"/>
      <c r="Q228" s="64"/>
      <c r="R228" s="65" t="str">
        <f>IF($A228="","",IFERROR(MINIFS(Candidates!$K$2:$K$2000,Candidates!$A$2:$A$2000,$A228),""))</f>
        <v/>
      </c>
      <c r="S228" s="65" t="str">
        <f>IF($A228="","",IFERROR(MAXIFS(Candidates!$AA$2:$AA$2000,Candidates!$A$2:$A$2000,$A228),""))</f>
        <v/>
      </c>
      <c r="T228" s="64" t="str">
        <f>IFERROR(__xludf.DUMMYFUNCTION("IF($A228="""","""",IFERROR(TEXTJOIN("", "",TRUE,UNIQUE(FILTER(Candidates!$B$2:$B$2000,Candidates!$A$2:$A$2000=$A228))),""""))"),"")</f>
        <v/>
      </c>
      <c r="U228" s="66" t="str">
        <f>IF($A228="","",COUNTIF(Candidates!$A$2:$A$2000,$A228))</f>
        <v/>
      </c>
      <c r="V228" s="64" t="str">
        <f>IFERROR(__xludf.DUMMYFUNCTION("IF($A228="""","""",IFERROR(INDEX(FILTER(Candidates!$S$2:$S$2000,Candidates!$A$2:$A$2000=$A228),COUNTIF(Candidates!$A$2:$A$2000,$A228)),""""))"),"")</f>
        <v/>
      </c>
      <c r="W228" s="64" t="str">
        <f>IFERROR(__xludf.DUMMYFUNCTION("IF($A228="""","""",IFERROR(INDEX(FILTER(Candidates!$T$2:$T$2000,Candidates!$A$2:$A$2000=$A228),COUNTIF(Candidates!$A$2:$A$2000,$A228)),""""))"),"")</f>
        <v/>
      </c>
      <c r="X228" s="64"/>
      <c r="Y228" s="64"/>
      <c r="Z228" s="65"/>
      <c r="AA228" s="65"/>
      <c r="AB228" s="65"/>
      <c r="AC228" s="65"/>
    </row>
    <row r="229">
      <c r="A229" s="64"/>
      <c r="B229" s="64"/>
      <c r="C229" s="64"/>
      <c r="D229" s="64"/>
      <c r="E229" s="64"/>
      <c r="F229" s="64"/>
      <c r="G229" s="64"/>
      <c r="H229" s="63"/>
      <c r="I229" s="64"/>
      <c r="J229" s="64"/>
      <c r="K229" s="64"/>
      <c r="L229" s="64"/>
      <c r="M229" s="64"/>
      <c r="N229" s="64"/>
      <c r="O229" s="64"/>
      <c r="P229" s="64"/>
      <c r="Q229" s="64"/>
      <c r="R229" s="65" t="str">
        <f>IF($A229="","",IFERROR(MINIFS(Candidates!$K$2:$K$2000,Candidates!$A$2:$A$2000,$A229),""))</f>
        <v/>
      </c>
      <c r="S229" s="65" t="str">
        <f>IF($A229="","",IFERROR(MAXIFS(Candidates!$AA$2:$AA$2000,Candidates!$A$2:$A$2000,$A229),""))</f>
        <v/>
      </c>
      <c r="T229" s="64" t="str">
        <f>IFERROR(__xludf.DUMMYFUNCTION("IF($A229="""","""",IFERROR(TEXTJOIN("", "",TRUE,UNIQUE(FILTER(Candidates!$B$2:$B$2000,Candidates!$A$2:$A$2000=$A229))),""""))"),"")</f>
        <v/>
      </c>
      <c r="U229" s="66" t="str">
        <f>IF($A229="","",COUNTIF(Candidates!$A$2:$A$2000,$A229))</f>
        <v/>
      </c>
      <c r="V229" s="64" t="str">
        <f>IFERROR(__xludf.DUMMYFUNCTION("IF($A229="""","""",IFERROR(INDEX(FILTER(Candidates!$S$2:$S$2000,Candidates!$A$2:$A$2000=$A229),COUNTIF(Candidates!$A$2:$A$2000,$A229)),""""))"),"")</f>
        <v/>
      </c>
      <c r="W229" s="64" t="str">
        <f>IFERROR(__xludf.DUMMYFUNCTION("IF($A229="""","""",IFERROR(INDEX(FILTER(Candidates!$T$2:$T$2000,Candidates!$A$2:$A$2000=$A229),COUNTIF(Candidates!$A$2:$A$2000,$A229)),""""))"),"")</f>
        <v/>
      </c>
      <c r="X229" s="64"/>
      <c r="Y229" s="64"/>
      <c r="Z229" s="65"/>
      <c r="AA229" s="65"/>
      <c r="AB229" s="65"/>
      <c r="AC229" s="65"/>
    </row>
    <row r="230">
      <c r="A230" s="64"/>
      <c r="B230" s="64"/>
      <c r="C230" s="64"/>
      <c r="D230" s="64"/>
      <c r="E230" s="64"/>
      <c r="F230" s="64"/>
      <c r="G230" s="64"/>
      <c r="H230" s="63"/>
      <c r="I230" s="64"/>
      <c r="J230" s="64"/>
      <c r="K230" s="64"/>
      <c r="L230" s="64"/>
      <c r="M230" s="64"/>
      <c r="N230" s="64"/>
      <c r="O230" s="64"/>
      <c r="P230" s="64"/>
      <c r="Q230" s="64"/>
      <c r="R230" s="65" t="str">
        <f>IF($A230="","",IFERROR(MINIFS(Candidates!$K$2:$K$2000,Candidates!$A$2:$A$2000,$A230),""))</f>
        <v/>
      </c>
      <c r="S230" s="65" t="str">
        <f>IF($A230="","",IFERROR(MAXIFS(Candidates!$AA$2:$AA$2000,Candidates!$A$2:$A$2000,$A230),""))</f>
        <v/>
      </c>
      <c r="T230" s="64" t="str">
        <f>IFERROR(__xludf.DUMMYFUNCTION("IF($A230="""","""",IFERROR(TEXTJOIN("", "",TRUE,UNIQUE(FILTER(Candidates!$B$2:$B$2000,Candidates!$A$2:$A$2000=$A230))),""""))"),"")</f>
        <v/>
      </c>
      <c r="U230" s="66" t="str">
        <f>IF($A230="","",COUNTIF(Candidates!$A$2:$A$2000,$A230))</f>
        <v/>
      </c>
      <c r="V230" s="64" t="str">
        <f>IFERROR(__xludf.DUMMYFUNCTION("IF($A230="""","""",IFERROR(INDEX(FILTER(Candidates!$S$2:$S$2000,Candidates!$A$2:$A$2000=$A230),COUNTIF(Candidates!$A$2:$A$2000,$A230)),""""))"),"")</f>
        <v/>
      </c>
      <c r="W230" s="64" t="str">
        <f>IFERROR(__xludf.DUMMYFUNCTION("IF($A230="""","""",IFERROR(INDEX(FILTER(Candidates!$T$2:$T$2000,Candidates!$A$2:$A$2000=$A230),COUNTIF(Candidates!$A$2:$A$2000,$A230)),""""))"),"")</f>
        <v/>
      </c>
      <c r="X230" s="64"/>
      <c r="Y230" s="64"/>
      <c r="Z230" s="65"/>
      <c r="AA230" s="65"/>
      <c r="AB230" s="65"/>
      <c r="AC230" s="65"/>
    </row>
    <row r="231">
      <c r="A231" s="64"/>
      <c r="B231" s="64"/>
      <c r="C231" s="64"/>
      <c r="D231" s="64"/>
      <c r="E231" s="64"/>
      <c r="F231" s="64"/>
      <c r="G231" s="64"/>
      <c r="H231" s="63"/>
      <c r="I231" s="64"/>
      <c r="J231" s="64"/>
      <c r="K231" s="64"/>
      <c r="L231" s="64"/>
      <c r="M231" s="64"/>
      <c r="N231" s="64"/>
      <c r="O231" s="64"/>
      <c r="P231" s="64"/>
      <c r="Q231" s="64"/>
      <c r="R231" s="65" t="str">
        <f>IF($A231="","",IFERROR(MINIFS(Candidates!$K$2:$K$2000,Candidates!$A$2:$A$2000,$A231),""))</f>
        <v/>
      </c>
      <c r="S231" s="65" t="str">
        <f>IF($A231="","",IFERROR(MAXIFS(Candidates!$AA$2:$AA$2000,Candidates!$A$2:$A$2000,$A231),""))</f>
        <v/>
      </c>
      <c r="T231" s="64" t="str">
        <f>IFERROR(__xludf.DUMMYFUNCTION("IF($A231="""","""",IFERROR(TEXTJOIN("", "",TRUE,UNIQUE(FILTER(Candidates!$B$2:$B$2000,Candidates!$A$2:$A$2000=$A231))),""""))"),"")</f>
        <v/>
      </c>
      <c r="U231" s="66" t="str">
        <f>IF($A231="","",COUNTIF(Candidates!$A$2:$A$2000,$A231))</f>
        <v/>
      </c>
      <c r="V231" s="64" t="str">
        <f>IFERROR(__xludf.DUMMYFUNCTION("IF($A231="""","""",IFERROR(INDEX(FILTER(Candidates!$S$2:$S$2000,Candidates!$A$2:$A$2000=$A231),COUNTIF(Candidates!$A$2:$A$2000,$A231)),""""))"),"")</f>
        <v/>
      </c>
      <c r="W231" s="64" t="str">
        <f>IFERROR(__xludf.DUMMYFUNCTION("IF($A231="""","""",IFERROR(INDEX(FILTER(Candidates!$T$2:$T$2000,Candidates!$A$2:$A$2000=$A231),COUNTIF(Candidates!$A$2:$A$2000,$A231)),""""))"),"")</f>
        <v/>
      </c>
      <c r="X231" s="64"/>
      <c r="Y231" s="64"/>
      <c r="Z231" s="65"/>
      <c r="AA231" s="65"/>
      <c r="AB231" s="65"/>
      <c r="AC231" s="65"/>
    </row>
    <row r="232">
      <c r="A232" s="64"/>
      <c r="B232" s="64"/>
      <c r="C232" s="64"/>
      <c r="D232" s="64"/>
      <c r="E232" s="64"/>
      <c r="F232" s="64"/>
      <c r="G232" s="64"/>
      <c r="H232" s="63"/>
      <c r="I232" s="64"/>
      <c r="J232" s="64"/>
      <c r="K232" s="64"/>
      <c r="L232" s="64"/>
      <c r="M232" s="64"/>
      <c r="N232" s="64"/>
      <c r="O232" s="64"/>
      <c r="P232" s="64"/>
      <c r="Q232" s="64"/>
      <c r="R232" s="65" t="str">
        <f>IF($A232="","",IFERROR(MINIFS(Candidates!$K$2:$K$2000,Candidates!$A$2:$A$2000,$A232),""))</f>
        <v/>
      </c>
      <c r="S232" s="65" t="str">
        <f>IF($A232="","",IFERROR(MAXIFS(Candidates!$AA$2:$AA$2000,Candidates!$A$2:$A$2000,$A232),""))</f>
        <v/>
      </c>
      <c r="T232" s="64" t="str">
        <f>IFERROR(__xludf.DUMMYFUNCTION("IF($A232="""","""",IFERROR(TEXTJOIN("", "",TRUE,UNIQUE(FILTER(Candidates!$B$2:$B$2000,Candidates!$A$2:$A$2000=$A232))),""""))"),"")</f>
        <v/>
      </c>
      <c r="U232" s="66" t="str">
        <f>IF($A232="","",COUNTIF(Candidates!$A$2:$A$2000,$A232))</f>
        <v/>
      </c>
      <c r="V232" s="64" t="str">
        <f>IFERROR(__xludf.DUMMYFUNCTION("IF($A232="""","""",IFERROR(INDEX(FILTER(Candidates!$S$2:$S$2000,Candidates!$A$2:$A$2000=$A232),COUNTIF(Candidates!$A$2:$A$2000,$A232)),""""))"),"")</f>
        <v/>
      </c>
      <c r="W232" s="64" t="str">
        <f>IFERROR(__xludf.DUMMYFUNCTION("IF($A232="""","""",IFERROR(INDEX(FILTER(Candidates!$T$2:$T$2000,Candidates!$A$2:$A$2000=$A232),COUNTIF(Candidates!$A$2:$A$2000,$A232)),""""))"),"")</f>
        <v/>
      </c>
      <c r="X232" s="64"/>
      <c r="Y232" s="64"/>
      <c r="Z232" s="65"/>
      <c r="AA232" s="65"/>
      <c r="AB232" s="65"/>
      <c r="AC232" s="65"/>
    </row>
    <row r="233">
      <c r="A233" s="64"/>
      <c r="B233" s="64"/>
      <c r="C233" s="64"/>
      <c r="D233" s="64"/>
      <c r="E233" s="64"/>
      <c r="F233" s="64"/>
      <c r="G233" s="64"/>
      <c r="H233" s="63"/>
      <c r="I233" s="64"/>
      <c r="J233" s="64"/>
      <c r="K233" s="64"/>
      <c r="L233" s="64"/>
      <c r="M233" s="64"/>
      <c r="N233" s="64"/>
      <c r="O233" s="64"/>
      <c r="P233" s="64"/>
      <c r="Q233" s="64"/>
      <c r="R233" s="65" t="str">
        <f>IF($A233="","",IFERROR(MINIFS(Candidates!$K$2:$K$2000,Candidates!$A$2:$A$2000,$A233),""))</f>
        <v/>
      </c>
      <c r="S233" s="65" t="str">
        <f>IF($A233="","",IFERROR(MAXIFS(Candidates!$AA$2:$AA$2000,Candidates!$A$2:$A$2000,$A233),""))</f>
        <v/>
      </c>
      <c r="T233" s="64" t="str">
        <f>IFERROR(__xludf.DUMMYFUNCTION("IF($A233="""","""",IFERROR(TEXTJOIN("", "",TRUE,UNIQUE(FILTER(Candidates!$B$2:$B$2000,Candidates!$A$2:$A$2000=$A233))),""""))"),"")</f>
        <v/>
      </c>
      <c r="U233" s="66" t="str">
        <f>IF($A233="","",COUNTIF(Candidates!$A$2:$A$2000,$A233))</f>
        <v/>
      </c>
      <c r="V233" s="64" t="str">
        <f>IFERROR(__xludf.DUMMYFUNCTION("IF($A233="""","""",IFERROR(INDEX(FILTER(Candidates!$S$2:$S$2000,Candidates!$A$2:$A$2000=$A233),COUNTIF(Candidates!$A$2:$A$2000,$A233)),""""))"),"")</f>
        <v/>
      </c>
      <c r="W233" s="64" t="str">
        <f>IFERROR(__xludf.DUMMYFUNCTION("IF($A233="""","""",IFERROR(INDEX(FILTER(Candidates!$T$2:$T$2000,Candidates!$A$2:$A$2000=$A233),COUNTIF(Candidates!$A$2:$A$2000,$A233)),""""))"),"")</f>
        <v/>
      </c>
      <c r="X233" s="64"/>
      <c r="Y233" s="64"/>
      <c r="Z233" s="65"/>
      <c r="AA233" s="65"/>
      <c r="AB233" s="65"/>
      <c r="AC233" s="65"/>
    </row>
    <row r="234">
      <c r="A234" s="64"/>
      <c r="B234" s="64"/>
      <c r="C234" s="64"/>
      <c r="D234" s="64"/>
      <c r="E234" s="64"/>
      <c r="F234" s="64"/>
      <c r="G234" s="64"/>
      <c r="H234" s="63"/>
      <c r="I234" s="64"/>
      <c r="J234" s="64"/>
      <c r="K234" s="64"/>
      <c r="L234" s="64"/>
      <c r="M234" s="64"/>
      <c r="N234" s="64"/>
      <c r="O234" s="64"/>
      <c r="P234" s="64"/>
      <c r="Q234" s="64"/>
      <c r="R234" s="65" t="str">
        <f>IF($A234="","",IFERROR(MINIFS(Candidates!$K$2:$K$2000,Candidates!$A$2:$A$2000,$A234),""))</f>
        <v/>
      </c>
      <c r="S234" s="65" t="str">
        <f>IF($A234="","",IFERROR(MAXIFS(Candidates!$AA$2:$AA$2000,Candidates!$A$2:$A$2000,$A234),""))</f>
        <v/>
      </c>
      <c r="T234" s="64" t="str">
        <f>IFERROR(__xludf.DUMMYFUNCTION("IF($A234="""","""",IFERROR(TEXTJOIN("", "",TRUE,UNIQUE(FILTER(Candidates!$B$2:$B$2000,Candidates!$A$2:$A$2000=$A234))),""""))"),"")</f>
        <v/>
      </c>
      <c r="U234" s="66" t="str">
        <f>IF($A234="","",COUNTIF(Candidates!$A$2:$A$2000,$A234))</f>
        <v/>
      </c>
      <c r="V234" s="64" t="str">
        <f>IFERROR(__xludf.DUMMYFUNCTION("IF($A234="""","""",IFERROR(INDEX(FILTER(Candidates!$S$2:$S$2000,Candidates!$A$2:$A$2000=$A234),COUNTIF(Candidates!$A$2:$A$2000,$A234)),""""))"),"")</f>
        <v/>
      </c>
      <c r="W234" s="64" t="str">
        <f>IFERROR(__xludf.DUMMYFUNCTION("IF($A234="""","""",IFERROR(INDEX(FILTER(Candidates!$T$2:$T$2000,Candidates!$A$2:$A$2000=$A234),COUNTIF(Candidates!$A$2:$A$2000,$A234)),""""))"),"")</f>
        <v/>
      </c>
      <c r="X234" s="64"/>
      <c r="Y234" s="64"/>
      <c r="Z234" s="65"/>
      <c r="AA234" s="65"/>
      <c r="AB234" s="65"/>
      <c r="AC234" s="65"/>
    </row>
    <row r="235">
      <c r="A235" s="64"/>
      <c r="B235" s="64"/>
      <c r="C235" s="64"/>
      <c r="D235" s="64"/>
      <c r="E235" s="64"/>
      <c r="F235" s="64"/>
      <c r="G235" s="64"/>
      <c r="H235" s="63"/>
      <c r="I235" s="64"/>
      <c r="J235" s="64"/>
      <c r="K235" s="64"/>
      <c r="L235" s="64"/>
      <c r="M235" s="64"/>
      <c r="N235" s="64"/>
      <c r="O235" s="64"/>
      <c r="P235" s="64"/>
      <c r="Q235" s="64"/>
      <c r="R235" s="65" t="str">
        <f>IF($A235="","",IFERROR(MINIFS(Candidates!$K$2:$K$2000,Candidates!$A$2:$A$2000,$A235),""))</f>
        <v/>
      </c>
      <c r="S235" s="65" t="str">
        <f>IF($A235="","",IFERROR(MAXIFS(Candidates!$AA$2:$AA$2000,Candidates!$A$2:$A$2000,$A235),""))</f>
        <v/>
      </c>
      <c r="T235" s="64" t="str">
        <f>IFERROR(__xludf.DUMMYFUNCTION("IF($A235="""","""",IFERROR(TEXTJOIN("", "",TRUE,UNIQUE(FILTER(Candidates!$B$2:$B$2000,Candidates!$A$2:$A$2000=$A235))),""""))"),"")</f>
        <v/>
      </c>
      <c r="U235" s="66" t="str">
        <f>IF($A235="","",COUNTIF(Candidates!$A$2:$A$2000,$A235))</f>
        <v/>
      </c>
      <c r="V235" s="64" t="str">
        <f>IFERROR(__xludf.DUMMYFUNCTION("IF($A235="""","""",IFERROR(INDEX(FILTER(Candidates!$S$2:$S$2000,Candidates!$A$2:$A$2000=$A235),COUNTIF(Candidates!$A$2:$A$2000,$A235)),""""))"),"")</f>
        <v/>
      </c>
      <c r="W235" s="64" t="str">
        <f>IFERROR(__xludf.DUMMYFUNCTION("IF($A235="""","""",IFERROR(INDEX(FILTER(Candidates!$T$2:$T$2000,Candidates!$A$2:$A$2000=$A235),COUNTIF(Candidates!$A$2:$A$2000,$A235)),""""))"),"")</f>
        <v/>
      </c>
      <c r="X235" s="64"/>
      <c r="Y235" s="64"/>
      <c r="Z235" s="65"/>
      <c r="AA235" s="65"/>
      <c r="AB235" s="65"/>
      <c r="AC235" s="65"/>
    </row>
    <row r="236">
      <c r="A236" s="64"/>
      <c r="B236" s="64"/>
      <c r="C236" s="64"/>
      <c r="D236" s="64"/>
      <c r="E236" s="64"/>
      <c r="F236" s="64"/>
      <c r="G236" s="64"/>
      <c r="H236" s="63"/>
      <c r="I236" s="64"/>
      <c r="J236" s="64"/>
      <c r="K236" s="64"/>
      <c r="L236" s="64"/>
      <c r="M236" s="64"/>
      <c r="N236" s="64"/>
      <c r="O236" s="64"/>
      <c r="P236" s="64"/>
      <c r="Q236" s="64"/>
      <c r="R236" s="65" t="str">
        <f>IF($A236="","",IFERROR(MINIFS(Candidates!$K$2:$K$2000,Candidates!$A$2:$A$2000,$A236),""))</f>
        <v/>
      </c>
      <c r="S236" s="65" t="str">
        <f>IF($A236="","",IFERROR(MAXIFS(Candidates!$AA$2:$AA$2000,Candidates!$A$2:$A$2000,$A236),""))</f>
        <v/>
      </c>
      <c r="T236" s="64" t="str">
        <f>IFERROR(__xludf.DUMMYFUNCTION("IF($A236="""","""",IFERROR(TEXTJOIN("", "",TRUE,UNIQUE(FILTER(Candidates!$B$2:$B$2000,Candidates!$A$2:$A$2000=$A236))),""""))"),"")</f>
        <v/>
      </c>
      <c r="U236" s="66" t="str">
        <f>IF($A236="","",COUNTIF(Candidates!$A$2:$A$2000,$A236))</f>
        <v/>
      </c>
      <c r="V236" s="64" t="str">
        <f>IFERROR(__xludf.DUMMYFUNCTION("IF($A236="""","""",IFERROR(INDEX(FILTER(Candidates!$S$2:$S$2000,Candidates!$A$2:$A$2000=$A236),COUNTIF(Candidates!$A$2:$A$2000,$A236)),""""))"),"")</f>
        <v/>
      </c>
      <c r="W236" s="64" t="str">
        <f>IFERROR(__xludf.DUMMYFUNCTION("IF($A236="""","""",IFERROR(INDEX(FILTER(Candidates!$T$2:$T$2000,Candidates!$A$2:$A$2000=$A236),COUNTIF(Candidates!$A$2:$A$2000,$A236)),""""))"),"")</f>
        <v/>
      </c>
      <c r="X236" s="64"/>
      <c r="Y236" s="64"/>
      <c r="Z236" s="65"/>
      <c r="AA236" s="65"/>
      <c r="AB236" s="65"/>
      <c r="AC236" s="65"/>
    </row>
    <row r="237">
      <c r="A237" s="64"/>
      <c r="B237" s="64"/>
      <c r="C237" s="64"/>
      <c r="D237" s="64"/>
      <c r="E237" s="64"/>
      <c r="F237" s="64"/>
      <c r="G237" s="64"/>
      <c r="H237" s="63"/>
      <c r="I237" s="64"/>
      <c r="J237" s="64"/>
      <c r="K237" s="64"/>
      <c r="L237" s="64"/>
      <c r="M237" s="64"/>
      <c r="N237" s="64"/>
      <c r="O237" s="64"/>
      <c r="P237" s="64"/>
      <c r="Q237" s="64"/>
      <c r="R237" s="65" t="str">
        <f>IF($A237="","",IFERROR(MINIFS(Candidates!$K$2:$K$2000,Candidates!$A$2:$A$2000,$A237),""))</f>
        <v/>
      </c>
      <c r="S237" s="65" t="str">
        <f>IF($A237="","",IFERROR(MAXIFS(Candidates!$AA$2:$AA$2000,Candidates!$A$2:$A$2000,$A237),""))</f>
        <v/>
      </c>
      <c r="T237" s="64" t="str">
        <f>IFERROR(__xludf.DUMMYFUNCTION("IF($A237="""","""",IFERROR(TEXTJOIN("", "",TRUE,UNIQUE(FILTER(Candidates!$B$2:$B$2000,Candidates!$A$2:$A$2000=$A237))),""""))"),"")</f>
        <v/>
      </c>
      <c r="U237" s="66" t="str">
        <f>IF($A237="","",COUNTIF(Candidates!$A$2:$A$2000,$A237))</f>
        <v/>
      </c>
      <c r="V237" s="64" t="str">
        <f>IFERROR(__xludf.DUMMYFUNCTION("IF($A237="""","""",IFERROR(INDEX(FILTER(Candidates!$S$2:$S$2000,Candidates!$A$2:$A$2000=$A237),COUNTIF(Candidates!$A$2:$A$2000,$A237)),""""))"),"")</f>
        <v/>
      </c>
      <c r="W237" s="64" t="str">
        <f>IFERROR(__xludf.DUMMYFUNCTION("IF($A237="""","""",IFERROR(INDEX(FILTER(Candidates!$T$2:$T$2000,Candidates!$A$2:$A$2000=$A237),COUNTIF(Candidates!$A$2:$A$2000,$A237)),""""))"),"")</f>
        <v/>
      </c>
      <c r="X237" s="64"/>
      <c r="Y237" s="64"/>
      <c r="Z237" s="65"/>
      <c r="AA237" s="65"/>
      <c r="AB237" s="65"/>
      <c r="AC237" s="65"/>
    </row>
    <row r="238">
      <c r="A238" s="64"/>
      <c r="B238" s="64"/>
      <c r="C238" s="64"/>
      <c r="D238" s="64"/>
      <c r="E238" s="64"/>
      <c r="F238" s="64"/>
      <c r="G238" s="64"/>
      <c r="H238" s="63"/>
      <c r="I238" s="64"/>
      <c r="J238" s="64"/>
      <c r="K238" s="64"/>
      <c r="L238" s="64"/>
      <c r="M238" s="64"/>
      <c r="N238" s="64"/>
      <c r="O238" s="64"/>
      <c r="P238" s="64"/>
      <c r="Q238" s="64"/>
      <c r="R238" s="65" t="str">
        <f>IF($A238="","",IFERROR(MINIFS(Candidates!$K$2:$K$2000,Candidates!$A$2:$A$2000,$A238),""))</f>
        <v/>
      </c>
      <c r="S238" s="65" t="str">
        <f>IF($A238="","",IFERROR(MAXIFS(Candidates!$AA$2:$AA$2000,Candidates!$A$2:$A$2000,$A238),""))</f>
        <v/>
      </c>
      <c r="T238" s="64" t="str">
        <f>IFERROR(__xludf.DUMMYFUNCTION("IF($A238="""","""",IFERROR(TEXTJOIN("", "",TRUE,UNIQUE(FILTER(Candidates!$B$2:$B$2000,Candidates!$A$2:$A$2000=$A238))),""""))"),"")</f>
        <v/>
      </c>
      <c r="U238" s="66" t="str">
        <f>IF($A238="","",COUNTIF(Candidates!$A$2:$A$2000,$A238))</f>
        <v/>
      </c>
      <c r="V238" s="64" t="str">
        <f>IFERROR(__xludf.DUMMYFUNCTION("IF($A238="""","""",IFERROR(INDEX(FILTER(Candidates!$S$2:$S$2000,Candidates!$A$2:$A$2000=$A238),COUNTIF(Candidates!$A$2:$A$2000,$A238)),""""))"),"")</f>
        <v/>
      </c>
      <c r="W238" s="64" t="str">
        <f>IFERROR(__xludf.DUMMYFUNCTION("IF($A238="""","""",IFERROR(INDEX(FILTER(Candidates!$T$2:$T$2000,Candidates!$A$2:$A$2000=$A238),COUNTIF(Candidates!$A$2:$A$2000,$A238)),""""))"),"")</f>
        <v/>
      </c>
      <c r="X238" s="64"/>
      <c r="Y238" s="64"/>
      <c r="Z238" s="65"/>
      <c r="AA238" s="65"/>
      <c r="AB238" s="65"/>
      <c r="AC238" s="65"/>
    </row>
    <row r="239">
      <c r="A239" s="64"/>
      <c r="B239" s="64"/>
      <c r="C239" s="64"/>
      <c r="D239" s="64"/>
      <c r="E239" s="64"/>
      <c r="F239" s="64"/>
      <c r="G239" s="64"/>
      <c r="H239" s="63"/>
      <c r="I239" s="64"/>
      <c r="J239" s="64"/>
      <c r="K239" s="64"/>
      <c r="L239" s="64"/>
      <c r="M239" s="64"/>
      <c r="N239" s="64"/>
      <c r="O239" s="64"/>
      <c r="P239" s="64"/>
      <c r="Q239" s="64"/>
      <c r="R239" s="65" t="str">
        <f>IF($A239="","",IFERROR(MINIFS(Candidates!$K$2:$K$2000,Candidates!$A$2:$A$2000,$A239),""))</f>
        <v/>
      </c>
      <c r="S239" s="65" t="str">
        <f>IF($A239="","",IFERROR(MAXIFS(Candidates!$AA$2:$AA$2000,Candidates!$A$2:$A$2000,$A239),""))</f>
        <v/>
      </c>
      <c r="T239" s="64" t="str">
        <f>IFERROR(__xludf.DUMMYFUNCTION("IF($A239="""","""",IFERROR(TEXTJOIN("", "",TRUE,UNIQUE(FILTER(Candidates!$B$2:$B$2000,Candidates!$A$2:$A$2000=$A239))),""""))"),"")</f>
        <v/>
      </c>
      <c r="U239" s="66" t="str">
        <f>IF($A239="","",COUNTIF(Candidates!$A$2:$A$2000,$A239))</f>
        <v/>
      </c>
      <c r="V239" s="64" t="str">
        <f>IFERROR(__xludf.DUMMYFUNCTION("IF($A239="""","""",IFERROR(INDEX(FILTER(Candidates!$S$2:$S$2000,Candidates!$A$2:$A$2000=$A239),COUNTIF(Candidates!$A$2:$A$2000,$A239)),""""))"),"")</f>
        <v/>
      </c>
      <c r="W239" s="64" t="str">
        <f>IFERROR(__xludf.DUMMYFUNCTION("IF($A239="""","""",IFERROR(INDEX(FILTER(Candidates!$T$2:$T$2000,Candidates!$A$2:$A$2000=$A239),COUNTIF(Candidates!$A$2:$A$2000,$A239)),""""))"),"")</f>
        <v/>
      </c>
      <c r="X239" s="64"/>
      <c r="Y239" s="64"/>
      <c r="Z239" s="65"/>
      <c r="AA239" s="65"/>
      <c r="AB239" s="65"/>
      <c r="AC239" s="65"/>
    </row>
    <row r="240">
      <c r="A240" s="64"/>
      <c r="B240" s="64"/>
      <c r="C240" s="64"/>
      <c r="D240" s="64"/>
      <c r="E240" s="64"/>
      <c r="F240" s="64"/>
      <c r="G240" s="64"/>
      <c r="H240" s="63"/>
      <c r="I240" s="64"/>
      <c r="J240" s="64"/>
      <c r="K240" s="64"/>
      <c r="L240" s="64"/>
      <c r="M240" s="64"/>
      <c r="N240" s="64"/>
      <c r="O240" s="64"/>
      <c r="P240" s="64"/>
      <c r="Q240" s="64"/>
      <c r="R240" s="65" t="str">
        <f>IF($A240="","",IFERROR(MINIFS(Candidates!$K$2:$K$2000,Candidates!$A$2:$A$2000,$A240),""))</f>
        <v/>
      </c>
      <c r="S240" s="65" t="str">
        <f>IF($A240="","",IFERROR(MAXIFS(Candidates!$AA$2:$AA$2000,Candidates!$A$2:$A$2000,$A240),""))</f>
        <v/>
      </c>
      <c r="T240" s="64" t="str">
        <f>IFERROR(__xludf.DUMMYFUNCTION("IF($A240="""","""",IFERROR(TEXTJOIN("", "",TRUE,UNIQUE(FILTER(Candidates!$B$2:$B$2000,Candidates!$A$2:$A$2000=$A240))),""""))"),"")</f>
        <v/>
      </c>
      <c r="U240" s="66" t="str">
        <f>IF($A240="","",COUNTIF(Candidates!$A$2:$A$2000,$A240))</f>
        <v/>
      </c>
      <c r="V240" s="64" t="str">
        <f>IFERROR(__xludf.DUMMYFUNCTION("IF($A240="""","""",IFERROR(INDEX(FILTER(Candidates!$S$2:$S$2000,Candidates!$A$2:$A$2000=$A240),COUNTIF(Candidates!$A$2:$A$2000,$A240)),""""))"),"")</f>
        <v/>
      </c>
      <c r="W240" s="64" t="str">
        <f>IFERROR(__xludf.DUMMYFUNCTION("IF($A240="""","""",IFERROR(INDEX(FILTER(Candidates!$T$2:$T$2000,Candidates!$A$2:$A$2000=$A240),COUNTIF(Candidates!$A$2:$A$2000,$A240)),""""))"),"")</f>
        <v/>
      </c>
      <c r="X240" s="64"/>
      <c r="Y240" s="64"/>
      <c r="Z240" s="65"/>
      <c r="AA240" s="65"/>
      <c r="AB240" s="65"/>
      <c r="AC240" s="65"/>
    </row>
    <row r="241">
      <c r="A241" s="64"/>
      <c r="B241" s="64"/>
      <c r="C241" s="64"/>
      <c r="D241" s="64"/>
      <c r="E241" s="64"/>
      <c r="F241" s="64"/>
      <c r="G241" s="64"/>
      <c r="H241" s="63"/>
      <c r="I241" s="64"/>
      <c r="J241" s="64"/>
      <c r="K241" s="64"/>
      <c r="L241" s="64"/>
      <c r="M241" s="64"/>
      <c r="N241" s="64"/>
      <c r="O241" s="64"/>
      <c r="P241" s="64"/>
      <c r="Q241" s="64"/>
      <c r="R241" s="65" t="str">
        <f>IF($A241="","",IFERROR(MINIFS(Candidates!$K$2:$K$2000,Candidates!$A$2:$A$2000,$A241),""))</f>
        <v/>
      </c>
      <c r="S241" s="65" t="str">
        <f>IF($A241="","",IFERROR(MAXIFS(Candidates!$AA$2:$AA$2000,Candidates!$A$2:$A$2000,$A241),""))</f>
        <v/>
      </c>
      <c r="T241" s="64" t="str">
        <f>IFERROR(__xludf.DUMMYFUNCTION("IF($A241="""","""",IFERROR(TEXTJOIN("", "",TRUE,UNIQUE(FILTER(Candidates!$B$2:$B$2000,Candidates!$A$2:$A$2000=$A241))),""""))"),"")</f>
        <v/>
      </c>
      <c r="U241" s="66" t="str">
        <f>IF($A241="","",COUNTIF(Candidates!$A$2:$A$2000,$A241))</f>
        <v/>
      </c>
      <c r="V241" s="64" t="str">
        <f>IFERROR(__xludf.DUMMYFUNCTION("IF($A241="""","""",IFERROR(INDEX(FILTER(Candidates!$S$2:$S$2000,Candidates!$A$2:$A$2000=$A241),COUNTIF(Candidates!$A$2:$A$2000,$A241)),""""))"),"")</f>
        <v/>
      </c>
      <c r="W241" s="64" t="str">
        <f>IFERROR(__xludf.DUMMYFUNCTION("IF($A241="""","""",IFERROR(INDEX(FILTER(Candidates!$T$2:$T$2000,Candidates!$A$2:$A$2000=$A241),COUNTIF(Candidates!$A$2:$A$2000,$A241)),""""))"),"")</f>
        <v/>
      </c>
      <c r="X241" s="64"/>
      <c r="Y241" s="64"/>
      <c r="Z241" s="65"/>
      <c r="AA241" s="65"/>
      <c r="AB241" s="65"/>
      <c r="AC241" s="65"/>
    </row>
    <row r="242">
      <c r="A242" s="64"/>
      <c r="B242" s="64"/>
      <c r="C242" s="64"/>
      <c r="D242" s="64"/>
      <c r="E242" s="64"/>
      <c r="F242" s="64"/>
      <c r="G242" s="64"/>
      <c r="H242" s="63"/>
      <c r="I242" s="64"/>
      <c r="J242" s="64"/>
      <c r="K242" s="64"/>
      <c r="L242" s="64"/>
      <c r="M242" s="64"/>
      <c r="N242" s="64"/>
      <c r="O242" s="64"/>
      <c r="P242" s="64"/>
      <c r="Q242" s="64"/>
      <c r="R242" s="65" t="str">
        <f>IF($A242="","",IFERROR(MINIFS(Candidates!$K$2:$K$2000,Candidates!$A$2:$A$2000,$A242),""))</f>
        <v/>
      </c>
      <c r="S242" s="65" t="str">
        <f>IF($A242="","",IFERROR(MAXIFS(Candidates!$AA$2:$AA$2000,Candidates!$A$2:$A$2000,$A242),""))</f>
        <v/>
      </c>
      <c r="T242" s="64" t="str">
        <f>IFERROR(__xludf.DUMMYFUNCTION("IF($A242="""","""",IFERROR(TEXTJOIN("", "",TRUE,UNIQUE(FILTER(Candidates!$B$2:$B$2000,Candidates!$A$2:$A$2000=$A242))),""""))"),"")</f>
        <v/>
      </c>
      <c r="U242" s="66" t="str">
        <f>IF($A242="","",COUNTIF(Candidates!$A$2:$A$2000,$A242))</f>
        <v/>
      </c>
      <c r="V242" s="64" t="str">
        <f>IFERROR(__xludf.DUMMYFUNCTION("IF($A242="""","""",IFERROR(INDEX(FILTER(Candidates!$S$2:$S$2000,Candidates!$A$2:$A$2000=$A242),COUNTIF(Candidates!$A$2:$A$2000,$A242)),""""))"),"")</f>
        <v/>
      </c>
      <c r="W242" s="64" t="str">
        <f>IFERROR(__xludf.DUMMYFUNCTION("IF($A242="""","""",IFERROR(INDEX(FILTER(Candidates!$T$2:$T$2000,Candidates!$A$2:$A$2000=$A242),COUNTIF(Candidates!$A$2:$A$2000,$A242)),""""))"),"")</f>
        <v/>
      </c>
      <c r="X242" s="64"/>
      <c r="Y242" s="64"/>
      <c r="Z242" s="65"/>
      <c r="AA242" s="65"/>
      <c r="AB242" s="65"/>
      <c r="AC242" s="65"/>
    </row>
    <row r="243">
      <c r="A243" s="64"/>
      <c r="B243" s="64"/>
      <c r="C243" s="64"/>
      <c r="D243" s="64"/>
      <c r="E243" s="64"/>
      <c r="F243" s="64"/>
      <c r="G243" s="64"/>
      <c r="H243" s="63"/>
      <c r="I243" s="64"/>
      <c r="J243" s="64"/>
      <c r="K243" s="64"/>
      <c r="L243" s="64"/>
      <c r="M243" s="64"/>
      <c r="N243" s="64"/>
      <c r="O243" s="64"/>
      <c r="P243" s="64"/>
      <c r="Q243" s="64"/>
      <c r="R243" s="65" t="str">
        <f>IF($A243="","",IFERROR(MINIFS(Candidates!$K$2:$K$2000,Candidates!$A$2:$A$2000,$A243),""))</f>
        <v/>
      </c>
      <c r="S243" s="65" t="str">
        <f>IF($A243="","",IFERROR(MAXIFS(Candidates!$AA$2:$AA$2000,Candidates!$A$2:$A$2000,$A243),""))</f>
        <v/>
      </c>
      <c r="T243" s="64" t="str">
        <f>IFERROR(__xludf.DUMMYFUNCTION("IF($A243="""","""",IFERROR(TEXTJOIN("", "",TRUE,UNIQUE(FILTER(Candidates!$B$2:$B$2000,Candidates!$A$2:$A$2000=$A243))),""""))"),"")</f>
        <v/>
      </c>
      <c r="U243" s="66" t="str">
        <f>IF($A243="","",COUNTIF(Candidates!$A$2:$A$2000,$A243))</f>
        <v/>
      </c>
      <c r="V243" s="64" t="str">
        <f>IFERROR(__xludf.DUMMYFUNCTION("IF($A243="""","""",IFERROR(INDEX(FILTER(Candidates!$S$2:$S$2000,Candidates!$A$2:$A$2000=$A243),COUNTIF(Candidates!$A$2:$A$2000,$A243)),""""))"),"")</f>
        <v/>
      </c>
      <c r="W243" s="64" t="str">
        <f>IFERROR(__xludf.DUMMYFUNCTION("IF($A243="""","""",IFERROR(INDEX(FILTER(Candidates!$T$2:$T$2000,Candidates!$A$2:$A$2000=$A243),COUNTIF(Candidates!$A$2:$A$2000,$A243)),""""))"),"")</f>
        <v/>
      </c>
      <c r="X243" s="64"/>
      <c r="Y243" s="64"/>
      <c r="Z243" s="65"/>
      <c r="AA243" s="65"/>
      <c r="AB243" s="65"/>
      <c r="AC243" s="65"/>
    </row>
    <row r="244">
      <c r="A244" s="64"/>
      <c r="B244" s="64"/>
      <c r="C244" s="64"/>
      <c r="D244" s="64"/>
      <c r="E244" s="64"/>
      <c r="F244" s="64"/>
      <c r="G244" s="64"/>
      <c r="H244" s="63"/>
      <c r="I244" s="64"/>
      <c r="J244" s="64"/>
      <c r="K244" s="64"/>
      <c r="L244" s="64"/>
      <c r="M244" s="64"/>
      <c r="N244" s="64"/>
      <c r="O244" s="64"/>
      <c r="P244" s="64"/>
      <c r="Q244" s="64"/>
      <c r="R244" s="65" t="str">
        <f>IF($A244="","",IFERROR(MINIFS(Candidates!$K$2:$K$2000,Candidates!$A$2:$A$2000,$A244),""))</f>
        <v/>
      </c>
      <c r="S244" s="65" t="str">
        <f>IF($A244="","",IFERROR(MAXIFS(Candidates!$AA$2:$AA$2000,Candidates!$A$2:$A$2000,$A244),""))</f>
        <v/>
      </c>
      <c r="T244" s="64" t="str">
        <f>IFERROR(__xludf.DUMMYFUNCTION("IF($A244="""","""",IFERROR(TEXTJOIN("", "",TRUE,UNIQUE(FILTER(Candidates!$B$2:$B$2000,Candidates!$A$2:$A$2000=$A244))),""""))"),"")</f>
        <v/>
      </c>
      <c r="U244" s="66" t="str">
        <f>IF($A244="","",COUNTIF(Candidates!$A$2:$A$2000,$A244))</f>
        <v/>
      </c>
      <c r="V244" s="64" t="str">
        <f>IFERROR(__xludf.DUMMYFUNCTION("IF($A244="""","""",IFERROR(INDEX(FILTER(Candidates!$S$2:$S$2000,Candidates!$A$2:$A$2000=$A244),COUNTIF(Candidates!$A$2:$A$2000,$A244)),""""))"),"")</f>
        <v/>
      </c>
      <c r="W244" s="64" t="str">
        <f>IFERROR(__xludf.DUMMYFUNCTION("IF($A244="""","""",IFERROR(INDEX(FILTER(Candidates!$T$2:$T$2000,Candidates!$A$2:$A$2000=$A244),COUNTIF(Candidates!$A$2:$A$2000,$A244)),""""))"),"")</f>
        <v/>
      </c>
      <c r="X244" s="64"/>
      <c r="Y244" s="64"/>
      <c r="Z244" s="65"/>
      <c r="AA244" s="65"/>
      <c r="AB244" s="65"/>
      <c r="AC244" s="65"/>
    </row>
    <row r="245">
      <c r="A245" s="64"/>
      <c r="B245" s="64"/>
      <c r="C245" s="64"/>
      <c r="D245" s="64"/>
      <c r="E245" s="64"/>
      <c r="F245" s="64"/>
      <c r="G245" s="64"/>
      <c r="H245" s="63"/>
      <c r="I245" s="64"/>
      <c r="J245" s="64"/>
      <c r="K245" s="64"/>
      <c r="L245" s="64"/>
      <c r="M245" s="64"/>
      <c r="N245" s="64"/>
      <c r="O245" s="64"/>
      <c r="P245" s="64"/>
      <c r="Q245" s="64"/>
      <c r="R245" s="65" t="str">
        <f>IF($A245="","",IFERROR(MINIFS(Candidates!$K$2:$K$2000,Candidates!$A$2:$A$2000,$A245),""))</f>
        <v/>
      </c>
      <c r="S245" s="65" t="str">
        <f>IF($A245="","",IFERROR(MAXIFS(Candidates!$AA$2:$AA$2000,Candidates!$A$2:$A$2000,$A245),""))</f>
        <v/>
      </c>
      <c r="T245" s="64" t="str">
        <f>IFERROR(__xludf.DUMMYFUNCTION("IF($A245="""","""",IFERROR(TEXTJOIN("", "",TRUE,UNIQUE(FILTER(Candidates!$B$2:$B$2000,Candidates!$A$2:$A$2000=$A245))),""""))"),"")</f>
        <v/>
      </c>
      <c r="U245" s="66" t="str">
        <f>IF($A245="","",COUNTIF(Candidates!$A$2:$A$2000,$A245))</f>
        <v/>
      </c>
      <c r="V245" s="64" t="str">
        <f>IFERROR(__xludf.DUMMYFUNCTION("IF($A245="""","""",IFERROR(INDEX(FILTER(Candidates!$S$2:$S$2000,Candidates!$A$2:$A$2000=$A245),COUNTIF(Candidates!$A$2:$A$2000,$A245)),""""))"),"")</f>
        <v/>
      </c>
      <c r="W245" s="64" t="str">
        <f>IFERROR(__xludf.DUMMYFUNCTION("IF($A245="""","""",IFERROR(INDEX(FILTER(Candidates!$T$2:$T$2000,Candidates!$A$2:$A$2000=$A245),COUNTIF(Candidates!$A$2:$A$2000,$A245)),""""))"),"")</f>
        <v/>
      </c>
      <c r="X245" s="64"/>
      <c r="Y245" s="64"/>
      <c r="Z245" s="65"/>
      <c r="AA245" s="65"/>
      <c r="AB245" s="65"/>
      <c r="AC245" s="65"/>
    </row>
    <row r="246">
      <c r="A246" s="64"/>
      <c r="B246" s="64"/>
      <c r="C246" s="64"/>
      <c r="D246" s="64"/>
      <c r="E246" s="64"/>
      <c r="F246" s="64"/>
      <c r="G246" s="64"/>
      <c r="H246" s="63"/>
      <c r="I246" s="64"/>
      <c r="J246" s="64"/>
      <c r="K246" s="64"/>
      <c r="L246" s="64"/>
      <c r="M246" s="64"/>
      <c r="N246" s="64"/>
      <c r="O246" s="64"/>
      <c r="P246" s="64"/>
      <c r="Q246" s="64"/>
      <c r="R246" s="65" t="str">
        <f>IF($A246="","",IFERROR(MINIFS(Candidates!$K$2:$K$2000,Candidates!$A$2:$A$2000,$A246),""))</f>
        <v/>
      </c>
      <c r="S246" s="65" t="str">
        <f>IF($A246="","",IFERROR(MAXIFS(Candidates!$AA$2:$AA$2000,Candidates!$A$2:$A$2000,$A246),""))</f>
        <v/>
      </c>
      <c r="T246" s="64" t="str">
        <f>IFERROR(__xludf.DUMMYFUNCTION("IF($A246="""","""",IFERROR(TEXTJOIN("", "",TRUE,UNIQUE(FILTER(Candidates!$B$2:$B$2000,Candidates!$A$2:$A$2000=$A246))),""""))"),"")</f>
        <v/>
      </c>
      <c r="U246" s="66" t="str">
        <f>IF($A246="","",COUNTIF(Candidates!$A$2:$A$2000,$A246))</f>
        <v/>
      </c>
      <c r="V246" s="64" t="str">
        <f>IFERROR(__xludf.DUMMYFUNCTION("IF($A246="""","""",IFERROR(INDEX(FILTER(Candidates!$S$2:$S$2000,Candidates!$A$2:$A$2000=$A246),COUNTIF(Candidates!$A$2:$A$2000,$A246)),""""))"),"")</f>
        <v/>
      </c>
      <c r="W246" s="64" t="str">
        <f>IFERROR(__xludf.DUMMYFUNCTION("IF($A246="""","""",IFERROR(INDEX(FILTER(Candidates!$T$2:$T$2000,Candidates!$A$2:$A$2000=$A246),COUNTIF(Candidates!$A$2:$A$2000,$A246)),""""))"),"")</f>
        <v/>
      </c>
      <c r="X246" s="64"/>
      <c r="Y246" s="64"/>
      <c r="Z246" s="65"/>
      <c r="AA246" s="65"/>
      <c r="AB246" s="65"/>
      <c r="AC246" s="65"/>
    </row>
    <row r="247">
      <c r="A247" s="64"/>
      <c r="B247" s="64"/>
      <c r="C247" s="64"/>
      <c r="D247" s="64"/>
      <c r="E247" s="64"/>
      <c r="F247" s="64"/>
      <c r="G247" s="64"/>
      <c r="H247" s="63"/>
      <c r="I247" s="64"/>
      <c r="J247" s="64"/>
      <c r="K247" s="64"/>
      <c r="L247" s="64"/>
      <c r="M247" s="64"/>
      <c r="N247" s="64"/>
      <c r="O247" s="64"/>
      <c r="P247" s="64"/>
      <c r="Q247" s="64"/>
      <c r="R247" s="65" t="str">
        <f>IF($A247="","",IFERROR(MINIFS(Candidates!$K$2:$K$2000,Candidates!$A$2:$A$2000,$A247),""))</f>
        <v/>
      </c>
      <c r="S247" s="65" t="str">
        <f>IF($A247="","",IFERROR(MAXIFS(Candidates!$AA$2:$AA$2000,Candidates!$A$2:$A$2000,$A247),""))</f>
        <v/>
      </c>
      <c r="T247" s="64" t="str">
        <f>IFERROR(__xludf.DUMMYFUNCTION("IF($A247="""","""",IFERROR(TEXTJOIN("", "",TRUE,UNIQUE(FILTER(Candidates!$B$2:$B$2000,Candidates!$A$2:$A$2000=$A247))),""""))"),"")</f>
        <v/>
      </c>
      <c r="U247" s="66" t="str">
        <f>IF($A247="","",COUNTIF(Candidates!$A$2:$A$2000,$A247))</f>
        <v/>
      </c>
      <c r="V247" s="64" t="str">
        <f>IFERROR(__xludf.DUMMYFUNCTION("IF($A247="""","""",IFERROR(INDEX(FILTER(Candidates!$S$2:$S$2000,Candidates!$A$2:$A$2000=$A247),COUNTIF(Candidates!$A$2:$A$2000,$A247)),""""))"),"")</f>
        <v/>
      </c>
      <c r="W247" s="64" t="str">
        <f>IFERROR(__xludf.DUMMYFUNCTION("IF($A247="""","""",IFERROR(INDEX(FILTER(Candidates!$T$2:$T$2000,Candidates!$A$2:$A$2000=$A247),COUNTIF(Candidates!$A$2:$A$2000,$A247)),""""))"),"")</f>
        <v/>
      </c>
      <c r="X247" s="64"/>
      <c r="Y247" s="64"/>
      <c r="Z247" s="65"/>
      <c r="AA247" s="65"/>
      <c r="AB247" s="65"/>
      <c r="AC247" s="65"/>
    </row>
    <row r="248">
      <c r="A248" s="64"/>
      <c r="B248" s="64"/>
      <c r="C248" s="64"/>
      <c r="D248" s="64"/>
      <c r="E248" s="64"/>
      <c r="F248" s="64"/>
      <c r="G248" s="64"/>
      <c r="H248" s="63"/>
      <c r="I248" s="64"/>
      <c r="J248" s="64"/>
      <c r="K248" s="64"/>
      <c r="L248" s="64"/>
      <c r="M248" s="64"/>
      <c r="N248" s="64"/>
      <c r="O248" s="64"/>
      <c r="P248" s="64"/>
      <c r="Q248" s="64"/>
      <c r="R248" s="65" t="str">
        <f>IF($A248="","",IFERROR(MINIFS(Candidates!$K$2:$K$2000,Candidates!$A$2:$A$2000,$A248),""))</f>
        <v/>
      </c>
      <c r="S248" s="65" t="str">
        <f>IF($A248="","",IFERROR(MAXIFS(Candidates!$AA$2:$AA$2000,Candidates!$A$2:$A$2000,$A248),""))</f>
        <v/>
      </c>
      <c r="T248" s="64" t="str">
        <f>IFERROR(__xludf.DUMMYFUNCTION("IF($A248="""","""",IFERROR(TEXTJOIN("", "",TRUE,UNIQUE(FILTER(Candidates!$B$2:$B$2000,Candidates!$A$2:$A$2000=$A248))),""""))"),"")</f>
        <v/>
      </c>
      <c r="U248" s="66" t="str">
        <f>IF($A248="","",COUNTIF(Candidates!$A$2:$A$2000,$A248))</f>
        <v/>
      </c>
      <c r="V248" s="64" t="str">
        <f>IFERROR(__xludf.DUMMYFUNCTION("IF($A248="""","""",IFERROR(INDEX(FILTER(Candidates!$S$2:$S$2000,Candidates!$A$2:$A$2000=$A248),COUNTIF(Candidates!$A$2:$A$2000,$A248)),""""))"),"")</f>
        <v/>
      </c>
      <c r="W248" s="64" t="str">
        <f>IFERROR(__xludf.DUMMYFUNCTION("IF($A248="""","""",IFERROR(INDEX(FILTER(Candidates!$T$2:$T$2000,Candidates!$A$2:$A$2000=$A248),COUNTIF(Candidates!$A$2:$A$2000,$A248)),""""))"),"")</f>
        <v/>
      </c>
      <c r="X248" s="64"/>
      <c r="Y248" s="64"/>
      <c r="Z248" s="65"/>
      <c r="AA248" s="65"/>
      <c r="AB248" s="65"/>
      <c r="AC248" s="65"/>
    </row>
    <row r="249">
      <c r="A249" s="64"/>
      <c r="B249" s="64"/>
      <c r="C249" s="64"/>
      <c r="D249" s="64"/>
      <c r="E249" s="64"/>
      <c r="F249" s="64"/>
      <c r="G249" s="64"/>
      <c r="H249" s="63"/>
      <c r="I249" s="64"/>
      <c r="J249" s="64"/>
      <c r="K249" s="64"/>
      <c r="L249" s="64"/>
      <c r="M249" s="64"/>
      <c r="N249" s="64"/>
      <c r="O249" s="64"/>
      <c r="P249" s="64"/>
      <c r="Q249" s="64"/>
      <c r="R249" s="65" t="str">
        <f>IF($A249="","",IFERROR(MINIFS(Candidates!$K$2:$K$2000,Candidates!$A$2:$A$2000,$A249),""))</f>
        <v/>
      </c>
      <c r="S249" s="65" t="str">
        <f>IF($A249="","",IFERROR(MAXIFS(Candidates!$AA$2:$AA$2000,Candidates!$A$2:$A$2000,$A249),""))</f>
        <v/>
      </c>
      <c r="T249" s="64" t="str">
        <f>IFERROR(__xludf.DUMMYFUNCTION("IF($A249="""","""",IFERROR(TEXTJOIN("", "",TRUE,UNIQUE(FILTER(Candidates!$B$2:$B$2000,Candidates!$A$2:$A$2000=$A249))),""""))"),"")</f>
        <v/>
      </c>
      <c r="U249" s="66" t="str">
        <f>IF($A249="","",COUNTIF(Candidates!$A$2:$A$2000,$A249))</f>
        <v/>
      </c>
      <c r="V249" s="64" t="str">
        <f>IFERROR(__xludf.DUMMYFUNCTION("IF($A249="""","""",IFERROR(INDEX(FILTER(Candidates!$S$2:$S$2000,Candidates!$A$2:$A$2000=$A249),COUNTIF(Candidates!$A$2:$A$2000,$A249)),""""))"),"")</f>
        <v/>
      </c>
      <c r="W249" s="64" t="str">
        <f>IFERROR(__xludf.DUMMYFUNCTION("IF($A249="""","""",IFERROR(INDEX(FILTER(Candidates!$T$2:$T$2000,Candidates!$A$2:$A$2000=$A249),COUNTIF(Candidates!$A$2:$A$2000,$A249)),""""))"),"")</f>
        <v/>
      </c>
      <c r="X249" s="64"/>
      <c r="Y249" s="64"/>
      <c r="Z249" s="65"/>
      <c r="AA249" s="65"/>
      <c r="AB249" s="65"/>
      <c r="AC249" s="65"/>
    </row>
    <row r="250">
      <c r="A250" s="64"/>
      <c r="B250" s="64"/>
      <c r="C250" s="64"/>
      <c r="D250" s="64"/>
      <c r="E250" s="64"/>
      <c r="F250" s="64"/>
      <c r="G250" s="64"/>
      <c r="H250" s="63"/>
      <c r="I250" s="64"/>
      <c r="J250" s="64"/>
      <c r="K250" s="64"/>
      <c r="L250" s="64"/>
      <c r="M250" s="64"/>
      <c r="N250" s="64"/>
      <c r="O250" s="64"/>
      <c r="P250" s="64"/>
      <c r="Q250" s="64"/>
      <c r="R250" s="65" t="str">
        <f>IF($A250="","",IFERROR(MINIFS(Candidates!$K$2:$K$2000,Candidates!$A$2:$A$2000,$A250),""))</f>
        <v/>
      </c>
      <c r="S250" s="65" t="str">
        <f>IF($A250="","",IFERROR(MAXIFS(Candidates!$AA$2:$AA$2000,Candidates!$A$2:$A$2000,$A250),""))</f>
        <v/>
      </c>
      <c r="T250" s="64" t="str">
        <f>IFERROR(__xludf.DUMMYFUNCTION("IF($A250="""","""",IFERROR(TEXTJOIN("", "",TRUE,UNIQUE(FILTER(Candidates!$B$2:$B$2000,Candidates!$A$2:$A$2000=$A250))),""""))"),"")</f>
        <v/>
      </c>
      <c r="U250" s="66" t="str">
        <f>IF($A250="","",COUNTIF(Candidates!$A$2:$A$2000,$A250))</f>
        <v/>
      </c>
      <c r="V250" s="64" t="str">
        <f>IFERROR(__xludf.DUMMYFUNCTION("IF($A250="""","""",IFERROR(INDEX(FILTER(Candidates!$S$2:$S$2000,Candidates!$A$2:$A$2000=$A250),COUNTIF(Candidates!$A$2:$A$2000,$A250)),""""))"),"")</f>
        <v/>
      </c>
      <c r="W250" s="64" t="str">
        <f>IFERROR(__xludf.DUMMYFUNCTION("IF($A250="""","""",IFERROR(INDEX(FILTER(Candidates!$T$2:$T$2000,Candidates!$A$2:$A$2000=$A250),COUNTIF(Candidates!$A$2:$A$2000,$A250)),""""))"),"")</f>
        <v/>
      </c>
      <c r="X250" s="64"/>
      <c r="Y250" s="64"/>
      <c r="Z250" s="65"/>
      <c r="AA250" s="65"/>
      <c r="AB250" s="65"/>
      <c r="AC250" s="65"/>
    </row>
    <row r="251">
      <c r="A251" s="64"/>
      <c r="B251" s="64"/>
      <c r="C251" s="64"/>
      <c r="D251" s="64"/>
      <c r="E251" s="64"/>
      <c r="F251" s="64"/>
      <c r="G251" s="64"/>
      <c r="H251" s="63"/>
      <c r="I251" s="64"/>
      <c r="J251" s="64"/>
      <c r="K251" s="64"/>
      <c r="L251" s="64"/>
      <c r="M251" s="64"/>
      <c r="N251" s="64"/>
      <c r="O251" s="64"/>
      <c r="P251" s="64"/>
      <c r="Q251" s="64"/>
      <c r="R251" s="65" t="str">
        <f>IF($A251="","",IFERROR(MINIFS(Candidates!$K$2:$K$2000,Candidates!$A$2:$A$2000,$A251),""))</f>
        <v/>
      </c>
      <c r="S251" s="65" t="str">
        <f>IF($A251="","",IFERROR(MAXIFS(Candidates!$AA$2:$AA$2000,Candidates!$A$2:$A$2000,$A251),""))</f>
        <v/>
      </c>
      <c r="T251" s="64" t="str">
        <f>IFERROR(__xludf.DUMMYFUNCTION("IF($A251="""","""",IFERROR(TEXTJOIN("", "",TRUE,UNIQUE(FILTER(Candidates!$B$2:$B$2000,Candidates!$A$2:$A$2000=$A251))),""""))"),"")</f>
        <v/>
      </c>
      <c r="U251" s="66" t="str">
        <f>IF($A251="","",COUNTIF(Candidates!$A$2:$A$2000,$A251))</f>
        <v/>
      </c>
      <c r="V251" s="64" t="str">
        <f>IFERROR(__xludf.DUMMYFUNCTION("IF($A251="""","""",IFERROR(INDEX(FILTER(Candidates!$S$2:$S$2000,Candidates!$A$2:$A$2000=$A251),COUNTIF(Candidates!$A$2:$A$2000,$A251)),""""))"),"")</f>
        <v/>
      </c>
      <c r="W251" s="64" t="str">
        <f>IFERROR(__xludf.DUMMYFUNCTION("IF($A251="""","""",IFERROR(INDEX(FILTER(Candidates!$T$2:$T$2000,Candidates!$A$2:$A$2000=$A251),COUNTIF(Candidates!$A$2:$A$2000,$A251)),""""))"),"")</f>
        <v/>
      </c>
      <c r="X251" s="64"/>
      <c r="Y251" s="64"/>
      <c r="Z251" s="65"/>
      <c r="AA251" s="65"/>
      <c r="AB251" s="65"/>
      <c r="AC251" s="65"/>
    </row>
    <row r="252">
      <c r="A252" s="64"/>
      <c r="B252" s="64"/>
      <c r="C252" s="64"/>
      <c r="D252" s="64"/>
      <c r="E252" s="64"/>
      <c r="F252" s="64"/>
      <c r="G252" s="64"/>
      <c r="H252" s="63"/>
      <c r="I252" s="64"/>
      <c r="J252" s="64"/>
      <c r="K252" s="64"/>
      <c r="L252" s="64"/>
      <c r="M252" s="64"/>
      <c r="N252" s="64"/>
      <c r="O252" s="64"/>
      <c r="P252" s="64"/>
      <c r="Q252" s="64"/>
      <c r="R252" s="65" t="str">
        <f>IF($A252="","",IFERROR(MINIFS(Candidates!$K$2:$K$2000,Candidates!$A$2:$A$2000,$A252),""))</f>
        <v/>
      </c>
      <c r="S252" s="65" t="str">
        <f>IF($A252="","",IFERROR(MAXIFS(Candidates!$AA$2:$AA$2000,Candidates!$A$2:$A$2000,$A252),""))</f>
        <v/>
      </c>
      <c r="T252" s="64" t="str">
        <f>IFERROR(__xludf.DUMMYFUNCTION("IF($A252="""","""",IFERROR(TEXTJOIN("", "",TRUE,UNIQUE(FILTER(Candidates!$B$2:$B$2000,Candidates!$A$2:$A$2000=$A252))),""""))"),"")</f>
        <v/>
      </c>
      <c r="U252" s="66" t="str">
        <f>IF($A252="","",COUNTIF(Candidates!$A$2:$A$2000,$A252))</f>
        <v/>
      </c>
      <c r="V252" s="64" t="str">
        <f>IFERROR(__xludf.DUMMYFUNCTION("IF($A252="""","""",IFERROR(INDEX(FILTER(Candidates!$S$2:$S$2000,Candidates!$A$2:$A$2000=$A252),COUNTIF(Candidates!$A$2:$A$2000,$A252)),""""))"),"")</f>
        <v/>
      </c>
      <c r="W252" s="64" t="str">
        <f>IFERROR(__xludf.DUMMYFUNCTION("IF($A252="""","""",IFERROR(INDEX(FILTER(Candidates!$T$2:$T$2000,Candidates!$A$2:$A$2000=$A252),COUNTIF(Candidates!$A$2:$A$2000,$A252)),""""))"),"")</f>
        <v/>
      </c>
      <c r="X252" s="64"/>
      <c r="Y252" s="64"/>
      <c r="Z252" s="65"/>
      <c r="AA252" s="65"/>
      <c r="AB252" s="65"/>
      <c r="AC252" s="65"/>
    </row>
    <row r="253">
      <c r="A253" s="64"/>
      <c r="B253" s="64"/>
      <c r="C253" s="64"/>
      <c r="D253" s="64"/>
      <c r="E253" s="64"/>
      <c r="F253" s="64"/>
      <c r="G253" s="64"/>
      <c r="H253" s="63"/>
      <c r="I253" s="64"/>
      <c r="J253" s="64"/>
      <c r="K253" s="64"/>
      <c r="L253" s="64"/>
      <c r="M253" s="64"/>
      <c r="N253" s="64"/>
      <c r="O253" s="64"/>
      <c r="P253" s="64"/>
      <c r="Q253" s="64"/>
      <c r="R253" s="65" t="str">
        <f>IF($A253="","",IFERROR(MINIFS(Candidates!$K$2:$K$2000,Candidates!$A$2:$A$2000,$A253),""))</f>
        <v/>
      </c>
      <c r="S253" s="65" t="str">
        <f>IF($A253="","",IFERROR(MAXIFS(Candidates!$AA$2:$AA$2000,Candidates!$A$2:$A$2000,$A253),""))</f>
        <v/>
      </c>
      <c r="T253" s="64" t="str">
        <f>IFERROR(__xludf.DUMMYFUNCTION("IF($A253="""","""",IFERROR(TEXTJOIN("", "",TRUE,UNIQUE(FILTER(Candidates!$B$2:$B$2000,Candidates!$A$2:$A$2000=$A253))),""""))"),"")</f>
        <v/>
      </c>
      <c r="U253" s="66" t="str">
        <f>IF($A253="","",COUNTIF(Candidates!$A$2:$A$2000,$A253))</f>
        <v/>
      </c>
      <c r="V253" s="64" t="str">
        <f>IFERROR(__xludf.DUMMYFUNCTION("IF($A253="""","""",IFERROR(INDEX(FILTER(Candidates!$S$2:$S$2000,Candidates!$A$2:$A$2000=$A253),COUNTIF(Candidates!$A$2:$A$2000,$A253)),""""))"),"")</f>
        <v/>
      </c>
      <c r="W253" s="64" t="str">
        <f>IFERROR(__xludf.DUMMYFUNCTION("IF($A253="""","""",IFERROR(INDEX(FILTER(Candidates!$T$2:$T$2000,Candidates!$A$2:$A$2000=$A253),COUNTIF(Candidates!$A$2:$A$2000,$A253)),""""))"),"")</f>
        <v/>
      </c>
      <c r="X253" s="64"/>
      <c r="Y253" s="64"/>
      <c r="Z253" s="65"/>
      <c r="AA253" s="65"/>
      <c r="AB253" s="65"/>
      <c r="AC253" s="65"/>
    </row>
    <row r="254">
      <c r="A254" s="64"/>
      <c r="B254" s="64"/>
      <c r="C254" s="64"/>
      <c r="D254" s="64"/>
      <c r="E254" s="64"/>
      <c r="F254" s="64"/>
      <c r="G254" s="64"/>
      <c r="H254" s="63"/>
      <c r="I254" s="64"/>
      <c r="J254" s="64"/>
      <c r="K254" s="64"/>
      <c r="L254" s="64"/>
      <c r="M254" s="64"/>
      <c r="N254" s="64"/>
      <c r="O254" s="64"/>
      <c r="P254" s="64"/>
      <c r="Q254" s="64"/>
      <c r="R254" s="65" t="str">
        <f>IF($A254="","",IFERROR(MINIFS(Candidates!$K$2:$K$2000,Candidates!$A$2:$A$2000,$A254),""))</f>
        <v/>
      </c>
      <c r="S254" s="65" t="str">
        <f>IF($A254="","",IFERROR(MAXIFS(Candidates!$AA$2:$AA$2000,Candidates!$A$2:$A$2000,$A254),""))</f>
        <v/>
      </c>
      <c r="T254" s="64" t="str">
        <f>IFERROR(__xludf.DUMMYFUNCTION("IF($A254="""","""",IFERROR(TEXTJOIN("", "",TRUE,UNIQUE(FILTER(Candidates!$B$2:$B$2000,Candidates!$A$2:$A$2000=$A254))),""""))"),"")</f>
        <v/>
      </c>
      <c r="U254" s="66" t="str">
        <f>IF($A254="","",COUNTIF(Candidates!$A$2:$A$2000,$A254))</f>
        <v/>
      </c>
      <c r="V254" s="64" t="str">
        <f>IFERROR(__xludf.DUMMYFUNCTION("IF($A254="""","""",IFERROR(INDEX(FILTER(Candidates!$S$2:$S$2000,Candidates!$A$2:$A$2000=$A254),COUNTIF(Candidates!$A$2:$A$2000,$A254)),""""))"),"")</f>
        <v/>
      </c>
      <c r="W254" s="64" t="str">
        <f>IFERROR(__xludf.DUMMYFUNCTION("IF($A254="""","""",IFERROR(INDEX(FILTER(Candidates!$T$2:$T$2000,Candidates!$A$2:$A$2000=$A254),COUNTIF(Candidates!$A$2:$A$2000,$A254)),""""))"),"")</f>
        <v/>
      </c>
      <c r="X254" s="64"/>
      <c r="Y254" s="64"/>
      <c r="Z254" s="65"/>
      <c r="AA254" s="65"/>
      <c r="AB254" s="65"/>
      <c r="AC254" s="65"/>
    </row>
    <row r="255">
      <c r="A255" s="64"/>
      <c r="B255" s="64"/>
      <c r="C255" s="64"/>
      <c r="D255" s="64"/>
      <c r="E255" s="64"/>
      <c r="F255" s="64"/>
      <c r="G255" s="64"/>
      <c r="H255" s="63"/>
      <c r="I255" s="64"/>
      <c r="J255" s="64"/>
      <c r="K255" s="64"/>
      <c r="L255" s="64"/>
      <c r="M255" s="64"/>
      <c r="N255" s="64"/>
      <c r="O255" s="64"/>
      <c r="P255" s="64"/>
      <c r="Q255" s="64"/>
      <c r="R255" s="65" t="str">
        <f>IF($A255="","",IFERROR(MINIFS(Candidates!$K$2:$K$2000,Candidates!$A$2:$A$2000,$A255),""))</f>
        <v/>
      </c>
      <c r="S255" s="65" t="str">
        <f>IF($A255="","",IFERROR(MAXIFS(Candidates!$AA$2:$AA$2000,Candidates!$A$2:$A$2000,$A255),""))</f>
        <v/>
      </c>
      <c r="T255" s="64" t="str">
        <f>IFERROR(__xludf.DUMMYFUNCTION("IF($A255="""","""",IFERROR(TEXTJOIN("", "",TRUE,UNIQUE(FILTER(Candidates!$B$2:$B$2000,Candidates!$A$2:$A$2000=$A255))),""""))"),"")</f>
        <v/>
      </c>
      <c r="U255" s="66" t="str">
        <f>IF($A255="","",COUNTIF(Candidates!$A$2:$A$2000,$A255))</f>
        <v/>
      </c>
      <c r="V255" s="64" t="str">
        <f>IFERROR(__xludf.DUMMYFUNCTION("IF($A255="""","""",IFERROR(INDEX(FILTER(Candidates!$S$2:$S$2000,Candidates!$A$2:$A$2000=$A255),COUNTIF(Candidates!$A$2:$A$2000,$A255)),""""))"),"")</f>
        <v/>
      </c>
      <c r="W255" s="64" t="str">
        <f>IFERROR(__xludf.DUMMYFUNCTION("IF($A255="""","""",IFERROR(INDEX(FILTER(Candidates!$T$2:$T$2000,Candidates!$A$2:$A$2000=$A255),COUNTIF(Candidates!$A$2:$A$2000,$A255)),""""))"),"")</f>
        <v/>
      </c>
      <c r="X255" s="64"/>
      <c r="Y255" s="64"/>
      <c r="Z255" s="65"/>
      <c r="AA255" s="65"/>
      <c r="AB255" s="65"/>
      <c r="AC255" s="65"/>
    </row>
    <row r="256">
      <c r="A256" s="64"/>
      <c r="B256" s="64"/>
      <c r="C256" s="64"/>
      <c r="D256" s="64"/>
      <c r="E256" s="64"/>
      <c r="F256" s="64"/>
      <c r="G256" s="64"/>
      <c r="H256" s="63"/>
      <c r="I256" s="64"/>
      <c r="J256" s="64"/>
      <c r="K256" s="64"/>
      <c r="L256" s="64"/>
      <c r="M256" s="64"/>
      <c r="N256" s="64"/>
      <c r="O256" s="64"/>
      <c r="P256" s="64"/>
      <c r="Q256" s="64"/>
      <c r="R256" s="65" t="str">
        <f>IF($A256="","",IFERROR(MINIFS(Candidates!$K$2:$K$2000,Candidates!$A$2:$A$2000,$A256),""))</f>
        <v/>
      </c>
      <c r="S256" s="65" t="str">
        <f>IF($A256="","",IFERROR(MAXIFS(Candidates!$AA$2:$AA$2000,Candidates!$A$2:$A$2000,$A256),""))</f>
        <v/>
      </c>
      <c r="T256" s="64" t="str">
        <f>IFERROR(__xludf.DUMMYFUNCTION("IF($A256="""","""",IFERROR(TEXTJOIN("", "",TRUE,UNIQUE(FILTER(Candidates!$B$2:$B$2000,Candidates!$A$2:$A$2000=$A256))),""""))"),"")</f>
        <v/>
      </c>
      <c r="U256" s="66" t="str">
        <f>IF($A256="","",COUNTIF(Candidates!$A$2:$A$2000,$A256))</f>
        <v/>
      </c>
      <c r="V256" s="64" t="str">
        <f>IFERROR(__xludf.DUMMYFUNCTION("IF($A256="""","""",IFERROR(INDEX(FILTER(Candidates!$S$2:$S$2000,Candidates!$A$2:$A$2000=$A256),COUNTIF(Candidates!$A$2:$A$2000,$A256)),""""))"),"")</f>
        <v/>
      </c>
      <c r="W256" s="64" t="str">
        <f>IFERROR(__xludf.DUMMYFUNCTION("IF($A256="""","""",IFERROR(INDEX(FILTER(Candidates!$T$2:$T$2000,Candidates!$A$2:$A$2000=$A256),COUNTIF(Candidates!$A$2:$A$2000,$A256)),""""))"),"")</f>
        <v/>
      </c>
      <c r="X256" s="64"/>
      <c r="Y256" s="64"/>
      <c r="Z256" s="65"/>
      <c r="AA256" s="65"/>
      <c r="AB256" s="65"/>
      <c r="AC256" s="65"/>
    </row>
    <row r="257">
      <c r="A257" s="64"/>
      <c r="B257" s="64"/>
      <c r="C257" s="64"/>
      <c r="D257" s="64"/>
      <c r="E257" s="64"/>
      <c r="F257" s="64"/>
      <c r="G257" s="64"/>
      <c r="H257" s="63"/>
      <c r="I257" s="64"/>
      <c r="J257" s="64"/>
      <c r="K257" s="64"/>
      <c r="L257" s="64"/>
      <c r="M257" s="64"/>
      <c r="N257" s="64"/>
      <c r="O257" s="64"/>
      <c r="P257" s="64"/>
      <c r="Q257" s="64"/>
      <c r="R257" s="65" t="str">
        <f>IF($A257="","",IFERROR(MINIFS(Candidates!$K$2:$K$2000,Candidates!$A$2:$A$2000,$A257),""))</f>
        <v/>
      </c>
      <c r="S257" s="65" t="str">
        <f>IF($A257="","",IFERROR(MAXIFS(Candidates!$AA$2:$AA$2000,Candidates!$A$2:$A$2000,$A257),""))</f>
        <v/>
      </c>
      <c r="T257" s="64" t="str">
        <f>IFERROR(__xludf.DUMMYFUNCTION("IF($A257="""","""",IFERROR(TEXTJOIN("", "",TRUE,UNIQUE(FILTER(Candidates!$B$2:$B$2000,Candidates!$A$2:$A$2000=$A257))),""""))"),"")</f>
        <v/>
      </c>
      <c r="U257" s="66" t="str">
        <f>IF($A257="","",COUNTIF(Candidates!$A$2:$A$2000,$A257))</f>
        <v/>
      </c>
      <c r="V257" s="64" t="str">
        <f>IFERROR(__xludf.DUMMYFUNCTION("IF($A257="""","""",IFERROR(INDEX(FILTER(Candidates!$S$2:$S$2000,Candidates!$A$2:$A$2000=$A257),COUNTIF(Candidates!$A$2:$A$2000,$A257)),""""))"),"")</f>
        <v/>
      </c>
      <c r="W257" s="64" t="str">
        <f>IFERROR(__xludf.DUMMYFUNCTION("IF($A257="""","""",IFERROR(INDEX(FILTER(Candidates!$T$2:$T$2000,Candidates!$A$2:$A$2000=$A257),COUNTIF(Candidates!$A$2:$A$2000,$A257)),""""))"),"")</f>
        <v/>
      </c>
      <c r="X257" s="64"/>
      <c r="Y257" s="64"/>
      <c r="Z257" s="65"/>
      <c r="AA257" s="65"/>
      <c r="AB257" s="65"/>
      <c r="AC257" s="65"/>
    </row>
    <row r="258">
      <c r="A258" s="64"/>
      <c r="B258" s="64"/>
      <c r="C258" s="64"/>
      <c r="D258" s="64"/>
      <c r="E258" s="64"/>
      <c r="F258" s="64"/>
      <c r="G258" s="64"/>
      <c r="H258" s="63"/>
      <c r="I258" s="64"/>
      <c r="J258" s="64"/>
      <c r="K258" s="64"/>
      <c r="L258" s="64"/>
      <c r="M258" s="64"/>
      <c r="N258" s="64"/>
      <c r="O258" s="64"/>
      <c r="P258" s="64"/>
      <c r="Q258" s="64"/>
      <c r="R258" s="65" t="str">
        <f>IF($A258="","",IFERROR(MINIFS(Candidates!$K$2:$K$2000,Candidates!$A$2:$A$2000,$A258),""))</f>
        <v/>
      </c>
      <c r="S258" s="65" t="str">
        <f>IF($A258="","",IFERROR(MAXIFS(Candidates!$AA$2:$AA$2000,Candidates!$A$2:$A$2000,$A258),""))</f>
        <v/>
      </c>
      <c r="T258" s="64" t="str">
        <f>IFERROR(__xludf.DUMMYFUNCTION("IF($A258="""","""",IFERROR(TEXTJOIN("", "",TRUE,UNIQUE(FILTER(Candidates!$B$2:$B$2000,Candidates!$A$2:$A$2000=$A258))),""""))"),"")</f>
        <v/>
      </c>
      <c r="U258" s="66" t="str">
        <f>IF($A258="","",COUNTIF(Candidates!$A$2:$A$2000,$A258))</f>
        <v/>
      </c>
      <c r="V258" s="64" t="str">
        <f>IFERROR(__xludf.DUMMYFUNCTION("IF($A258="""","""",IFERROR(INDEX(FILTER(Candidates!$S$2:$S$2000,Candidates!$A$2:$A$2000=$A258),COUNTIF(Candidates!$A$2:$A$2000,$A258)),""""))"),"")</f>
        <v/>
      </c>
      <c r="W258" s="64" t="str">
        <f>IFERROR(__xludf.DUMMYFUNCTION("IF($A258="""","""",IFERROR(INDEX(FILTER(Candidates!$T$2:$T$2000,Candidates!$A$2:$A$2000=$A258),COUNTIF(Candidates!$A$2:$A$2000,$A258)),""""))"),"")</f>
        <v/>
      </c>
      <c r="X258" s="64"/>
      <c r="Y258" s="64"/>
      <c r="Z258" s="65"/>
      <c r="AA258" s="65"/>
      <c r="AB258" s="65"/>
      <c r="AC258" s="65"/>
    </row>
    <row r="259">
      <c r="A259" s="64"/>
      <c r="B259" s="64"/>
      <c r="C259" s="64"/>
      <c r="D259" s="64"/>
      <c r="E259" s="64"/>
      <c r="F259" s="64"/>
      <c r="G259" s="64"/>
      <c r="H259" s="63"/>
      <c r="I259" s="64"/>
      <c r="J259" s="64"/>
      <c r="K259" s="64"/>
      <c r="L259" s="64"/>
      <c r="M259" s="64"/>
      <c r="N259" s="64"/>
      <c r="O259" s="64"/>
      <c r="P259" s="64"/>
      <c r="Q259" s="64"/>
      <c r="R259" s="65" t="str">
        <f>IF($A259="","",IFERROR(MINIFS(Candidates!$K$2:$K$2000,Candidates!$A$2:$A$2000,$A259),""))</f>
        <v/>
      </c>
      <c r="S259" s="65" t="str">
        <f>IF($A259="","",IFERROR(MAXIFS(Candidates!$AA$2:$AA$2000,Candidates!$A$2:$A$2000,$A259),""))</f>
        <v/>
      </c>
      <c r="T259" s="64" t="str">
        <f>IFERROR(__xludf.DUMMYFUNCTION("IF($A259="""","""",IFERROR(TEXTJOIN("", "",TRUE,UNIQUE(FILTER(Candidates!$B$2:$B$2000,Candidates!$A$2:$A$2000=$A259))),""""))"),"")</f>
        <v/>
      </c>
      <c r="U259" s="66" t="str">
        <f>IF($A259="","",COUNTIF(Candidates!$A$2:$A$2000,$A259))</f>
        <v/>
      </c>
      <c r="V259" s="64" t="str">
        <f>IFERROR(__xludf.DUMMYFUNCTION("IF($A259="""","""",IFERROR(INDEX(FILTER(Candidates!$S$2:$S$2000,Candidates!$A$2:$A$2000=$A259),COUNTIF(Candidates!$A$2:$A$2000,$A259)),""""))"),"")</f>
        <v/>
      </c>
      <c r="W259" s="64" t="str">
        <f>IFERROR(__xludf.DUMMYFUNCTION("IF($A259="""","""",IFERROR(INDEX(FILTER(Candidates!$T$2:$T$2000,Candidates!$A$2:$A$2000=$A259),COUNTIF(Candidates!$A$2:$A$2000,$A259)),""""))"),"")</f>
        <v/>
      </c>
      <c r="X259" s="64"/>
      <c r="Y259" s="64"/>
      <c r="Z259" s="65"/>
      <c r="AA259" s="65"/>
      <c r="AB259" s="65"/>
      <c r="AC259" s="65"/>
    </row>
    <row r="260">
      <c r="A260" s="64"/>
      <c r="B260" s="64"/>
      <c r="C260" s="64"/>
      <c r="D260" s="64"/>
      <c r="E260" s="64"/>
      <c r="F260" s="64"/>
      <c r="G260" s="64"/>
      <c r="H260" s="63"/>
      <c r="I260" s="64"/>
      <c r="J260" s="64"/>
      <c r="K260" s="64"/>
      <c r="L260" s="64"/>
      <c r="M260" s="64"/>
      <c r="N260" s="64"/>
      <c r="O260" s="64"/>
      <c r="P260" s="64"/>
      <c r="Q260" s="64"/>
      <c r="R260" s="65" t="str">
        <f>IF($A260="","",IFERROR(MINIFS(Candidates!$K$2:$K$2000,Candidates!$A$2:$A$2000,$A260),""))</f>
        <v/>
      </c>
      <c r="S260" s="65" t="str">
        <f>IF($A260="","",IFERROR(MAXIFS(Candidates!$AA$2:$AA$2000,Candidates!$A$2:$A$2000,$A260),""))</f>
        <v/>
      </c>
      <c r="T260" s="64" t="str">
        <f>IFERROR(__xludf.DUMMYFUNCTION("IF($A260="""","""",IFERROR(TEXTJOIN("", "",TRUE,UNIQUE(FILTER(Candidates!$B$2:$B$2000,Candidates!$A$2:$A$2000=$A260))),""""))"),"")</f>
        <v/>
      </c>
      <c r="U260" s="66" t="str">
        <f>IF($A260="","",COUNTIF(Candidates!$A$2:$A$2000,$A260))</f>
        <v/>
      </c>
      <c r="V260" s="64" t="str">
        <f>IFERROR(__xludf.DUMMYFUNCTION("IF($A260="""","""",IFERROR(INDEX(FILTER(Candidates!$S$2:$S$2000,Candidates!$A$2:$A$2000=$A260),COUNTIF(Candidates!$A$2:$A$2000,$A260)),""""))"),"")</f>
        <v/>
      </c>
      <c r="W260" s="64" t="str">
        <f>IFERROR(__xludf.DUMMYFUNCTION("IF($A260="""","""",IFERROR(INDEX(FILTER(Candidates!$T$2:$T$2000,Candidates!$A$2:$A$2000=$A260),COUNTIF(Candidates!$A$2:$A$2000,$A260)),""""))"),"")</f>
        <v/>
      </c>
      <c r="X260" s="64"/>
      <c r="Y260" s="64"/>
      <c r="Z260" s="65"/>
      <c r="AA260" s="65"/>
      <c r="AB260" s="65"/>
      <c r="AC260" s="65"/>
    </row>
    <row r="261">
      <c r="A261" s="64"/>
      <c r="B261" s="64"/>
      <c r="C261" s="64"/>
      <c r="D261" s="64"/>
      <c r="E261" s="64"/>
      <c r="F261" s="64"/>
      <c r="G261" s="64"/>
      <c r="H261" s="63"/>
      <c r="I261" s="64"/>
      <c r="J261" s="64"/>
      <c r="K261" s="64"/>
      <c r="L261" s="64"/>
      <c r="M261" s="64"/>
      <c r="N261" s="64"/>
      <c r="O261" s="64"/>
      <c r="P261" s="64"/>
      <c r="Q261" s="64"/>
      <c r="R261" s="65" t="str">
        <f>IF($A261="","",IFERROR(MINIFS(Candidates!$K$2:$K$2000,Candidates!$A$2:$A$2000,$A261),""))</f>
        <v/>
      </c>
      <c r="S261" s="65" t="str">
        <f>IF($A261="","",IFERROR(MAXIFS(Candidates!$AA$2:$AA$2000,Candidates!$A$2:$A$2000,$A261),""))</f>
        <v/>
      </c>
      <c r="T261" s="64" t="str">
        <f>IFERROR(__xludf.DUMMYFUNCTION("IF($A261="""","""",IFERROR(TEXTJOIN("", "",TRUE,UNIQUE(FILTER(Candidates!$B$2:$B$2000,Candidates!$A$2:$A$2000=$A261))),""""))"),"")</f>
        <v/>
      </c>
      <c r="U261" s="66" t="str">
        <f>IF($A261="","",COUNTIF(Candidates!$A$2:$A$2000,$A261))</f>
        <v/>
      </c>
      <c r="V261" s="64" t="str">
        <f>IFERROR(__xludf.DUMMYFUNCTION("IF($A261="""","""",IFERROR(INDEX(FILTER(Candidates!$S$2:$S$2000,Candidates!$A$2:$A$2000=$A261),COUNTIF(Candidates!$A$2:$A$2000,$A261)),""""))"),"")</f>
        <v/>
      </c>
      <c r="W261" s="64" t="str">
        <f>IFERROR(__xludf.DUMMYFUNCTION("IF($A261="""","""",IFERROR(INDEX(FILTER(Candidates!$T$2:$T$2000,Candidates!$A$2:$A$2000=$A261),COUNTIF(Candidates!$A$2:$A$2000,$A261)),""""))"),"")</f>
        <v/>
      </c>
      <c r="X261" s="64"/>
      <c r="Y261" s="64"/>
      <c r="Z261" s="65"/>
      <c r="AA261" s="65"/>
      <c r="AB261" s="65"/>
      <c r="AC261" s="65"/>
    </row>
    <row r="262">
      <c r="A262" s="64"/>
      <c r="B262" s="64"/>
      <c r="C262" s="64"/>
      <c r="D262" s="64"/>
      <c r="E262" s="64"/>
      <c r="F262" s="64"/>
      <c r="G262" s="64"/>
      <c r="H262" s="63"/>
      <c r="I262" s="64"/>
      <c r="J262" s="64"/>
      <c r="K262" s="64"/>
      <c r="L262" s="64"/>
      <c r="M262" s="64"/>
      <c r="N262" s="64"/>
      <c r="O262" s="64"/>
      <c r="P262" s="64"/>
      <c r="Q262" s="64"/>
      <c r="R262" s="65" t="str">
        <f>IF($A262="","",IFERROR(MINIFS(Candidates!$K$2:$K$2000,Candidates!$A$2:$A$2000,$A262),""))</f>
        <v/>
      </c>
      <c r="S262" s="65" t="str">
        <f>IF($A262="","",IFERROR(MAXIFS(Candidates!$AA$2:$AA$2000,Candidates!$A$2:$A$2000,$A262),""))</f>
        <v/>
      </c>
      <c r="T262" s="64" t="str">
        <f>IFERROR(__xludf.DUMMYFUNCTION("IF($A262="""","""",IFERROR(TEXTJOIN("", "",TRUE,UNIQUE(FILTER(Candidates!$B$2:$B$2000,Candidates!$A$2:$A$2000=$A262))),""""))"),"")</f>
        <v/>
      </c>
      <c r="U262" s="66" t="str">
        <f>IF($A262="","",COUNTIF(Candidates!$A$2:$A$2000,$A262))</f>
        <v/>
      </c>
      <c r="V262" s="64" t="str">
        <f>IFERROR(__xludf.DUMMYFUNCTION("IF($A262="""","""",IFERROR(INDEX(FILTER(Candidates!$S$2:$S$2000,Candidates!$A$2:$A$2000=$A262),COUNTIF(Candidates!$A$2:$A$2000,$A262)),""""))"),"")</f>
        <v/>
      </c>
      <c r="W262" s="64" t="str">
        <f>IFERROR(__xludf.DUMMYFUNCTION("IF($A262="""","""",IFERROR(INDEX(FILTER(Candidates!$T$2:$T$2000,Candidates!$A$2:$A$2000=$A262),COUNTIF(Candidates!$A$2:$A$2000,$A262)),""""))"),"")</f>
        <v/>
      </c>
      <c r="X262" s="64"/>
      <c r="Y262" s="64"/>
      <c r="Z262" s="65"/>
      <c r="AA262" s="65"/>
      <c r="AB262" s="65"/>
      <c r="AC262" s="65"/>
    </row>
    <row r="263">
      <c r="A263" s="64"/>
      <c r="B263" s="64"/>
      <c r="C263" s="64"/>
      <c r="D263" s="64"/>
      <c r="E263" s="64"/>
      <c r="F263" s="64"/>
      <c r="G263" s="64"/>
      <c r="H263" s="63"/>
      <c r="I263" s="64"/>
      <c r="J263" s="64"/>
      <c r="K263" s="64"/>
      <c r="L263" s="64"/>
      <c r="M263" s="64"/>
      <c r="N263" s="64"/>
      <c r="O263" s="64"/>
      <c r="P263" s="64"/>
      <c r="Q263" s="64"/>
      <c r="R263" s="65" t="str">
        <f>IF($A263="","",IFERROR(MINIFS(Candidates!$K$2:$K$2000,Candidates!$A$2:$A$2000,$A263),""))</f>
        <v/>
      </c>
      <c r="S263" s="65" t="str">
        <f>IF($A263="","",IFERROR(MAXIFS(Candidates!$AA$2:$AA$2000,Candidates!$A$2:$A$2000,$A263),""))</f>
        <v/>
      </c>
      <c r="T263" s="64" t="str">
        <f>IFERROR(__xludf.DUMMYFUNCTION("IF($A263="""","""",IFERROR(TEXTJOIN("", "",TRUE,UNIQUE(FILTER(Candidates!$B$2:$B$2000,Candidates!$A$2:$A$2000=$A263))),""""))"),"")</f>
        <v/>
      </c>
      <c r="U263" s="66" t="str">
        <f>IF($A263="","",COUNTIF(Candidates!$A$2:$A$2000,$A263))</f>
        <v/>
      </c>
      <c r="V263" s="64" t="str">
        <f>IFERROR(__xludf.DUMMYFUNCTION("IF($A263="""","""",IFERROR(INDEX(FILTER(Candidates!$S$2:$S$2000,Candidates!$A$2:$A$2000=$A263),COUNTIF(Candidates!$A$2:$A$2000,$A263)),""""))"),"")</f>
        <v/>
      </c>
      <c r="W263" s="64" t="str">
        <f>IFERROR(__xludf.DUMMYFUNCTION("IF($A263="""","""",IFERROR(INDEX(FILTER(Candidates!$T$2:$T$2000,Candidates!$A$2:$A$2000=$A263),COUNTIF(Candidates!$A$2:$A$2000,$A263)),""""))"),"")</f>
        <v/>
      </c>
      <c r="X263" s="64"/>
      <c r="Y263" s="64"/>
      <c r="Z263" s="65"/>
      <c r="AA263" s="65"/>
      <c r="AB263" s="65"/>
      <c r="AC263" s="65"/>
    </row>
    <row r="264">
      <c r="A264" s="64"/>
      <c r="B264" s="64"/>
      <c r="C264" s="64"/>
      <c r="D264" s="64"/>
      <c r="E264" s="64"/>
      <c r="F264" s="64"/>
      <c r="G264" s="64"/>
      <c r="H264" s="63"/>
      <c r="I264" s="64"/>
      <c r="J264" s="64"/>
      <c r="K264" s="64"/>
      <c r="L264" s="64"/>
      <c r="M264" s="64"/>
      <c r="N264" s="64"/>
      <c r="O264" s="64"/>
      <c r="P264" s="64"/>
      <c r="Q264" s="64"/>
      <c r="R264" s="65" t="str">
        <f>IF($A264="","",IFERROR(MINIFS(Candidates!$K$2:$K$2000,Candidates!$A$2:$A$2000,$A264),""))</f>
        <v/>
      </c>
      <c r="S264" s="65" t="str">
        <f>IF($A264="","",IFERROR(MAXIFS(Candidates!$AA$2:$AA$2000,Candidates!$A$2:$A$2000,$A264),""))</f>
        <v/>
      </c>
      <c r="T264" s="64" t="str">
        <f>IFERROR(__xludf.DUMMYFUNCTION("IF($A264="""","""",IFERROR(TEXTJOIN("", "",TRUE,UNIQUE(FILTER(Candidates!$B$2:$B$2000,Candidates!$A$2:$A$2000=$A264))),""""))"),"")</f>
        <v/>
      </c>
      <c r="U264" s="66" t="str">
        <f>IF($A264="","",COUNTIF(Candidates!$A$2:$A$2000,$A264))</f>
        <v/>
      </c>
      <c r="V264" s="64" t="str">
        <f>IFERROR(__xludf.DUMMYFUNCTION("IF($A264="""","""",IFERROR(INDEX(FILTER(Candidates!$S$2:$S$2000,Candidates!$A$2:$A$2000=$A264),COUNTIF(Candidates!$A$2:$A$2000,$A264)),""""))"),"")</f>
        <v/>
      </c>
      <c r="W264" s="64" t="str">
        <f>IFERROR(__xludf.DUMMYFUNCTION("IF($A264="""","""",IFERROR(INDEX(FILTER(Candidates!$T$2:$T$2000,Candidates!$A$2:$A$2000=$A264),COUNTIF(Candidates!$A$2:$A$2000,$A264)),""""))"),"")</f>
        <v/>
      </c>
      <c r="X264" s="64"/>
      <c r="Y264" s="64"/>
      <c r="Z264" s="65"/>
      <c r="AA264" s="65"/>
      <c r="AB264" s="65"/>
      <c r="AC264" s="65"/>
    </row>
    <row r="265">
      <c r="A265" s="64"/>
      <c r="B265" s="64"/>
      <c r="C265" s="64"/>
      <c r="D265" s="64"/>
      <c r="E265" s="64"/>
      <c r="F265" s="64"/>
      <c r="G265" s="64"/>
      <c r="H265" s="63"/>
      <c r="I265" s="64"/>
      <c r="J265" s="64"/>
      <c r="K265" s="64"/>
      <c r="L265" s="64"/>
      <c r="M265" s="64"/>
      <c r="N265" s="64"/>
      <c r="O265" s="64"/>
      <c r="P265" s="64"/>
      <c r="Q265" s="64"/>
      <c r="R265" s="65" t="str">
        <f>IF($A265="","",IFERROR(MINIFS(Candidates!$K$2:$K$2000,Candidates!$A$2:$A$2000,$A265),""))</f>
        <v/>
      </c>
      <c r="S265" s="65" t="str">
        <f>IF($A265="","",IFERROR(MAXIFS(Candidates!$AA$2:$AA$2000,Candidates!$A$2:$A$2000,$A265),""))</f>
        <v/>
      </c>
      <c r="T265" s="64" t="str">
        <f>IFERROR(__xludf.DUMMYFUNCTION("IF($A265="""","""",IFERROR(TEXTJOIN("", "",TRUE,UNIQUE(FILTER(Candidates!$B$2:$B$2000,Candidates!$A$2:$A$2000=$A265))),""""))"),"")</f>
        <v/>
      </c>
      <c r="U265" s="66" t="str">
        <f>IF($A265="","",COUNTIF(Candidates!$A$2:$A$2000,$A265))</f>
        <v/>
      </c>
      <c r="V265" s="64" t="str">
        <f>IFERROR(__xludf.DUMMYFUNCTION("IF($A265="""","""",IFERROR(INDEX(FILTER(Candidates!$S$2:$S$2000,Candidates!$A$2:$A$2000=$A265),COUNTIF(Candidates!$A$2:$A$2000,$A265)),""""))"),"")</f>
        <v/>
      </c>
      <c r="W265" s="64" t="str">
        <f>IFERROR(__xludf.DUMMYFUNCTION("IF($A265="""","""",IFERROR(INDEX(FILTER(Candidates!$T$2:$T$2000,Candidates!$A$2:$A$2000=$A265),COUNTIF(Candidates!$A$2:$A$2000,$A265)),""""))"),"")</f>
        <v/>
      </c>
      <c r="X265" s="64"/>
      <c r="Y265" s="64"/>
      <c r="Z265" s="65"/>
      <c r="AA265" s="65"/>
      <c r="AB265" s="65"/>
      <c r="AC265" s="65"/>
    </row>
    <row r="266">
      <c r="A266" s="64"/>
      <c r="B266" s="64"/>
      <c r="C266" s="64"/>
      <c r="D266" s="64"/>
      <c r="E266" s="64"/>
      <c r="F266" s="64"/>
      <c r="G266" s="64"/>
      <c r="H266" s="63"/>
      <c r="I266" s="64"/>
      <c r="J266" s="64"/>
      <c r="K266" s="64"/>
      <c r="L266" s="64"/>
      <c r="M266" s="64"/>
      <c r="N266" s="64"/>
      <c r="O266" s="64"/>
      <c r="P266" s="64"/>
      <c r="Q266" s="64"/>
      <c r="R266" s="65" t="str">
        <f>IF($A266="","",IFERROR(MINIFS(Candidates!$K$2:$K$2000,Candidates!$A$2:$A$2000,$A266),""))</f>
        <v/>
      </c>
      <c r="S266" s="65" t="str">
        <f>IF($A266="","",IFERROR(MAXIFS(Candidates!$AA$2:$AA$2000,Candidates!$A$2:$A$2000,$A266),""))</f>
        <v/>
      </c>
      <c r="T266" s="64" t="str">
        <f>IFERROR(__xludf.DUMMYFUNCTION("IF($A266="""","""",IFERROR(TEXTJOIN("", "",TRUE,UNIQUE(FILTER(Candidates!$B$2:$B$2000,Candidates!$A$2:$A$2000=$A266))),""""))"),"")</f>
        <v/>
      </c>
      <c r="U266" s="66" t="str">
        <f>IF($A266="","",COUNTIF(Candidates!$A$2:$A$2000,$A266))</f>
        <v/>
      </c>
      <c r="V266" s="64" t="str">
        <f>IFERROR(__xludf.DUMMYFUNCTION("IF($A266="""","""",IFERROR(INDEX(FILTER(Candidates!$S$2:$S$2000,Candidates!$A$2:$A$2000=$A266),COUNTIF(Candidates!$A$2:$A$2000,$A266)),""""))"),"")</f>
        <v/>
      </c>
      <c r="W266" s="64" t="str">
        <f>IFERROR(__xludf.DUMMYFUNCTION("IF($A266="""","""",IFERROR(INDEX(FILTER(Candidates!$T$2:$T$2000,Candidates!$A$2:$A$2000=$A266),COUNTIF(Candidates!$A$2:$A$2000,$A266)),""""))"),"")</f>
        <v/>
      </c>
      <c r="X266" s="64"/>
      <c r="Y266" s="64"/>
      <c r="Z266" s="65"/>
      <c r="AA266" s="65"/>
      <c r="AB266" s="65"/>
      <c r="AC266" s="65"/>
    </row>
    <row r="267">
      <c r="A267" s="64"/>
      <c r="B267" s="64"/>
      <c r="C267" s="64"/>
      <c r="D267" s="64"/>
      <c r="E267" s="64"/>
      <c r="F267" s="64"/>
      <c r="G267" s="64"/>
      <c r="H267" s="63"/>
      <c r="I267" s="64"/>
      <c r="J267" s="64"/>
      <c r="K267" s="64"/>
      <c r="L267" s="64"/>
      <c r="M267" s="64"/>
      <c r="N267" s="64"/>
      <c r="O267" s="64"/>
      <c r="P267" s="64"/>
      <c r="Q267" s="64"/>
      <c r="R267" s="65" t="str">
        <f>IF($A267="","",IFERROR(MINIFS(Candidates!$K$2:$K$2000,Candidates!$A$2:$A$2000,$A267),""))</f>
        <v/>
      </c>
      <c r="S267" s="65" t="str">
        <f>IF($A267="","",IFERROR(MAXIFS(Candidates!$AA$2:$AA$2000,Candidates!$A$2:$A$2000,$A267),""))</f>
        <v/>
      </c>
      <c r="T267" s="64" t="str">
        <f>IFERROR(__xludf.DUMMYFUNCTION("IF($A267="""","""",IFERROR(TEXTJOIN("", "",TRUE,UNIQUE(FILTER(Candidates!$B$2:$B$2000,Candidates!$A$2:$A$2000=$A267))),""""))"),"")</f>
        <v/>
      </c>
      <c r="U267" s="66" t="str">
        <f>IF($A267="","",COUNTIF(Candidates!$A$2:$A$2000,$A267))</f>
        <v/>
      </c>
      <c r="V267" s="64" t="str">
        <f>IFERROR(__xludf.DUMMYFUNCTION("IF($A267="""","""",IFERROR(INDEX(FILTER(Candidates!$S$2:$S$2000,Candidates!$A$2:$A$2000=$A267),COUNTIF(Candidates!$A$2:$A$2000,$A267)),""""))"),"")</f>
        <v/>
      </c>
      <c r="W267" s="64" t="str">
        <f>IFERROR(__xludf.DUMMYFUNCTION("IF($A267="""","""",IFERROR(INDEX(FILTER(Candidates!$T$2:$T$2000,Candidates!$A$2:$A$2000=$A267),COUNTIF(Candidates!$A$2:$A$2000,$A267)),""""))"),"")</f>
        <v/>
      </c>
      <c r="X267" s="64"/>
      <c r="Y267" s="64"/>
      <c r="Z267" s="65"/>
      <c r="AA267" s="65"/>
      <c r="AB267" s="65"/>
      <c r="AC267" s="65"/>
    </row>
    <row r="268">
      <c r="A268" s="64"/>
      <c r="B268" s="64"/>
      <c r="C268" s="64"/>
      <c r="D268" s="64"/>
      <c r="E268" s="64"/>
      <c r="F268" s="64"/>
      <c r="G268" s="64"/>
      <c r="H268" s="63"/>
      <c r="I268" s="64"/>
      <c r="J268" s="64"/>
      <c r="K268" s="64"/>
      <c r="L268" s="64"/>
      <c r="M268" s="64"/>
      <c r="N268" s="64"/>
      <c r="O268" s="64"/>
      <c r="P268" s="64"/>
      <c r="Q268" s="64"/>
      <c r="R268" s="65" t="str">
        <f>IF($A268="","",IFERROR(MINIFS(Candidates!$K$2:$K$2000,Candidates!$A$2:$A$2000,$A268),""))</f>
        <v/>
      </c>
      <c r="S268" s="65" t="str">
        <f>IF($A268="","",IFERROR(MAXIFS(Candidates!$AA$2:$AA$2000,Candidates!$A$2:$A$2000,$A268),""))</f>
        <v/>
      </c>
      <c r="T268" s="64" t="str">
        <f>IFERROR(__xludf.DUMMYFUNCTION("IF($A268="""","""",IFERROR(TEXTJOIN("", "",TRUE,UNIQUE(FILTER(Candidates!$B$2:$B$2000,Candidates!$A$2:$A$2000=$A268))),""""))"),"")</f>
        <v/>
      </c>
      <c r="U268" s="66" t="str">
        <f>IF($A268="","",COUNTIF(Candidates!$A$2:$A$2000,$A268))</f>
        <v/>
      </c>
      <c r="V268" s="64" t="str">
        <f>IFERROR(__xludf.DUMMYFUNCTION("IF($A268="""","""",IFERROR(INDEX(FILTER(Candidates!$S$2:$S$2000,Candidates!$A$2:$A$2000=$A268),COUNTIF(Candidates!$A$2:$A$2000,$A268)),""""))"),"")</f>
        <v/>
      </c>
      <c r="W268" s="64" t="str">
        <f>IFERROR(__xludf.DUMMYFUNCTION("IF($A268="""","""",IFERROR(INDEX(FILTER(Candidates!$T$2:$T$2000,Candidates!$A$2:$A$2000=$A268),COUNTIF(Candidates!$A$2:$A$2000,$A268)),""""))"),"")</f>
        <v/>
      </c>
      <c r="X268" s="64"/>
      <c r="Y268" s="64"/>
      <c r="Z268" s="65"/>
      <c r="AA268" s="65"/>
      <c r="AB268" s="65"/>
      <c r="AC268" s="65"/>
    </row>
    <row r="269">
      <c r="A269" s="64"/>
      <c r="B269" s="64"/>
      <c r="C269" s="64"/>
      <c r="D269" s="64"/>
      <c r="E269" s="64"/>
      <c r="F269" s="64"/>
      <c r="G269" s="64"/>
      <c r="H269" s="63"/>
      <c r="I269" s="64"/>
      <c r="J269" s="64"/>
      <c r="K269" s="64"/>
      <c r="L269" s="64"/>
      <c r="M269" s="64"/>
      <c r="N269" s="64"/>
      <c r="O269" s="64"/>
      <c r="P269" s="64"/>
      <c r="Q269" s="64"/>
      <c r="R269" s="65" t="str">
        <f>IF($A269="","",IFERROR(MINIFS(Candidates!$K$2:$K$2000,Candidates!$A$2:$A$2000,$A269),""))</f>
        <v/>
      </c>
      <c r="S269" s="65" t="str">
        <f>IF($A269="","",IFERROR(MAXIFS(Candidates!$AA$2:$AA$2000,Candidates!$A$2:$A$2000,$A269),""))</f>
        <v/>
      </c>
      <c r="T269" s="64" t="str">
        <f>IFERROR(__xludf.DUMMYFUNCTION("IF($A269="""","""",IFERROR(TEXTJOIN("", "",TRUE,UNIQUE(FILTER(Candidates!$B$2:$B$2000,Candidates!$A$2:$A$2000=$A269))),""""))"),"")</f>
        <v/>
      </c>
      <c r="U269" s="66" t="str">
        <f>IF($A269="","",COUNTIF(Candidates!$A$2:$A$2000,$A269))</f>
        <v/>
      </c>
      <c r="V269" s="64" t="str">
        <f>IFERROR(__xludf.DUMMYFUNCTION("IF($A269="""","""",IFERROR(INDEX(FILTER(Candidates!$S$2:$S$2000,Candidates!$A$2:$A$2000=$A269),COUNTIF(Candidates!$A$2:$A$2000,$A269)),""""))"),"")</f>
        <v/>
      </c>
      <c r="W269" s="64" t="str">
        <f>IFERROR(__xludf.DUMMYFUNCTION("IF($A269="""","""",IFERROR(INDEX(FILTER(Candidates!$T$2:$T$2000,Candidates!$A$2:$A$2000=$A269),COUNTIF(Candidates!$A$2:$A$2000,$A269)),""""))"),"")</f>
        <v/>
      </c>
      <c r="X269" s="64"/>
      <c r="Y269" s="64"/>
      <c r="Z269" s="65"/>
      <c r="AA269" s="65"/>
      <c r="AB269" s="65"/>
      <c r="AC269" s="65"/>
    </row>
    <row r="270">
      <c r="A270" s="64"/>
      <c r="B270" s="64"/>
      <c r="C270" s="64"/>
      <c r="D270" s="64"/>
      <c r="E270" s="64"/>
      <c r="F270" s="64"/>
      <c r="G270" s="64"/>
      <c r="H270" s="63"/>
      <c r="I270" s="64"/>
      <c r="J270" s="64"/>
      <c r="K270" s="64"/>
      <c r="L270" s="64"/>
      <c r="M270" s="64"/>
      <c r="N270" s="64"/>
      <c r="O270" s="64"/>
      <c r="P270" s="64"/>
      <c r="Q270" s="64"/>
      <c r="R270" s="65" t="str">
        <f>IF($A270="","",IFERROR(MINIFS(Candidates!$K$2:$K$2000,Candidates!$A$2:$A$2000,$A270),""))</f>
        <v/>
      </c>
      <c r="S270" s="65" t="str">
        <f>IF($A270="","",IFERROR(MAXIFS(Candidates!$AA$2:$AA$2000,Candidates!$A$2:$A$2000,$A270),""))</f>
        <v/>
      </c>
      <c r="T270" s="64" t="str">
        <f>IFERROR(__xludf.DUMMYFUNCTION("IF($A270="""","""",IFERROR(TEXTJOIN("", "",TRUE,UNIQUE(FILTER(Candidates!$B$2:$B$2000,Candidates!$A$2:$A$2000=$A270))),""""))"),"")</f>
        <v/>
      </c>
      <c r="U270" s="66" t="str">
        <f>IF($A270="","",COUNTIF(Candidates!$A$2:$A$2000,$A270))</f>
        <v/>
      </c>
      <c r="V270" s="64" t="str">
        <f>IFERROR(__xludf.DUMMYFUNCTION("IF($A270="""","""",IFERROR(INDEX(FILTER(Candidates!$S$2:$S$2000,Candidates!$A$2:$A$2000=$A270),COUNTIF(Candidates!$A$2:$A$2000,$A270)),""""))"),"")</f>
        <v/>
      </c>
      <c r="W270" s="64" t="str">
        <f>IFERROR(__xludf.DUMMYFUNCTION("IF($A270="""","""",IFERROR(INDEX(FILTER(Candidates!$T$2:$T$2000,Candidates!$A$2:$A$2000=$A270),COUNTIF(Candidates!$A$2:$A$2000,$A270)),""""))"),"")</f>
        <v/>
      </c>
      <c r="X270" s="64"/>
      <c r="Y270" s="64"/>
      <c r="Z270" s="65"/>
      <c r="AA270" s="65"/>
      <c r="AB270" s="65"/>
      <c r="AC270" s="65"/>
    </row>
    <row r="271">
      <c r="A271" s="64"/>
      <c r="B271" s="64"/>
      <c r="C271" s="64"/>
      <c r="D271" s="64"/>
      <c r="E271" s="64"/>
      <c r="F271" s="64"/>
      <c r="G271" s="64"/>
      <c r="H271" s="63"/>
      <c r="I271" s="64"/>
      <c r="J271" s="64"/>
      <c r="K271" s="64"/>
      <c r="L271" s="64"/>
      <c r="M271" s="64"/>
      <c r="N271" s="64"/>
      <c r="O271" s="64"/>
      <c r="P271" s="64"/>
      <c r="Q271" s="64"/>
      <c r="R271" s="65" t="str">
        <f>IF($A271="","",IFERROR(MINIFS(Candidates!$K$2:$K$2000,Candidates!$A$2:$A$2000,$A271),""))</f>
        <v/>
      </c>
      <c r="S271" s="65" t="str">
        <f>IF($A271="","",IFERROR(MAXIFS(Candidates!$AA$2:$AA$2000,Candidates!$A$2:$A$2000,$A271),""))</f>
        <v/>
      </c>
      <c r="T271" s="64" t="str">
        <f>IFERROR(__xludf.DUMMYFUNCTION("IF($A271="""","""",IFERROR(TEXTJOIN("", "",TRUE,UNIQUE(FILTER(Candidates!$B$2:$B$2000,Candidates!$A$2:$A$2000=$A271))),""""))"),"")</f>
        <v/>
      </c>
      <c r="U271" s="66" t="str">
        <f>IF($A271="","",COUNTIF(Candidates!$A$2:$A$2000,$A271))</f>
        <v/>
      </c>
      <c r="V271" s="64" t="str">
        <f>IFERROR(__xludf.DUMMYFUNCTION("IF($A271="""","""",IFERROR(INDEX(FILTER(Candidates!$S$2:$S$2000,Candidates!$A$2:$A$2000=$A271),COUNTIF(Candidates!$A$2:$A$2000,$A271)),""""))"),"")</f>
        <v/>
      </c>
      <c r="W271" s="64" t="str">
        <f>IFERROR(__xludf.DUMMYFUNCTION("IF($A271="""","""",IFERROR(INDEX(FILTER(Candidates!$T$2:$T$2000,Candidates!$A$2:$A$2000=$A271),COUNTIF(Candidates!$A$2:$A$2000,$A271)),""""))"),"")</f>
        <v/>
      </c>
      <c r="X271" s="64"/>
      <c r="Y271" s="64"/>
      <c r="Z271" s="65"/>
      <c r="AA271" s="65"/>
      <c r="AB271" s="65"/>
      <c r="AC271" s="65"/>
    </row>
    <row r="272">
      <c r="A272" s="64"/>
      <c r="B272" s="64"/>
      <c r="C272" s="64"/>
      <c r="D272" s="64"/>
      <c r="E272" s="64"/>
      <c r="F272" s="64"/>
      <c r="G272" s="64"/>
      <c r="H272" s="63"/>
      <c r="I272" s="64"/>
      <c r="J272" s="64"/>
      <c r="K272" s="64"/>
      <c r="L272" s="64"/>
      <c r="M272" s="64"/>
      <c r="N272" s="64"/>
      <c r="O272" s="64"/>
      <c r="P272" s="64"/>
      <c r="Q272" s="64"/>
      <c r="R272" s="65" t="str">
        <f>IF($A272="","",IFERROR(MINIFS(Candidates!$K$2:$K$2000,Candidates!$A$2:$A$2000,$A272),""))</f>
        <v/>
      </c>
      <c r="S272" s="65" t="str">
        <f>IF($A272="","",IFERROR(MAXIFS(Candidates!$AA$2:$AA$2000,Candidates!$A$2:$A$2000,$A272),""))</f>
        <v/>
      </c>
      <c r="T272" s="64" t="str">
        <f>IFERROR(__xludf.DUMMYFUNCTION("IF($A272="""","""",IFERROR(TEXTJOIN("", "",TRUE,UNIQUE(FILTER(Candidates!$B$2:$B$2000,Candidates!$A$2:$A$2000=$A272))),""""))"),"")</f>
        <v/>
      </c>
      <c r="U272" s="66" t="str">
        <f>IF($A272="","",COUNTIF(Candidates!$A$2:$A$2000,$A272))</f>
        <v/>
      </c>
      <c r="V272" s="64" t="str">
        <f>IFERROR(__xludf.DUMMYFUNCTION("IF($A272="""","""",IFERROR(INDEX(FILTER(Candidates!$S$2:$S$2000,Candidates!$A$2:$A$2000=$A272),COUNTIF(Candidates!$A$2:$A$2000,$A272)),""""))"),"")</f>
        <v/>
      </c>
      <c r="W272" s="64" t="str">
        <f>IFERROR(__xludf.DUMMYFUNCTION("IF($A272="""","""",IFERROR(INDEX(FILTER(Candidates!$T$2:$T$2000,Candidates!$A$2:$A$2000=$A272),COUNTIF(Candidates!$A$2:$A$2000,$A272)),""""))"),"")</f>
        <v/>
      </c>
      <c r="X272" s="64"/>
      <c r="Y272" s="64"/>
      <c r="Z272" s="65"/>
      <c r="AA272" s="65"/>
      <c r="AB272" s="65"/>
      <c r="AC272" s="65"/>
    </row>
    <row r="273">
      <c r="A273" s="64"/>
      <c r="B273" s="64"/>
      <c r="C273" s="64"/>
      <c r="D273" s="64"/>
      <c r="E273" s="64"/>
      <c r="F273" s="64"/>
      <c r="G273" s="64"/>
      <c r="H273" s="63"/>
      <c r="I273" s="64"/>
      <c r="J273" s="64"/>
      <c r="K273" s="64"/>
      <c r="L273" s="64"/>
      <c r="M273" s="64"/>
      <c r="N273" s="64"/>
      <c r="O273" s="64"/>
      <c r="P273" s="64"/>
      <c r="Q273" s="64"/>
      <c r="R273" s="65" t="str">
        <f>IF($A273="","",IFERROR(MINIFS(Candidates!$K$2:$K$2000,Candidates!$A$2:$A$2000,$A273),""))</f>
        <v/>
      </c>
      <c r="S273" s="65" t="str">
        <f>IF($A273="","",IFERROR(MAXIFS(Candidates!$AA$2:$AA$2000,Candidates!$A$2:$A$2000,$A273),""))</f>
        <v/>
      </c>
      <c r="T273" s="64" t="str">
        <f>IFERROR(__xludf.DUMMYFUNCTION("IF($A273="""","""",IFERROR(TEXTJOIN("", "",TRUE,UNIQUE(FILTER(Candidates!$B$2:$B$2000,Candidates!$A$2:$A$2000=$A273))),""""))"),"")</f>
        <v/>
      </c>
      <c r="U273" s="66" t="str">
        <f>IF($A273="","",COUNTIF(Candidates!$A$2:$A$2000,$A273))</f>
        <v/>
      </c>
      <c r="V273" s="64" t="str">
        <f>IFERROR(__xludf.DUMMYFUNCTION("IF($A273="""","""",IFERROR(INDEX(FILTER(Candidates!$S$2:$S$2000,Candidates!$A$2:$A$2000=$A273),COUNTIF(Candidates!$A$2:$A$2000,$A273)),""""))"),"")</f>
        <v/>
      </c>
      <c r="W273" s="64" t="str">
        <f>IFERROR(__xludf.DUMMYFUNCTION("IF($A273="""","""",IFERROR(INDEX(FILTER(Candidates!$T$2:$T$2000,Candidates!$A$2:$A$2000=$A273),COUNTIF(Candidates!$A$2:$A$2000,$A273)),""""))"),"")</f>
        <v/>
      </c>
      <c r="X273" s="64"/>
      <c r="Y273" s="64"/>
      <c r="Z273" s="65"/>
      <c r="AA273" s="65"/>
      <c r="AB273" s="65"/>
      <c r="AC273" s="65"/>
    </row>
    <row r="274">
      <c r="A274" s="64"/>
      <c r="B274" s="64"/>
      <c r="C274" s="64"/>
      <c r="D274" s="64"/>
      <c r="E274" s="64"/>
      <c r="F274" s="64"/>
      <c r="G274" s="64"/>
      <c r="H274" s="63"/>
      <c r="I274" s="64"/>
      <c r="J274" s="64"/>
      <c r="K274" s="64"/>
      <c r="L274" s="64"/>
      <c r="M274" s="64"/>
      <c r="N274" s="64"/>
      <c r="O274" s="64"/>
      <c r="P274" s="64"/>
      <c r="Q274" s="64"/>
      <c r="R274" s="65" t="str">
        <f>IF($A274="","",IFERROR(MINIFS(Candidates!$K$2:$K$2000,Candidates!$A$2:$A$2000,$A274),""))</f>
        <v/>
      </c>
      <c r="S274" s="65" t="str">
        <f>IF($A274="","",IFERROR(MAXIFS(Candidates!$AA$2:$AA$2000,Candidates!$A$2:$A$2000,$A274),""))</f>
        <v/>
      </c>
      <c r="T274" s="64" t="str">
        <f>IFERROR(__xludf.DUMMYFUNCTION("IF($A274="""","""",IFERROR(TEXTJOIN("", "",TRUE,UNIQUE(FILTER(Candidates!$B$2:$B$2000,Candidates!$A$2:$A$2000=$A274))),""""))"),"")</f>
        <v/>
      </c>
      <c r="U274" s="66" t="str">
        <f>IF($A274="","",COUNTIF(Candidates!$A$2:$A$2000,$A274))</f>
        <v/>
      </c>
      <c r="V274" s="64" t="str">
        <f>IFERROR(__xludf.DUMMYFUNCTION("IF($A274="""","""",IFERROR(INDEX(FILTER(Candidates!$S$2:$S$2000,Candidates!$A$2:$A$2000=$A274),COUNTIF(Candidates!$A$2:$A$2000,$A274)),""""))"),"")</f>
        <v/>
      </c>
      <c r="W274" s="64" t="str">
        <f>IFERROR(__xludf.DUMMYFUNCTION("IF($A274="""","""",IFERROR(INDEX(FILTER(Candidates!$T$2:$T$2000,Candidates!$A$2:$A$2000=$A274),COUNTIF(Candidates!$A$2:$A$2000,$A274)),""""))"),"")</f>
        <v/>
      </c>
      <c r="X274" s="64"/>
      <c r="Y274" s="64"/>
      <c r="Z274" s="65"/>
      <c r="AA274" s="65"/>
      <c r="AB274" s="65"/>
      <c r="AC274" s="65"/>
    </row>
    <row r="275">
      <c r="A275" s="64"/>
      <c r="B275" s="64"/>
      <c r="C275" s="64"/>
      <c r="D275" s="64"/>
      <c r="E275" s="64"/>
      <c r="F275" s="64"/>
      <c r="G275" s="64"/>
      <c r="H275" s="63"/>
      <c r="I275" s="64"/>
      <c r="J275" s="64"/>
      <c r="K275" s="64"/>
      <c r="L275" s="64"/>
      <c r="M275" s="64"/>
      <c r="N275" s="64"/>
      <c r="O275" s="64"/>
      <c r="P275" s="64"/>
      <c r="Q275" s="64"/>
      <c r="R275" s="65" t="str">
        <f>IF($A275="","",IFERROR(MINIFS(Candidates!$K$2:$K$2000,Candidates!$A$2:$A$2000,$A275),""))</f>
        <v/>
      </c>
      <c r="S275" s="65" t="str">
        <f>IF($A275="","",IFERROR(MAXIFS(Candidates!$AA$2:$AA$2000,Candidates!$A$2:$A$2000,$A275),""))</f>
        <v/>
      </c>
      <c r="T275" s="64" t="str">
        <f>IFERROR(__xludf.DUMMYFUNCTION("IF($A275="""","""",IFERROR(TEXTJOIN("", "",TRUE,UNIQUE(FILTER(Candidates!$B$2:$B$2000,Candidates!$A$2:$A$2000=$A275))),""""))"),"")</f>
        <v/>
      </c>
      <c r="U275" s="66" t="str">
        <f>IF($A275="","",COUNTIF(Candidates!$A$2:$A$2000,$A275))</f>
        <v/>
      </c>
      <c r="V275" s="64" t="str">
        <f>IFERROR(__xludf.DUMMYFUNCTION("IF($A275="""","""",IFERROR(INDEX(FILTER(Candidates!$S$2:$S$2000,Candidates!$A$2:$A$2000=$A275),COUNTIF(Candidates!$A$2:$A$2000,$A275)),""""))"),"")</f>
        <v/>
      </c>
      <c r="W275" s="64" t="str">
        <f>IFERROR(__xludf.DUMMYFUNCTION("IF($A275="""","""",IFERROR(INDEX(FILTER(Candidates!$T$2:$T$2000,Candidates!$A$2:$A$2000=$A275),COUNTIF(Candidates!$A$2:$A$2000,$A275)),""""))"),"")</f>
        <v/>
      </c>
      <c r="X275" s="64"/>
      <c r="Y275" s="64"/>
      <c r="Z275" s="65"/>
      <c r="AA275" s="65"/>
      <c r="AB275" s="65"/>
      <c r="AC275" s="65"/>
    </row>
    <row r="276">
      <c r="A276" s="64"/>
      <c r="B276" s="64"/>
      <c r="C276" s="64"/>
      <c r="D276" s="64"/>
      <c r="E276" s="64"/>
      <c r="F276" s="64"/>
      <c r="G276" s="64"/>
      <c r="H276" s="63"/>
      <c r="I276" s="64"/>
      <c r="J276" s="64"/>
      <c r="K276" s="64"/>
      <c r="L276" s="64"/>
      <c r="M276" s="64"/>
      <c r="N276" s="64"/>
      <c r="O276" s="64"/>
      <c r="P276" s="64"/>
      <c r="Q276" s="64"/>
      <c r="R276" s="65" t="str">
        <f>IF($A276="","",IFERROR(MINIFS(Candidates!$K$2:$K$2000,Candidates!$A$2:$A$2000,$A276),""))</f>
        <v/>
      </c>
      <c r="S276" s="65" t="str">
        <f>IF($A276="","",IFERROR(MAXIFS(Candidates!$AA$2:$AA$2000,Candidates!$A$2:$A$2000,$A276),""))</f>
        <v/>
      </c>
      <c r="T276" s="64" t="str">
        <f>IFERROR(__xludf.DUMMYFUNCTION("IF($A276="""","""",IFERROR(TEXTJOIN("", "",TRUE,UNIQUE(FILTER(Candidates!$B$2:$B$2000,Candidates!$A$2:$A$2000=$A276))),""""))"),"")</f>
        <v/>
      </c>
      <c r="U276" s="66" t="str">
        <f>IF($A276="","",COUNTIF(Candidates!$A$2:$A$2000,$A276))</f>
        <v/>
      </c>
      <c r="V276" s="64" t="str">
        <f>IFERROR(__xludf.DUMMYFUNCTION("IF($A276="""","""",IFERROR(INDEX(FILTER(Candidates!$S$2:$S$2000,Candidates!$A$2:$A$2000=$A276),COUNTIF(Candidates!$A$2:$A$2000,$A276)),""""))"),"")</f>
        <v/>
      </c>
      <c r="W276" s="64" t="str">
        <f>IFERROR(__xludf.DUMMYFUNCTION("IF($A276="""","""",IFERROR(INDEX(FILTER(Candidates!$T$2:$T$2000,Candidates!$A$2:$A$2000=$A276),COUNTIF(Candidates!$A$2:$A$2000,$A276)),""""))"),"")</f>
        <v/>
      </c>
      <c r="X276" s="64"/>
      <c r="Y276" s="64"/>
      <c r="Z276" s="65"/>
      <c r="AA276" s="65"/>
      <c r="AB276" s="65"/>
      <c r="AC276" s="65"/>
    </row>
    <row r="277">
      <c r="A277" s="64"/>
      <c r="B277" s="64"/>
      <c r="C277" s="64"/>
      <c r="D277" s="64"/>
      <c r="E277" s="64"/>
      <c r="F277" s="64"/>
      <c r="G277" s="64"/>
      <c r="H277" s="63"/>
      <c r="I277" s="64"/>
      <c r="J277" s="64"/>
      <c r="K277" s="64"/>
      <c r="L277" s="64"/>
      <c r="M277" s="64"/>
      <c r="N277" s="64"/>
      <c r="O277" s="64"/>
      <c r="P277" s="64"/>
      <c r="Q277" s="64"/>
      <c r="R277" s="65" t="str">
        <f>IF($A277="","",IFERROR(MINIFS(Candidates!$K$2:$K$2000,Candidates!$A$2:$A$2000,$A277),""))</f>
        <v/>
      </c>
      <c r="S277" s="65" t="str">
        <f>IF($A277="","",IFERROR(MAXIFS(Candidates!$AA$2:$AA$2000,Candidates!$A$2:$A$2000,$A277),""))</f>
        <v/>
      </c>
      <c r="T277" s="64" t="str">
        <f>IFERROR(__xludf.DUMMYFUNCTION("IF($A277="""","""",IFERROR(TEXTJOIN("", "",TRUE,UNIQUE(FILTER(Candidates!$B$2:$B$2000,Candidates!$A$2:$A$2000=$A277))),""""))"),"")</f>
        <v/>
      </c>
      <c r="U277" s="66" t="str">
        <f>IF($A277="","",COUNTIF(Candidates!$A$2:$A$2000,$A277))</f>
        <v/>
      </c>
      <c r="V277" s="64" t="str">
        <f>IFERROR(__xludf.DUMMYFUNCTION("IF($A277="""","""",IFERROR(INDEX(FILTER(Candidates!$S$2:$S$2000,Candidates!$A$2:$A$2000=$A277),COUNTIF(Candidates!$A$2:$A$2000,$A277)),""""))"),"")</f>
        <v/>
      </c>
      <c r="W277" s="64" t="str">
        <f>IFERROR(__xludf.DUMMYFUNCTION("IF($A277="""","""",IFERROR(INDEX(FILTER(Candidates!$T$2:$T$2000,Candidates!$A$2:$A$2000=$A277),COUNTIF(Candidates!$A$2:$A$2000,$A277)),""""))"),"")</f>
        <v/>
      </c>
      <c r="X277" s="64"/>
      <c r="Y277" s="64"/>
      <c r="Z277" s="65"/>
      <c r="AA277" s="65"/>
      <c r="AB277" s="65"/>
      <c r="AC277" s="65"/>
    </row>
    <row r="278">
      <c r="A278" s="64"/>
      <c r="B278" s="64"/>
      <c r="C278" s="64"/>
      <c r="D278" s="64"/>
      <c r="E278" s="64"/>
      <c r="F278" s="64"/>
      <c r="G278" s="64"/>
      <c r="H278" s="63"/>
      <c r="I278" s="64"/>
      <c r="J278" s="64"/>
      <c r="K278" s="64"/>
      <c r="L278" s="64"/>
      <c r="M278" s="64"/>
      <c r="N278" s="64"/>
      <c r="O278" s="64"/>
      <c r="P278" s="64"/>
      <c r="Q278" s="64"/>
      <c r="R278" s="65" t="str">
        <f>IF($A278="","",IFERROR(MINIFS(Candidates!$K$2:$K$2000,Candidates!$A$2:$A$2000,$A278),""))</f>
        <v/>
      </c>
      <c r="S278" s="65" t="str">
        <f>IF($A278="","",IFERROR(MAXIFS(Candidates!$AA$2:$AA$2000,Candidates!$A$2:$A$2000,$A278),""))</f>
        <v/>
      </c>
      <c r="T278" s="64" t="str">
        <f>IFERROR(__xludf.DUMMYFUNCTION("IF($A278="""","""",IFERROR(TEXTJOIN("", "",TRUE,UNIQUE(FILTER(Candidates!$B$2:$B$2000,Candidates!$A$2:$A$2000=$A278))),""""))"),"")</f>
        <v/>
      </c>
      <c r="U278" s="66" t="str">
        <f>IF($A278="","",COUNTIF(Candidates!$A$2:$A$2000,$A278))</f>
        <v/>
      </c>
      <c r="V278" s="64" t="str">
        <f>IFERROR(__xludf.DUMMYFUNCTION("IF($A278="""","""",IFERROR(INDEX(FILTER(Candidates!$S$2:$S$2000,Candidates!$A$2:$A$2000=$A278),COUNTIF(Candidates!$A$2:$A$2000,$A278)),""""))"),"")</f>
        <v/>
      </c>
      <c r="W278" s="64" t="str">
        <f>IFERROR(__xludf.DUMMYFUNCTION("IF($A278="""","""",IFERROR(INDEX(FILTER(Candidates!$T$2:$T$2000,Candidates!$A$2:$A$2000=$A278),COUNTIF(Candidates!$A$2:$A$2000,$A278)),""""))"),"")</f>
        <v/>
      </c>
      <c r="X278" s="64"/>
      <c r="Y278" s="64"/>
      <c r="Z278" s="65"/>
      <c r="AA278" s="65"/>
      <c r="AB278" s="65"/>
      <c r="AC278" s="65"/>
    </row>
    <row r="279">
      <c r="A279" s="64"/>
      <c r="B279" s="64"/>
      <c r="C279" s="64"/>
      <c r="D279" s="64"/>
      <c r="E279" s="64"/>
      <c r="F279" s="64"/>
      <c r="G279" s="64"/>
      <c r="H279" s="63"/>
      <c r="I279" s="64"/>
      <c r="J279" s="64"/>
      <c r="K279" s="64"/>
      <c r="L279" s="64"/>
      <c r="M279" s="64"/>
      <c r="N279" s="64"/>
      <c r="O279" s="64"/>
      <c r="P279" s="64"/>
      <c r="Q279" s="64"/>
      <c r="R279" s="65" t="str">
        <f>IF($A279="","",IFERROR(MINIFS(Candidates!$K$2:$K$2000,Candidates!$A$2:$A$2000,$A279),""))</f>
        <v/>
      </c>
      <c r="S279" s="65" t="str">
        <f>IF($A279="","",IFERROR(MAXIFS(Candidates!$AA$2:$AA$2000,Candidates!$A$2:$A$2000,$A279),""))</f>
        <v/>
      </c>
      <c r="T279" s="64" t="str">
        <f>IFERROR(__xludf.DUMMYFUNCTION("IF($A279="""","""",IFERROR(TEXTJOIN("", "",TRUE,UNIQUE(FILTER(Candidates!$B$2:$B$2000,Candidates!$A$2:$A$2000=$A279))),""""))"),"")</f>
        <v/>
      </c>
      <c r="U279" s="66" t="str">
        <f>IF($A279="","",COUNTIF(Candidates!$A$2:$A$2000,$A279))</f>
        <v/>
      </c>
      <c r="V279" s="64" t="str">
        <f>IFERROR(__xludf.DUMMYFUNCTION("IF($A279="""","""",IFERROR(INDEX(FILTER(Candidates!$S$2:$S$2000,Candidates!$A$2:$A$2000=$A279),COUNTIF(Candidates!$A$2:$A$2000,$A279)),""""))"),"")</f>
        <v/>
      </c>
      <c r="W279" s="64" t="str">
        <f>IFERROR(__xludf.DUMMYFUNCTION("IF($A279="""","""",IFERROR(INDEX(FILTER(Candidates!$T$2:$T$2000,Candidates!$A$2:$A$2000=$A279),COUNTIF(Candidates!$A$2:$A$2000,$A279)),""""))"),"")</f>
        <v/>
      </c>
      <c r="X279" s="64"/>
      <c r="Y279" s="64"/>
      <c r="Z279" s="65"/>
      <c r="AA279" s="65"/>
      <c r="AB279" s="65"/>
      <c r="AC279" s="65"/>
    </row>
    <row r="280">
      <c r="A280" s="64"/>
      <c r="B280" s="64"/>
      <c r="C280" s="64"/>
      <c r="D280" s="64"/>
      <c r="E280" s="64"/>
      <c r="F280" s="64"/>
      <c r="G280" s="64"/>
      <c r="H280" s="63"/>
      <c r="I280" s="64"/>
      <c r="J280" s="64"/>
      <c r="K280" s="64"/>
      <c r="L280" s="64"/>
      <c r="M280" s="64"/>
      <c r="N280" s="64"/>
      <c r="O280" s="64"/>
      <c r="P280" s="64"/>
      <c r="Q280" s="64"/>
      <c r="R280" s="65" t="str">
        <f>IF($A280="","",IFERROR(MINIFS(Candidates!$K$2:$K$2000,Candidates!$A$2:$A$2000,$A280),""))</f>
        <v/>
      </c>
      <c r="S280" s="65" t="str">
        <f>IF($A280="","",IFERROR(MAXIFS(Candidates!$AA$2:$AA$2000,Candidates!$A$2:$A$2000,$A280),""))</f>
        <v/>
      </c>
      <c r="T280" s="64" t="str">
        <f>IFERROR(__xludf.DUMMYFUNCTION("IF($A280="""","""",IFERROR(TEXTJOIN("", "",TRUE,UNIQUE(FILTER(Candidates!$B$2:$B$2000,Candidates!$A$2:$A$2000=$A280))),""""))"),"")</f>
        <v/>
      </c>
      <c r="U280" s="66" t="str">
        <f>IF($A280="","",COUNTIF(Candidates!$A$2:$A$2000,$A280))</f>
        <v/>
      </c>
      <c r="V280" s="64" t="str">
        <f>IFERROR(__xludf.DUMMYFUNCTION("IF($A280="""","""",IFERROR(INDEX(FILTER(Candidates!$S$2:$S$2000,Candidates!$A$2:$A$2000=$A280),COUNTIF(Candidates!$A$2:$A$2000,$A280)),""""))"),"")</f>
        <v/>
      </c>
      <c r="W280" s="64" t="str">
        <f>IFERROR(__xludf.DUMMYFUNCTION("IF($A280="""","""",IFERROR(INDEX(FILTER(Candidates!$T$2:$T$2000,Candidates!$A$2:$A$2000=$A280),COUNTIF(Candidates!$A$2:$A$2000,$A280)),""""))"),"")</f>
        <v/>
      </c>
      <c r="X280" s="64"/>
      <c r="Y280" s="64"/>
      <c r="Z280" s="65"/>
      <c r="AA280" s="65"/>
      <c r="AB280" s="65"/>
      <c r="AC280" s="65"/>
    </row>
    <row r="281">
      <c r="A281" s="64"/>
      <c r="B281" s="64"/>
      <c r="C281" s="64"/>
      <c r="D281" s="64"/>
      <c r="E281" s="64"/>
      <c r="F281" s="64"/>
      <c r="G281" s="64"/>
      <c r="H281" s="63"/>
      <c r="I281" s="64"/>
      <c r="J281" s="64"/>
      <c r="K281" s="64"/>
      <c r="L281" s="64"/>
      <c r="M281" s="64"/>
      <c r="N281" s="64"/>
      <c r="O281" s="64"/>
      <c r="P281" s="64"/>
      <c r="Q281" s="64"/>
      <c r="R281" s="65" t="str">
        <f>IF($A281="","",IFERROR(MINIFS(Candidates!$K$2:$K$2000,Candidates!$A$2:$A$2000,$A281),""))</f>
        <v/>
      </c>
      <c r="S281" s="65" t="str">
        <f>IF($A281="","",IFERROR(MAXIFS(Candidates!$AA$2:$AA$2000,Candidates!$A$2:$A$2000,$A281),""))</f>
        <v/>
      </c>
      <c r="T281" s="64" t="str">
        <f>IFERROR(__xludf.DUMMYFUNCTION("IF($A281="""","""",IFERROR(TEXTJOIN("", "",TRUE,UNIQUE(FILTER(Candidates!$B$2:$B$2000,Candidates!$A$2:$A$2000=$A281))),""""))"),"")</f>
        <v/>
      </c>
      <c r="U281" s="66" t="str">
        <f>IF($A281="","",COUNTIF(Candidates!$A$2:$A$2000,$A281))</f>
        <v/>
      </c>
      <c r="V281" s="64" t="str">
        <f>IFERROR(__xludf.DUMMYFUNCTION("IF($A281="""","""",IFERROR(INDEX(FILTER(Candidates!$S$2:$S$2000,Candidates!$A$2:$A$2000=$A281),COUNTIF(Candidates!$A$2:$A$2000,$A281)),""""))"),"")</f>
        <v/>
      </c>
      <c r="W281" s="64" t="str">
        <f>IFERROR(__xludf.DUMMYFUNCTION("IF($A281="""","""",IFERROR(INDEX(FILTER(Candidates!$T$2:$T$2000,Candidates!$A$2:$A$2000=$A281),COUNTIF(Candidates!$A$2:$A$2000,$A281)),""""))"),"")</f>
        <v/>
      </c>
      <c r="X281" s="64"/>
      <c r="Y281" s="64"/>
      <c r="Z281" s="65"/>
      <c r="AA281" s="65"/>
      <c r="AB281" s="65"/>
      <c r="AC281" s="65"/>
    </row>
    <row r="282">
      <c r="A282" s="64"/>
      <c r="B282" s="64"/>
      <c r="C282" s="64"/>
      <c r="D282" s="64"/>
      <c r="E282" s="64"/>
      <c r="F282" s="64"/>
      <c r="G282" s="64"/>
      <c r="H282" s="63"/>
      <c r="I282" s="64"/>
      <c r="J282" s="64"/>
      <c r="K282" s="64"/>
      <c r="L282" s="64"/>
      <c r="M282" s="64"/>
      <c r="N282" s="64"/>
      <c r="O282" s="64"/>
      <c r="P282" s="64"/>
      <c r="Q282" s="64"/>
      <c r="R282" s="65" t="str">
        <f>IF($A282="","",IFERROR(MINIFS(Candidates!$K$2:$K$2000,Candidates!$A$2:$A$2000,$A282),""))</f>
        <v/>
      </c>
      <c r="S282" s="65" t="str">
        <f>IF($A282="","",IFERROR(MAXIFS(Candidates!$AA$2:$AA$2000,Candidates!$A$2:$A$2000,$A282),""))</f>
        <v/>
      </c>
      <c r="T282" s="64" t="str">
        <f>IFERROR(__xludf.DUMMYFUNCTION("IF($A282="""","""",IFERROR(TEXTJOIN("", "",TRUE,UNIQUE(FILTER(Candidates!$B$2:$B$2000,Candidates!$A$2:$A$2000=$A282))),""""))"),"")</f>
        <v/>
      </c>
      <c r="U282" s="66" t="str">
        <f>IF($A282="","",COUNTIF(Candidates!$A$2:$A$2000,$A282))</f>
        <v/>
      </c>
      <c r="V282" s="64" t="str">
        <f>IFERROR(__xludf.DUMMYFUNCTION("IF($A282="""","""",IFERROR(INDEX(FILTER(Candidates!$S$2:$S$2000,Candidates!$A$2:$A$2000=$A282),COUNTIF(Candidates!$A$2:$A$2000,$A282)),""""))"),"")</f>
        <v/>
      </c>
      <c r="W282" s="64" t="str">
        <f>IFERROR(__xludf.DUMMYFUNCTION("IF($A282="""","""",IFERROR(INDEX(FILTER(Candidates!$T$2:$T$2000,Candidates!$A$2:$A$2000=$A282),COUNTIF(Candidates!$A$2:$A$2000,$A282)),""""))"),"")</f>
        <v/>
      </c>
      <c r="X282" s="64"/>
      <c r="Y282" s="64"/>
      <c r="Z282" s="65"/>
      <c r="AA282" s="65"/>
      <c r="AB282" s="65"/>
      <c r="AC282" s="65"/>
    </row>
    <row r="283">
      <c r="A283" s="64"/>
      <c r="B283" s="64"/>
      <c r="C283" s="64"/>
      <c r="D283" s="64"/>
      <c r="E283" s="64"/>
      <c r="F283" s="64"/>
      <c r="G283" s="64"/>
      <c r="H283" s="63"/>
      <c r="I283" s="64"/>
      <c r="J283" s="64"/>
      <c r="K283" s="64"/>
      <c r="L283" s="64"/>
      <c r="M283" s="64"/>
      <c r="N283" s="64"/>
      <c r="O283" s="64"/>
      <c r="P283" s="64"/>
      <c r="Q283" s="64"/>
      <c r="R283" s="65" t="str">
        <f>IF($A283="","",IFERROR(MINIFS(Candidates!$K$2:$K$2000,Candidates!$A$2:$A$2000,$A283),""))</f>
        <v/>
      </c>
      <c r="S283" s="65" t="str">
        <f>IF($A283="","",IFERROR(MAXIFS(Candidates!$AA$2:$AA$2000,Candidates!$A$2:$A$2000,$A283),""))</f>
        <v/>
      </c>
      <c r="T283" s="64" t="str">
        <f>IFERROR(__xludf.DUMMYFUNCTION("IF($A283="""","""",IFERROR(TEXTJOIN("", "",TRUE,UNIQUE(FILTER(Candidates!$B$2:$B$2000,Candidates!$A$2:$A$2000=$A283))),""""))"),"")</f>
        <v/>
      </c>
      <c r="U283" s="66" t="str">
        <f>IF($A283="","",COUNTIF(Candidates!$A$2:$A$2000,$A283))</f>
        <v/>
      </c>
      <c r="V283" s="64" t="str">
        <f>IFERROR(__xludf.DUMMYFUNCTION("IF($A283="""","""",IFERROR(INDEX(FILTER(Candidates!$S$2:$S$2000,Candidates!$A$2:$A$2000=$A283),COUNTIF(Candidates!$A$2:$A$2000,$A283)),""""))"),"")</f>
        <v/>
      </c>
      <c r="W283" s="64" t="str">
        <f>IFERROR(__xludf.DUMMYFUNCTION("IF($A283="""","""",IFERROR(INDEX(FILTER(Candidates!$T$2:$T$2000,Candidates!$A$2:$A$2000=$A283),COUNTIF(Candidates!$A$2:$A$2000,$A283)),""""))"),"")</f>
        <v/>
      </c>
      <c r="X283" s="64"/>
      <c r="Y283" s="64"/>
      <c r="Z283" s="65"/>
      <c r="AA283" s="65"/>
      <c r="AB283" s="65"/>
      <c r="AC283" s="65"/>
    </row>
    <row r="284">
      <c r="A284" s="64"/>
      <c r="B284" s="64"/>
      <c r="C284" s="64"/>
      <c r="D284" s="64"/>
      <c r="E284" s="64"/>
      <c r="F284" s="64"/>
      <c r="G284" s="64"/>
      <c r="H284" s="63"/>
      <c r="I284" s="64"/>
      <c r="J284" s="64"/>
      <c r="K284" s="64"/>
      <c r="L284" s="64"/>
      <c r="M284" s="64"/>
      <c r="N284" s="64"/>
      <c r="O284" s="64"/>
      <c r="P284" s="64"/>
      <c r="Q284" s="64"/>
      <c r="R284" s="65" t="str">
        <f>IF($A284="","",IFERROR(MINIFS(Candidates!$K$2:$K$2000,Candidates!$A$2:$A$2000,$A284),""))</f>
        <v/>
      </c>
      <c r="S284" s="65" t="str">
        <f>IF($A284="","",IFERROR(MAXIFS(Candidates!$AA$2:$AA$2000,Candidates!$A$2:$A$2000,$A284),""))</f>
        <v/>
      </c>
      <c r="T284" s="64" t="str">
        <f>IFERROR(__xludf.DUMMYFUNCTION("IF($A284="""","""",IFERROR(TEXTJOIN("", "",TRUE,UNIQUE(FILTER(Candidates!$B$2:$B$2000,Candidates!$A$2:$A$2000=$A284))),""""))"),"")</f>
        <v/>
      </c>
      <c r="U284" s="66" t="str">
        <f>IF($A284="","",COUNTIF(Candidates!$A$2:$A$2000,$A284))</f>
        <v/>
      </c>
      <c r="V284" s="64" t="str">
        <f>IFERROR(__xludf.DUMMYFUNCTION("IF($A284="""","""",IFERROR(INDEX(FILTER(Candidates!$S$2:$S$2000,Candidates!$A$2:$A$2000=$A284),COUNTIF(Candidates!$A$2:$A$2000,$A284)),""""))"),"")</f>
        <v/>
      </c>
      <c r="W284" s="64" t="str">
        <f>IFERROR(__xludf.DUMMYFUNCTION("IF($A284="""","""",IFERROR(INDEX(FILTER(Candidates!$T$2:$T$2000,Candidates!$A$2:$A$2000=$A284),COUNTIF(Candidates!$A$2:$A$2000,$A284)),""""))"),"")</f>
        <v/>
      </c>
      <c r="X284" s="64"/>
      <c r="Y284" s="64"/>
      <c r="Z284" s="65"/>
      <c r="AA284" s="65"/>
      <c r="AB284" s="65"/>
      <c r="AC284" s="65"/>
    </row>
    <row r="285">
      <c r="A285" s="64"/>
      <c r="B285" s="64"/>
      <c r="C285" s="64"/>
      <c r="D285" s="64"/>
      <c r="E285" s="64"/>
      <c r="F285" s="64"/>
      <c r="G285" s="64"/>
      <c r="H285" s="63"/>
      <c r="I285" s="64"/>
      <c r="J285" s="64"/>
      <c r="K285" s="64"/>
      <c r="L285" s="64"/>
      <c r="M285" s="64"/>
      <c r="N285" s="64"/>
      <c r="O285" s="64"/>
      <c r="P285" s="64"/>
      <c r="Q285" s="64"/>
      <c r="R285" s="65" t="str">
        <f>IF($A285="","",IFERROR(MINIFS(Candidates!$K$2:$K$2000,Candidates!$A$2:$A$2000,$A285),""))</f>
        <v/>
      </c>
      <c r="S285" s="65" t="str">
        <f>IF($A285="","",IFERROR(MAXIFS(Candidates!$AA$2:$AA$2000,Candidates!$A$2:$A$2000,$A285),""))</f>
        <v/>
      </c>
      <c r="T285" s="64" t="str">
        <f>IFERROR(__xludf.DUMMYFUNCTION("IF($A285="""","""",IFERROR(TEXTJOIN("", "",TRUE,UNIQUE(FILTER(Candidates!$B$2:$B$2000,Candidates!$A$2:$A$2000=$A285))),""""))"),"")</f>
        <v/>
      </c>
      <c r="U285" s="66" t="str">
        <f>IF($A285="","",COUNTIF(Candidates!$A$2:$A$2000,$A285))</f>
        <v/>
      </c>
      <c r="V285" s="64" t="str">
        <f>IFERROR(__xludf.DUMMYFUNCTION("IF($A285="""","""",IFERROR(INDEX(FILTER(Candidates!$S$2:$S$2000,Candidates!$A$2:$A$2000=$A285),COUNTIF(Candidates!$A$2:$A$2000,$A285)),""""))"),"")</f>
        <v/>
      </c>
      <c r="W285" s="64" t="str">
        <f>IFERROR(__xludf.DUMMYFUNCTION("IF($A285="""","""",IFERROR(INDEX(FILTER(Candidates!$T$2:$T$2000,Candidates!$A$2:$A$2000=$A285),COUNTIF(Candidates!$A$2:$A$2000,$A285)),""""))"),"")</f>
        <v/>
      </c>
      <c r="X285" s="64"/>
      <c r="Y285" s="64"/>
      <c r="Z285" s="65"/>
      <c r="AA285" s="65"/>
      <c r="AB285" s="65"/>
      <c r="AC285" s="65"/>
    </row>
    <row r="286">
      <c r="A286" s="64"/>
      <c r="B286" s="64"/>
      <c r="C286" s="64"/>
      <c r="D286" s="64"/>
      <c r="E286" s="64"/>
      <c r="F286" s="64"/>
      <c r="G286" s="64"/>
      <c r="H286" s="63"/>
      <c r="I286" s="64"/>
      <c r="J286" s="64"/>
      <c r="K286" s="64"/>
      <c r="L286" s="64"/>
      <c r="M286" s="64"/>
      <c r="N286" s="64"/>
      <c r="O286" s="64"/>
      <c r="P286" s="64"/>
      <c r="Q286" s="64"/>
      <c r="R286" s="65" t="str">
        <f>IF($A286="","",IFERROR(MINIFS(Candidates!$K$2:$K$2000,Candidates!$A$2:$A$2000,$A286),""))</f>
        <v/>
      </c>
      <c r="S286" s="65" t="str">
        <f>IF($A286="","",IFERROR(MAXIFS(Candidates!$AA$2:$AA$2000,Candidates!$A$2:$A$2000,$A286),""))</f>
        <v/>
      </c>
      <c r="T286" s="64" t="str">
        <f>IFERROR(__xludf.DUMMYFUNCTION("IF($A286="""","""",IFERROR(TEXTJOIN("", "",TRUE,UNIQUE(FILTER(Candidates!$B$2:$B$2000,Candidates!$A$2:$A$2000=$A286))),""""))"),"")</f>
        <v/>
      </c>
      <c r="U286" s="66" t="str">
        <f>IF($A286="","",COUNTIF(Candidates!$A$2:$A$2000,$A286))</f>
        <v/>
      </c>
      <c r="V286" s="64" t="str">
        <f>IFERROR(__xludf.DUMMYFUNCTION("IF($A286="""","""",IFERROR(INDEX(FILTER(Candidates!$S$2:$S$2000,Candidates!$A$2:$A$2000=$A286),COUNTIF(Candidates!$A$2:$A$2000,$A286)),""""))"),"")</f>
        <v/>
      </c>
      <c r="W286" s="64" t="str">
        <f>IFERROR(__xludf.DUMMYFUNCTION("IF($A286="""","""",IFERROR(INDEX(FILTER(Candidates!$T$2:$T$2000,Candidates!$A$2:$A$2000=$A286),COUNTIF(Candidates!$A$2:$A$2000,$A286)),""""))"),"")</f>
        <v/>
      </c>
      <c r="X286" s="64"/>
      <c r="Y286" s="64"/>
      <c r="Z286" s="65"/>
      <c r="AA286" s="65"/>
      <c r="AB286" s="65"/>
      <c r="AC286" s="65"/>
    </row>
    <row r="287">
      <c r="A287" s="64"/>
      <c r="B287" s="64"/>
      <c r="C287" s="64"/>
      <c r="D287" s="64"/>
      <c r="E287" s="64"/>
      <c r="F287" s="64"/>
      <c r="G287" s="64"/>
      <c r="H287" s="63"/>
      <c r="I287" s="64"/>
      <c r="J287" s="64"/>
      <c r="K287" s="64"/>
      <c r="L287" s="64"/>
      <c r="M287" s="64"/>
      <c r="N287" s="64"/>
      <c r="O287" s="64"/>
      <c r="P287" s="64"/>
      <c r="Q287" s="64"/>
      <c r="R287" s="65" t="str">
        <f>IF($A287="","",IFERROR(MINIFS(Candidates!$K$2:$K$2000,Candidates!$A$2:$A$2000,$A287),""))</f>
        <v/>
      </c>
      <c r="S287" s="65" t="str">
        <f>IF($A287="","",IFERROR(MAXIFS(Candidates!$AA$2:$AA$2000,Candidates!$A$2:$A$2000,$A287),""))</f>
        <v/>
      </c>
      <c r="T287" s="64" t="str">
        <f>IFERROR(__xludf.DUMMYFUNCTION("IF($A287="""","""",IFERROR(TEXTJOIN("", "",TRUE,UNIQUE(FILTER(Candidates!$B$2:$B$2000,Candidates!$A$2:$A$2000=$A287))),""""))"),"")</f>
        <v/>
      </c>
      <c r="U287" s="66" t="str">
        <f>IF($A287="","",COUNTIF(Candidates!$A$2:$A$2000,$A287))</f>
        <v/>
      </c>
      <c r="V287" s="64" t="str">
        <f>IFERROR(__xludf.DUMMYFUNCTION("IF($A287="""","""",IFERROR(INDEX(FILTER(Candidates!$S$2:$S$2000,Candidates!$A$2:$A$2000=$A287),COUNTIF(Candidates!$A$2:$A$2000,$A287)),""""))"),"")</f>
        <v/>
      </c>
      <c r="W287" s="64" t="str">
        <f>IFERROR(__xludf.DUMMYFUNCTION("IF($A287="""","""",IFERROR(INDEX(FILTER(Candidates!$T$2:$T$2000,Candidates!$A$2:$A$2000=$A287),COUNTIF(Candidates!$A$2:$A$2000,$A287)),""""))"),"")</f>
        <v/>
      </c>
      <c r="X287" s="64"/>
      <c r="Y287" s="64"/>
      <c r="Z287" s="65"/>
      <c r="AA287" s="65"/>
      <c r="AB287" s="65"/>
      <c r="AC287" s="65"/>
    </row>
    <row r="288">
      <c r="A288" s="64"/>
      <c r="B288" s="64"/>
      <c r="C288" s="64"/>
      <c r="D288" s="64"/>
      <c r="E288" s="64"/>
      <c r="F288" s="64"/>
      <c r="G288" s="64"/>
      <c r="H288" s="63"/>
      <c r="I288" s="64"/>
      <c r="J288" s="64"/>
      <c r="K288" s="64"/>
      <c r="L288" s="64"/>
      <c r="M288" s="64"/>
      <c r="N288" s="64"/>
      <c r="O288" s="64"/>
      <c r="P288" s="64"/>
      <c r="Q288" s="64"/>
      <c r="R288" s="65" t="str">
        <f>IF($A288="","",IFERROR(MINIFS(Candidates!$K$2:$K$2000,Candidates!$A$2:$A$2000,$A288),""))</f>
        <v/>
      </c>
      <c r="S288" s="65" t="str">
        <f>IF($A288="","",IFERROR(MAXIFS(Candidates!$AA$2:$AA$2000,Candidates!$A$2:$A$2000,$A288),""))</f>
        <v/>
      </c>
      <c r="T288" s="64" t="str">
        <f>IFERROR(__xludf.DUMMYFUNCTION("IF($A288="""","""",IFERROR(TEXTJOIN("", "",TRUE,UNIQUE(FILTER(Candidates!$B$2:$B$2000,Candidates!$A$2:$A$2000=$A288))),""""))"),"")</f>
        <v/>
      </c>
      <c r="U288" s="66" t="str">
        <f>IF($A288="","",COUNTIF(Candidates!$A$2:$A$2000,$A288))</f>
        <v/>
      </c>
      <c r="V288" s="64" t="str">
        <f>IFERROR(__xludf.DUMMYFUNCTION("IF($A288="""","""",IFERROR(INDEX(FILTER(Candidates!$S$2:$S$2000,Candidates!$A$2:$A$2000=$A288),COUNTIF(Candidates!$A$2:$A$2000,$A288)),""""))"),"")</f>
        <v/>
      </c>
      <c r="W288" s="64" t="str">
        <f>IFERROR(__xludf.DUMMYFUNCTION("IF($A288="""","""",IFERROR(INDEX(FILTER(Candidates!$T$2:$T$2000,Candidates!$A$2:$A$2000=$A288),COUNTIF(Candidates!$A$2:$A$2000,$A288)),""""))"),"")</f>
        <v/>
      </c>
      <c r="X288" s="64"/>
      <c r="Y288" s="64"/>
      <c r="Z288" s="65"/>
      <c r="AA288" s="65"/>
      <c r="AB288" s="65"/>
      <c r="AC288" s="65"/>
    </row>
    <row r="289">
      <c r="A289" s="64"/>
      <c r="B289" s="64"/>
      <c r="C289" s="64"/>
      <c r="D289" s="64"/>
      <c r="E289" s="64"/>
      <c r="F289" s="64"/>
      <c r="G289" s="64"/>
      <c r="H289" s="63"/>
      <c r="I289" s="64"/>
      <c r="J289" s="64"/>
      <c r="K289" s="64"/>
      <c r="L289" s="64"/>
      <c r="M289" s="64"/>
      <c r="N289" s="64"/>
      <c r="O289" s="64"/>
      <c r="P289" s="64"/>
      <c r="Q289" s="64"/>
      <c r="R289" s="65" t="str">
        <f>IF($A289="","",IFERROR(MINIFS(Candidates!$K$2:$K$2000,Candidates!$A$2:$A$2000,$A289),""))</f>
        <v/>
      </c>
      <c r="S289" s="65" t="str">
        <f>IF($A289="","",IFERROR(MAXIFS(Candidates!$AA$2:$AA$2000,Candidates!$A$2:$A$2000,$A289),""))</f>
        <v/>
      </c>
      <c r="T289" s="64" t="str">
        <f>IFERROR(__xludf.DUMMYFUNCTION("IF($A289="""","""",IFERROR(TEXTJOIN("", "",TRUE,UNIQUE(FILTER(Candidates!$B$2:$B$2000,Candidates!$A$2:$A$2000=$A289))),""""))"),"")</f>
        <v/>
      </c>
      <c r="U289" s="66" t="str">
        <f>IF($A289="","",COUNTIF(Candidates!$A$2:$A$2000,$A289))</f>
        <v/>
      </c>
      <c r="V289" s="64" t="str">
        <f>IFERROR(__xludf.DUMMYFUNCTION("IF($A289="""","""",IFERROR(INDEX(FILTER(Candidates!$S$2:$S$2000,Candidates!$A$2:$A$2000=$A289),COUNTIF(Candidates!$A$2:$A$2000,$A289)),""""))"),"")</f>
        <v/>
      </c>
      <c r="W289" s="64" t="str">
        <f>IFERROR(__xludf.DUMMYFUNCTION("IF($A289="""","""",IFERROR(INDEX(FILTER(Candidates!$T$2:$T$2000,Candidates!$A$2:$A$2000=$A289),COUNTIF(Candidates!$A$2:$A$2000,$A289)),""""))"),"")</f>
        <v/>
      </c>
      <c r="X289" s="64"/>
      <c r="Y289" s="64"/>
      <c r="Z289" s="65"/>
      <c r="AA289" s="65"/>
      <c r="AB289" s="65"/>
      <c r="AC289" s="65"/>
    </row>
    <row r="290">
      <c r="A290" s="64"/>
      <c r="B290" s="64"/>
      <c r="C290" s="64"/>
      <c r="D290" s="64"/>
      <c r="E290" s="64"/>
      <c r="F290" s="64"/>
      <c r="G290" s="64"/>
      <c r="H290" s="63"/>
      <c r="I290" s="64"/>
      <c r="J290" s="64"/>
      <c r="K290" s="64"/>
      <c r="L290" s="64"/>
      <c r="M290" s="64"/>
      <c r="N290" s="64"/>
      <c r="O290" s="64"/>
      <c r="P290" s="64"/>
      <c r="Q290" s="64"/>
      <c r="R290" s="65" t="str">
        <f>IF($A290="","",IFERROR(MINIFS(Candidates!$K$2:$K$2000,Candidates!$A$2:$A$2000,$A290),""))</f>
        <v/>
      </c>
      <c r="S290" s="65" t="str">
        <f>IF($A290="","",IFERROR(MAXIFS(Candidates!$AA$2:$AA$2000,Candidates!$A$2:$A$2000,$A290),""))</f>
        <v/>
      </c>
      <c r="T290" s="64" t="str">
        <f>IFERROR(__xludf.DUMMYFUNCTION("IF($A290="""","""",IFERROR(TEXTJOIN("", "",TRUE,UNIQUE(FILTER(Candidates!$B$2:$B$2000,Candidates!$A$2:$A$2000=$A290))),""""))"),"")</f>
        <v/>
      </c>
      <c r="U290" s="66" t="str">
        <f>IF($A290="","",COUNTIF(Candidates!$A$2:$A$2000,$A290))</f>
        <v/>
      </c>
      <c r="V290" s="64" t="str">
        <f>IFERROR(__xludf.DUMMYFUNCTION("IF($A290="""","""",IFERROR(INDEX(FILTER(Candidates!$S$2:$S$2000,Candidates!$A$2:$A$2000=$A290),COUNTIF(Candidates!$A$2:$A$2000,$A290)),""""))"),"")</f>
        <v/>
      </c>
      <c r="W290" s="64" t="str">
        <f>IFERROR(__xludf.DUMMYFUNCTION("IF($A290="""","""",IFERROR(INDEX(FILTER(Candidates!$T$2:$T$2000,Candidates!$A$2:$A$2000=$A290),COUNTIF(Candidates!$A$2:$A$2000,$A290)),""""))"),"")</f>
        <v/>
      </c>
      <c r="X290" s="64"/>
      <c r="Y290" s="64"/>
      <c r="Z290" s="65"/>
      <c r="AA290" s="65"/>
      <c r="AB290" s="65"/>
      <c r="AC290" s="65"/>
    </row>
    <row r="291">
      <c r="A291" s="64"/>
      <c r="B291" s="64"/>
      <c r="C291" s="64"/>
      <c r="D291" s="64"/>
      <c r="E291" s="64"/>
      <c r="F291" s="64"/>
      <c r="G291" s="64"/>
      <c r="H291" s="63"/>
      <c r="I291" s="64"/>
      <c r="J291" s="64"/>
      <c r="K291" s="64"/>
      <c r="L291" s="64"/>
      <c r="M291" s="64"/>
      <c r="N291" s="64"/>
      <c r="O291" s="64"/>
      <c r="P291" s="64"/>
      <c r="Q291" s="64"/>
      <c r="R291" s="65" t="str">
        <f>IF($A291="","",IFERROR(MINIFS(Candidates!$K$2:$K$2000,Candidates!$A$2:$A$2000,$A291),""))</f>
        <v/>
      </c>
      <c r="S291" s="65" t="str">
        <f>IF($A291="","",IFERROR(MAXIFS(Candidates!$AA$2:$AA$2000,Candidates!$A$2:$A$2000,$A291),""))</f>
        <v/>
      </c>
      <c r="T291" s="64" t="str">
        <f>IFERROR(__xludf.DUMMYFUNCTION("IF($A291="""","""",IFERROR(TEXTJOIN("", "",TRUE,UNIQUE(FILTER(Candidates!$B$2:$B$2000,Candidates!$A$2:$A$2000=$A291))),""""))"),"")</f>
        <v/>
      </c>
      <c r="U291" s="66" t="str">
        <f>IF($A291="","",COUNTIF(Candidates!$A$2:$A$2000,$A291))</f>
        <v/>
      </c>
      <c r="V291" s="64" t="str">
        <f>IFERROR(__xludf.DUMMYFUNCTION("IF($A291="""","""",IFERROR(INDEX(FILTER(Candidates!$S$2:$S$2000,Candidates!$A$2:$A$2000=$A291),COUNTIF(Candidates!$A$2:$A$2000,$A291)),""""))"),"")</f>
        <v/>
      </c>
      <c r="W291" s="64" t="str">
        <f>IFERROR(__xludf.DUMMYFUNCTION("IF($A291="""","""",IFERROR(INDEX(FILTER(Candidates!$T$2:$T$2000,Candidates!$A$2:$A$2000=$A291),COUNTIF(Candidates!$A$2:$A$2000,$A291)),""""))"),"")</f>
        <v/>
      </c>
      <c r="X291" s="64"/>
      <c r="Y291" s="64"/>
      <c r="Z291" s="65"/>
      <c r="AA291" s="65"/>
      <c r="AB291" s="65"/>
      <c r="AC291" s="65"/>
    </row>
    <row r="292">
      <c r="A292" s="64"/>
      <c r="B292" s="64"/>
      <c r="C292" s="64"/>
      <c r="D292" s="64"/>
      <c r="E292" s="64"/>
      <c r="F292" s="64"/>
      <c r="G292" s="64"/>
      <c r="H292" s="63"/>
      <c r="I292" s="64"/>
      <c r="J292" s="64"/>
      <c r="K292" s="64"/>
      <c r="L292" s="64"/>
      <c r="M292" s="64"/>
      <c r="N292" s="64"/>
      <c r="O292" s="64"/>
      <c r="P292" s="64"/>
      <c r="Q292" s="64"/>
      <c r="R292" s="65" t="str">
        <f>IF($A292="","",IFERROR(MINIFS(Candidates!$K$2:$K$2000,Candidates!$A$2:$A$2000,$A292),""))</f>
        <v/>
      </c>
      <c r="S292" s="65" t="str">
        <f>IF($A292="","",IFERROR(MAXIFS(Candidates!$AA$2:$AA$2000,Candidates!$A$2:$A$2000,$A292),""))</f>
        <v/>
      </c>
      <c r="T292" s="64" t="str">
        <f>IFERROR(__xludf.DUMMYFUNCTION("IF($A292="""","""",IFERROR(TEXTJOIN("", "",TRUE,UNIQUE(FILTER(Candidates!$B$2:$B$2000,Candidates!$A$2:$A$2000=$A292))),""""))"),"")</f>
        <v/>
      </c>
      <c r="U292" s="66" t="str">
        <f>IF($A292="","",COUNTIF(Candidates!$A$2:$A$2000,$A292))</f>
        <v/>
      </c>
      <c r="V292" s="64" t="str">
        <f>IFERROR(__xludf.DUMMYFUNCTION("IF($A292="""","""",IFERROR(INDEX(FILTER(Candidates!$S$2:$S$2000,Candidates!$A$2:$A$2000=$A292),COUNTIF(Candidates!$A$2:$A$2000,$A292)),""""))"),"")</f>
        <v/>
      </c>
      <c r="W292" s="64" t="str">
        <f>IFERROR(__xludf.DUMMYFUNCTION("IF($A292="""","""",IFERROR(INDEX(FILTER(Candidates!$T$2:$T$2000,Candidates!$A$2:$A$2000=$A292),COUNTIF(Candidates!$A$2:$A$2000,$A292)),""""))"),"")</f>
        <v/>
      </c>
      <c r="X292" s="64"/>
      <c r="Y292" s="64"/>
      <c r="Z292" s="65"/>
      <c r="AA292" s="65"/>
      <c r="AB292" s="65"/>
      <c r="AC292" s="65"/>
    </row>
    <row r="293">
      <c r="A293" s="64"/>
      <c r="B293" s="64"/>
      <c r="C293" s="64"/>
      <c r="D293" s="64"/>
      <c r="E293" s="64"/>
      <c r="F293" s="64"/>
      <c r="G293" s="64"/>
      <c r="H293" s="63"/>
      <c r="I293" s="64"/>
      <c r="J293" s="64"/>
      <c r="K293" s="64"/>
      <c r="L293" s="64"/>
      <c r="M293" s="64"/>
      <c r="N293" s="64"/>
      <c r="O293" s="64"/>
      <c r="P293" s="64"/>
      <c r="Q293" s="64"/>
      <c r="R293" s="65" t="str">
        <f>IF($A293="","",IFERROR(MINIFS(Candidates!$K$2:$K$2000,Candidates!$A$2:$A$2000,$A293),""))</f>
        <v/>
      </c>
      <c r="S293" s="65" t="str">
        <f>IF($A293="","",IFERROR(MAXIFS(Candidates!$AA$2:$AA$2000,Candidates!$A$2:$A$2000,$A293),""))</f>
        <v/>
      </c>
      <c r="T293" s="64" t="str">
        <f>IFERROR(__xludf.DUMMYFUNCTION("IF($A293="""","""",IFERROR(TEXTJOIN("", "",TRUE,UNIQUE(FILTER(Candidates!$B$2:$B$2000,Candidates!$A$2:$A$2000=$A293))),""""))"),"")</f>
        <v/>
      </c>
      <c r="U293" s="66" t="str">
        <f>IF($A293="","",COUNTIF(Candidates!$A$2:$A$2000,$A293))</f>
        <v/>
      </c>
      <c r="V293" s="64" t="str">
        <f>IFERROR(__xludf.DUMMYFUNCTION("IF($A293="""","""",IFERROR(INDEX(FILTER(Candidates!$S$2:$S$2000,Candidates!$A$2:$A$2000=$A293),COUNTIF(Candidates!$A$2:$A$2000,$A293)),""""))"),"")</f>
        <v/>
      </c>
      <c r="W293" s="64" t="str">
        <f>IFERROR(__xludf.DUMMYFUNCTION("IF($A293="""","""",IFERROR(INDEX(FILTER(Candidates!$T$2:$T$2000,Candidates!$A$2:$A$2000=$A293),COUNTIF(Candidates!$A$2:$A$2000,$A293)),""""))"),"")</f>
        <v/>
      </c>
      <c r="X293" s="64"/>
      <c r="Y293" s="64"/>
      <c r="Z293" s="65"/>
      <c r="AA293" s="65"/>
      <c r="AB293" s="65"/>
      <c r="AC293" s="65"/>
    </row>
    <row r="294">
      <c r="A294" s="64"/>
      <c r="B294" s="64"/>
      <c r="C294" s="64"/>
      <c r="D294" s="64"/>
      <c r="E294" s="64"/>
      <c r="F294" s="64"/>
      <c r="G294" s="64"/>
      <c r="H294" s="63"/>
      <c r="I294" s="64"/>
      <c r="J294" s="64"/>
      <c r="K294" s="64"/>
      <c r="L294" s="64"/>
      <c r="M294" s="64"/>
      <c r="N294" s="64"/>
      <c r="O294" s="64"/>
      <c r="P294" s="64"/>
      <c r="Q294" s="64"/>
      <c r="R294" s="65" t="str">
        <f>IF($A294="","",IFERROR(MINIFS(Candidates!$K$2:$K$2000,Candidates!$A$2:$A$2000,$A294),""))</f>
        <v/>
      </c>
      <c r="S294" s="65" t="str">
        <f>IF($A294="","",IFERROR(MAXIFS(Candidates!$AA$2:$AA$2000,Candidates!$A$2:$A$2000,$A294),""))</f>
        <v/>
      </c>
      <c r="T294" s="64" t="str">
        <f>IFERROR(__xludf.DUMMYFUNCTION("IF($A294="""","""",IFERROR(TEXTJOIN("", "",TRUE,UNIQUE(FILTER(Candidates!$B$2:$B$2000,Candidates!$A$2:$A$2000=$A294))),""""))"),"")</f>
        <v/>
      </c>
      <c r="U294" s="66" t="str">
        <f>IF($A294="","",COUNTIF(Candidates!$A$2:$A$2000,$A294))</f>
        <v/>
      </c>
      <c r="V294" s="64" t="str">
        <f>IFERROR(__xludf.DUMMYFUNCTION("IF($A294="""","""",IFERROR(INDEX(FILTER(Candidates!$S$2:$S$2000,Candidates!$A$2:$A$2000=$A294),COUNTIF(Candidates!$A$2:$A$2000,$A294)),""""))"),"")</f>
        <v/>
      </c>
      <c r="W294" s="64" t="str">
        <f>IFERROR(__xludf.DUMMYFUNCTION("IF($A294="""","""",IFERROR(INDEX(FILTER(Candidates!$T$2:$T$2000,Candidates!$A$2:$A$2000=$A294),COUNTIF(Candidates!$A$2:$A$2000,$A294)),""""))"),"")</f>
        <v/>
      </c>
      <c r="X294" s="64"/>
      <c r="Y294" s="64"/>
      <c r="Z294" s="65"/>
      <c r="AA294" s="65"/>
      <c r="AB294" s="65"/>
      <c r="AC294" s="65"/>
    </row>
    <row r="295">
      <c r="A295" s="64"/>
      <c r="B295" s="64"/>
      <c r="C295" s="64"/>
      <c r="D295" s="64"/>
      <c r="E295" s="64"/>
      <c r="F295" s="64"/>
      <c r="G295" s="64"/>
      <c r="H295" s="63"/>
      <c r="I295" s="64"/>
      <c r="J295" s="64"/>
      <c r="K295" s="64"/>
      <c r="L295" s="64"/>
      <c r="M295" s="64"/>
      <c r="N295" s="64"/>
      <c r="O295" s="64"/>
      <c r="P295" s="64"/>
      <c r="Q295" s="64"/>
      <c r="R295" s="65" t="str">
        <f>IF($A295="","",IFERROR(MINIFS(Candidates!$K$2:$K$2000,Candidates!$A$2:$A$2000,$A295),""))</f>
        <v/>
      </c>
      <c r="S295" s="65" t="str">
        <f>IF($A295="","",IFERROR(MAXIFS(Candidates!$AA$2:$AA$2000,Candidates!$A$2:$A$2000,$A295),""))</f>
        <v/>
      </c>
      <c r="T295" s="64" t="str">
        <f>IFERROR(__xludf.DUMMYFUNCTION("IF($A295="""","""",IFERROR(TEXTJOIN("", "",TRUE,UNIQUE(FILTER(Candidates!$B$2:$B$2000,Candidates!$A$2:$A$2000=$A295))),""""))"),"")</f>
        <v/>
      </c>
      <c r="U295" s="66" t="str">
        <f>IF($A295="","",COUNTIF(Candidates!$A$2:$A$2000,$A295))</f>
        <v/>
      </c>
      <c r="V295" s="64" t="str">
        <f>IFERROR(__xludf.DUMMYFUNCTION("IF($A295="""","""",IFERROR(INDEX(FILTER(Candidates!$S$2:$S$2000,Candidates!$A$2:$A$2000=$A295),COUNTIF(Candidates!$A$2:$A$2000,$A295)),""""))"),"")</f>
        <v/>
      </c>
      <c r="W295" s="64" t="str">
        <f>IFERROR(__xludf.DUMMYFUNCTION("IF($A295="""","""",IFERROR(INDEX(FILTER(Candidates!$T$2:$T$2000,Candidates!$A$2:$A$2000=$A295),COUNTIF(Candidates!$A$2:$A$2000,$A295)),""""))"),"")</f>
        <v/>
      </c>
      <c r="X295" s="64"/>
      <c r="Y295" s="64"/>
      <c r="Z295" s="65"/>
      <c r="AA295" s="65"/>
      <c r="AB295" s="65"/>
      <c r="AC295" s="65"/>
    </row>
    <row r="296">
      <c r="A296" s="64"/>
      <c r="B296" s="64"/>
      <c r="C296" s="64"/>
      <c r="D296" s="64"/>
      <c r="E296" s="64"/>
      <c r="F296" s="64"/>
      <c r="G296" s="64"/>
      <c r="H296" s="63"/>
      <c r="I296" s="64"/>
      <c r="J296" s="64"/>
      <c r="K296" s="64"/>
      <c r="L296" s="64"/>
      <c r="M296" s="64"/>
      <c r="N296" s="64"/>
      <c r="O296" s="64"/>
      <c r="P296" s="64"/>
      <c r="Q296" s="64"/>
      <c r="R296" s="65" t="str">
        <f>IF($A296="","",IFERROR(MINIFS(Candidates!$K$2:$K$2000,Candidates!$A$2:$A$2000,$A296),""))</f>
        <v/>
      </c>
      <c r="S296" s="65" t="str">
        <f>IF($A296="","",IFERROR(MAXIFS(Candidates!$AA$2:$AA$2000,Candidates!$A$2:$A$2000,$A296),""))</f>
        <v/>
      </c>
      <c r="T296" s="64" t="str">
        <f>IFERROR(__xludf.DUMMYFUNCTION("IF($A296="""","""",IFERROR(TEXTJOIN("", "",TRUE,UNIQUE(FILTER(Candidates!$B$2:$B$2000,Candidates!$A$2:$A$2000=$A296))),""""))"),"")</f>
        <v/>
      </c>
      <c r="U296" s="66" t="str">
        <f>IF($A296="","",COUNTIF(Candidates!$A$2:$A$2000,$A296))</f>
        <v/>
      </c>
      <c r="V296" s="64" t="str">
        <f>IFERROR(__xludf.DUMMYFUNCTION("IF($A296="""","""",IFERROR(INDEX(FILTER(Candidates!$S$2:$S$2000,Candidates!$A$2:$A$2000=$A296),COUNTIF(Candidates!$A$2:$A$2000,$A296)),""""))"),"")</f>
        <v/>
      </c>
      <c r="W296" s="64" t="str">
        <f>IFERROR(__xludf.DUMMYFUNCTION("IF($A296="""","""",IFERROR(INDEX(FILTER(Candidates!$T$2:$T$2000,Candidates!$A$2:$A$2000=$A296),COUNTIF(Candidates!$A$2:$A$2000,$A296)),""""))"),"")</f>
        <v/>
      </c>
      <c r="X296" s="64"/>
      <c r="Y296" s="64"/>
      <c r="Z296" s="65"/>
      <c r="AA296" s="65"/>
      <c r="AB296" s="65"/>
      <c r="AC296" s="65"/>
    </row>
    <row r="297">
      <c r="A297" s="64"/>
      <c r="B297" s="64"/>
      <c r="C297" s="64"/>
      <c r="D297" s="64"/>
      <c r="E297" s="64"/>
      <c r="F297" s="64"/>
      <c r="G297" s="64"/>
      <c r="H297" s="63"/>
      <c r="I297" s="64"/>
      <c r="J297" s="64"/>
      <c r="K297" s="64"/>
      <c r="L297" s="64"/>
      <c r="M297" s="64"/>
      <c r="N297" s="64"/>
      <c r="O297" s="64"/>
      <c r="P297" s="64"/>
      <c r="Q297" s="64"/>
      <c r="R297" s="65" t="str">
        <f>IF($A297="","",IFERROR(MINIFS(Candidates!$K$2:$K$2000,Candidates!$A$2:$A$2000,$A297),""))</f>
        <v/>
      </c>
      <c r="S297" s="65" t="str">
        <f>IF($A297="","",IFERROR(MAXIFS(Candidates!$AA$2:$AA$2000,Candidates!$A$2:$A$2000,$A297),""))</f>
        <v/>
      </c>
      <c r="T297" s="64" t="str">
        <f>IFERROR(__xludf.DUMMYFUNCTION("IF($A297="""","""",IFERROR(TEXTJOIN("", "",TRUE,UNIQUE(FILTER(Candidates!$B$2:$B$2000,Candidates!$A$2:$A$2000=$A297))),""""))"),"")</f>
        <v/>
      </c>
      <c r="U297" s="66" t="str">
        <f>IF($A297="","",COUNTIF(Candidates!$A$2:$A$2000,$A297))</f>
        <v/>
      </c>
      <c r="V297" s="64" t="str">
        <f>IFERROR(__xludf.DUMMYFUNCTION("IF($A297="""","""",IFERROR(INDEX(FILTER(Candidates!$S$2:$S$2000,Candidates!$A$2:$A$2000=$A297),COUNTIF(Candidates!$A$2:$A$2000,$A297)),""""))"),"")</f>
        <v/>
      </c>
      <c r="W297" s="64" t="str">
        <f>IFERROR(__xludf.DUMMYFUNCTION("IF($A297="""","""",IFERROR(INDEX(FILTER(Candidates!$T$2:$T$2000,Candidates!$A$2:$A$2000=$A297),COUNTIF(Candidates!$A$2:$A$2000,$A297)),""""))"),"")</f>
        <v/>
      </c>
      <c r="X297" s="64"/>
      <c r="Y297" s="64"/>
      <c r="Z297" s="65"/>
      <c r="AA297" s="65"/>
      <c r="AB297" s="65"/>
      <c r="AC297" s="65"/>
    </row>
    <row r="298">
      <c r="A298" s="64"/>
      <c r="B298" s="64"/>
      <c r="C298" s="64"/>
      <c r="D298" s="64"/>
      <c r="E298" s="64"/>
      <c r="F298" s="64"/>
      <c r="G298" s="64"/>
      <c r="H298" s="63"/>
      <c r="I298" s="64"/>
      <c r="J298" s="64"/>
      <c r="K298" s="64"/>
      <c r="L298" s="64"/>
      <c r="M298" s="64"/>
      <c r="N298" s="64"/>
      <c r="O298" s="64"/>
      <c r="P298" s="64"/>
      <c r="Q298" s="64"/>
      <c r="R298" s="65" t="str">
        <f>IF($A298="","",IFERROR(MINIFS(Candidates!$K$2:$K$2000,Candidates!$A$2:$A$2000,$A298),""))</f>
        <v/>
      </c>
      <c r="S298" s="65" t="str">
        <f>IF($A298="","",IFERROR(MAXIFS(Candidates!$AA$2:$AA$2000,Candidates!$A$2:$A$2000,$A298),""))</f>
        <v/>
      </c>
      <c r="T298" s="64" t="str">
        <f>IFERROR(__xludf.DUMMYFUNCTION("IF($A298="""","""",IFERROR(TEXTJOIN("", "",TRUE,UNIQUE(FILTER(Candidates!$B$2:$B$2000,Candidates!$A$2:$A$2000=$A298))),""""))"),"")</f>
        <v/>
      </c>
      <c r="U298" s="66" t="str">
        <f>IF($A298="","",COUNTIF(Candidates!$A$2:$A$2000,$A298))</f>
        <v/>
      </c>
      <c r="V298" s="64" t="str">
        <f>IFERROR(__xludf.DUMMYFUNCTION("IF($A298="""","""",IFERROR(INDEX(FILTER(Candidates!$S$2:$S$2000,Candidates!$A$2:$A$2000=$A298),COUNTIF(Candidates!$A$2:$A$2000,$A298)),""""))"),"")</f>
        <v/>
      </c>
      <c r="W298" s="64" t="str">
        <f>IFERROR(__xludf.DUMMYFUNCTION("IF($A298="""","""",IFERROR(INDEX(FILTER(Candidates!$T$2:$T$2000,Candidates!$A$2:$A$2000=$A298),COUNTIF(Candidates!$A$2:$A$2000,$A298)),""""))"),"")</f>
        <v/>
      </c>
      <c r="X298" s="64"/>
      <c r="Y298" s="64"/>
      <c r="Z298" s="65"/>
      <c r="AA298" s="65"/>
      <c r="AB298" s="65"/>
      <c r="AC298" s="65"/>
    </row>
    <row r="299">
      <c r="A299" s="64"/>
      <c r="B299" s="64"/>
      <c r="C299" s="64"/>
      <c r="D299" s="64"/>
      <c r="E299" s="64"/>
      <c r="F299" s="64"/>
      <c r="G299" s="64"/>
      <c r="H299" s="63"/>
      <c r="I299" s="64"/>
      <c r="J299" s="64"/>
      <c r="K299" s="64"/>
      <c r="L299" s="64"/>
      <c r="M299" s="64"/>
      <c r="N299" s="64"/>
      <c r="O299" s="64"/>
      <c r="P299" s="64"/>
      <c r="Q299" s="64"/>
      <c r="R299" s="65" t="str">
        <f>IF($A299="","",IFERROR(MINIFS(Candidates!$K$2:$K$2000,Candidates!$A$2:$A$2000,$A299),""))</f>
        <v/>
      </c>
      <c r="S299" s="65" t="str">
        <f>IF($A299="","",IFERROR(MAXIFS(Candidates!$AA$2:$AA$2000,Candidates!$A$2:$A$2000,$A299),""))</f>
        <v/>
      </c>
      <c r="T299" s="64" t="str">
        <f>IFERROR(__xludf.DUMMYFUNCTION("IF($A299="""","""",IFERROR(TEXTJOIN("", "",TRUE,UNIQUE(FILTER(Candidates!$B$2:$B$2000,Candidates!$A$2:$A$2000=$A299))),""""))"),"")</f>
        <v/>
      </c>
      <c r="U299" s="66" t="str">
        <f>IF($A299="","",COUNTIF(Candidates!$A$2:$A$2000,$A299))</f>
        <v/>
      </c>
      <c r="V299" s="64" t="str">
        <f>IFERROR(__xludf.DUMMYFUNCTION("IF($A299="""","""",IFERROR(INDEX(FILTER(Candidates!$S$2:$S$2000,Candidates!$A$2:$A$2000=$A299),COUNTIF(Candidates!$A$2:$A$2000,$A299)),""""))"),"")</f>
        <v/>
      </c>
      <c r="W299" s="64" t="str">
        <f>IFERROR(__xludf.DUMMYFUNCTION("IF($A299="""","""",IFERROR(INDEX(FILTER(Candidates!$T$2:$T$2000,Candidates!$A$2:$A$2000=$A299),COUNTIF(Candidates!$A$2:$A$2000,$A299)),""""))"),"")</f>
        <v/>
      </c>
      <c r="X299" s="64"/>
      <c r="Y299" s="64"/>
      <c r="Z299" s="65"/>
      <c r="AA299" s="65"/>
      <c r="AB299" s="65"/>
      <c r="AC299" s="65"/>
    </row>
    <row r="300">
      <c r="A300" s="64"/>
      <c r="B300" s="64"/>
      <c r="C300" s="64"/>
      <c r="D300" s="64"/>
      <c r="E300" s="64"/>
      <c r="F300" s="64"/>
      <c r="G300" s="64"/>
      <c r="H300" s="63"/>
      <c r="I300" s="64"/>
      <c r="J300" s="64"/>
      <c r="K300" s="64"/>
      <c r="L300" s="64"/>
      <c r="M300" s="64"/>
      <c r="N300" s="64"/>
      <c r="O300" s="64"/>
      <c r="P300" s="64"/>
      <c r="Q300" s="64"/>
      <c r="R300" s="65" t="str">
        <f>IF($A300="","",IFERROR(MINIFS(Candidates!$K$2:$K$2000,Candidates!$A$2:$A$2000,$A300),""))</f>
        <v/>
      </c>
      <c r="S300" s="65" t="str">
        <f>IF($A300="","",IFERROR(MAXIFS(Candidates!$AA$2:$AA$2000,Candidates!$A$2:$A$2000,$A300),""))</f>
        <v/>
      </c>
      <c r="T300" s="64" t="str">
        <f>IFERROR(__xludf.DUMMYFUNCTION("IF($A300="""","""",IFERROR(TEXTJOIN("", "",TRUE,UNIQUE(FILTER(Candidates!$B$2:$B$2000,Candidates!$A$2:$A$2000=$A300))),""""))"),"")</f>
        <v/>
      </c>
      <c r="U300" s="66" t="str">
        <f>IF($A300="","",COUNTIF(Candidates!$A$2:$A$2000,$A300))</f>
        <v/>
      </c>
      <c r="V300" s="64" t="str">
        <f>IFERROR(__xludf.DUMMYFUNCTION("IF($A300="""","""",IFERROR(INDEX(FILTER(Candidates!$S$2:$S$2000,Candidates!$A$2:$A$2000=$A300),COUNTIF(Candidates!$A$2:$A$2000,$A300)),""""))"),"")</f>
        <v/>
      </c>
      <c r="W300" s="64" t="str">
        <f>IFERROR(__xludf.DUMMYFUNCTION("IF($A300="""","""",IFERROR(INDEX(FILTER(Candidates!$T$2:$T$2000,Candidates!$A$2:$A$2000=$A300),COUNTIF(Candidates!$A$2:$A$2000,$A300)),""""))"),"")</f>
        <v/>
      </c>
      <c r="X300" s="64"/>
      <c r="Y300" s="64"/>
      <c r="Z300" s="65"/>
      <c r="AA300" s="65"/>
      <c r="AB300" s="65"/>
      <c r="AC300" s="65"/>
    </row>
    <row r="301">
      <c r="A301" s="64"/>
      <c r="B301" s="64"/>
      <c r="C301" s="64"/>
      <c r="D301" s="64"/>
      <c r="E301" s="64"/>
      <c r="F301" s="64"/>
      <c r="G301" s="64"/>
      <c r="H301" s="63"/>
      <c r="I301" s="64"/>
      <c r="J301" s="64"/>
      <c r="K301" s="64"/>
      <c r="L301" s="64"/>
      <c r="M301" s="64"/>
      <c r="N301" s="64"/>
      <c r="O301" s="64"/>
      <c r="P301" s="64"/>
      <c r="Q301" s="64"/>
      <c r="R301" s="65" t="str">
        <f>IF($A301="","",IFERROR(MINIFS(Candidates!$K$2:$K$2000,Candidates!$A$2:$A$2000,$A301),""))</f>
        <v/>
      </c>
      <c r="S301" s="65" t="str">
        <f>IF($A301="","",IFERROR(MAXIFS(Candidates!$AA$2:$AA$2000,Candidates!$A$2:$A$2000,$A301),""))</f>
        <v/>
      </c>
      <c r="T301" s="64" t="str">
        <f>IFERROR(__xludf.DUMMYFUNCTION("IF($A301="""","""",IFERROR(TEXTJOIN("", "",TRUE,UNIQUE(FILTER(Candidates!$B$2:$B$2000,Candidates!$A$2:$A$2000=$A301))),""""))"),"")</f>
        <v/>
      </c>
      <c r="U301" s="66" t="str">
        <f>IF($A301="","",COUNTIF(Candidates!$A$2:$A$2000,$A301))</f>
        <v/>
      </c>
      <c r="V301" s="64" t="str">
        <f>IFERROR(__xludf.DUMMYFUNCTION("IF($A301="""","""",IFERROR(INDEX(FILTER(Candidates!$S$2:$S$2000,Candidates!$A$2:$A$2000=$A301),COUNTIF(Candidates!$A$2:$A$2000,$A301)),""""))"),"")</f>
        <v/>
      </c>
      <c r="W301" s="64" t="str">
        <f>IFERROR(__xludf.DUMMYFUNCTION("IF($A301="""","""",IFERROR(INDEX(FILTER(Candidates!$T$2:$T$2000,Candidates!$A$2:$A$2000=$A301),COUNTIF(Candidates!$A$2:$A$2000,$A301)),""""))"),"")</f>
        <v/>
      </c>
      <c r="X301" s="64"/>
      <c r="Y301" s="64"/>
      <c r="Z301" s="65"/>
      <c r="AA301" s="65"/>
      <c r="AB301" s="65"/>
      <c r="AC301" s="65"/>
    </row>
    <row r="302">
      <c r="A302" s="64"/>
      <c r="B302" s="64"/>
      <c r="C302" s="64"/>
      <c r="D302" s="64"/>
      <c r="E302" s="64"/>
      <c r="F302" s="64"/>
      <c r="G302" s="64"/>
      <c r="H302" s="63"/>
      <c r="I302" s="64"/>
      <c r="J302" s="64"/>
      <c r="K302" s="64"/>
      <c r="L302" s="64"/>
      <c r="M302" s="64"/>
      <c r="N302" s="64"/>
      <c r="O302" s="64"/>
      <c r="P302" s="64"/>
      <c r="Q302" s="64"/>
      <c r="R302" s="65" t="str">
        <f>IF($A302="","",IFERROR(MINIFS(Candidates!$K$2:$K$2000,Candidates!$A$2:$A$2000,$A302),""))</f>
        <v/>
      </c>
      <c r="S302" s="65" t="str">
        <f>IF($A302="","",IFERROR(MAXIFS(Candidates!$AA$2:$AA$2000,Candidates!$A$2:$A$2000,$A302),""))</f>
        <v/>
      </c>
      <c r="T302" s="64" t="str">
        <f>IFERROR(__xludf.DUMMYFUNCTION("IF($A302="""","""",IFERROR(TEXTJOIN("", "",TRUE,UNIQUE(FILTER(Candidates!$B$2:$B$2000,Candidates!$A$2:$A$2000=$A302))),""""))"),"")</f>
        <v/>
      </c>
      <c r="U302" s="66" t="str">
        <f>IF($A302="","",COUNTIF(Candidates!$A$2:$A$2000,$A302))</f>
        <v/>
      </c>
      <c r="V302" s="64" t="str">
        <f>IFERROR(__xludf.DUMMYFUNCTION("IF($A302="""","""",IFERROR(INDEX(FILTER(Candidates!$S$2:$S$2000,Candidates!$A$2:$A$2000=$A302),COUNTIF(Candidates!$A$2:$A$2000,$A302)),""""))"),"")</f>
        <v/>
      </c>
      <c r="W302" s="64" t="str">
        <f>IFERROR(__xludf.DUMMYFUNCTION("IF($A302="""","""",IFERROR(INDEX(FILTER(Candidates!$T$2:$T$2000,Candidates!$A$2:$A$2000=$A302),COUNTIF(Candidates!$A$2:$A$2000,$A302)),""""))"),"")</f>
        <v/>
      </c>
      <c r="X302" s="64"/>
      <c r="Y302" s="64"/>
      <c r="Z302" s="65"/>
      <c r="AA302" s="65"/>
      <c r="AB302" s="65"/>
      <c r="AC302" s="65"/>
    </row>
    <row r="303">
      <c r="A303" s="64"/>
      <c r="B303" s="64"/>
      <c r="C303" s="64"/>
      <c r="D303" s="64"/>
      <c r="E303" s="64"/>
      <c r="F303" s="64"/>
      <c r="G303" s="64"/>
      <c r="H303" s="63"/>
      <c r="I303" s="64"/>
      <c r="J303" s="64"/>
      <c r="K303" s="64"/>
      <c r="L303" s="64"/>
      <c r="M303" s="64"/>
      <c r="N303" s="64"/>
      <c r="O303" s="64"/>
      <c r="P303" s="64"/>
      <c r="Q303" s="64"/>
      <c r="R303" s="65" t="str">
        <f>IF($A303="","",IFERROR(MINIFS(Candidates!$K$2:$K$2000,Candidates!$A$2:$A$2000,$A303),""))</f>
        <v/>
      </c>
      <c r="S303" s="65" t="str">
        <f>IF($A303="","",IFERROR(MAXIFS(Candidates!$AA$2:$AA$2000,Candidates!$A$2:$A$2000,$A303),""))</f>
        <v/>
      </c>
      <c r="T303" s="64" t="str">
        <f>IFERROR(__xludf.DUMMYFUNCTION("IF($A303="""","""",IFERROR(TEXTJOIN("", "",TRUE,UNIQUE(FILTER(Candidates!$B$2:$B$2000,Candidates!$A$2:$A$2000=$A303))),""""))"),"")</f>
        <v/>
      </c>
      <c r="U303" s="66" t="str">
        <f>IF($A303="","",COUNTIF(Candidates!$A$2:$A$2000,$A303))</f>
        <v/>
      </c>
      <c r="V303" s="64" t="str">
        <f>IFERROR(__xludf.DUMMYFUNCTION("IF($A303="""","""",IFERROR(INDEX(FILTER(Candidates!$S$2:$S$2000,Candidates!$A$2:$A$2000=$A303),COUNTIF(Candidates!$A$2:$A$2000,$A303)),""""))"),"")</f>
        <v/>
      </c>
      <c r="W303" s="64" t="str">
        <f>IFERROR(__xludf.DUMMYFUNCTION("IF($A303="""","""",IFERROR(INDEX(FILTER(Candidates!$T$2:$T$2000,Candidates!$A$2:$A$2000=$A303),COUNTIF(Candidates!$A$2:$A$2000,$A303)),""""))"),"")</f>
        <v/>
      </c>
      <c r="X303" s="64"/>
      <c r="Y303" s="64"/>
      <c r="Z303" s="65"/>
      <c r="AA303" s="65"/>
      <c r="AB303" s="65"/>
      <c r="AC303" s="65"/>
    </row>
    <row r="304">
      <c r="A304" s="64"/>
      <c r="B304" s="64"/>
      <c r="C304" s="64"/>
      <c r="D304" s="64"/>
      <c r="E304" s="64"/>
      <c r="F304" s="64"/>
      <c r="G304" s="64"/>
      <c r="H304" s="63"/>
      <c r="I304" s="64"/>
      <c r="J304" s="64"/>
      <c r="K304" s="64"/>
      <c r="L304" s="64"/>
      <c r="M304" s="64"/>
      <c r="N304" s="64"/>
      <c r="O304" s="64"/>
      <c r="P304" s="64"/>
      <c r="Q304" s="64"/>
      <c r="R304" s="65" t="str">
        <f>IF($A304="","",IFERROR(MINIFS(Candidates!$K$2:$K$2000,Candidates!$A$2:$A$2000,$A304),""))</f>
        <v/>
      </c>
      <c r="S304" s="65" t="str">
        <f>IF($A304="","",IFERROR(MAXIFS(Candidates!$AA$2:$AA$2000,Candidates!$A$2:$A$2000,$A304),""))</f>
        <v/>
      </c>
      <c r="T304" s="64" t="str">
        <f>IFERROR(__xludf.DUMMYFUNCTION("IF($A304="""","""",IFERROR(TEXTJOIN("", "",TRUE,UNIQUE(FILTER(Candidates!$B$2:$B$2000,Candidates!$A$2:$A$2000=$A304))),""""))"),"")</f>
        <v/>
      </c>
      <c r="U304" s="66" t="str">
        <f>IF($A304="","",COUNTIF(Candidates!$A$2:$A$2000,$A304))</f>
        <v/>
      </c>
      <c r="V304" s="64" t="str">
        <f>IFERROR(__xludf.DUMMYFUNCTION("IF($A304="""","""",IFERROR(INDEX(FILTER(Candidates!$S$2:$S$2000,Candidates!$A$2:$A$2000=$A304),COUNTIF(Candidates!$A$2:$A$2000,$A304)),""""))"),"")</f>
        <v/>
      </c>
      <c r="W304" s="64" t="str">
        <f>IFERROR(__xludf.DUMMYFUNCTION("IF($A304="""","""",IFERROR(INDEX(FILTER(Candidates!$T$2:$T$2000,Candidates!$A$2:$A$2000=$A304),COUNTIF(Candidates!$A$2:$A$2000,$A304)),""""))"),"")</f>
        <v/>
      </c>
      <c r="X304" s="64"/>
      <c r="Y304" s="64"/>
      <c r="Z304" s="65"/>
      <c r="AA304" s="65"/>
      <c r="AB304" s="65"/>
      <c r="AC304" s="65"/>
    </row>
    <row r="305">
      <c r="A305" s="64"/>
      <c r="B305" s="64"/>
      <c r="C305" s="64"/>
      <c r="D305" s="64"/>
      <c r="E305" s="64"/>
      <c r="F305" s="64"/>
      <c r="G305" s="64"/>
      <c r="H305" s="63"/>
      <c r="I305" s="64"/>
      <c r="J305" s="64"/>
      <c r="K305" s="64"/>
      <c r="L305" s="64"/>
      <c r="M305" s="64"/>
      <c r="N305" s="64"/>
      <c r="O305" s="64"/>
      <c r="P305" s="64"/>
      <c r="Q305" s="64"/>
      <c r="R305" s="65" t="str">
        <f>IF($A305="","",IFERROR(MINIFS(Candidates!$K$2:$K$2000,Candidates!$A$2:$A$2000,$A305),""))</f>
        <v/>
      </c>
      <c r="S305" s="65" t="str">
        <f>IF($A305="","",IFERROR(MAXIFS(Candidates!$AA$2:$AA$2000,Candidates!$A$2:$A$2000,$A305),""))</f>
        <v/>
      </c>
      <c r="T305" s="64" t="str">
        <f>IFERROR(__xludf.DUMMYFUNCTION("IF($A305="""","""",IFERROR(TEXTJOIN("", "",TRUE,UNIQUE(FILTER(Candidates!$B$2:$B$2000,Candidates!$A$2:$A$2000=$A305))),""""))"),"")</f>
        <v/>
      </c>
      <c r="U305" s="66" t="str">
        <f>IF($A305="","",COUNTIF(Candidates!$A$2:$A$2000,$A305))</f>
        <v/>
      </c>
      <c r="V305" s="64" t="str">
        <f>IFERROR(__xludf.DUMMYFUNCTION("IF($A305="""","""",IFERROR(INDEX(FILTER(Candidates!$S$2:$S$2000,Candidates!$A$2:$A$2000=$A305),COUNTIF(Candidates!$A$2:$A$2000,$A305)),""""))"),"")</f>
        <v/>
      </c>
      <c r="W305" s="64" t="str">
        <f>IFERROR(__xludf.DUMMYFUNCTION("IF($A305="""","""",IFERROR(INDEX(FILTER(Candidates!$T$2:$T$2000,Candidates!$A$2:$A$2000=$A305),COUNTIF(Candidates!$A$2:$A$2000,$A305)),""""))"),"")</f>
        <v/>
      </c>
      <c r="X305" s="64"/>
      <c r="Y305" s="64"/>
      <c r="Z305" s="65"/>
      <c r="AA305" s="65"/>
      <c r="AB305" s="65"/>
      <c r="AC305" s="65"/>
    </row>
    <row r="306">
      <c r="A306" s="64"/>
      <c r="B306" s="64"/>
      <c r="C306" s="64"/>
      <c r="D306" s="64"/>
      <c r="E306" s="64"/>
      <c r="F306" s="64"/>
      <c r="G306" s="64"/>
      <c r="H306" s="63"/>
      <c r="I306" s="64"/>
      <c r="J306" s="64"/>
      <c r="K306" s="64"/>
      <c r="L306" s="64"/>
      <c r="M306" s="64"/>
      <c r="N306" s="64"/>
      <c r="O306" s="64"/>
      <c r="P306" s="64"/>
      <c r="Q306" s="64"/>
      <c r="R306" s="65" t="str">
        <f>IF($A306="","",IFERROR(MINIFS(Candidates!$K$2:$K$2000,Candidates!$A$2:$A$2000,$A306),""))</f>
        <v/>
      </c>
      <c r="S306" s="65" t="str">
        <f>IF($A306="","",IFERROR(MAXIFS(Candidates!$AA$2:$AA$2000,Candidates!$A$2:$A$2000,$A306),""))</f>
        <v/>
      </c>
      <c r="T306" s="64" t="str">
        <f>IFERROR(__xludf.DUMMYFUNCTION("IF($A306="""","""",IFERROR(TEXTJOIN("", "",TRUE,UNIQUE(FILTER(Candidates!$B$2:$B$2000,Candidates!$A$2:$A$2000=$A306))),""""))"),"")</f>
        <v/>
      </c>
      <c r="U306" s="66" t="str">
        <f>IF($A306="","",COUNTIF(Candidates!$A$2:$A$2000,$A306))</f>
        <v/>
      </c>
      <c r="V306" s="64" t="str">
        <f>IFERROR(__xludf.DUMMYFUNCTION("IF($A306="""","""",IFERROR(INDEX(FILTER(Candidates!$S$2:$S$2000,Candidates!$A$2:$A$2000=$A306),COUNTIF(Candidates!$A$2:$A$2000,$A306)),""""))"),"")</f>
        <v/>
      </c>
      <c r="W306" s="64" t="str">
        <f>IFERROR(__xludf.DUMMYFUNCTION("IF($A306="""","""",IFERROR(INDEX(FILTER(Candidates!$T$2:$T$2000,Candidates!$A$2:$A$2000=$A306),COUNTIF(Candidates!$A$2:$A$2000,$A306)),""""))"),"")</f>
        <v/>
      </c>
      <c r="X306" s="64"/>
      <c r="Y306" s="64"/>
      <c r="Z306" s="65"/>
      <c r="AA306" s="65"/>
      <c r="AB306" s="65"/>
      <c r="AC306" s="65"/>
    </row>
    <row r="307">
      <c r="A307" s="64"/>
      <c r="B307" s="64"/>
      <c r="C307" s="64"/>
      <c r="D307" s="64"/>
      <c r="E307" s="64"/>
      <c r="F307" s="64"/>
      <c r="G307" s="64"/>
      <c r="H307" s="63"/>
      <c r="I307" s="64"/>
      <c r="J307" s="64"/>
      <c r="K307" s="64"/>
      <c r="L307" s="64"/>
      <c r="M307" s="64"/>
      <c r="N307" s="64"/>
      <c r="O307" s="64"/>
      <c r="P307" s="64"/>
      <c r="Q307" s="64"/>
      <c r="R307" s="65" t="str">
        <f>IF($A307="","",IFERROR(MINIFS(Candidates!$K$2:$K$2000,Candidates!$A$2:$A$2000,$A307),""))</f>
        <v/>
      </c>
      <c r="S307" s="65" t="str">
        <f>IF($A307="","",IFERROR(MAXIFS(Candidates!$AA$2:$AA$2000,Candidates!$A$2:$A$2000,$A307),""))</f>
        <v/>
      </c>
      <c r="T307" s="64" t="str">
        <f>IFERROR(__xludf.DUMMYFUNCTION("IF($A307="""","""",IFERROR(TEXTJOIN("", "",TRUE,UNIQUE(FILTER(Candidates!$B$2:$B$2000,Candidates!$A$2:$A$2000=$A307))),""""))"),"")</f>
        <v/>
      </c>
      <c r="U307" s="66" t="str">
        <f>IF($A307="","",COUNTIF(Candidates!$A$2:$A$2000,$A307))</f>
        <v/>
      </c>
      <c r="V307" s="64" t="str">
        <f>IFERROR(__xludf.DUMMYFUNCTION("IF($A307="""","""",IFERROR(INDEX(FILTER(Candidates!$S$2:$S$2000,Candidates!$A$2:$A$2000=$A307),COUNTIF(Candidates!$A$2:$A$2000,$A307)),""""))"),"")</f>
        <v/>
      </c>
      <c r="W307" s="64" t="str">
        <f>IFERROR(__xludf.DUMMYFUNCTION("IF($A307="""","""",IFERROR(INDEX(FILTER(Candidates!$T$2:$T$2000,Candidates!$A$2:$A$2000=$A307),COUNTIF(Candidates!$A$2:$A$2000,$A307)),""""))"),"")</f>
        <v/>
      </c>
      <c r="X307" s="64"/>
      <c r="Y307" s="64"/>
      <c r="Z307" s="65"/>
      <c r="AA307" s="65"/>
      <c r="AB307" s="65"/>
      <c r="AC307" s="65"/>
    </row>
    <row r="308">
      <c r="A308" s="64"/>
      <c r="B308" s="64"/>
      <c r="C308" s="64"/>
      <c r="D308" s="64"/>
      <c r="E308" s="64"/>
      <c r="F308" s="64"/>
      <c r="G308" s="64"/>
      <c r="H308" s="63"/>
      <c r="I308" s="64"/>
      <c r="J308" s="64"/>
      <c r="K308" s="64"/>
      <c r="L308" s="64"/>
      <c r="M308" s="64"/>
      <c r="N308" s="64"/>
      <c r="O308" s="64"/>
      <c r="P308" s="64"/>
      <c r="Q308" s="64"/>
      <c r="R308" s="65" t="str">
        <f>IF($A308="","",IFERROR(MINIFS(Candidates!$K$2:$K$2000,Candidates!$A$2:$A$2000,$A308),""))</f>
        <v/>
      </c>
      <c r="S308" s="65" t="str">
        <f>IF($A308="","",IFERROR(MAXIFS(Candidates!$AA$2:$AA$2000,Candidates!$A$2:$A$2000,$A308),""))</f>
        <v/>
      </c>
      <c r="T308" s="64" t="str">
        <f>IFERROR(__xludf.DUMMYFUNCTION("IF($A308="""","""",IFERROR(TEXTJOIN("", "",TRUE,UNIQUE(FILTER(Candidates!$B$2:$B$2000,Candidates!$A$2:$A$2000=$A308))),""""))"),"")</f>
        <v/>
      </c>
      <c r="U308" s="66" t="str">
        <f>IF($A308="","",COUNTIF(Candidates!$A$2:$A$2000,$A308))</f>
        <v/>
      </c>
      <c r="V308" s="64" t="str">
        <f>IFERROR(__xludf.DUMMYFUNCTION("IF($A308="""","""",IFERROR(INDEX(FILTER(Candidates!$S$2:$S$2000,Candidates!$A$2:$A$2000=$A308),COUNTIF(Candidates!$A$2:$A$2000,$A308)),""""))"),"")</f>
        <v/>
      </c>
      <c r="W308" s="64" t="str">
        <f>IFERROR(__xludf.DUMMYFUNCTION("IF($A308="""","""",IFERROR(INDEX(FILTER(Candidates!$T$2:$T$2000,Candidates!$A$2:$A$2000=$A308),COUNTIF(Candidates!$A$2:$A$2000,$A308)),""""))"),"")</f>
        <v/>
      </c>
      <c r="X308" s="64"/>
      <c r="Y308" s="64"/>
      <c r="Z308" s="65"/>
      <c r="AA308" s="65"/>
      <c r="AB308" s="65"/>
      <c r="AC308" s="65"/>
    </row>
    <row r="309">
      <c r="A309" s="64"/>
      <c r="B309" s="64"/>
      <c r="C309" s="64"/>
      <c r="D309" s="64"/>
      <c r="E309" s="64"/>
      <c r="F309" s="64"/>
      <c r="G309" s="64"/>
      <c r="H309" s="63"/>
      <c r="I309" s="64"/>
      <c r="J309" s="64"/>
      <c r="K309" s="64"/>
      <c r="L309" s="64"/>
      <c r="M309" s="64"/>
      <c r="N309" s="64"/>
      <c r="O309" s="64"/>
      <c r="P309" s="64"/>
      <c r="Q309" s="64"/>
      <c r="R309" s="65" t="str">
        <f>IF($A309="","",IFERROR(MINIFS(Candidates!$K$2:$K$2000,Candidates!$A$2:$A$2000,$A309),""))</f>
        <v/>
      </c>
      <c r="S309" s="65" t="str">
        <f>IF($A309="","",IFERROR(MAXIFS(Candidates!$AA$2:$AA$2000,Candidates!$A$2:$A$2000,$A309),""))</f>
        <v/>
      </c>
      <c r="T309" s="64" t="str">
        <f>IFERROR(__xludf.DUMMYFUNCTION("IF($A309="""","""",IFERROR(TEXTJOIN("", "",TRUE,UNIQUE(FILTER(Candidates!$B$2:$B$2000,Candidates!$A$2:$A$2000=$A309))),""""))"),"")</f>
        <v/>
      </c>
      <c r="U309" s="66" t="str">
        <f>IF($A309="","",COUNTIF(Candidates!$A$2:$A$2000,$A309))</f>
        <v/>
      </c>
      <c r="V309" s="64" t="str">
        <f>IFERROR(__xludf.DUMMYFUNCTION("IF($A309="""","""",IFERROR(INDEX(FILTER(Candidates!$S$2:$S$2000,Candidates!$A$2:$A$2000=$A309),COUNTIF(Candidates!$A$2:$A$2000,$A309)),""""))"),"")</f>
        <v/>
      </c>
      <c r="W309" s="64" t="str">
        <f>IFERROR(__xludf.DUMMYFUNCTION("IF($A309="""","""",IFERROR(INDEX(FILTER(Candidates!$T$2:$T$2000,Candidates!$A$2:$A$2000=$A309),COUNTIF(Candidates!$A$2:$A$2000,$A309)),""""))"),"")</f>
        <v/>
      </c>
      <c r="X309" s="64"/>
      <c r="Y309" s="64"/>
      <c r="Z309" s="65"/>
      <c r="AA309" s="65"/>
      <c r="AB309" s="65"/>
      <c r="AC309" s="65"/>
    </row>
    <row r="310">
      <c r="A310" s="64"/>
      <c r="B310" s="64"/>
      <c r="C310" s="64"/>
      <c r="D310" s="64"/>
      <c r="E310" s="64"/>
      <c r="F310" s="64"/>
      <c r="G310" s="64"/>
      <c r="H310" s="63"/>
      <c r="I310" s="64"/>
      <c r="J310" s="64"/>
      <c r="K310" s="64"/>
      <c r="L310" s="64"/>
      <c r="M310" s="64"/>
      <c r="N310" s="64"/>
      <c r="O310" s="64"/>
      <c r="P310" s="64"/>
      <c r="Q310" s="64"/>
      <c r="R310" s="65" t="str">
        <f>IF($A310="","",IFERROR(MINIFS(Candidates!$K$2:$K$2000,Candidates!$A$2:$A$2000,$A310),""))</f>
        <v/>
      </c>
      <c r="S310" s="65" t="str">
        <f>IF($A310="","",IFERROR(MAXIFS(Candidates!$AA$2:$AA$2000,Candidates!$A$2:$A$2000,$A310),""))</f>
        <v/>
      </c>
      <c r="T310" s="64" t="str">
        <f>IFERROR(__xludf.DUMMYFUNCTION("IF($A310="""","""",IFERROR(TEXTJOIN("", "",TRUE,UNIQUE(FILTER(Candidates!$B$2:$B$2000,Candidates!$A$2:$A$2000=$A310))),""""))"),"")</f>
        <v/>
      </c>
      <c r="U310" s="66" t="str">
        <f>IF($A310="","",COUNTIF(Candidates!$A$2:$A$2000,$A310))</f>
        <v/>
      </c>
      <c r="V310" s="64" t="str">
        <f>IFERROR(__xludf.DUMMYFUNCTION("IF($A310="""","""",IFERROR(INDEX(FILTER(Candidates!$S$2:$S$2000,Candidates!$A$2:$A$2000=$A310),COUNTIF(Candidates!$A$2:$A$2000,$A310)),""""))"),"")</f>
        <v/>
      </c>
      <c r="W310" s="64" t="str">
        <f>IFERROR(__xludf.DUMMYFUNCTION("IF($A310="""","""",IFERROR(INDEX(FILTER(Candidates!$T$2:$T$2000,Candidates!$A$2:$A$2000=$A310),COUNTIF(Candidates!$A$2:$A$2000,$A310)),""""))"),"")</f>
        <v/>
      </c>
      <c r="X310" s="64"/>
      <c r="Y310" s="64"/>
      <c r="Z310" s="65"/>
      <c r="AA310" s="65"/>
      <c r="AB310" s="65"/>
      <c r="AC310" s="65"/>
    </row>
    <row r="311">
      <c r="A311" s="64"/>
      <c r="B311" s="64"/>
      <c r="C311" s="64"/>
      <c r="D311" s="64"/>
      <c r="E311" s="64"/>
      <c r="F311" s="64"/>
      <c r="G311" s="64"/>
      <c r="H311" s="63"/>
      <c r="I311" s="64"/>
      <c r="J311" s="64"/>
      <c r="K311" s="64"/>
      <c r="L311" s="64"/>
      <c r="M311" s="64"/>
      <c r="N311" s="64"/>
      <c r="O311" s="64"/>
      <c r="P311" s="64"/>
      <c r="Q311" s="64"/>
      <c r="R311" s="65" t="str">
        <f>IF($A311="","",IFERROR(MINIFS(Candidates!$K$2:$K$2000,Candidates!$A$2:$A$2000,$A311),""))</f>
        <v/>
      </c>
      <c r="S311" s="65" t="str">
        <f>IF($A311="","",IFERROR(MAXIFS(Candidates!$AA$2:$AA$2000,Candidates!$A$2:$A$2000,$A311),""))</f>
        <v/>
      </c>
      <c r="T311" s="64" t="str">
        <f>IFERROR(__xludf.DUMMYFUNCTION("IF($A311="""","""",IFERROR(TEXTJOIN("", "",TRUE,UNIQUE(FILTER(Candidates!$B$2:$B$2000,Candidates!$A$2:$A$2000=$A311))),""""))"),"")</f>
        <v/>
      </c>
      <c r="U311" s="66" t="str">
        <f>IF($A311="","",COUNTIF(Candidates!$A$2:$A$2000,$A311))</f>
        <v/>
      </c>
      <c r="V311" s="64" t="str">
        <f>IFERROR(__xludf.DUMMYFUNCTION("IF($A311="""","""",IFERROR(INDEX(FILTER(Candidates!$S$2:$S$2000,Candidates!$A$2:$A$2000=$A311),COUNTIF(Candidates!$A$2:$A$2000,$A311)),""""))"),"")</f>
        <v/>
      </c>
      <c r="W311" s="64" t="str">
        <f>IFERROR(__xludf.DUMMYFUNCTION("IF($A311="""","""",IFERROR(INDEX(FILTER(Candidates!$T$2:$T$2000,Candidates!$A$2:$A$2000=$A311),COUNTIF(Candidates!$A$2:$A$2000,$A311)),""""))"),"")</f>
        <v/>
      </c>
      <c r="X311" s="64"/>
      <c r="Y311" s="64"/>
      <c r="Z311" s="65"/>
      <c r="AA311" s="65"/>
      <c r="AB311" s="65"/>
      <c r="AC311" s="65"/>
    </row>
    <row r="312">
      <c r="A312" s="64"/>
      <c r="B312" s="64"/>
      <c r="C312" s="64"/>
      <c r="D312" s="64"/>
      <c r="E312" s="64"/>
      <c r="F312" s="64"/>
      <c r="G312" s="64"/>
      <c r="H312" s="63"/>
      <c r="I312" s="64"/>
      <c r="J312" s="64"/>
      <c r="K312" s="64"/>
      <c r="L312" s="64"/>
      <c r="M312" s="64"/>
      <c r="N312" s="64"/>
      <c r="O312" s="64"/>
      <c r="P312" s="64"/>
      <c r="Q312" s="64"/>
      <c r="R312" s="65" t="str">
        <f>IF($A312="","",IFERROR(MINIFS(Candidates!$K$2:$K$2000,Candidates!$A$2:$A$2000,$A312),""))</f>
        <v/>
      </c>
      <c r="S312" s="65" t="str">
        <f>IF($A312="","",IFERROR(MAXIFS(Candidates!$AA$2:$AA$2000,Candidates!$A$2:$A$2000,$A312),""))</f>
        <v/>
      </c>
      <c r="T312" s="64" t="str">
        <f>IFERROR(__xludf.DUMMYFUNCTION("IF($A312="""","""",IFERROR(TEXTJOIN("", "",TRUE,UNIQUE(FILTER(Candidates!$B$2:$B$2000,Candidates!$A$2:$A$2000=$A312))),""""))"),"")</f>
        <v/>
      </c>
      <c r="U312" s="66" t="str">
        <f>IF($A312="","",COUNTIF(Candidates!$A$2:$A$2000,$A312))</f>
        <v/>
      </c>
      <c r="V312" s="64" t="str">
        <f>IFERROR(__xludf.DUMMYFUNCTION("IF($A312="""","""",IFERROR(INDEX(FILTER(Candidates!$S$2:$S$2000,Candidates!$A$2:$A$2000=$A312),COUNTIF(Candidates!$A$2:$A$2000,$A312)),""""))"),"")</f>
        <v/>
      </c>
      <c r="W312" s="64" t="str">
        <f>IFERROR(__xludf.DUMMYFUNCTION("IF($A312="""","""",IFERROR(INDEX(FILTER(Candidates!$T$2:$T$2000,Candidates!$A$2:$A$2000=$A312),COUNTIF(Candidates!$A$2:$A$2000,$A312)),""""))"),"")</f>
        <v/>
      </c>
      <c r="X312" s="64"/>
      <c r="Y312" s="64"/>
      <c r="Z312" s="65"/>
      <c r="AA312" s="65"/>
      <c r="AB312" s="65"/>
      <c r="AC312" s="65"/>
    </row>
    <row r="313">
      <c r="A313" s="64"/>
      <c r="B313" s="64"/>
      <c r="C313" s="64"/>
      <c r="D313" s="64"/>
      <c r="E313" s="64"/>
      <c r="F313" s="64"/>
      <c r="G313" s="64"/>
      <c r="H313" s="63"/>
      <c r="I313" s="64"/>
      <c r="J313" s="64"/>
      <c r="K313" s="64"/>
      <c r="L313" s="64"/>
      <c r="M313" s="64"/>
      <c r="N313" s="64"/>
      <c r="O313" s="64"/>
      <c r="P313" s="64"/>
      <c r="Q313" s="64"/>
      <c r="R313" s="65" t="str">
        <f>IF($A313="","",IFERROR(MINIFS(Candidates!$K$2:$K$2000,Candidates!$A$2:$A$2000,$A313),""))</f>
        <v/>
      </c>
      <c r="S313" s="65" t="str">
        <f>IF($A313="","",IFERROR(MAXIFS(Candidates!$AA$2:$AA$2000,Candidates!$A$2:$A$2000,$A313),""))</f>
        <v/>
      </c>
      <c r="T313" s="64" t="str">
        <f>IFERROR(__xludf.DUMMYFUNCTION("IF($A313="""","""",IFERROR(TEXTJOIN("", "",TRUE,UNIQUE(FILTER(Candidates!$B$2:$B$2000,Candidates!$A$2:$A$2000=$A313))),""""))"),"")</f>
        <v/>
      </c>
      <c r="U313" s="66" t="str">
        <f>IF($A313="","",COUNTIF(Candidates!$A$2:$A$2000,$A313))</f>
        <v/>
      </c>
      <c r="V313" s="64" t="str">
        <f>IFERROR(__xludf.DUMMYFUNCTION("IF($A313="""","""",IFERROR(INDEX(FILTER(Candidates!$S$2:$S$2000,Candidates!$A$2:$A$2000=$A313),COUNTIF(Candidates!$A$2:$A$2000,$A313)),""""))"),"")</f>
        <v/>
      </c>
      <c r="W313" s="64" t="str">
        <f>IFERROR(__xludf.DUMMYFUNCTION("IF($A313="""","""",IFERROR(INDEX(FILTER(Candidates!$T$2:$T$2000,Candidates!$A$2:$A$2000=$A313),COUNTIF(Candidates!$A$2:$A$2000,$A313)),""""))"),"")</f>
        <v/>
      </c>
      <c r="X313" s="64"/>
      <c r="Y313" s="64"/>
      <c r="Z313" s="65"/>
      <c r="AA313" s="65"/>
      <c r="AB313" s="65"/>
      <c r="AC313" s="65"/>
    </row>
    <row r="314">
      <c r="A314" s="64"/>
      <c r="B314" s="64"/>
      <c r="C314" s="64"/>
      <c r="D314" s="64"/>
      <c r="E314" s="64"/>
      <c r="F314" s="64"/>
      <c r="G314" s="64"/>
      <c r="H314" s="63"/>
      <c r="I314" s="64"/>
      <c r="J314" s="64"/>
      <c r="K314" s="64"/>
      <c r="L314" s="64"/>
      <c r="M314" s="64"/>
      <c r="N314" s="64"/>
      <c r="O314" s="64"/>
      <c r="P314" s="64"/>
      <c r="Q314" s="64"/>
      <c r="R314" s="65" t="str">
        <f>IF($A314="","",IFERROR(MINIFS(Candidates!$K$2:$K$2000,Candidates!$A$2:$A$2000,$A314),""))</f>
        <v/>
      </c>
      <c r="S314" s="65" t="str">
        <f>IF($A314="","",IFERROR(MAXIFS(Candidates!$AA$2:$AA$2000,Candidates!$A$2:$A$2000,$A314),""))</f>
        <v/>
      </c>
      <c r="T314" s="64" t="str">
        <f>IFERROR(__xludf.DUMMYFUNCTION("IF($A314="""","""",IFERROR(TEXTJOIN("", "",TRUE,UNIQUE(FILTER(Candidates!$B$2:$B$2000,Candidates!$A$2:$A$2000=$A314))),""""))"),"")</f>
        <v/>
      </c>
      <c r="U314" s="66" t="str">
        <f>IF($A314="","",COUNTIF(Candidates!$A$2:$A$2000,$A314))</f>
        <v/>
      </c>
      <c r="V314" s="64" t="str">
        <f>IFERROR(__xludf.DUMMYFUNCTION("IF($A314="""","""",IFERROR(INDEX(FILTER(Candidates!$S$2:$S$2000,Candidates!$A$2:$A$2000=$A314),COUNTIF(Candidates!$A$2:$A$2000,$A314)),""""))"),"")</f>
        <v/>
      </c>
      <c r="W314" s="64" t="str">
        <f>IFERROR(__xludf.DUMMYFUNCTION("IF($A314="""","""",IFERROR(INDEX(FILTER(Candidates!$T$2:$T$2000,Candidates!$A$2:$A$2000=$A314),COUNTIF(Candidates!$A$2:$A$2000,$A314)),""""))"),"")</f>
        <v/>
      </c>
      <c r="X314" s="64"/>
      <c r="Y314" s="64"/>
      <c r="Z314" s="65"/>
      <c r="AA314" s="65"/>
      <c r="AB314" s="65"/>
      <c r="AC314" s="65"/>
    </row>
    <row r="315">
      <c r="A315" s="64"/>
      <c r="B315" s="64"/>
      <c r="C315" s="64"/>
      <c r="D315" s="64"/>
      <c r="E315" s="64"/>
      <c r="F315" s="64"/>
      <c r="G315" s="64"/>
      <c r="H315" s="63"/>
      <c r="I315" s="64"/>
      <c r="J315" s="64"/>
      <c r="K315" s="64"/>
      <c r="L315" s="64"/>
      <c r="M315" s="64"/>
      <c r="N315" s="64"/>
      <c r="O315" s="64"/>
      <c r="P315" s="64"/>
      <c r="Q315" s="64"/>
      <c r="R315" s="65" t="str">
        <f>IF($A315="","",IFERROR(MINIFS(Candidates!$K$2:$K$2000,Candidates!$A$2:$A$2000,$A315),""))</f>
        <v/>
      </c>
      <c r="S315" s="65" t="str">
        <f>IF($A315="","",IFERROR(MAXIFS(Candidates!$AA$2:$AA$2000,Candidates!$A$2:$A$2000,$A315),""))</f>
        <v/>
      </c>
      <c r="T315" s="64" t="str">
        <f>IFERROR(__xludf.DUMMYFUNCTION("IF($A315="""","""",IFERROR(TEXTJOIN("", "",TRUE,UNIQUE(FILTER(Candidates!$B$2:$B$2000,Candidates!$A$2:$A$2000=$A315))),""""))"),"")</f>
        <v/>
      </c>
      <c r="U315" s="66" t="str">
        <f>IF($A315="","",COUNTIF(Candidates!$A$2:$A$2000,$A315))</f>
        <v/>
      </c>
      <c r="V315" s="64" t="str">
        <f>IFERROR(__xludf.DUMMYFUNCTION("IF($A315="""","""",IFERROR(INDEX(FILTER(Candidates!$S$2:$S$2000,Candidates!$A$2:$A$2000=$A315),COUNTIF(Candidates!$A$2:$A$2000,$A315)),""""))"),"")</f>
        <v/>
      </c>
      <c r="W315" s="64" t="str">
        <f>IFERROR(__xludf.DUMMYFUNCTION("IF($A315="""","""",IFERROR(INDEX(FILTER(Candidates!$T$2:$T$2000,Candidates!$A$2:$A$2000=$A315),COUNTIF(Candidates!$A$2:$A$2000,$A315)),""""))"),"")</f>
        <v/>
      </c>
      <c r="X315" s="64"/>
      <c r="Y315" s="64"/>
      <c r="Z315" s="65"/>
      <c r="AA315" s="65"/>
      <c r="AB315" s="65"/>
      <c r="AC315" s="65"/>
    </row>
    <row r="316">
      <c r="A316" s="64"/>
      <c r="B316" s="64"/>
      <c r="C316" s="64"/>
      <c r="D316" s="64"/>
      <c r="E316" s="64"/>
      <c r="F316" s="64"/>
      <c r="G316" s="64"/>
      <c r="H316" s="63"/>
      <c r="I316" s="64"/>
      <c r="J316" s="64"/>
      <c r="K316" s="64"/>
      <c r="L316" s="64"/>
      <c r="M316" s="64"/>
      <c r="N316" s="64"/>
      <c r="O316" s="64"/>
      <c r="P316" s="64"/>
      <c r="Q316" s="64"/>
      <c r="R316" s="65" t="str">
        <f>IF($A316="","",IFERROR(MINIFS(Candidates!$K$2:$K$2000,Candidates!$A$2:$A$2000,$A316),""))</f>
        <v/>
      </c>
      <c r="S316" s="65" t="str">
        <f>IF($A316="","",IFERROR(MAXIFS(Candidates!$AA$2:$AA$2000,Candidates!$A$2:$A$2000,$A316),""))</f>
        <v/>
      </c>
      <c r="T316" s="64" t="str">
        <f>IFERROR(__xludf.DUMMYFUNCTION("IF($A316="""","""",IFERROR(TEXTJOIN("", "",TRUE,UNIQUE(FILTER(Candidates!$B$2:$B$2000,Candidates!$A$2:$A$2000=$A316))),""""))"),"")</f>
        <v/>
      </c>
      <c r="U316" s="66" t="str">
        <f>IF($A316="","",COUNTIF(Candidates!$A$2:$A$2000,$A316))</f>
        <v/>
      </c>
      <c r="V316" s="64" t="str">
        <f>IFERROR(__xludf.DUMMYFUNCTION("IF($A316="""","""",IFERROR(INDEX(FILTER(Candidates!$S$2:$S$2000,Candidates!$A$2:$A$2000=$A316),COUNTIF(Candidates!$A$2:$A$2000,$A316)),""""))"),"")</f>
        <v/>
      </c>
      <c r="W316" s="64" t="str">
        <f>IFERROR(__xludf.DUMMYFUNCTION("IF($A316="""","""",IFERROR(INDEX(FILTER(Candidates!$T$2:$T$2000,Candidates!$A$2:$A$2000=$A316),COUNTIF(Candidates!$A$2:$A$2000,$A316)),""""))"),"")</f>
        <v/>
      </c>
      <c r="X316" s="64"/>
      <c r="Y316" s="64"/>
      <c r="Z316" s="65"/>
      <c r="AA316" s="65"/>
      <c r="AB316" s="65"/>
      <c r="AC316" s="65"/>
    </row>
    <row r="317">
      <c r="A317" s="64"/>
      <c r="B317" s="64"/>
      <c r="C317" s="64"/>
      <c r="D317" s="64"/>
      <c r="E317" s="64"/>
      <c r="F317" s="64"/>
      <c r="G317" s="64"/>
      <c r="H317" s="63"/>
      <c r="I317" s="64"/>
      <c r="J317" s="64"/>
      <c r="K317" s="64"/>
      <c r="L317" s="64"/>
      <c r="M317" s="64"/>
      <c r="N317" s="64"/>
      <c r="O317" s="64"/>
      <c r="P317" s="64"/>
      <c r="Q317" s="64"/>
      <c r="R317" s="65" t="str">
        <f>IF($A317="","",IFERROR(MINIFS(Candidates!$K$2:$K$2000,Candidates!$A$2:$A$2000,$A317),""))</f>
        <v/>
      </c>
      <c r="S317" s="65" t="str">
        <f>IF($A317="","",IFERROR(MAXIFS(Candidates!$AA$2:$AA$2000,Candidates!$A$2:$A$2000,$A317),""))</f>
        <v/>
      </c>
      <c r="T317" s="64" t="str">
        <f>IFERROR(__xludf.DUMMYFUNCTION("IF($A317="""","""",IFERROR(TEXTJOIN("", "",TRUE,UNIQUE(FILTER(Candidates!$B$2:$B$2000,Candidates!$A$2:$A$2000=$A317))),""""))"),"")</f>
        <v/>
      </c>
      <c r="U317" s="66" t="str">
        <f>IF($A317="","",COUNTIF(Candidates!$A$2:$A$2000,$A317))</f>
        <v/>
      </c>
      <c r="V317" s="64" t="str">
        <f>IFERROR(__xludf.DUMMYFUNCTION("IF($A317="""","""",IFERROR(INDEX(FILTER(Candidates!$S$2:$S$2000,Candidates!$A$2:$A$2000=$A317),COUNTIF(Candidates!$A$2:$A$2000,$A317)),""""))"),"")</f>
        <v/>
      </c>
      <c r="W317" s="64" t="str">
        <f>IFERROR(__xludf.DUMMYFUNCTION("IF($A317="""","""",IFERROR(INDEX(FILTER(Candidates!$T$2:$T$2000,Candidates!$A$2:$A$2000=$A317),COUNTIF(Candidates!$A$2:$A$2000,$A317)),""""))"),"")</f>
        <v/>
      </c>
      <c r="X317" s="64"/>
      <c r="Y317" s="64"/>
      <c r="Z317" s="65"/>
      <c r="AA317" s="65"/>
      <c r="AB317" s="65"/>
      <c r="AC317" s="65"/>
    </row>
    <row r="318">
      <c r="A318" s="64"/>
      <c r="B318" s="64"/>
      <c r="C318" s="64"/>
      <c r="D318" s="64"/>
      <c r="E318" s="64"/>
      <c r="F318" s="64"/>
      <c r="G318" s="64"/>
      <c r="H318" s="63"/>
      <c r="I318" s="64"/>
      <c r="J318" s="64"/>
      <c r="K318" s="64"/>
      <c r="L318" s="64"/>
      <c r="M318" s="64"/>
      <c r="N318" s="64"/>
      <c r="O318" s="64"/>
      <c r="P318" s="64"/>
      <c r="Q318" s="64"/>
      <c r="R318" s="65" t="str">
        <f>IF($A318="","",IFERROR(MINIFS(Candidates!$K$2:$K$2000,Candidates!$A$2:$A$2000,$A318),""))</f>
        <v/>
      </c>
      <c r="S318" s="65" t="str">
        <f>IF($A318="","",IFERROR(MAXIFS(Candidates!$AA$2:$AA$2000,Candidates!$A$2:$A$2000,$A318),""))</f>
        <v/>
      </c>
      <c r="T318" s="64" t="str">
        <f>IFERROR(__xludf.DUMMYFUNCTION("IF($A318="""","""",IFERROR(TEXTJOIN("", "",TRUE,UNIQUE(FILTER(Candidates!$B$2:$B$2000,Candidates!$A$2:$A$2000=$A318))),""""))"),"")</f>
        <v/>
      </c>
      <c r="U318" s="66" t="str">
        <f>IF($A318="","",COUNTIF(Candidates!$A$2:$A$2000,$A318))</f>
        <v/>
      </c>
      <c r="V318" s="64" t="str">
        <f>IFERROR(__xludf.DUMMYFUNCTION("IF($A318="""","""",IFERROR(INDEX(FILTER(Candidates!$S$2:$S$2000,Candidates!$A$2:$A$2000=$A318),COUNTIF(Candidates!$A$2:$A$2000,$A318)),""""))"),"")</f>
        <v/>
      </c>
      <c r="W318" s="64" t="str">
        <f>IFERROR(__xludf.DUMMYFUNCTION("IF($A318="""","""",IFERROR(INDEX(FILTER(Candidates!$T$2:$T$2000,Candidates!$A$2:$A$2000=$A318),COUNTIF(Candidates!$A$2:$A$2000,$A318)),""""))"),"")</f>
        <v/>
      </c>
      <c r="X318" s="64"/>
      <c r="Y318" s="64"/>
      <c r="Z318" s="65"/>
      <c r="AA318" s="65"/>
      <c r="AB318" s="65"/>
      <c r="AC318" s="65"/>
    </row>
    <row r="319">
      <c r="A319" s="64"/>
      <c r="B319" s="64"/>
      <c r="C319" s="64"/>
      <c r="D319" s="64"/>
      <c r="E319" s="64"/>
      <c r="F319" s="64"/>
      <c r="G319" s="64"/>
      <c r="H319" s="63"/>
      <c r="I319" s="64"/>
      <c r="J319" s="64"/>
      <c r="K319" s="64"/>
      <c r="L319" s="64"/>
      <c r="M319" s="64"/>
      <c r="N319" s="64"/>
      <c r="O319" s="64"/>
      <c r="P319" s="64"/>
      <c r="Q319" s="64"/>
      <c r="R319" s="65" t="str">
        <f>IF($A319="","",IFERROR(MINIFS(Candidates!$K$2:$K$2000,Candidates!$A$2:$A$2000,$A319),""))</f>
        <v/>
      </c>
      <c r="S319" s="65" t="str">
        <f>IF($A319="","",IFERROR(MAXIFS(Candidates!$AA$2:$AA$2000,Candidates!$A$2:$A$2000,$A319),""))</f>
        <v/>
      </c>
      <c r="T319" s="64" t="str">
        <f>IFERROR(__xludf.DUMMYFUNCTION("IF($A319="""","""",IFERROR(TEXTJOIN("", "",TRUE,UNIQUE(FILTER(Candidates!$B$2:$B$2000,Candidates!$A$2:$A$2000=$A319))),""""))"),"")</f>
        <v/>
      </c>
      <c r="U319" s="66" t="str">
        <f>IF($A319="","",COUNTIF(Candidates!$A$2:$A$2000,$A319))</f>
        <v/>
      </c>
      <c r="V319" s="64" t="str">
        <f>IFERROR(__xludf.DUMMYFUNCTION("IF($A319="""","""",IFERROR(INDEX(FILTER(Candidates!$S$2:$S$2000,Candidates!$A$2:$A$2000=$A319),COUNTIF(Candidates!$A$2:$A$2000,$A319)),""""))"),"")</f>
        <v/>
      </c>
      <c r="W319" s="64" t="str">
        <f>IFERROR(__xludf.DUMMYFUNCTION("IF($A319="""","""",IFERROR(INDEX(FILTER(Candidates!$T$2:$T$2000,Candidates!$A$2:$A$2000=$A319),COUNTIF(Candidates!$A$2:$A$2000,$A319)),""""))"),"")</f>
        <v/>
      </c>
      <c r="X319" s="64"/>
      <c r="Y319" s="64"/>
      <c r="Z319" s="65"/>
      <c r="AA319" s="65"/>
      <c r="AB319" s="65"/>
      <c r="AC319" s="65"/>
    </row>
    <row r="320">
      <c r="A320" s="64"/>
      <c r="B320" s="64"/>
      <c r="C320" s="64"/>
      <c r="D320" s="64"/>
      <c r="E320" s="64"/>
      <c r="F320" s="64"/>
      <c r="G320" s="64"/>
      <c r="H320" s="63"/>
      <c r="I320" s="64"/>
      <c r="J320" s="64"/>
      <c r="K320" s="64"/>
      <c r="L320" s="64"/>
      <c r="M320" s="64"/>
      <c r="N320" s="64"/>
      <c r="O320" s="64"/>
      <c r="P320" s="64"/>
      <c r="Q320" s="64"/>
      <c r="R320" s="65" t="str">
        <f>IF($A320="","",IFERROR(MINIFS(Candidates!$K$2:$K$2000,Candidates!$A$2:$A$2000,$A320),""))</f>
        <v/>
      </c>
      <c r="S320" s="65" t="str">
        <f>IF($A320="","",IFERROR(MAXIFS(Candidates!$AA$2:$AA$2000,Candidates!$A$2:$A$2000,$A320),""))</f>
        <v/>
      </c>
      <c r="T320" s="64" t="str">
        <f>IFERROR(__xludf.DUMMYFUNCTION("IF($A320="""","""",IFERROR(TEXTJOIN("", "",TRUE,UNIQUE(FILTER(Candidates!$B$2:$B$2000,Candidates!$A$2:$A$2000=$A320))),""""))"),"")</f>
        <v/>
      </c>
      <c r="U320" s="66" t="str">
        <f>IF($A320="","",COUNTIF(Candidates!$A$2:$A$2000,$A320))</f>
        <v/>
      </c>
      <c r="V320" s="64" t="str">
        <f>IFERROR(__xludf.DUMMYFUNCTION("IF($A320="""","""",IFERROR(INDEX(FILTER(Candidates!$S$2:$S$2000,Candidates!$A$2:$A$2000=$A320),COUNTIF(Candidates!$A$2:$A$2000,$A320)),""""))"),"")</f>
        <v/>
      </c>
      <c r="W320" s="64" t="str">
        <f>IFERROR(__xludf.DUMMYFUNCTION("IF($A320="""","""",IFERROR(INDEX(FILTER(Candidates!$T$2:$T$2000,Candidates!$A$2:$A$2000=$A320),COUNTIF(Candidates!$A$2:$A$2000,$A320)),""""))"),"")</f>
        <v/>
      </c>
      <c r="X320" s="64"/>
      <c r="Y320" s="64"/>
      <c r="Z320" s="65"/>
      <c r="AA320" s="65"/>
      <c r="AB320" s="65"/>
      <c r="AC320" s="65"/>
    </row>
    <row r="321">
      <c r="A321" s="64"/>
      <c r="B321" s="64"/>
      <c r="C321" s="64"/>
      <c r="D321" s="64"/>
      <c r="E321" s="64"/>
      <c r="F321" s="64"/>
      <c r="G321" s="64"/>
      <c r="H321" s="63"/>
      <c r="I321" s="64"/>
      <c r="J321" s="64"/>
      <c r="K321" s="64"/>
      <c r="L321" s="64"/>
      <c r="M321" s="64"/>
      <c r="N321" s="64"/>
      <c r="O321" s="64"/>
      <c r="P321" s="64"/>
      <c r="Q321" s="64"/>
      <c r="R321" s="65" t="str">
        <f>IF($A321="","",IFERROR(MINIFS(Candidates!$K$2:$K$2000,Candidates!$A$2:$A$2000,$A321),""))</f>
        <v/>
      </c>
      <c r="S321" s="65" t="str">
        <f>IF($A321="","",IFERROR(MAXIFS(Candidates!$AA$2:$AA$2000,Candidates!$A$2:$A$2000,$A321),""))</f>
        <v/>
      </c>
      <c r="T321" s="64" t="str">
        <f>IFERROR(__xludf.DUMMYFUNCTION("IF($A321="""","""",IFERROR(TEXTJOIN("", "",TRUE,UNIQUE(FILTER(Candidates!$B$2:$B$2000,Candidates!$A$2:$A$2000=$A321))),""""))"),"")</f>
        <v/>
      </c>
      <c r="U321" s="66" t="str">
        <f>IF($A321="","",COUNTIF(Candidates!$A$2:$A$2000,$A321))</f>
        <v/>
      </c>
      <c r="V321" s="64" t="str">
        <f>IFERROR(__xludf.DUMMYFUNCTION("IF($A321="""","""",IFERROR(INDEX(FILTER(Candidates!$S$2:$S$2000,Candidates!$A$2:$A$2000=$A321),COUNTIF(Candidates!$A$2:$A$2000,$A321)),""""))"),"")</f>
        <v/>
      </c>
      <c r="W321" s="64" t="str">
        <f>IFERROR(__xludf.DUMMYFUNCTION("IF($A321="""","""",IFERROR(INDEX(FILTER(Candidates!$T$2:$T$2000,Candidates!$A$2:$A$2000=$A321),COUNTIF(Candidates!$A$2:$A$2000,$A321)),""""))"),"")</f>
        <v/>
      </c>
      <c r="X321" s="64"/>
      <c r="Y321" s="64"/>
      <c r="Z321" s="65"/>
      <c r="AA321" s="65"/>
      <c r="AB321" s="65"/>
      <c r="AC321" s="65"/>
    </row>
    <row r="322">
      <c r="A322" s="64"/>
      <c r="B322" s="64"/>
      <c r="C322" s="64"/>
      <c r="D322" s="64"/>
      <c r="E322" s="64"/>
      <c r="F322" s="64"/>
      <c r="G322" s="64"/>
      <c r="H322" s="63"/>
      <c r="I322" s="64"/>
      <c r="J322" s="64"/>
      <c r="K322" s="64"/>
      <c r="L322" s="64"/>
      <c r="M322" s="64"/>
      <c r="N322" s="64"/>
      <c r="O322" s="64"/>
      <c r="P322" s="64"/>
      <c r="Q322" s="64"/>
      <c r="R322" s="65" t="str">
        <f>IF($A322="","",IFERROR(MINIFS(Candidates!$K$2:$K$2000,Candidates!$A$2:$A$2000,$A322),""))</f>
        <v/>
      </c>
      <c r="S322" s="65" t="str">
        <f>IF($A322="","",IFERROR(MAXIFS(Candidates!$AA$2:$AA$2000,Candidates!$A$2:$A$2000,$A322),""))</f>
        <v/>
      </c>
      <c r="T322" s="64" t="str">
        <f>IFERROR(__xludf.DUMMYFUNCTION("IF($A322="""","""",IFERROR(TEXTJOIN("", "",TRUE,UNIQUE(FILTER(Candidates!$B$2:$B$2000,Candidates!$A$2:$A$2000=$A322))),""""))"),"")</f>
        <v/>
      </c>
      <c r="U322" s="66" t="str">
        <f>IF($A322="","",COUNTIF(Candidates!$A$2:$A$2000,$A322))</f>
        <v/>
      </c>
      <c r="V322" s="64" t="str">
        <f>IFERROR(__xludf.DUMMYFUNCTION("IF($A322="""","""",IFERROR(INDEX(FILTER(Candidates!$S$2:$S$2000,Candidates!$A$2:$A$2000=$A322),COUNTIF(Candidates!$A$2:$A$2000,$A322)),""""))"),"")</f>
        <v/>
      </c>
      <c r="W322" s="64" t="str">
        <f>IFERROR(__xludf.DUMMYFUNCTION("IF($A322="""","""",IFERROR(INDEX(FILTER(Candidates!$T$2:$T$2000,Candidates!$A$2:$A$2000=$A322),COUNTIF(Candidates!$A$2:$A$2000,$A322)),""""))"),"")</f>
        <v/>
      </c>
      <c r="X322" s="64"/>
      <c r="Y322" s="64"/>
      <c r="Z322" s="65"/>
      <c r="AA322" s="65"/>
      <c r="AB322" s="65"/>
      <c r="AC322" s="65"/>
    </row>
    <row r="323">
      <c r="A323" s="64"/>
      <c r="B323" s="64"/>
      <c r="C323" s="64"/>
      <c r="D323" s="64"/>
      <c r="E323" s="64"/>
      <c r="F323" s="64"/>
      <c r="G323" s="64"/>
      <c r="H323" s="63"/>
      <c r="I323" s="64"/>
      <c r="J323" s="64"/>
      <c r="K323" s="64"/>
      <c r="L323" s="64"/>
      <c r="M323" s="64"/>
      <c r="N323" s="64"/>
      <c r="O323" s="64"/>
      <c r="P323" s="64"/>
      <c r="Q323" s="64"/>
      <c r="R323" s="65" t="str">
        <f>IF($A323="","",IFERROR(MINIFS(Candidates!$K$2:$K$2000,Candidates!$A$2:$A$2000,$A323),""))</f>
        <v/>
      </c>
      <c r="S323" s="65" t="str">
        <f>IF($A323="","",IFERROR(MAXIFS(Candidates!$AA$2:$AA$2000,Candidates!$A$2:$A$2000,$A323),""))</f>
        <v/>
      </c>
      <c r="T323" s="64" t="str">
        <f>IFERROR(__xludf.DUMMYFUNCTION("IF($A323="""","""",IFERROR(TEXTJOIN("", "",TRUE,UNIQUE(FILTER(Candidates!$B$2:$B$2000,Candidates!$A$2:$A$2000=$A323))),""""))"),"")</f>
        <v/>
      </c>
      <c r="U323" s="66" t="str">
        <f>IF($A323="","",COUNTIF(Candidates!$A$2:$A$2000,$A323))</f>
        <v/>
      </c>
      <c r="V323" s="64" t="str">
        <f>IFERROR(__xludf.DUMMYFUNCTION("IF($A323="""","""",IFERROR(INDEX(FILTER(Candidates!$S$2:$S$2000,Candidates!$A$2:$A$2000=$A323),COUNTIF(Candidates!$A$2:$A$2000,$A323)),""""))"),"")</f>
        <v/>
      </c>
      <c r="W323" s="64" t="str">
        <f>IFERROR(__xludf.DUMMYFUNCTION("IF($A323="""","""",IFERROR(INDEX(FILTER(Candidates!$T$2:$T$2000,Candidates!$A$2:$A$2000=$A323),COUNTIF(Candidates!$A$2:$A$2000,$A323)),""""))"),"")</f>
        <v/>
      </c>
      <c r="X323" s="64"/>
      <c r="Y323" s="64"/>
      <c r="Z323" s="65"/>
      <c r="AA323" s="65"/>
      <c r="AB323" s="65"/>
      <c r="AC323" s="65"/>
    </row>
    <row r="324">
      <c r="A324" s="64"/>
      <c r="B324" s="64"/>
      <c r="C324" s="64"/>
      <c r="D324" s="64"/>
      <c r="E324" s="64"/>
      <c r="F324" s="64"/>
      <c r="G324" s="64"/>
      <c r="H324" s="63"/>
      <c r="I324" s="64"/>
      <c r="J324" s="64"/>
      <c r="K324" s="64"/>
      <c r="L324" s="64"/>
      <c r="M324" s="64"/>
      <c r="N324" s="64"/>
      <c r="O324" s="64"/>
      <c r="P324" s="64"/>
      <c r="Q324" s="64"/>
      <c r="R324" s="65" t="str">
        <f>IF($A324="","",IFERROR(MINIFS(Candidates!$K$2:$K$2000,Candidates!$A$2:$A$2000,$A324),""))</f>
        <v/>
      </c>
      <c r="S324" s="65" t="str">
        <f>IF($A324="","",IFERROR(MAXIFS(Candidates!$AA$2:$AA$2000,Candidates!$A$2:$A$2000,$A324),""))</f>
        <v/>
      </c>
      <c r="T324" s="64" t="str">
        <f>IFERROR(__xludf.DUMMYFUNCTION("IF($A324="""","""",IFERROR(TEXTJOIN("", "",TRUE,UNIQUE(FILTER(Candidates!$B$2:$B$2000,Candidates!$A$2:$A$2000=$A324))),""""))"),"")</f>
        <v/>
      </c>
      <c r="U324" s="66" t="str">
        <f>IF($A324="","",COUNTIF(Candidates!$A$2:$A$2000,$A324))</f>
        <v/>
      </c>
      <c r="V324" s="64" t="str">
        <f>IFERROR(__xludf.DUMMYFUNCTION("IF($A324="""","""",IFERROR(INDEX(FILTER(Candidates!$S$2:$S$2000,Candidates!$A$2:$A$2000=$A324),COUNTIF(Candidates!$A$2:$A$2000,$A324)),""""))"),"")</f>
        <v/>
      </c>
      <c r="W324" s="64" t="str">
        <f>IFERROR(__xludf.DUMMYFUNCTION("IF($A324="""","""",IFERROR(INDEX(FILTER(Candidates!$T$2:$T$2000,Candidates!$A$2:$A$2000=$A324),COUNTIF(Candidates!$A$2:$A$2000,$A324)),""""))"),"")</f>
        <v/>
      </c>
      <c r="X324" s="64"/>
      <c r="Y324" s="64"/>
      <c r="Z324" s="65"/>
      <c r="AA324" s="65"/>
      <c r="AB324" s="65"/>
      <c r="AC324" s="65"/>
    </row>
    <row r="325">
      <c r="A325" s="64"/>
      <c r="B325" s="64"/>
      <c r="C325" s="64"/>
      <c r="D325" s="64"/>
      <c r="E325" s="64"/>
      <c r="F325" s="64"/>
      <c r="G325" s="64"/>
      <c r="H325" s="63"/>
      <c r="I325" s="64"/>
      <c r="J325" s="64"/>
      <c r="K325" s="64"/>
      <c r="L325" s="64"/>
      <c r="M325" s="64"/>
      <c r="N325" s="64"/>
      <c r="O325" s="64"/>
      <c r="P325" s="64"/>
      <c r="Q325" s="64"/>
      <c r="R325" s="65" t="str">
        <f>IF($A325="","",IFERROR(MINIFS(Candidates!$K$2:$K$2000,Candidates!$A$2:$A$2000,$A325),""))</f>
        <v/>
      </c>
      <c r="S325" s="65" t="str">
        <f>IF($A325="","",IFERROR(MAXIFS(Candidates!$AA$2:$AA$2000,Candidates!$A$2:$A$2000,$A325),""))</f>
        <v/>
      </c>
      <c r="T325" s="64" t="str">
        <f>IFERROR(__xludf.DUMMYFUNCTION("IF($A325="""","""",IFERROR(TEXTJOIN("", "",TRUE,UNIQUE(FILTER(Candidates!$B$2:$B$2000,Candidates!$A$2:$A$2000=$A325))),""""))"),"")</f>
        <v/>
      </c>
      <c r="U325" s="66" t="str">
        <f>IF($A325="","",COUNTIF(Candidates!$A$2:$A$2000,$A325))</f>
        <v/>
      </c>
      <c r="V325" s="64" t="str">
        <f>IFERROR(__xludf.DUMMYFUNCTION("IF($A325="""","""",IFERROR(INDEX(FILTER(Candidates!$S$2:$S$2000,Candidates!$A$2:$A$2000=$A325),COUNTIF(Candidates!$A$2:$A$2000,$A325)),""""))"),"")</f>
        <v/>
      </c>
      <c r="W325" s="64" t="str">
        <f>IFERROR(__xludf.DUMMYFUNCTION("IF($A325="""","""",IFERROR(INDEX(FILTER(Candidates!$T$2:$T$2000,Candidates!$A$2:$A$2000=$A325),COUNTIF(Candidates!$A$2:$A$2000,$A325)),""""))"),"")</f>
        <v/>
      </c>
      <c r="X325" s="64"/>
      <c r="Y325" s="64"/>
      <c r="Z325" s="65"/>
      <c r="AA325" s="65"/>
      <c r="AB325" s="65"/>
      <c r="AC325" s="65"/>
    </row>
    <row r="326">
      <c r="A326" s="64"/>
      <c r="B326" s="64"/>
      <c r="C326" s="64"/>
      <c r="D326" s="64"/>
      <c r="E326" s="64"/>
      <c r="F326" s="64"/>
      <c r="G326" s="64"/>
      <c r="H326" s="63"/>
      <c r="I326" s="64"/>
      <c r="J326" s="64"/>
      <c r="K326" s="64"/>
      <c r="L326" s="64"/>
      <c r="M326" s="64"/>
      <c r="N326" s="64"/>
      <c r="O326" s="64"/>
      <c r="P326" s="64"/>
      <c r="Q326" s="64"/>
      <c r="R326" s="65" t="str">
        <f>IF($A326="","",IFERROR(MINIFS(Candidates!$K$2:$K$2000,Candidates!$A$2:$A$2000,$A326),""))</f>
        <v/>
      </c>
      <c r="S326" s="65" t="str">
        <f>IF($A326="","",IFERROR(MAXIFS(Candidates!$AA$2:$AA$2000,Candidates!$A$2:$A$2000,$A326),""))</f>
        <v/>
      </c>
      <c r="T326" s="64" t="str">
        <f>IFERROR(__xludf.DUMMYFUNCTION("IF($A326="""","""",IFERROR(TEXTJOIN("", "",TRUE,UNIQUE(FILTER(Candidates!$B$2:$B$2000,Candidates!$A$2:$A$2000=$A326))),""""))"),"")</f>
        <v/>
      </c>
      <c r="U326" s="66" t="str">
        <f>IF($A326="","",COUNTIF(Candidates!$A$2:$A$2000,$A326))</f>
        <v/>
      </c>
      <c r="V326" s="64" t="str">
        <f>IFERROR(__xludf.DUMMYFUNCTION("IF($A326="""","""",IFERROR(INDEX(FILTER(Candidates!$S$2:$S$2000,Candidates!$A$2:$A$2000=$A326),COUNTIF(Candidates!$A$2:$A$2000,$A326)),""""))"),"")</f>
        <v/>
      </c>
      <c r="W326" s="64" t="str">
        <f>IFERROR(__xludf.DUMMYFUNCTION("IF($A326="""","""",IFERROR(INDEX(FILTER(Candidates!$T$2:$T$2000,Candidates!$A$2:$A$2000=$A326),COUNTIF(Candidates!$A$2:$A$2000,$A326)),""""))"),"")</f>
        <v/>
      </c>
      <c r="X326" s="64"/>
      <c r="Y326" s="64"/>
      <c r="Z326" s="65"/>
      <c r="AA326" s="65"/>
      <c r="AB326" s="65"/>
      <c r="AC326" s="65"/>
    </row>
    <row r="327">
      <c r="A327" s="64"/>
      <c r="B327" s="64"/>
      <c r="C327" s="64"/>
      <c r="D327" s="64"/>
      <c r="E327" s="64"/>
      <c r="F327" s="64"/>
      <c r="G327" s="64"/>
      <c r="H327" s="63"/>
      <c r="I327" s="64"/>
      <c r="J327" s="64"/>
      <c r="K327" s="64"/>
      <c r="L327" s="64"/>
      <c r="M327" s="64"/>
      <c r="N327" s="64"/>
      <c r="O327" s="64"/>
      <c r="P327" s="64"/>
      <c r="Q327" s="64"/>
      <c r="R327" s="65" t="str">
        <f>IF($A327="","",IFERROR(MINIFS(Candidates!$K$2:$K$2000,Candidates!$A$2:$A$2000,$A327),""))</f>
        <v/>
      </c>
      <c r="S327" s="65" t="str">
        <f>IF($A327="","",IFERROR(MAXIFS(Candidates!$AA$2:$AA$2000,Candidates!$A$2:$A$2000,$A327),""))</f>
        <v/>
      </c>
      <c r="T327" s="64" t="str">
        <f>IFERROR(__xludf.DUMMYFUNCTION("IF($A327="""","""",IFERROR(TEXTJOIN("", "",TRUE,UNIQUE(FILTER(Candidates!$B$2:$B$2000,Candidates!$A$2:$A$2000=$A327))),""""))"),"")</f>
        <v/>
      </c>
      <c r="U327" s="66" t="str">
        <f>IF($A327="","",COUNTIF(Candidates!$A$2:$A$2000,$A327))</f>
        <v/>
      </c>
      <c r="V327" s="64" t="str">
        <f>IFERROR(__xludf.DUMMYFUNCTION("IF($A327="""","""",IFERROR(INDEX(FILTER(Candidates!$S$2:$S$2000,Candidates!$A$2:$A$2000=$A327),COUNTIF(Candidates!$A$2:$A$2000,$A327)),""""))"),"")</f>
        <v/>
      </c>
      <c r="W327" s="64" t="str">
        <f>IFERROR(__xludf.DUMMYFUNCTION("IF($A327="""","""",IFERROR(INDEX(FILTER(Candidates!$T$2:$T$2000,Candidates!$A$2:$A$2000=$A327),COUNTIF(Candidates!$A$2:$A$2000,$A327)),""""))"),"")</f>
        <v/>
      </c>
      <c r="X327" s="64"/>
      <c r="Y327" s="64"/>
      <c r="Z327" s="65"/>
      <c r="AA327" s="65"/>
      <c r="AB327" s="65"/>
      <c r="AC327" s="65"/>
    </row>
    <row r="328">
      <c r="A328" s="64"/>
      <c r="B328" s="64"/>
      <c r="C328" s="64"/>
      <c r="D328" s="64"/>
      <c r="E328" s="64"/>
      <c r="F328" s="64"/>
      <c r="G328" s="64"/>
      <c r="H328" s="63"/>
      <c r="I328" s="64"/>
      <c r="J328" s="64"/>
      <c r="K328" s="64"/>
      <c r="L328" s="64"/>
      <c r="M328" s="64"/>
      <c r="N328" s="64"/>
      <c r="O328" s="64"/>
      <c r="P328" s="64"/>
      <c r="Q328" s="64"/>
      <c r="R328" s="65" t="str">
        <f>IF($A328="","",IFERROR(MINIFS(Candidates!$K$2:$K$2000,Candidates!$A$2:$A$2000,$A328),""))</f>
        <v/>
      </c>
      <c r="S328" s="65" t="str">
        <f>IF($A328="","",IFERROR(MAXIFS(Candidates!$AA$2:$AA$2000,Candidates!$A$2:$A$2000,$A328),""))</f>
        <v/>
      </c>
      <c r="T328" s="64" t="str">
        <f>IFERROR(__xludf.DUMMYFUNCTION("IF($A328="""","""",IFERROR(TEXTJOIN("", "",TRUE,UNIQUE(FILTER(Candidates!$B$2:$B$2000,Candidates!$A$2:$A$2000=$A328))),""""))"),"")</f>
        <v/>
      </c>
      <c r="U328" s="66" t="str">
        <f>IF($A328="","",COUNTIF(Candidates!$A$2:$A$2000,$A328))</f>
        <v/>
      </c>
      <c r="V328" s="64" t="str">
        <f>IFERROR(__xludf.DUMMYFUNCTION("IF($A328="""","""",IFERROR(INDEX(FILTER(Candidates!$S$2:$S$2000,Candidates!$A$2:$A$2000=$A328),COUNTIF(Candidates!$A$2:$A$2000,$A328)),""""))"),"")</f>
        <v/>
      </c>
      <c r="W328" s="64" t="str">
        <f>IFERROR(__xludf.DUMMYFUNCTION("IF($A328="""","""",IFERROR(INDEX(FILTER(Candidates!$T$2:$T$2000,Candidates!$A$2:$A$2000=$A328),COUNTIF(Candidates!$A$2:$A$2000,$A328)),""""))"),"")</f>
        <v/>
      </c>
      <c r="X328" s="64"/>
      <c r="Y328" s="64"/>
      <c r="Z328" s="65"/>
      <c r="AA328" s="65"/>
      <c r="AB328" s="65"/>
      <c r="AC328" s="65"/>
    </row>
    <row r="329">
      <c r="A329" s="64"/>
      <c r="B329" s="64"/>
      <c r="C329" s="64"/>
      <c r="D329" s="64"/>
      <c r="E329" s="64"/>
      <c r="F329" s="64"/>
      <c r="G329" s="64"/>
      <c r="H329" s="63"/>
      <c r="I329" s="64"/>
      <c r="J329" s="64"/>
      <c r="K329" s="64"/>
      <c r="L329" s="64"/>
      <c r="M329" s="64"/>
      <c r="N329" s="64"/>
      <c r="O329" s="64"/>
      <c r="P329" s="64"/>
      <c r="Q329" s="64"/>
      <c r="R329" s="65" t="str">
        <f>IF($A329="","",IFERROR(MINIFS(Candidates!$K$2:$K$2000,Candidates!$A$2:$A$2000,$A329),""))</f>
        <v/>
      </c>
      <c r="S329" s="65" t="str">
        <f>IF($A329="","",IFERROR(MAXIFS(Candidates!$AA$2:$AA$2000,Candidates!$A$2:$A$2000,$A329),""))</f>
        <v/>
      </c>
      <c r="T329" s="64" t="str">
        <f>IFERROR(__xludf.DUMMYFUNCTION("IF($A329="""","""",IFERROR(TEXTJOIN("", "",TRUE,UNIQUE(FILTER(Candidates!$B$2:$B$2000,Candidates!$A$2:$A$2000=$A329))),""""))"),"")</f>
        <v/>
      </c>
      <c r="U329" s="66" t="str">
        <f>IF($A329="","",COUNTIF(Candidates!$A$2:$A$2000,$A329))</f>
        <v/>
      </c>
      <c r="V329" s="64" t="str">
        <f>IFERROR(__xludf.DUMMYFUNCTION("IF($A329="""","""",IFERROR(INDEX(FILTER(Candidates!$S$2:$S$2000,Candidates!$A$2:$A$2000=$A329),COUNTIF(Candidates!$A$2:$A$2000,$A329)),""""))"),"")</f>
        <v/>
      </c>
      <c r="W329" s="64" t="str">
        <f>IFERROR(__xludf.DUMMYFUNCTION("IF($A329="""","""",IFERROR(INDEX(FILTER(Candidates!$T$2:$T$2000,Candidates!$A$2:$A$2000=$A329),COUNTIF(Candidates!$A$2:$A$2000,$A329)),""""))"),"")</f>
        <v/>
      </c>
      <c r="X329" s="64"/>
      <c r="Y329" s="64"/>
      <c r="Z329" s="65"/>
      <c r="AA329" s="65"/>
      <c r="AB329" s="65"/>
      <c r="AC329" s="65"/>
    </row>
    <row r="330">
      <c r="A330" s="64"/>
      <c r="B330" s="64"/>
      <c r="C330" s="64"/>
      <c r="D330" s="64"/>
      <c r="E330" s="64"/>
      <c r="F330" s="64"/>
      <c r="G330" s="64"/>
      <c r="H330" s="63"/>
      <c r="I330" s="64"/>
      <c r="J330" s="64"/>
      <c r="K330" s="64"/>
      <c r="L330" s="64"/>
      <c r="M330" s="64"/>
      <c r="N330" s="64"/>
      <c r="O330" s="64"/>
      <c r="P330" s="64"/>
      <c r="Q330" s="64"/>
      <c r="R330" s="65" t="str">
        <f>IF($A330="","",IFERROR(MINIFS(Candidates!$K$2:$K$2000,Candidates!$A$2:$A$2000,$A330),""))</f>
        <v/>
      </c>
      <c r="S330" s="65" t="str">
        <f>IF($A330="","",IFERROR(MAXIFS(Candidates!$AA$2:$AA$2000,Candidates!$A$2:$A$2000,$A330),""))</f>
        <v/>
      </c>
      <c r="T330" s="64" t="str">
        <f>IFERROR(__xludf.DUMMYFUNCTION("IF($A330="""","""",IFERROR(TEXTJOIN("", "",TRUE,UNIQUE(FILTER(Candidates!$B$2:$B$2000,Candidates!$A$2:$A$2000=$A330))),""""))"),"")</f>
        <v/>
      </c>
      <c r="U330" s="66" t="str">
        <f>IF($A330="","",COUNTIF(Candidates!$A$2:$A$2000,$A330))</f>
        <v/>
      </c>
      <c r="V330" s="64" t="str">
        <f>IFERROR(__xludf.DUMMYFUNCTION("IF($A330="""","""",IFERROR(INDEX(FILTER(Candidates!$S$2:$S$2000,Candidates!$A$2:$A$2000=$A330),COUNTIF(Candidates!$A$2:$A$2000,$A330)),""""))"),"")</f>
        <v/>
      </c>
      <c r="W330" s="64" t="str">
        <f>IFERROR(__xludf.DUMMYFUNCTION("IF($A330="""","""",IFERROR(INDEX(FILTER(Candidates!$T$2:$T$2000,Candidates!$A$2:$A$2000=$A330),COUNTIF(Candidates!$A$2:$A$2000,$A330)),""""))"),"")</f>
        <v/>
      </c>
      <c r="X330" s="64"/>
      <c r="Y330" s="64"/>
      <c r="Z330" s="65"/>
      <c r="AA330" s="65"/>
      <c r="AB330" s="65"/>
      <c r="AC330" s="65"/>
    </row>
    <row r="331">
      <c r="A331" s="64"/>
      <c r="B331" s="64"/>
      <c r="C331" s="64"/>
      <c r="D331" s="64"/>
      <c r="E331" s="64"/>
      <c r="F331" s="64"/>
      <c r="G331" s="64"/>
      <c r="H331" s="63"/>
      <c r="I331" s="64"/>
      <c r="J331" s="64"/>
      <c r="K331" s="64"/>
      <c r="L331" s="64"/>
      <c r="M331" s="64"/>
      <c r="N331" s="64"/>
      <c r="O331" s="64"/>
      <c r="P331" s="64"/>
      <c r="Q331" s="64"/>
      <c r="R331" s="65" t="str">
        <f>IF($A331="","",IFERROR(MINIFS(Candidates!$K$2:$K$2000,Candidates!$A$2:$A$2000,$A331),""))</f>
        <v/>
      </c>
      <c r="S331" s="65" t="str">
        <f>IF($A331="","",IFERROR(MAXIFS(Candidates!$AA$2:$AA$2000,Candidates!$A$2:$A$2000,$A331),""))</f>
        <v/>
      </c>
      <c r="T331" s="64" t="str">
        <f>IFERROR(__xludf.DUMMYFUNCTION("IF($A331="""","""",IFERROR(TEXTJOIN("", "",TRUE,UNIQUE(FILTER(Candidates!$B$2:$B$2000,Candidates!$A$2:$A$2000=$A331))),""""))"),"")</f>
        <v/>
      </c>
      <c r="U331" s="66" t="str">
        <f>IF($A331="","",COUNTIF(Candidates!$A$2:$A$2000,$A331))</f>
        <v/>
      </c>
      <c r="V331" s="64" t="str">
        <f>IFERROR(__xludf.DUMMYFUNCTION("IF($A331="""","""",IFERROR(INDEX(FILTER(Candidates!$S$2:$S$2000,Candidates!$A$2:$A$2000=$A331),COUNTIF(Candidates!$A$2:$A$2000,$A331)),""""))"),"")</f>
        <v/>
      </c>
      <c r="W331" s="64" t="str">
        <f>IFERROR(__xludf.DUMMYFUNCTION("IF($A331="""","""",IFERROR(INDEX(FILTER(Candidates!$T$2:$T$2000,Candidates!$A$2:$A$2000=$A331),COUNTIF(Candidates!$A$2:$A$2000,$A331)),""""))"),"")</f>
        <v/>
      </c>
      <c r="X331" s="64"/>
      <c r="Y331" s="64"/>
      <c r="Z331" s="65"/>
      <c r="AA331" s="65"/>
      <c r="AB331" s="65"/>
      <c r="AC331" s="65"/>
    </row>
    <row r="332">
      <c r="A332" s="64"/>
      <c r="B332" s="64"/>
      <c r="C332" s="64"/>
      <c r="D332" s="64"/>
      <c r="E332" s="64"/>
      <c r="F332" s="64"/>
      <c r="G332" s="64"/>
      <c r="H332" s="63"/>
      <c r="I332" s="64"/>
      <c r="J332" s="64"/>
      <c r="K332" s="64"/>
      <c r="L332" s="64"/>
      <c r="M332" s="64"/>
      <c r="N332" s="64"/>
      <c r="O332" s="64"/>
      <c r="P332" s="64"/>
      <c r="Q332" s="64"/>
      <c r="R332" s="65" t="str">
        <f>IF($A332="","",IFERROR(MINIFS(Candidates!$K$2:$K$2000,Candidates!$A$2:$A$2000,$A332),""))</f>
        <v/>
      </c>
      <c r="S332" s="65" t="str">
        <f>IF($A332="","",IFERROR(MAXIFS(Candidates!$AA$2:$AA$2000,Candidates!$A$2:$A$2000,$A332),""))</f>
        <v/>
      </c>
      <c r="T332" s="64" t="str">
        <f>IFERROR(__xludf.DUMMYFUNCTION("IF($A332="""","""",IFERROR(TEXTJOIN("", "",TRUE,UNIQUE(FILTER(Candidates!$B$2:$B$2000,Candidates!$A$2:$A$2000=$A332))),""""))"),"")</f>
        <v/>
      </c>
      <c r="U332" s="66" t="str">
        <f>IF($A332="","",COUNTIF(Candidates!$A$2:$A$2000,$A332))</f>
        <v/>
      </c>
      <c r="V332" s="64" t="str">
        <f>IFERROR(__xludf.DUMMYFUNCTION("IF($A332="""","""",IFERROR(INDEX(FILTER(Candidates!$S$2:$S$2000,Candidates!$A$2:$A$2000=$A332),COUNTIF(Candidates!$A$2:$A$2000,$A332)),""""))"),"")</f>
        <v/>
      </c>
      <c r="W332" s="64" t="str">
        <f>IFERROR(__xludf.DUMMYFUNCTION("IF($A332="""","""",IFERROR(INDEX(FILTER(Candidates!$T$2:$T$2000,Candidates!$A$2:$A$2000=$A332),COUNTIF(Candidates!$A$2:$A$2000,$A332)),""""))"),"")</f>
        <v/>
      </c>
      <c r="X332" s="64"/>
      <c r="Y332" s="64"/>
      <c r="Z332" s="65"/>
      <c r="AA332" s="65"/>
      <c r="AB332" s="65"/>
      <c r="AC332" s="65"/>
    </row>
    <row r="333">
      <c r="A333" s="64"/>
      <c r="B333" s="64"/>
      <c r="C333" s="64"/>
      <c r="D333" s="64"/>
      <c r="E333" s="64"/>
      <c r="F333" s="64"/>
      <c r="G333" s="64"/>
      <c r="H333" s="63"/>
      <c r="I333" s="64"/>
      <c r="J333" s="64"/>
      <c r="K333" s="64"/>
      <c r="L333" s="64"/>
      <c r="M333" s="64"/>
      <c r="N333" s="64"/>
      <c r="O333" s="64"/>
      <c r="P333" s="64"/>
      <c r="Q333" s="64"/>
      <c r="R333" s="65" t="str">
        <f>IF($A333="","",IFERROR(MINIFS(Candidates!$K$2:$K$2000,Candidates!$A$2:$A$2000,$A333),""))</f>
        <v/>
      </c>
      <c r="S333" s="65" t="str">
        <f>IF($A333="","",IFERROR(MAXIFS(Candidates!$AA$2:$AA$2000,Candidates!$A$2:$A$2000,$A333),""))</f>
        <v/>
      </c>
      <c r="T333" s="64" t="str">
        <f>IFERROR(__xludf.DUMMYFUNCTION("IF($A333="""","""",IFERROR(TEXTJOIN("", "",TRUE,UNIQUE(FILTER(Candidates!$B$2:$B$2000,Candidates!$A$2:$A$2000=$A333))),""""))"),"")</f>
        <v/>
      </c>
      <c r="U333" s="66" t="str">
        <f>IF($A333="","",COUNTIF(Candidates!$A$2:$A$2000,$A333))</f>
        <v/>
      </c>
      <c r="V333" s="64" t="str">
        <f>IFERROR(__xludf.DUMMYFUNCTION("IF($A333="""","""",IFERROR(INDEX(FILTER(Candidates!$S$2:$S$2000,Candidates!$A$2:$A$2000=$A333),COUNTIF(Candidates!$A$2:$A$2000,$A333)),""""))"),"")</f>
        <v/>
      </c>
      <c r="W333" s="64" t="str">
        <f>IFERROR(__xludf.DUMMYFUNCTION("IF($A333="""","""",IFERROR(INDEX(FILTER(Candidates!$T$2:$T$2000,Candidates!$A$2:$A$2000=$A333),COUNTIF(Candidates!$A$2:$A$2000,$A333)),""""))"),"")</f>
        <v/>
      </c>
      <c r="X333" s="64"/>
      <c r="Y333" s="64"/>
      <c r="Z333" s="65"/>
      <c r="AA333" s="65"/>
      <c r="AB333" s="65"/>
      <c r="AC333" s="65"/>
    </row>
    <row r="334">
      <c r="A334" s="64"/>
      <c r="B334" s="64"/>
      <c r="C334" s="64"/>
      <c r="D334" s="64"/>
      <c r="E334" s="64"/>
      <c r="F334" s="64"/>
      <c r="G334" s="64"/>
      <c r="H334" s="63"/>
      <c r="I334" s="64"/>
      <c r="J334" s="64"/>
      <c r="K334" s="64"/>
      <c r="L334" s="64"/>
      <c r="M334" s="64"/>
      <c r="N334" s="64"/>
      <c r="O334" s="64"/>
      <c r="P334" s="64"/>
      <c r="Q334" s="64"/>
      <c r="R334" s="65" t="str">
        <f>IF($A334="","",IFERROR(MINIFS(Candidates!$K$2:$K$2000,Candidates!$A$2:$A$2000,$A334),""))</f>
        <v/>
      </c>
      <c r="S334" s="65" t="str">
        <f>IF($A334="","",IFERROR(MAXIFS(Candidates!$AA$2:$AA$2000,Candidates!$A$2:$A$2000,$A334),""))</f>
        <v/>
      </c>
      <c r="T334" s="64" t="str">
        <f>IFERROR(__xludf.DUMMYFUNCTION("IF($A334="""","""",IFERROR(TEXTJOIN("", "",TRUE,UNIQUE(FILTER(Candidates!$B$2:$B$2000,Candidates!$A$2:$A$2000=$A334))),""""))"),"")</f>
        <v/>
      </c>
      <c r="U334" s="66" t="str">
        <f>IF($A334="","",COUNTIF(Candidates!$A$2:$A$2000,$A334))</f>
        <v/>
      </c>
      <c r="V334" s="64" t="str">
        <f>IFERROR(__xludf.DUMMYFUNCTION("IF($A334="""","""",IFERROR(INDEX(FILTER(Candidates!$S$2:$S$2000,Candidates!$A$2:$A$2000=$A334),COUNTIF(Candidates!$A$2:$A$2000,$A334)),""""))"),"")</f>
        <v/>
      </c>
      <c r="W334" s="64" t="str">
        <f>IFERROR(__xludf.DUMMYFUNCTION("IF($A334="""","""",IFERROR(INDEX(FILTER(Candidates!$T$2:$T$2000,Candidates!$A$2:$A$2000=$A334),COUNTIF(Candidates!$A$2:$A$2000,$A334)),""""))"),"")</f>
        <v/>
      </c>
      <c r="X334" s="64"/>
      <c r="Y334" s="64"/>
      <c r="Z334" s="65"/>
      <c r="AA334" s="65"/>
      <c r="AB334" s="65"/>
      <c r="AC334" s="65"/>
    </row>
    <row r="335">
      <c r="A335" s="64"/>
      <c r="B335" s="64"/>
      <c r="C335" s="64"/>
      <c r="D335" s="64"/>
      <c r="E335" s="64"/>
      <c r="F335" s="64"/>
      <c r="G335" s="64"/>
      <c r="H335" s="63"/>
      <c r="I335" s="64"/>
      <c r="J335" s="64"/>
      <c r="K335" s="64"/>
      <c r="L335" s="64"/>
      <c r="M335" s="64"/>
      <c r="N335" s="64"/>
      <c r="O335" s="64"/>
      <c r="P335" s="64"/>
      <c r="Q335" s="64"/>
      <c r="R335" s="65" t="str">
        <f>IF($A335="","",IFERROR(MINIFS(Candidates!$K$2:$K$2000,Candidates!$A$2:$A$2000,$A335),""))</f>
        <v/>
      </c>
      <c r="S335" s="65" t="str">
        <f>IF($A335="","",IFERROR(MAXIFS(Candidates!$AA$2:$AA$2000,Candidates!$A$2:$A$2000,$A335),""))</f>
        <v/>
      </c>
      <c r="T335" s="64" t="str">
        <f>IFERROR(__xludf.DUMMYFUNCTION("IF($A335="""","""",IFERROR(TEXTJOIN("", "",TRUE,UNIQUE(FILTER(Candidates!$B$2:$B$2000,Candidates!$A$2:$A$2000=$A335))),""""))"),"")</f>
        <v/>
      </c>
      <c r="U335" s="66" t="str">
        <f>IF($A335="","",COUNTIF(Candidates!$A$2:$A$2000,$A335))</f>
        <v/>
      </c>
      <c r="V335" s="64" t="str">
        <f>IFERROR(__xludf.DUMMYFUNCTION("IF($A335="""","""",IFERROR(INDEX(FILTER(Candidates!$S$2:$S$2000,Candidates!$A$2:$A$2000=$A335),COUNTIF(Candidates!$A$2:$A$2000,$A335)),""""))"),"")</f>
        <v/>
      </c>
      <c r="W335" s="64" t="str">
        <f>IFERROR(__xludf.DUMMYFUNCTION("IF($A335="""","""",IFERROR(INDEX(FILTER(Candidates!$T$2:$T$2000,Candidates!$A$2:$A$2000=$A335),COUNTIF(Candidates!$A$2:$A$2000,$A335)),""""))"),"")</f>
        <v/>
      </c>
      <c r="X335" s="64"/>
      <c r="Y335" s="64"/>
      <c r="Z335" s="65"/>
      <c r="AA335" s="65"/>
      <c r="AB335" s="65"/>
      <c r="AC335" s="65"/>
    </row>
    <row r="336">
      <c r="A336" s="64"/>
      <c r="B336" s="64"/>
      <c r="C336" s="64"/>
      <c r="D336" s="64"/>
      <c r="E336" s="64"/>
      <c r="F336" s="64"/>
      <c r="G336" s="64"/>
      <c r="H336" s="63"/>
      <c r="I336" s="64"/>
      <c r="J336" s="64"/>
      <c r="K336" s="64"/>
      <c r="L336" s="64"/>
      <c r="M336" s="64"/>
      <c r="N336" s="64"/>
      <c r="O336" s="64"/>
      <c r="P336" s="64"/>
      <c r="Q336" s="64"/>
      <c r="R336" s="65" t="str">
        <f>IF($A336="","",IFERROR(MINIFS(Candidates!$K$2:$K$2000,Candidates!$A$2:$A$2000,$A336),""))</f>
        <v/>
      </c>
      <c r="S336" s="65" t="str">
        <f>IF($A336="","",IFERROR(MAXIFS(Candidates!$AA$2:$AA$2000,Candidates!$A$2:$A$2000,$A336),""))</f>
        <v/>
      </c>
      <c r="T336" s="64" t="str">
        <f>IFERROR(__xludf.DUMMYFUNCTION("IF($A336="""","""",IFERROR(TEXTJOIN("", "",TRUE,UNIQUE(FILTER(Candidates!$B$2:$B$2000,Candidates!$A$2:$A$2000=$A336))),""""))"),"")</f>
        <v/>
      </c>
      <c r="U336" s="66" t="str">
        <f>IF($A336="","",COUNTIF(Candidates!$A$2:$A$2000,$A336))</f>
        <v/>
      </c>
      <c r="V336" s="64" t="str">
        <f>IFERROR(__xludf.DUMMYFUNCTION("IF($A336="""","""",IFERROR(INDEX(FILTER(Candidates!$S$2:$S$2000,Candidates!$A$2:$A$2000=$A336),COUNTIF(Candidates!$A$2:$A$2000,$A336)),""""))"),"")</f>
        <v/>
      </c>
      <c r="W336" s="64" t="str">
        <f>IFERROR(__xludf.DUMMYFUNCTION("IF($A336="""","""",IFERROR(INDEX(FILTER(Candidates!$T$2:$T$2000,Candidates!$A$2:$A$2000=$A336),COUNTIF(Candidates!$A$2:$A$2000,$A336)),""""))"),"")</f>
        <v/>
      </c>
      <c r="X336" s="64"/>
      <c r="Y336" s="64"/>
      <c r="Z336" s="65"/>
      <c r="AA336" s="65"/>
      <c r="AB336" s="65"/>
      <c r="AC336" s="65"/>
    </row>
    <row r="337">
      <c r="A337" s="64"/>
      <c r="B337" s="64"/>
      <c r="C337" s="64"/>
      <c r="D337" s="64"/>
      <c r="E337" s="64"/>
      <c r="F337" s="64"/>
      <c r="G337" s="64"/>
      <c r="H337" s="63"/>
      <c r="I337" s="64"/>
      <c r="J337" s="64"/>
      <c r="K337" s="64"/>
      <c r="L337" s="64"/>
      <c r="M337" s="64"/>
      <c r="N337" s="64"/>
      <c r="O337" s="64"/>
      <c r="P337" s="64"/>
      <c r="Q337" s="64"/>
      <c r="R337" s="65" t="str">
        <f>IF($A337="","",IFERROR(MINIFS(Candidates!$K$2:$K$2000,Candidates!$A$2:$A$2000,$A337),""))</f>
        <v/>
      </c>
      <c r="S337" s="65" t="str">
        <f>IF($A337="","",IFERROR(MAXIFS(Candidates!$AA$2:$AA$2000,Candidates!$A$2:$A$2000,$A337),""))</f>
        <v/>
      </c>
      <c r="T337" s="64" t="str">
        <f>IFERROR(__xludf.DUMMYFUNCTION("IF($A337="""","""",IFERROR(TEXTJOIN("", "",TRUE,UNIQUE(FILTER(Candidates!$B$2:$B$2000,Candidates!$A$2:$A$2000=$A337))),""""))"),"")</f>
        <v/>
      </c>
      <c r="U337" s="66" t="str">
        <f>IF($A337="","",COUNTIF(Candidates!$A$2:$A$2000,$A337))</f>
        <v/>
      </c>
      <c r="V337" s="64" t="str">
        <f>IFERROR(__xludf.DUMMYFUNCTION("IF($A337="""","""",IFERROR(INDEX(FILTER(Candidates!$S$2:$S$2000,Candidates!$A$2:$A$2000=$A337),COUNTIF(Candidates!$A$2:$A$2000,$A337)),""""))"),"")</f>
        <v/>
      </c>
      <c r="W337" s="64" t="str">
        <f>IFERROR(__xludf.DUMMYFUNCTION("IF($A337="""","""",IFERROR(INDEX(FILTER(Candidates!$T$2:$T$2000,Candidates!$A$2:$A$2000=$A337),COUNTIF(Candidates!$A$2:$A$2000,$A337)),""""))"),"")</f>
        <v/>
      </c>
      <c r="X337" s="64"/>
      <c r="Y337" s="64"/>
      <c r="Z337" s="65"/>
      <c r="AA337" s="65"/>
      <c r="AB337" s="65"/>
      <c r="AC337" s="65"/>
    </row>
    <row r="338">
      <c r="A338" s="64"/>
      <c r="B338" s="64"/>
      <c r="C338" s="64"/>
      <c r="D338" s="64"/>
      <c r="E338" s="64"/>
      <c r="F338" s="64"/>
      <c r="G338" s="64"/>
      <c r="H338" s="63"/>
      <c r="I338" s="64"/>
      <c r="J338" s="64"/>
      <c r="K338" s="64"/>
      <c r="L338" s="64"/>
      <c r="M338" s="64"/>
      <c r="N338" s="64"/>
      <c r="O338" s="64"/>
      <c r="P338" s="64"/>
      <c r="Q338" s="64"/>
      <c r="R338" s="65" t="str">
        <f>IF($A338="","",IFERROR(MINIFS(Candidates!$K$2:$K$2000,Candidates!$A$2:$A$2000,$A338),""))</f>
        <v/>
      </c>
      <c r="S338" s="65" t="str">
        <f>IF($A338="","",IFERROR(MAXIFS(Candidates!$AA$2:$AA$2000,Candidates!$A$2:$A$2000,$A338),""))</f>
        <v/>
      </c>
      <c r="T338" s="64" t="str">
        <f>IFERROR(__xludf.DUMMYFUNCTION("IF($A338="""","""",IFERROR(TEXTJOIN("", "",TRUE,UNIQUE(FILTER(Candidates!$B$2:$B$2000,Candidates!$A$2:$A$2000=$A338))),""""))"),"")</f>
        <v/>
      </c>
      <c r="U338" s="66" t="str">
        <f>IF($A338="","",COUNTIF(Candidates!$A$2:$A$2000,$A338))</f>
        <v/>
      </c>
      <c r="V338" s="64" t="str">
        <f>IFERROR(__xludf.DUMMYFUNCTION("IF($A338="""","""",IFERROR(INDEX(FILTER(Candidates!$S$2:$S$2000,Candidates!$A$2:$A$2000=$A338),COUNTIF(Candidates!$A$2:$A$2000,$A338)),""""))"),"")</f>
        <v/>
      </c>
      <c r="W338" s="64" t="str">
        <f>IFERROR(__xludf.DUMMYFUNCTION("IF($A338="""","""",IFERROR(INDEX(FILTER(Candidates!$T$2:$T$2000,Candidates!$A$2:$A$2000=$A338),COUNTIF(Candidates!$A$2:$A$2000,$A338)),""""))"),"")</f>
        <v/>
      </c>
      <c r="X338" s="64"/>
      <c r="Y338" s="64"/>
      <c r="Z338" s="65"/>
      <c r="AA338" s="65"/>
      <c r="AB338" s="65"/>
      <c r="AC338" s="65"/>
    </row>
    <row r="339">
      <c r="A339" s="64"/>
      <c r="B339" s="64"/>
      <c r="C339" s="64"/>
      <c r="D339" s="64"/>
      <c r="E339" s="64"/>
      <c r="F339" s="64"/>
      <c r="G339" s="64"/>
      <c r="H339" s="63"/>
      <c r="I339" s="64"/>
      <c r="J339" s="64"/>
      <c r="K339" s="64"/>
      <c r="L339" s="64"/>
      <c r="M339" s="64"/>
      <c r="N339" s="64"/>
      <c r="O339" s="64"/>
      <c r="P339" s="64"/>
      <c r="Q339" s="64"/>
      <c r="R339" s="65" t="str">
        <f>IF($A339="","",IFERROR(MINIFS(Candidates!$K$2:$K$2000,Candidates!$A$2:$A$2000,$A339),""))</f>
        <v/>
      </c>
      <c r="S339" s="65" t="str">
        <f>IF($A339="","",IFERROR(MAXIFS(Candidates!$AA$2:$AA$2000,Candidates!$A$2:$A$2000,$A339),""))</f>
        <v/>
      </c>
      <c r="T339" s="64" t="str">
        <f>IFERROR(__xludf.DUMMYFUNCTION("IF($A339="""","""",IFERROR(TEXTJOIN("", "",TRUE,UNIQUE(FILTER(Candidates!$B$2:$B$2000,Candidates!$A$2:$A$2000=$A339))),""""))"),"")</f>
        <v/>
      </c>
      <c r="U339" s="66" t="str">
        <f>IF($A339="","",COUNTIF(Candidates!$A$2:$A$2000,$A339))</f>
        <v/>
      </c>
      <c r="V339" s="64" t="str">
        <f>IFERROR(__xludf.DUMMYFUNCTION("IF($A339="""","""",IFERROR(INDEX(FILTER(Candidates!$S$2:$S$2000,Candidates!$A$2:$A$2000=$A339),COUNTIF(Candidates!$A$2:$A$2000,$A339)),""""))"),"")</f>
        <v/>
      </c>
      <c r="W339" s="64" t="str">
        <f>IFERROR(__xludf.DUMMYFUNCTION("IF($A339="""","""",IFERROR(INDEX(FILTER(Candidates!$T$2:$T$2000,Candidates!$A$2:$A$2000=$A339),COUNTIF(Candidates!$A$2:$A$2000,$A339)),""""))"),"")</f>
        <v/>
      </c>
      <c r="X339" s="64"/>
      <c r="Y339" s="64"/>
      <c r="Z339" s="65"/>
      <c r="AA339" s="65"/>
      <c r="AB339" s="65"/>
      <c r="AC339" s="65"/>
    </row>
    <row r="340">
      <c r="A340" s="64"/>
      <c r="B340" s="64"/>
      <c r="C340" s="64"/>
      <c r="D340" s="64"/>
      <c r="E340" s="64"/>
      <c r="F340" s="64"/>
      <c r="G340" s="64"/>
      <c r="H340" s="63"/>
      <c r="I340" s="64"/>
      <c r="J340" s="64"/>
      <c r="K340" s="64"/>
      <c r="L340" s="64"/>
      <c r="M340" s="64"/>
      <c r="N340" s="64"/>
      <c r="O340" s="64"/>
      <c r="P340" s="64"/>
      <c r="Q340" s="64"/>
      <c r="R340" s="65" t="str">
        <f>IF($A340="","",IFERROR(MINIFS(Candidates!$K$2:$K$2000,Candidates!$A$2:$A$2000,$A340),""))</f>
        <v/>
      </c>
      <c r="S340" s="65" t="str">
        <f>IF($A340="","",IFERROR(MAXIFS(Candidates!$AA$2:$AA$2000,Candidates!$A$2:$A$2000,$A340),""))</f>
        <v/>
      </c>
      <c r="T340" s="64" t="str">
        <f>IFERROR(__xludf.DUMMYFUNCTION("IF($A340="""","""",IFERROR(TEXTJOIN("", "",TRUE,UNIQUE(FILTER(Candidates!$B$2:$B$2000,Candidates!$A$2:$A$2000=$A340))),""""))"),"")</f>
        <v/>
      </c>
      <c r="U340" s="66" t="str">
        <f>IF($A340="","",COUNTIF(Candidates!$A$2:$A$2000,$A340))</f>
        <v/>
      </c>
      <c r="V340" s="64" t="str">
        <f>IFERROR(__xludf.DUMMYFUNCTION("IF($A340="""","""",IFERROR(INDEX(FILTER(Candidates!$S$2:$S$2000,Candidates!$A$2:$A$2000=$A340),COUNTIF(Candidates!$A$2:$A$2000,$A340)),""""))"),"")</f>
        <v/>
      </c>
      <c r="W340" s="64" t="str">
        <f>IFERROR(__xludf.DUMMYFUNCTION("IF($A340="""","""",IFERROR(INDEX(FILTER(Candidates!$T$2:$T$2000,Candidates!$A$2:$A$2000=$A340),COUNTIF(Candidates!$A$2:$A$2000,$A340)),""""))"),"")</f>
        <v/>
      </c>
      <c r="X340" s="64"/>
      <c r="Y340" s="64"/>
      <c r="Z340" s="65"/>
      <c r="AA340" s="65"/>
      <c r="AB340" s="65"/>
      <c r="AC340" s="65"/>
    </row>
    <row r="341">
      <c r="A341" s="64"/>
      <c r="B341" s="64"/>
      <c r="C341" s="64"/>
      <c r="D341" s="64"/>
      <c r="E341" s="64"/>
      <c r="F341" s="64"/>
      <c r="G341" s="64"/>
      <c r="H341" s="63"/>
      <c r="I341" s="64"/>
      <c r="J341" s="64"/>
      <c r="K341" s="64"/>
      <c r="L341" s="64"/>
      <c r="M341" s="64"/>
      <c r="N341" s="64"/>
      <c r="O341" s="64"/>
      <c r="P341" s="64"/>
      <c r="Q341" s="64"/>
      <c r="R341" s="65" t="str">
        <f>IF($A341="","",IFERROR(MINIFS(Candidates!$K$2:$K$2000,Candidates!$A$2:$A$2000,$A341),""))</f>
        <v/>
      </c>
      <c r="S341" s="65" t="str">
        <f>IF($A341="","",IFERROR(MAXIFS(Candidates!$AA$2:$AA$2000,Candidates!$A$2:$A$2000,$A341),""))</f>
        <v/>
      </c>
      <c r="T341" s="64" t="str">
        <f>IFERROR(__xludf.DUMMYFUNCTION("IF($A341="""","""",IFERROR(TEXTJOIN("", "",TRUE,UNIQUE(FILTER(Candidates!$B$2:$B$2000,Candidates!$A$2:$A$2000=$A341))),""""))"),"")</f>
        <v/>
      </c>
      <c r="U341" s="66" t="str">
        <f>IF($A341="","",COUNTIF(Candidates!$A$2:$A$2000,$A341))</f>
        <v/>
      </c>
      <c r="V341" s="64" t="str">
        <f>IFERROR(__xludf.DUMMYFUNCTION("IF($A341="""","""",IFERROR(INDEX(FILTER(Candidates!$S$2:$S$2000,Candidates!$A$2:$A$2000=$A341),COUNTIF(Candidates!$A$2:$A$2000,$A341)),""""))"),"")</f>
        <v/>
      </c>
      <c r="W341" s="64" t="str">
        <f>IFERROR(__xludf.DUMMYFUNCTION("IF($A341="""","""",IFERROR(INDEX(FILTER(Candidates!$T$2:$T$2000,Candidates!$A$2:$A$2000=$A341),COUNTIF(Candidates!$A$2:$A$2000,$A341)),""""))"),"")</f>
        <v/>
      </c>
      <c r="X341" s="64"/>
      <c r="Y341" s="64"/>
      <c r="Z341" s="65"/>
      <c r="AA341" s="65"/>
      <c r="AB341" s="65"/>
      <c r="AC341" s="65"/>
    </row>
    <row r="342">
      <c r="A342" s="64"/>
      <c r="B342" s="64"/>
      <c r="C342" s="64"/>
      <c r="D342" s="64"/>
      <c r="E342" s="64"/>
      <c r="F342" s="64"/>
      <c r="G342" s="64"/>
      <c r="H342" s="63"/>
      <c r="I342" s="64"/>
      <c r="J342" s="64"/>
      <c r="K342" s="64"/>
      <c r="L342" s="64"/>
      <c r="M342" s="64"/>
      <c r="N342" s="64"/>
      <c r="O342" s="64"/>
      <c r="P342" s="64"/>
      <c r="Q342" s="64"/>
      <c r="R342" s="65" t="str">
        <f>IF($A342="","",IFERROR(MINIFS(Candidates!$K$2:$K$2000,Candidates!$A$2:$A$2000,$A342),""))</f>
        <v/>
      </c>
      <c r="S342" s="65" t="str">
        <f>IF($A342="","",IFERROR(MAXIFS(Candidates!$AA$2:$AA$2000,Candidates!$A$2:$A$2000,$A342),""))</f>
        <v/>
      </c>
      <c r="T342" s="64" t="str">
        <f>IFERROR(__xludf.DUMMYFUNCTION("IF($A342="""","""",IFERROR(TEXTJOIN("", "",TRUE,UNIQUE(FILTER(Candidates!$B$2:$B$2000,Candidates!$A$2:$A$2000=$A342))),""""))"),"")</f>
        <v/>
      </c>
      <c r="U342" s="66" t="str">
        <f>IF($A342="","",COUNTIF(Candidates!$A$2:$A$2000,$A342))</f>
        <v/>
      </c>
      <c r="V342" s="64" t="str">
        <f>IFERROR(__xludf.DUMMYFUNCTION("IF($A342="""","""",IFERROR(INDEX(FILTER(Candidates!$S$2:$S$2000,Candidates!$A$2:$A$2000=$A342),COUNTIF(Candidates!$A$2:$A$2000,$A342)),""""))"),"")</f>
        <v/>
      </c>
      <c r="W342" s="64" t="str">
        <f>IFERROR(__xludf.DUMMYFUNCTION("IF($A342="""","""",IFERROR(INDEX(FILTER(Candidates!$T$2:$T$2000,Candidates!$A$2:$A$2000=$A342),COUNTIF(Candidates!$A$2:$A$2000,$A342)),""""))"),"")</f>
        <v/>
      </c>
      <c r="X342" s="64"/>
      <c r="Y342" s="64"/>
      <c r="Z342" s="65"/>
      <c r="AA342" s="65"/>
      <c r="AB342" s="65"/>
      <c r="AC342" s="65"/>
    </row>
    <row r="343">
      <c r="A343" s="64"/>
      <c r="B343" s="64"/>
      <c r="C343" s="64"/>
      <c r="D343" s="64"/>
      <c r="E343" s="64"/>
      <c r="F343" s="64"/>
      <c r="G343" s="64"/>
      <c r="H343" s="63"/>
      <c r="I343" s="64"/>
      <c r="J343" s="64"/>
      <c r="K343" s="64"/>
      <c r="L343" s="64"/>
      <c r="M343" s="64"/>
      <c r="N343" s="64"/>
      <c r="O343" s="64"/>
      <c r="P343" s="64"/>
      <c r="Q343" s="64"/>
      <c r="R343" s="65" t="str">
        <f>IF($A343="","",IFERROR(MINIFS(Candidates!$K$2:$K$2000,Candidates!$A$2:$A$2000,$A343),""))</f>
        <v/>
      </c>
      <c r="S343" s="65" t="str">
        <f>IF($A343="","",IFERROR(MAXIFS(Candidates!$AA$2:$AA$2000,Candidates!$A$2:$A$2000,$A343),""))</f>
        <v/>
      </c>
      <c r="T343" s="64" t="str">
        <f>IFERROR(__xludf.DUMMYFUNCTION("IF($A343="""","""",IFERROR(TEXTJOIN("", "",TRUE,UNIQUE(FILTER(Candidates!$B$2:$B$2000,Candidates!$A$2:$A$2000=$A343))),""""))"),"")</f>
        <v/>
      </c>
      <c r="U343" s="66" t="str">
        <f>IF($A343="","",COUNTIF(Candidates!$A$2:$A$2000,$A343))</f>
        <v/>
      </c>
      <c r="V343" s="64" t="str">
        <f>IFERROR(__xludf.DUMMYFUNCTION("IF($A343="""","""",IFERROR(INDEX(FILTER(Candidates!$S$2:$S$2000,Candidates!$A$2:$A$2000=$A343),COUNTIF(Candidates!$A$2:$A$2000,$A343)),""""))"),"")</f>
        <v/>
      </c>
      <c r="W343" s="64" t="str">
        <f>IFERROR(__xludf.DUMMYFUNCTION("IF($A343="""","""",IFERROR(INDEX(FILTER(Candidates!$T$2:$T$2000,Candidates!$A$2:$A$2000=$A343),COUNTIF(Candidates!$A$2:$A$2000,$A343)),""""))"),"")</f>
        <v/>
      </c>
      <c r="X343" s="64"/>
      <c r="Y343" s="64"/>
      <c r="Z343" s="65"/>
      <c r="AA343" s="65"/>
      <c r="AB343" s="65"/>
      <c r="AC343" s="65"/>
    </row>
    <row r="344">
      <c r="A344" s="64"/>
      <c r="B344" s="64"/>
      <c r="C344" s="64"/>
      <c r="D344" s="64"/>
      <c r="E344" s="64"/>
      <c r="F344" s="64"/>
      <c r="G344" s="64"/>
      <c r="H344" s="63"/>
      <c r="I344" s="64"/>
      <c r="J344" s="64"/>
      <c r="K344" s="64"/>
      <c r="L344" s="64"/>
      <c r="M344" s="64"/>
      <c r="N344" s="64"/>
      <c r="O344" s="64"/>
      <c r="P344" s="64"/>
      <c r="Q344" s="64"/>
      <c r="R344" s="65" t="str">
        <f>IF($A344="","",IFERROR(MINIFS(Candidates!$K$2:$K$2000,Candidates!$A$2:$A$2000,$A344),""))</f>
        <v/>
      </c>
      <c r="S344" s="65" t="str">
        <f>IF($A344="","",IFERROR(MAXIFS(Candidates!$AA$2:$AA$2000,Candidates!$A$2:$A$2000,$A344),""))</f>
        <v/>
      </c>
      <c r="T344" s="64" t="str">
        <f>IFERROR(__xludf.DUMMYFUNCTION("IF($A344="""","""",IFERROR(TEXTJOIN("", "",TRUE,UNIQUE(FILTER(Candidates!$B$2:$B$2000,Candidates!$A$2:$A$2000=$A344))),""""))"),"")</f>
        <v/>
      </c>
      <c r="U344" s="66" t="str">
        <f>IF($A344="","",COUNTIF(Candidates!$A$2:$A$2000,$A344))</f>
        <v/>
      </c>
      <c r="V344" s="64" t="str">
        <f>IFERROR(__xludf.DUMMYFUNCTION("IF($A344="""","""",IFERROR(INDEX(FILTER(Candidates!$S$2:$S$2000,Candidates!$A$2:$A$2000=$A344),COUNTIF(Candidates!$A$2:$A$2000,$A344)),""""))"),"")</f>
        <v/>
      </c>
      <c r="W344" s="64" t="str">
        <f>IFERROR(__xludf.DUMMYFUNCTION("IF($A344="""","""",IFERROR(INDEX(FILTER(Candidates!$T$2:$T$2000,Candidates!$A$2:$A$2000=$A344),COUNTIF(Candidates!$A$2:$A$2000,$A344)),""""))"),"")</f>
        <v/>
      </c>
      <c r="X344" s="64"/>
      <c r="Y344" s="64"/>
      <c r="Z344" s="65"/>
      <c r="AA344" s="65"/>
      <c r="AB344" s="65"/>
      <c r="AC344" s="65"/>
    </row>
    <row r="345">
      <c r="A345" s="64"/>
      <c r="B345" s="64"/>
      <c r="C345" s="64"/>
      <c r="D345" s="64"/>
      <c r="E345" s="64"/>
      <c r="F345" s="64"/>
      <c r="G345" s="64"/>
      <c r="H345" s="63"/>
      <c r="I345" s="64"/>
      <c r="J345" s="64"/>
      <c r="K345" s="64"/>
      <c r="L345" s="64"/>
      <c r="M345" s="64"/>
      <c r="N345" s="64"/>
      <c r="O345" s="64"/>
      <c r="P345" s="64"/>
      <c r="Q345" s="64"/>
      <c r="R345" s="65" t="str">
        <f>IF($A345="","",IFERROR(MINIFS(Candidates!$K$2:$K$2000,Candidates!$A$2:$A$2000,$A345),""))</f>
        <v/>
      </c>
      <c r="S345" s="65" t="str">
        <f>IF($A345="","",IFERROR(MAXIFS(Candidates!$AA$2:$AA$2000,Candidates!$A$2:$A$2000,$A345),""))</f>
        <v/>
      </c>
      <c r="T345" s="64" t="str">
        <f>IFERROR(__xludf.DUMMYFUNCTION("IF($A345="""","""",IFERROR(TEXTJOIN("", "",TRUE,UNIQUE(FILTER(Candidates!$B$2:$B$2000,Candidates!$A$2:$A$2000=$A345))),""""))"),"")</f>
        <v/>
      </c>
      <c r="U345" s="66" t="str">
        <f>IF($A345="","",COUNTIF(Candidates!$A$2:$A$2000,$A345))</f>
        <v/>
      </c>
      <c r="V345" s="64" t="str">
        <f>IFERROR(__xludf.DUMMYFUNCTION("IF($A345="""","""",IFERROR(INDEX(FILTER(Candidates!$S$2:$S$2000,Candidates!$A$2:$A$2000=$A345),COUNTIF(Candidates!$A$2:$A$2000,$A345)),""""))"),"")</f>
        <v/>
      </c>
      <c r="W345" s="64" t="str">
        <f>IFERROR(__xludf.DUMMYFUNCTION("IF($A345="""","""",IFERROR(INDEX(FILTER(Candidates!$T$2:$T$2000,Candidates!$A$2:$A$2000=$A345),COUNTIF(Candidates!$A$2:$A$2000,$A345)),""""))"),"")</f>
        <v/>
      </c>
      <c r="X345" s="64"/>
      <c r="Y345" s="64"/>
      <c r="Z345" s="65"/>
      <c r="AA345" s="65"/>
      <c r="AB345" s="65"/>
      <c r="AC345" s="65"/>
    </row>
    <row r="346">
      <c r="A346" s="64"/>
      <c r="B346" s="64"/>
      <c r="C346" s="64"/>
      <c r="D346" s="64"/>
      <c r="E346" s="64"/>
      <c r="F346" s="64"/>
      <c r="G346" s="64"/>
      <c r="H346" s="63"/>
      <c r="I346" s="64"/>
      <c r="J346" s="64"/>
      <c r="K346" s="64"/>
      <c r="L346" s="64"/>
      <c r="M346" s="64"/>
      <c r="N346" s="64"/>
      <c r="O346" s="64"/>
      <c r="P346" s="64"/>
      <c r="Q346" s="64"/>
      <c r="R346" s="65" t="str">
        <f>IF($A346="","",IFERROR(MINIFS(Candidates!$K$2:$K$2000,Candidates!$A$2:$A$2000,$A346),""))</f>
        <v/>
      </c>
      <c r="S346" s="65" t="str">
        <f>IF($A346="","",IFERROR(MAXIFS(Candidates!$AA$2:$AA$2000,Candidates!$A$2:$A$2000,$A346),""))</f>
        <v/>
      </c>
      <c r="T346" s="64" t="str">
        <f>IFERROR(__xludf.DUMMYFUNCTION("IF($A346="""","""",IFERROR(TEXTJOIN("", "",TRUE,UNIQUE(FILTER(Candidates!$B$2:$B$2000,Candidates!$A$2:$A$2000=$A346))),""""))"),"")</f>
        <v/>
      </c>
      <c r="U346" s="66" t="str">
        <f>IF($A346="","",COUNTIF(Candidates!$A$2:$A$2000,$A346))</f>
        <v/>
      </c>
      <c r="V346" s="64" t="str">
        <f>IFERROR(__xludf.DUMMYFUNCTION("IF($A346="""","""",IFERROR(INDEX(FILTER(Candidates!$S$2:$S$2000,Candidates!$A$2:$A$2000=$A346),COUNTIF(Candidates!$A$2:$A$2000,$A346)),""""))"),"")</f>
        <v/>
      </c>
      <c r="W346" s="64" t="str">
        <f>IFERROR(__xludf.DUMMYFUNCTION("IF($A346="""","""",IFERROR(INDEX(FILTER(Candidates!$T$2:$T$2000,Candidates!$A$2:$A$2000=$A346),COUNTIF(Candidates!$A$2:$A$2000,$A346)),""""))"),"")</f>
        <v/>
      </c>
      <c r="X346" s="64"/>
      <c r="Y346" s="64"/>
      <c r="Z346" s="65"/>
      <c r="AA346" s="65"/>
      <c r="AB346" s="65"/>
      <c r="AC346" s="65"/>
    </row>
    <row r="347">
      <c r="A347" s="64"/>
      <c r="B347" s="64"/>
      <c r="C347" s="64"/>
      <c r="D347" s="64"/>
      <c r="E347" s="64"/>
      <c r="F347" s="64"/>
      <c r="G347" s="64"/>
      <c r="H347" s="63"/>
      <c r="I347" s="64"/>
      <c r="J347" s="64"/>
      <c r="K347" s="64"/>
      <c r="L347" s="64"/>
      <c r="M347" s="64"/>
      <c r="N347" s="64"/>
      <c r="O347" s="64"/>
      <c r="P347" s="64"/>
      <c r="Q347" s="64"/>
      <c r="R347" s="65" t="str">
        <f>IF($A347="","",IFERROR(MINIFS(Candidates!$K$2:$K$2000,Candidates!$A$2:$A$2000,$A347),""))</f>
        <v/>
      </c>
      <c r="S347" s="65" t="str">
        <f>IF($A347="","",IFERROR(MAXIFS(Candidates!$AA$2:$AA$2000,Candidates!$A$2:$A$2000,$A347),""))</f>
        <v/>
      </c>
      <c r="T347" s="64" t="str">
        <f>IFERROR(__xludf.DUMMYFUNCTION("IF($A347="""","""",IFERROR(TEXTJOIN("", "",TRUE,UNIQUE(FILTER(Candidates!$B$2:$B$2000,Candidates!$A$2:$A$2000=$A347))),""""))"),"")</f>
        <v/>
      </c>
      <c r="U347" s="66" t="str">
        <f>IF($A347="","",COUNTIF(Candidates!$A$2:$A$2000,$A347))</f>
        <v/>
      </c>
      <c r="V347" s="64" t="str">
        <f>IFERROR(__xludf.DUMMYFUNCTION("IF($A347="""","""",IFERROR(INDEX(FILTER(Candidates!$S$2:$S$2000,Candidates!$A$2:$A$2000=$A347),COUNTIF(Candidates!$A$2:$A$2000,$A347)),""""))"),"")</f>
        <v/>
      </c>
      <c r="W347" s="64" t="str">
        <f>IFERROR(__xludf.DUMMYFUNCTION("IF($A347="""","""",IFERROR(INDEX(FILTER(Candidates!$T$2:$T$2000,Candidates!$A$2:$A$2000=$A347),COUNTIF(Candidates!$A$2:$A$2000,$A347)),""""))"),"")</f>
        <v/>
      </c>
      <c r="X347" s="64"/>
      <c r="Y347" s="64"/>
      <c r="Z347" s="65"/>
      <c r="AA347" s="65"/>
      <c r="AB347" s="65"/>
      <c r="AC347" s="65"/>
    </row>
    <row r="348">
      <c r="A348" s="64"/>
      <c r="B348" s="64"/>
      <c r="C348" s="64"/>
      <c r="D348" s="64"/>
      <c r="E348" s="64"/>
      <c r="F348" s="64"/>
      <c r="G348" s="64"/>
      <c r="H348" s="63"/>
      <c r="I348" s="64"/>
      <c r="J348" s="64"/>
      <c r="K348" s="64"/>
      <c r="L348" s="64"/>
      <c r="M348" s="64"/>
      <c r="N348" s="64"/>
      <c r="O348" s="64"/>
      <c r="P348" s="64"/>
      <c r="Q348" s="64"/>
      <c r="R348" s="65" t="str">
        <f>IF($A348="","",IFERROR(MINIFS(Candidates!$K$2:$K$2000,Candidates!$A$2:$A$2000,$A348),""))</f>
        <v/>
      </c>
      <c r="S348" s="65" t="str">
        <f>IF($A348="","",IFERROR(MAXIFS(Candidates!$AA$2:$AA$2000,Candidates!$A$2:$A$2000,$A348),""))</f>
        <v/>
      </c>
      <c r="T348" s="64" t="str">
        <f>IFERROR(__xludf.DUMMYFUNCTION("IF($A348="""","""",IFERROR(TEXTJOIN("", "",TRUE,UNIQUE(FILTER(Candidates!$B$2:$B$2000,Candidates!$A$2:$A$2000=$A348))),""""))"),"")</f>
        <v/>
      </c>
      <c r="U348" s="66" t="str">
        <f>IF($A348="","",COUNTIF(Candidates!$A$2:$A$2000,$A348))</f>
        <v/>
      </c>
      <c r="V348" s="64" t="str">
        <f>IFERROR(__xludf.DUMMYFUNCTION("IF($A348="""","""",IFERROR(INDEX(FILTER(Candidates!$S$2:$S$2000,Candidates!$A$2:$A$2000=$A348),COUNTIF(Candidates!$A$2:$A$2000,$A348)),""""))"),"")</f>
        <v/>
      </c>
      <c r="W348" s="64" t="str">
        <f>IFERROR(__xludf.DUMMYFUNCTION("IF($A348="""","""",IFERROR(INDEX(FILTER(Candidates!$T$2:$T$2000,Candidates!$A$2:$A$2000=$A348),COUNTIF(Candidates!$A$2:$A$2000,$A348)),""""))"),"")</f>
        <v/>
      </c>
      <c r="X348" s="64"/>
      <c r="Y348" s="64"/>
      <c r="Z348" s="65"/>
      <c r="AA348" s="65"/>
      <c r="AB348" s="65"/>
      <c r="AC348" s="65"/>
    </row>
    <row r="349">
      <c r="A349" s="64"/>
      <c r="B349" s="64"/>
      <c r="C349" s="64"/>
      <c r="D349" s="64"/>
      <c r="E349" s="64"/>
      <c r="F349" s="64"/>
      <c r="G349" s="64"/>
      <c r="H349" s="63"/>
      <c r="I349" s="64"/>
      <c r="J349" s="64"/>
      <c r="K349" s="64"/>
      <c r="L349" s="64"/>
      <c r="M349" s="64"/>
      <c r="N349" s="64"/>
      <c r="O349" s="64"/>
      <c r="P349" s="64"/>
      <c r="Q349" s="64"/>
      <c r="R349" s="65" t="str">
        <f>IF($A349="","",IFERROR(MINIFS(Candidates!$K$2:$K$2000,Candidates!$A$2:$A$2000,$A349),""))</f>
        <v/>
      </c>
      <c r="S349" s="65" t="str">
        <f>IF($A349="","",IFERROR(MAXIFS(Candidates!$AA$2:$AA$2000,Candidates!$A$2:$A$2000,$A349),""))</f>
        <v/>
      </c>
      <c r="T349" s="64" t="str">
        <f>IFERROR(__xludf.DUMMYFUNCTION("IF($A349="""","""",IFERROR(TEXTJOIN("", "",TRUE,UNIQUE(FILTER(Candidates!$B$2:$B$2000,Candidates!$A$2:$A$2000=$A349))),""""))"),"")</f>
        <v/>
      </c>
      <c r="U349" s="66" t="str">
        <f>IF($A349="","",COUNTIF(Candidates!$A$2:$A$2000,$A349))</f>
        <v/>
      </c>
      <c r="V349" s="64" t="str">
        <f>IFERROR(__xludf.DUMMYFUNCTION("IF($A349="""","""",IFERROR(INDEX(FILTER(Candidates!$S$2:$S$2000,Candidates!$A$2:$A$2000=$A349),COUNTIF(Candidates!$A$2:$A$2000,$A349)),""""))"),"")</f>
        <v/>
      </c>
      <c r="W349" s="64" t="str">
        <f>IFERROR(__xludf.DUMMYFUNCTION("IF($A349="""","""",IFERROR(INDEX(FILTER(Candidates!$T$2:$T$2000,Candidates!$A$2:$A$2000=$A349),COUNTIF(Candidates!$A$2:$A$2000,$A349)),""""))"),"")</f>
        <v/>
      </c>
      <c r="X349" s="64"/>
      <c r="Y349" s="64"/>
      <c r="Z349" s="65"/>
      <c r="AA349" s="65"/>
      <c r="AB349" s="65"/>
      <c r="AC349" s="65"/>
    </row>
    <row r="350">
      <c r="A350" s="64"/>
      <c r="B350" s="64"/>
      <c r="C350" s="64"/>
      <c r="D350" s="64"/>
      <c r="E350" s="64"/>
      <c r="F350" s="64"/>
      <c r="G350" s="64"/>
      <c r="H350" s="63"/>
      <c r="I350" s="64"/>
      <c r="J350" s="64"/>
      <c r="K350" s="64"/>
      <c r="L350" s="64"/>
      <c r="M350" s="64"/>
      <c r="N350" s="64"/>
      <c r="O350" s="64"/>
      <c r="P350" s="64"/>
      <c r="Q350" s="64"/>
      <c r="R350" s="65" t="str">
        <f>IF($A350="","",IFERROR(MINIFS(Candidates!$K$2:$K$2000,Candidates!$A$2:$A$2000,$A350),""))</f>
        <v/>
      </c>
      <c r="S350" s="65" t="str">
        <f>IF($A350="","",IFERROR(MAXIFS(Candidates!$AA$2:$AA$2000,Candidates!$A$2:$A$2000,$A350),""))</f>
        <v/>
      </c>
      <c r="T350" s="64" t="str">
        <f>IFERROR(__xludf.DUMMYFUNCTION("IF($A350="""","""",IFERROR(TEXTJOIN("", "",TRUE,UNIQUE(FILTER(Candidates!$B$2:$B$2000,Candidates!$A$2:$A$2000=$A350))),""""))"),"")</f>
        <v/>
      </c>
      <c r="U350" s="66" t="str">
        <f>IF($A350="","",COUNTIF(Candidates!$A$2:$A$2000,$A350))</f>
        <v/>
      </c>
      <c r="V350" s="64" t="str">
        <f>IFERROR(__xludf.DUMMYFUNCTION("IF($A350="""","""",IFERROR(INDEX(FILTER(Candidates!$S$2:$S$2000,Candidates!$A$2:$A$2000=$A350),COUNTIF(Candidates!$A$2:$A$2000,$A350)),""""))"),"")</f>
        <v/>
      </c>
      <c r="W350" s="64" t="str">
        <f>IFERROR(__xludf.DUMMYFUNCTION("IF($A350="""","""",IFERROR(INDEX(FILTER(Candidates!$T$2:$T$2000,Candidates!$A$2:$A$2000=$A350),COUNTIF(Candidates!$A$2:$A$2000,$A350)),""""))"),"")</f>
        <v/>
      </c>
      <c r="X350" s="64"/>
      <c r="Y350" s="64"/>
      <c r="Z350" s="65"/>
      <c r="AA350" s="65"/>
      <c r="AB350" s="65"/>
      <c r="AC350" s="65"/>
    </row>
    <row r="351">
      <c r="A351" s="64"/>
      <c r="B351" s="64"/>
      <c r="C351" s="64"/>
      <c r="D351" s="64"/>
      <c r="E351" s="64"/>
      <c r="F351" s="64"/>
      <c r="G351" s="64"/>
      <c r="H351" s="63"/>
      <c r="I351" s="64"/>
      <c r="J351" s="64"/>
      <c r="K351" s="64"/>
      <c r="L351" s="64"/>
      <c r="M351" s="64"/>
      <c r="N351" s="64"/>
      <c r="O351" s="64"/>
      <c r="P351" s="64"/>
      <c r="Q351" s="64"/>
      <c r="R351" s="65" t="str">
        <f>IF($A351="","",IFERROR(MINIFS(Candidates!$K$2:$K$2000,Candidates!$A$2:$A$2000,$A351),""))</f>
        <v/>
      </c>
      <c r="S351" s="65" t="str">
        <f>IF($A351="","",IFERROR(MAXIFS(Candidates!$AA$2:$AA$2000,Candidates!$A$2:$A$2000,$A351),""))</f>
        <v/>
      </c>
      <c r="T351" s="64" t="str">
        <f>IFERROR(__xludf.DUMMYFUNCTION("IF($A351="""","""",IFERROR(TEXTJOIN("", "",TRUE,UNIQUE(FILTER(Candidates!$B$2:$B$2000,Candidates!$A$2:$A$2000=$A351))),""""))"),"")</f>
        <v/>
      </c>
      <c r="U351" s="66" t="str">
        <f>IF($A351="","",COUNTIF(Candidates!$A$2:$A$2000,$A351))</f>
        <v/>
      </c>
      <c r="V351" s="64" t="str">
        <f>IFERROR(__xludf.DUMMYFUNCTION("IF($A351="""","""",IFERROR(INDEX(FILTER(Candidates!$S$2:$S$2000,Candidates!$A$2:$A$2000=$A351),COUNTIF(Candidates!$A$2:$A$2000,$A351)),""""))"),"")</f>
        <v/>
      </c>
      <c r="W351" s="64" t="str">
        <f>IFERROR(__xludf.DUMMYFUNCTION("IF($A351="""","""",IFERROR(INDEX(FILTER(Candidates!$T$2:$T$2000,Candidates!$A$2:$A$2000=$A351),COUNTIF(Candidates!$A$2:$A$2000,$A351)),""""))"),"")</f>
        <v/>
      </c>
      <c r="X351" s="64"/>
      <c r="Y351" s="64"/>
      <c r="Z351" s="65"/>
      <c r="AA351" s="65"/>
      <c r="AB351" s="65"/>
      <c r="AC351" s="65"/>
    </row>
    <row r="352">
      <c r="A352" s="64"/>
      <c r="B352" s="64"/>
      <c r="C352" s="64"/>
      <c r="D352" s="64"/>
      <c r="E352" s="64"/>
      <c r="F352" s="64"/>
      <c r="G352" s="64"/>
      <c r="H352" s="63"/>
      <c r="I352" s="64"/>
      <c r="J352" s="64"/>
      <c r="K352" s="64"/>
      <c r="L352" s="64"/>
      <c r="M352" s="64"/>
      <c r="N352" s="64"/>
      <c r="O352" s="64"/>
      <c r="P352" s="64"/>
      <c r="Q352" s="64"/>
      <c r="R352" s="65" t="str">
        <f>IF($A352="","",IFERROR(MINIFS(Candidates!$K$2:$K$2000,Candidates!$A$2:$A$2000,$A352),""))</f>
        <v/>
      </c>
      <c r="S352" s="65" t="str">
        <f>IF($A352="","",IFERROR(MAXIFS(Candidates!$AA$2:$AA$2000,Candidates!$A$2:$A$2000,$A352),""))</f>
        <v/>
      </c>
      <c r="T352" s="64" t="str">
        <f>IFERROR(__xludf.DUMMYFUNCTION("IF($A352="""","""",IFERROR(TEXTJOIN("", "",TRUE,UNIQUE(FILTER(Candidates!$B$2:$B$2000,Candidates!$A$2:$A$2000=$A352))),""""))"),"")</f>
        <v/>
      </c>
      <c r="U352" s="66" t="str">
        <f>IF($A352="","",COUNTIF(Candidates!$A$2:$A$2000,$A352))</f>
        <v/>
      </c>
      <c r="V352" s="64" t="str">
        <f>IFERROR(__xludf.DUMMYFUNCTION("IF($A352="""","""",IFERROR(INDEX(FILTER(Candidates!$S$2:$S$2000,Candidates!$A$2:$A$2000=$A352),COUNTIF(Candidates!$A$2:$A$2000,$A352)),""""))"),"")</f>
        <v/>
      </c>
      <c r="W352" s="64" t="str">
        <f>IFERROR(__xludf.DUMMYFUNCTION("IF($A352="""","""",IFERROR(INDEX(FILTER(Candidates!$T$2:$T$2000,Candidates!$A$2:$A$2000=$A352),COUNTIF(Candidates!$A$2:$A$2000,$A352)),""""))"),"")</f>
        <v/>
      </c>
      <c r="X352" s="64"/>
      <c r="Y352" s="64"/>
      <c r="Z352" s="65"/>
      <c r="AA352" s="65"/>
      <c r="AB352" s="65"/>
      <c r="AC352" s="65"/>
    </row>
    <row r="353">
      <c r="A353" s="64"/>
      <c r="B353" s="64"/>
      <c r="C353" s="64"/>
      <c r="D353" s="64"/>
      <c r="E353" s="64"/>
      <c r="F353" s="64"/>
      <c r="G353" s="64"/>
      <c r="H353" s="63"/>
      <c r="I353" s="64"/>
      <c r="J353" s="64"/>
      <c r="K353" s="64"/>
      <c r="L353" s="64"/>
      <c r="M353" s="64"/>
      <c r="N353" s="64"/>
      <c r="O353" s="64"/>
      <c r="P353" s="64"/>
      <c r="Q353" s="64"/>
      <c r="R353" s="65" t="str">
        <f>IF($A353="","",IFERROR(MINIFS(Candidates!$K$2:$K$2000,Candidates!$A$2:$A$2000,$A353),""))</f>
        <v/>
      </c>
      <c r="S353" s="65" t="str">
        <f>IF($A353="","",IFERROR(MAXIFS(Candidates!$AA$2:$AA$2000,Candidates!$A$2:$A$2000,$A353),""))</f>
        <v/>
      </c>
      <c r="T353" s="64" t="str">
        <f>IFERROR(__xludf.DUMMYFUNCTION("IF($A353="""","""",IFERROR(TEXTJOIN("", "",TRUE,UNIQUE(FILTER(Candidates!$B$2:$B$2000,Candidates!$A$2:$A$2000=$A353))),""""))"),"")</f>
        <v/>
      </c>
      <c r="U353" s="66" t="str">
        <f>IF($A353="","",COUNTIF(Candidates!$A$2:$A$2000,$A353))</f>
        <v/>
      </c>
      <c r="V353" s="64" t="str">
        <f>IFERROR(__xludf.DUMMYFUNCTION("IF($A353="""","""",IFERROR(INDEX(FILTER(Candidates!$S$2:$S$2000,Candidates!$A$2:$A$2000=$A353),COUNTIF(Candidates!$A$2:$A$2000,$A353)),""""))"),"")</f>
        <v/>
      </c>
      <c r="W353" s="64" t="str">
        <f>IFERROR(__xludf.DUMMYFUNCTION("IF($A353="""","""",IFERROR(INDEX(FILTER(Candidates!$T$2:$T$2000,Candidates!$A$2:$A$2000=$A353),COUNTIF(Candidates!$A$2:$A$2000,$A353)),""""))"),"")</f>
        <v/>
      </c>
      <c r="X353" s="64"/>
      <c r="Y353" s="64"/>
      <c r="Z353" s="65"/>
      <c r="AA353" s="65"/>
      <c r="AB353" s="65"/>
      <c r="AC353" s="65"/>
    </row>
    <row r="354">
      <c r="A354" s="64"/>
      <c r="B354" s="64"/>
      <c r="C354" s="64"/>
      <c r="D354" s="64"/>
      <c r="E354" s="64"/>
      <c r="F354" s="64"/>
      <c r="G354" s="64"/>
      <c r="H354" s="63"/>
      <c r="I354" s="64"/>
      <c r="J354" s="64"/>
      <c r="K354" s="64"/>
      <c r="L354" s="64"/>
      <c r="M354" s="64"/>
      <c r="N354" s="64"/>
      <c r="O354" s="64"/>
      <c r="P354" s="64"/>
      <c r="Q354" s="64"/>
      <c r="R354" s="65" t="str">
        <f>IF($A354="","",IFERROR(MINIFS(Candidates!$K$2:$K$2000,Candidates!$A$2:$A$2000,$A354),""))</f>
        <v/>
      </c>
      <c r="S354" s="65" t="str">
        <f>IF($A354="","",IFERROR(MAXIFS(Candidates!$AA$2:$AA$2000,Candidates!$A$2:$A$2000,$A354),""))</f>
        <v/>
      </c>
      <c r="T354" s="64" t="str">
        <f>IFERROR(__xludf.DUMMYFUNCTION("IF($A354="""","""",IFERROR(TEXTJOIN("", "",TRUE,UNIQUE(FILTER(Candidates!$B$2:$B$2000,Candidates!$A$2:$A$2000=$A354))),""""))"),"")</f>
        <v/>
      </c>
      <c r="U354" s="66" t="str">
        <f>IF($A354="","",COUNTIF(Candidates!$A$2:$A$2000,$A354))</f>
        <v/>
      </c>
      <c r="V354" s="64" t="str">
        <f>IFERROR(__xludf.DUMMYFUNCTION("IF($A354="""","""",IFERROR(INDEX(FILTER(Candidates!$S$2:$S$2000,Candidates!$A$2:$A$2000=$A354),COUNTIF(Candidates!$A$2:$A$2000,$A354)),""""))"),"")</f>
        <v/>
      </c>
      <c r="W354" s="64" t="str">
        <f>IFERROR(__xludf.DUMMYFUNCTION("IF($A354="""","""",IFERROR(INDEX(FILTER(Candidates!$T$2:$T$2000,Candidates!$A$2:$A$2000=$A354),COUNTIF(Candidates!$A$2:$A$2000,$A354)),""""))"),"")</f>
        <v/>
      </c>
      <c r="X354" s="64"/>
      <c r="Y354" s="64"/>
      <c r="Z354" s="65"/>
      <c r="AA354" s="65"/>
      <c r="AB354" s="65"/>
      <c r="AC354" s="65"/>
    </row>
    <row r="355">
      <c r="A355" s="64"/>
      <c r="B355" s="64"/>
      <c r="C355" s="64"/>
      <c r="D355" s="64"/>
      <c r="E355" s="64"/>
      <c r="F355" s="64"/>
      <c r="G355" s="64"/>
      <c r="H355" s="63"/>
      <c r="I355" s="64"/>
      <c r="J355" s="64"/>
      <c r="K355" s="64"/>
      <c r="L355" s="64"/>
      <c r="M355" s="64"/>
      <c r="N355" s="64"/>
      <c r="O355" s="64"/>
      <c r="P355" s="64"/>
      <c r="Q355" s="64"/>
      <c r="R355" s="65" t="str">
        <f>IF($A355="","",IFERROR(MINIFS(Candidates!$K$2:$K$2000,Candidates!$A$2:$A$2000,$A355),""))</f>
        <v/>
      </c>
      <c r="S355" s="65" t="str">
        <f>IF($A355="","",IFERROR(MAXIFS(Candidates!$AA$2:$AA$2000,Candidates!$A$2:$A$2000,$A355),""))</f>
        <v/>
      </c>
      <c r="T355" s="64" t="str">
        <f>IFERROR(__xludf.DUMMYFUNCTION("IF($A355="""","""",IFERROR(TEXTJOIN("", "",TRUE,UNIQUE(FILTER(Candidates!$B$2:$B$2000,Candidates!$A$2:$A$2000=$A355))),""""))"),"")</f>
        <v/>
      </c>
      <c r="U355" s="66" t="str">
        <f>IF($A355="","",COUNTIF(Candidates!$A$2:$A$2000,$A355))</f>
        <v/>
      </c>
      <c r="V355" s="64" t="str">
        <f>IFERROR(__xludf.DUMMYFUNCTION("IF($A355="""","""",IFERROR(INDEX(FILTER(Candidates!$S$2:$S$2000,Candidates!$A$2:$A$2000=$A355),COUNTIF(Candidates!$A$2:$A$2000,$A355)),""""))"),"")</f>
        <v/>
      </c>
      <c r="W355" s="64" t="str">
        <f>IFERROR(__xludf.DUMMYFUNCTION("IF($A355="""","""",IFERROR(INDEX(FILTER(Candidates!$T$2:$T$2000,Candidates!$A$2:$A$2000=$A355),COUNTIF(Candidates!$A$2:$A$2000,$A355)),""""))"),"")</f>
        <v/>
      </c>
      <c r="X355" s="64"/>
      <c r="Y355" s="64"/>
      <c r="Z355" s="65"/>
      <c r="AA355" s="65"/>
      <c r="AB355" s="65"/>
      <c r="AC355" s="65"/>
    </row>
    <row r="356">
      <c r="A356" s="64"/>
      <c r="B356" s="64"/>
      <c r="C356" s="64"/>
      <c r="D356" s="64"/>
      <c r="E356" s="64"/>
      <c r="F356" s="64"/>
      <c r="G356" s="64"/>
      <c r="H356" s="63"/>
      <c r="I356" s="64"/>
      <c r="J356" s="64"/>
      <c r="K356" s="64"/>
      <c r="L356" s="64"/>
      <c r="M356" s="64"/>
      <c r="N356" s="64"/>
      <c r="O356" s="64"/>
      <c r="P356" s="64"/>
      <c r="Q356" s="64"/>
      <c r="R356" s="65" t="str">
        <f>IF($A356="","",IFERROR(MINIFS(Candidates!$K$2:$K$2000,Candidates!$A$2:$A$2000,$A356),""))</f>
        <v/>
      </c>
      <c r="S356" s="65" t="str">
        <f>IF($A356="","",IFERROR(MAXIFS(Candidates!$AA$2:$AA$2000,Candidates!$A$2:$A$2000,$A356),""))</f>
        <v/>
      </c>
      <c r="T356" s="64" t="str">
        <f>IFERROR(__xludf.DUMMYFUNCTION("IF($A356="""","""",IFERROR(TEXTJOIN("", "",TRUE,UNIQUE(FILTER(Candidates!$B$2:$B$2000,Candidates!$A$2:$A$2000=$A356))),""""))"),"")</f>
        <v/>
      </c>
      <c r="U356" s="66" t="str">
        <f>IF($A356="","",COUNTIF(Candidates!$A$2:$A$2000,$A356))</f>
        <v/>
      </c>
      <c r="V356" s="64" t="str">
        <f>IFERROR(__xludf.DUMMYFUNCTION("IF($A356="""","""",IFERROR(INDEX(FILTER(Candidates!$S$2:$S$2000,Candidates!$A$2:$A$2000=$A356),COUNTIF(Candidates!$A$2:$A$2000,$A356)),""""))"),"")</f>
        <v/>
      </c>
      <c r="W356" s="64" t="str">
        <f>IFERROR(__xludf.DUMMYFUNCTION("IF($A356="""","""",IFERROR(INDEX(FILTER(Candidates!$T$2:$T$2000,Candidates!$A$2:$A$2000=$A356),COUNTIF(Candidates!$A$2:$A$2000,$A356)),""""))"),"")</f>
        <v/>
      </c>
      <c r="X356" s="64"/>
      <c r="Y356" s="64"/>
      <c r="Z356" s="65"/>
      <c r="AA356" s="65"/>
      <c r="AB356" s="65"/>
      <c r="AC356" s="65"/>
    </row>
    <row r="357">
      <c r="A357" s="64"/>
      <c r="B357" s="64"/>
      <c r="C357" s="64"/>
      <c r="D357" s="64"/>
      <c r="E357" s="64"/>
      <c r="F357" s="64"/>
      <c r="G357" s="64"/>
      <c r="H357" s="63"/>
      <c r="I357" s="64"/>
      <c r="J357" s="64"/>
      <c r="K357" s="64"/>
      <c r="L357" s="64"/>
      <c r="M357" s="64"/>
      <c r="N357" s="64"/>
      <c r="O357" s="64"/>
      <c r="P357" s="64"/>
      <c r="Q357" s="64"/>
      <c r="R357" s="65" t="str">
        <f>IF($A357="","",IFERROR(MINIFS(Candidates!$K$2:$K$2000,Candidates!$A$2:$A$2000,$A357),""))</f>
        <v/>
      </c>
      <c r="S357" s="65" t="str">
        <f>IF($A357="","",IFERROR(MAXIFS(Candidates!$AA$2:$AA$2000,Candidates!$A$2:$A$2000,$A357),""))</f>
        <v/>
      </c>
      <c r="T357" s="64" t="str">
        <f>IFERROR(__xludf.DUMMYFUNCTION("IF($A357="""","""",IFERROR(TEXTJOIN("", "",TRUE,UNIQUE(FILTER(Candidates!$B$2:$B$2000,Candidates!$A$2:$A$2000=$A357))),""""))"),"")</f>
        <v/>
      </c>
      <c r="U357" s="66" t="str">
        <f>IF($A357="","",COUNTIF(Candidates!$A$2:$A$2000,$A357))</f>
        <v/>
      </c>
      <c r="V357" s="64" t="str">
        <f>IFERROR(__xludf.DUMMYFUNCTION("IF($A357="""","""",IFERROR(INDEX(FILTER(Candidates!$S$2:$S$2000,Candidates!$A$2:$A$2000=$A357),COUNTIF(Candidates!$A$2:$A$2000,$A357)),""""))"),"")</f>
        <v/>
      </c>
      <c r="W357" s="64" t="str">
        <f>IFERROR(__xludf.DUMMYFUNCTION("IF($A357="""","""",IFERROR(INDEX(FILTER(Candidates!$T$2:$T$2000,Candidates!$A$2:$A$2000=$A357),COUNTIF(Candidates!$A$2:$A$2000,$A357)),""""))"),"")</f>
        <v/>
      </c>
      <c r="X357" s="64"/>
      <c r="Y357" s="64"/>
      <c r="Z357" s="65"/>
      <c r="AA357" s="65"/>
      <c r="AB357" s="65"/>
      <c r="AC357" s="65"/>
    </row>
    <row r="358">
      <c r="A358" s="64"/>
      <c r="B358" s="64"/>
      <c r="C358" s="64"/>
      <c r="D358" s="64"/>
      <c r="E358" s="64"/>
      <c r="F358" s="64"/>
      <c r="G358" s="64"/>
      <c r="H358" s="63"/>
      <c r="I358" s="64"/>
      <c r="J358" s="64"/>
      <c r="K358" s="64"/>
      <c r="L358" s="64"/>
      <c r="M358" s="64"/>
      <c r="N358" s="64"/>
      <c r="O358" s="64"/>
      <c r="P358" s="64"/>
      <c r="Q358" s="64"/>
      <c r="R358" s="65" t="str">
        <f>IF($A358="","",IFERROR(MINIFS(Candidates!$K$2:$K$2000,Candidates!$A$2:$A$2000,$A358),""))</f>
        <v/>
      </c>
      <c r="S358" s="65" t="str">
        <f>IF($A358="","",IFERROR(MAXIFS(Candidates!$AA$2:$AA$2000,Candidates!$A$2:$A$2000,$A358),""))</f>
        <v/>
      </c>
      <c r="T358" s="64" t="str">
        <f>IFERROR(__xludf.DUMMYFUNCTION("IF($A358="""","""",IFERROR(TEXTJOIN("", "",TRUE,UNIQUE(FILTER(Candidates!$B$2:$B$2000,Candidates!$A$2:$A$2000=$A358))),""""))"),"")</f>
        <v/>
      </c>
      <c r="U358" s="66" t="str">
        <f>IF($A358="","",COUNTIF(Candidates!$A$2:$A$2000,$A358))</f>
        <v/>
      </c>
      <c r="V358" s="64" t="str">
        <f>IFERROR(__xludf.DUMMYFUNCTION("IF($A358="""","""",IFERROR(INDEX(FILTER(Candidates!$S$2:$S$2000,Candidates!$A$2:$A$2000=$A358),COUNTIF(Candidates!$A$2:$A$2000,$A358)),""""))"),"")</f>
        <v/>
      </c>
      <c r="W358" s="64" t="str">
        <f>IFERROR(__xludf.DUMMYFUNCTION("IF($A358="""","""",IFERROR(INDEX(FILTER(Candidates!$T$2:$T$2000,Candidates!$A$2:$A$2000=$A358),COUNTIF(Candidates!$A$2:$A$2000,$A358)),""""))"),"")</f>
        <v/>
      </c>
      <c r="X358" s="64"/>
      <c r="Y358" s="64"/>
      <c r="Z358" s="65"/>
      <c r="AA358" s="65"/>
      <c r="AB358" s="65"/>
      <c r="AC358" s="65"/>
    </row>
    <row r="359">
      <c r="A359" s="64"/>
      <c r="B359" s="64"/>
      <c r="C359" s="64"/>
      <c r="D359" s="64"/>
      <c r="E359" s="64"/>
      <c r="F359" s="64"/>
      <c r="G359" s="64"/>
      <c r="H359" s="63"/>
      <c r="I359" s="64"/>
      <c r="J359" s="64"/>
      <c r="K359" s="64"/>
      <c r="L359" s="64"/>
      <c r="M359" s="64"/>
      <c r="N359" s="64"/>
      <c r="O359" s="64"/>
      <c r="P359" s="64"/>
      <c r="Q359" s="64"/>
      <c r="R359" s="65" t="str">
        <f>IF($A359="","",IFERROR(MINIFS(Candidates!$K$2:$K$2000,Candidates!$A$2:$A$2000,$A359),""))</f>
        <v/>
      </c>
      <c r="S359" s="65" t="str">
        <f>IF($A359="","",IFERROR(MAXIFS(Candidates!$AA$2:$AA$2000,Candidates!$A$2:$A$2000,$A359),""))</f>
        <v/>
      </c>
      <c r="T359" s="64" t="str">
        <f>IFERROR(__xludf.DUMMYFUNCTION("IF($A359="""","""",IFERROR(TEXTJOIN("", "",TRUE,UNIQUE(FILTER(Candidates!$B$2:$B$2000,Candidates!$A$2:$A$2000=$A359))),""""))"),"")</f>
        <v/>
      </c>
      <c r="U359" s="66" t="str">
        <f>IF($A359="","",COUNTIF(Candidates!$A$2:$A$2000,$A359))</f>
        <v/>
      </c>
      <c r="V359" s="64" t="str">
        <f>IFERROR(__xludf.DUMMYFUNCTION("IF($A359="""","""",IFERROR(INDEX(FILTER(Candidates!$S$2:$S$2000,Candidates!$A$2:$A$2000=$A359),COUNTIF(Candidates!$A$2:$A$2000,$A359)),""""))"),"")</f>
        <v/>
      </c>
      <c r="W359" s="64" t="str">
        <f>IFERROR(__xludf.DUMMYFUNCTION("IF($A359="""","""",IFERROR(INDEX(FILTER(Candidates!$T$2:$T$2000,Candidates!$A$2:$A$2000=$A359),COUNTIF(Candidates!$A$2:$A$2000,$A359)),""""))"),"")</f>
        <v/>
      </c>
      <c r="X359" s="64"/>
      <c r="Y359" s="64"/>
      <c r="Z359" s="65"/>
      <c r="AA359" s="65"/>
      <c r="AB359" s="65"/>
      <c r="AC359" s="65"/>
    </row>
    <row r="360">
      <c r="A360" s="64"/>
      <c r="B360" s="64"/>
      <c r="C360" s="64"/>
      <c r="D360" s="64"/>
      <c r="E360" s="64"/>
      <c r="F360" s="64"/>
      <c r="G360" s="64"/>
      <c r="H360" s="63"/>
      <c r="I360" s="64"/>
      <c r="J360" s="64"/>
      <c r="K360" s="64"/>
      <c r="L360" s="64"/>
      <c r="M360" s="64"/>
      <c r="N360" s="64"/>
      <c r="O360" s="64"/>
      <c r="P360" s="64"/>
      <c r="Q360" s="64"/>
      <c r="R360" s="65" t="str">
        <f>IF($A360="","",IFERROR(MINIFS(Candidates!$K$2:$K$2000,Candidates!$A$2:$A$2000,$A360),""))</f>
        <v/>
      </c>
      <c r="S360" s="65" t="str">
        <f>IF($A360="","",IFERROR(MAXIFS(Candidates!$AA$2:$AA$2000,Candidates!$A$2:$A$2000,$A360),""))</f>
        <v/>
      </c>
      <c r="T360" s="64" t="str">
        <f>IFERROR(__xludf.DUMMYFUNCTION("IF($A360="""","""",IFERROR(TEXTJOIN("", "",TRUE,UNIQUE(FILTER(Candidates!$B$2:$B$2000,Candidates!$A$2:$A$2000=$A360))),""""))"),"")</f>
        <v/>
      </c>
      <c r="U360" s="66" t="str">
        <f>IF($A360="","",COUNTIF(Candidates!$A$2:$A$2000,$A360))</f>
        <v/>
      </c>
      <c r="V360" s="64" t="str">
        <f>IFERROR(__xludf.DUMMYFUNCTION("IF($A360="""","""",IFERROR(INDEX(FILTER(Candidates!$S$2:$S$2000,Candidates!$A$2:$A$2000=$A360),COUNTIF(Candidates!$A$2:$A$2000,$A360)),""""))"),"")</f>
        <v/>
      </c>
      <c r="W360" s="64" t="str">
        <f>IFERROR(__xludf.DUMMYFUNCTION("IF($A360="""","""",IFERROR(INDEX(FILTER(Candidates!$T$2:$T$2000,Candidates!$A$2:$A$2000=$A360),COUNTIF(Candidates!$A$2:$A$2000,$A360)),""""))"),"")</f>
        <v/>
      </c>
      <c r="X360" s="64"/>
      <c r="Y360" s="64"/>
      <c r="Z360" s="65"/>
      <c r="AA360" s="65"/>
      <c r="AB360" s="65"/>
      <c r="AC360" s="65"/>
    </row>
    <row r="361">
      <c r="A361" s="64"/>
      <c r="B361" s="64"/>
      <c r="C361" s="64"/>
      <c r="D361" s="64"/>
      <c r="E361" s="64"/>
      <c r="F361" s="64"/>
      <c r="G361" s="64"/>
      <c r="H361" s="63"/>
      <c r="I361" s="64"/>
      <c r="J361" s="64"/>
      <c r="K361" s="64"/>
      <c r="L361" s="64"/>
      <c r="M361" s="64"/>
      <c r="N361" s="64"/>
      <c r="O361" s="64"/>
      <c r="P361" s="64"/>
      <c r="Q361" s="64"/>
      <c r="R361" s="65" t="str">
        <f>IF($A361="","",IFERROR(MINIFS(Candidates!$K$2:$K$2000,Candidates!$A$2:$A$2000,$A361),""))</f>
        <v/>
      </c>
      <c r="S361" s="65" t="str">
        <f>IF($A361="","",IFERROR(MAXIFS(Candidates!$AA$2:$AA$2000,Candidates!$A$2:$A$2000,$A361),""))</f>
        <v/>
      </c>
      <c r="T361" s="64" t="str">
        <f>IFERROR(__xludf.DUMMYFUNCTION("IF($A361="""","""",IFERROR(TEXTJOIN("", "",TRUE,UNIQUE(FILTER(Candidates!$B$2:$B$2000,Candidates!$A$2:$A$2000=$A361))),""""))"),"")</f>
        <v/>
      </c>
      <c r="U361" s="66" t="str">
        <f>IF($A361="","",COUNTIF(Candidates!$A$2:$A$2000,$A361))</f>
        <v/>
      </c>
      <c r="V361" s="64" t="str">
        <f>IFERROR(__xludf.DUMMYFUNCTION("IF($A361="""","""",IFERROR(INDEX(FILTER(Candidates!$S$2:$S$2000,Candidates!$A$2:$A$2000=$A361),COUNTIF(Candidates!$A$2:$A$2000,$A361)),""""))"),"")</f>
        <v/>
      </c>
      <c r="W361" s="64" t="str">
        <f>IFERROR(__xludf.DUMMYFUNCTION("IF($A361="""","""",IFERROR(INDEX(FILTER(Candidates!$T$2:$T$2000,Candidates!$A$2:$A$2000=$A361),COUNTIF(Candidates!$A$2:$A$2000,$A361)),""""))"),"")</f>
        <v/>
      </c>
      <c r="X361" s="64"/>
      <c r="Y361" s="64"/>
      <c r="Z361" s="65"/>
      <c r="AA361" s="65"/>
      <c r="AB361" s="65"/>
      <c r="AC361" s="65"/>
    </row>
    <row r="362">
      <c r="A362" s="64"/>
      <c r="B362" s="64"/>
      <c r="C362" s="64"/>
      <c r="D362" s="64"/>
      <c r="E362" s="64"/>
      <c r="F362" s="64"/>
      <c r="G362" s="64"/>
      <c r="H362" s="63"/>
      <c r="I362" s="64"/>
      <c r="J362" s="64"/>
      <c r="K362" s="64"/>
      <c r="L362" s="64"/>
      <c r="M362" s="64"/>
      <c r="N362" s="64"/>
      <c r="O362" s="64"/>
      <c r="P362" s="64"/>
      <c r="Q362" s="64"/>
      <c r="R362" s="65" t="str">
        <f>IF($A362="","",IFERROR(MINIFS(Candidates!$K$2:$K$2000,Candidates!$A$2:$A$2000,$A362),""))</f>
        <v/>
      </c>
      <c r="S362" s="65" t="str">
        <f>IF($A362="","",IFERROR(MAXIFS(Candidates!$AA$2:$AA$2000,Candidates!$A$2:$A$2000,$A362),""))</f>
        <v/>
      </c>
      <c r="T362" s="64" t="str">
        <f>IFERROR(__xludf.DUMMYFUNCTION("IF($A362="""","""",IFERROR(TEXTJOIN("", "",TRUE,UNIQUE(FILTER(Candidates!$B$2:$B$2000,Candidates!$A$2:$A$2000=$A362))),""""))"),"")</f>
        <v/>
      </c>
      <c r="U362" s="66" t="str">
        <f>IF($A362="","",COUNTIF(Candidates!$A$2:$A$2000,$A362))</f>
        <v/>
      </c>
      <c r="V362" s="64" t="str">
        <f>IFERROR(__xludf.DUMMYFUNCTION("IF($A362="""","""",IFERROR(INDEX(FILTER(Candidates!$S$2:$S$2000,Candidates!$A$2:$A$2000=$A362),COUNTIF(Candidates!$A$2:$A$2000,$A362)),""""))"),"")</f>
        <v/>
      </c>
      <c r="W362" s="64" t="str">
        <f>IFERROR(__xludf.DUMMYFUNCTION("IF($A362="""","""",IFERROR(INDEX(FILTER(Candidates!$T$2:$T$2000,Candidates!$A$2:$A$2000=$A362),COUNTIF(Candidates!$A$2:$A$2000,$A362)),""""))"),"")</f>
        <v/>
      </c>
      <c r="X362" s="64"/>
      <c r="Y362" s="64"/>
      <c r="Z362" s="65"/>
      <c r="AA362" s="65"/>
      <c r="AB362" s="65"/>
      <c r="AC362" s="65"/>
    </row>
    <row r="363">
      <c r="A363" s="64"/>
      <c r="B363" s="64"/>
      <c r="C363" s="64"/>
      <c r="D363" s="64"/>
      <c r="E363" s="64"/>
      <c r="F363" s="64"/>
      <c r="G363" s="64"/>
      <c r="H363" s="63"/>
      <c r="I363" s="64"/>
      <c r="J363" s="64"/>
      <c r="K363" s="64"/>
      <c r="L363" s="64"/>
      <c r="M363" s="64"/>
      <c r="N363" s="64"/>
      <c r="O363" s="64"/>
      <c r="P363" s="64"/>
      <c r="Q363" s="64"/>
      <c r="R363" s="65" t="str">
        <f>IF($A363="","",IFERROR(MINIFS(Candidates!$K$2:$K$2000,Candidates!$A$2:$A$2000,$A363),""))</f>
        <v/>
      </c>
      <c r="S363" s="65" t="str">
        <f>IF($A363="","",IFERROR(MAXIFS(Candidates!$AA$2:$AA$2000,Candidates!$A$2:$A$2000,$A363),""))</f>
        <v/>
      </c>
      <c r="T363" s="64" t="str">
        <f>IFERROR(__xludf.DUMMYFUNCTION("IF($A363="""","""",IFERROR(TEXTJOIN("", "",TRUE,UNIQUE(FILTER(Candidates!$B$2:$B$2000,Candidates!$A$2:$A$2000=$A363))),""""))"),"")</f>
        <v/>
      </c>
      <c r="U363" s="66" t="str">
        <f>IF($A363="","",COUNTIF(Candidates!$A$2:$A$2000,$A363))</f>
        <v/>
      </c>
      <c r="V363" s="64" t="str">
        <f>IFERROR(__xludf.DUMMYFUNCTION("IF($A363="""","""",IFERROR(INDEX(FILTER(Candidates!$S$2:$S$2000,Candidates!$A$2:$A$2000=$A363),COUNTIF(Candidates!$A$2:$A$2000,$A363)),""""))"),"")</f>
        <v/>
      </c>
      <c r="W363" s="64" t="str">
        <f>IFERROR(__xludf.DUMMYFUNCTION("IF($A363="""","""",IFERROR(INDEX(FILTER(Candidates!$T$2:$T$2000,Candidates!$A$2:$A$2000=$A363),COUNTIF(Candidates!$A$2:$A$2000,$A363)),""""))"),"")</f>
        <v/>
      </c>
      <c r="X363" s="64"/>
      <c r="Y363" s="64"/>
      <c r="Z363" s="65"/>
      <c r="AA363" s="65"/>
      <c r="AB363" s="65"/>
      <c r="AC363" s="65"/>
    </row>
    <row r="364">
      <c r="A364" s="64"/>
      <c r="B364" s="64"/>
      <c r="C364" s="64"/>
      <c r="D364" s="64"/>
      <c r="E364" s="64"/>
      <c r="F364" s="64"/>
      <c r="G364" s="64"/>
      <c r="H364" s="63"/>
      <c r="I364" s="64"/>
      <c r="J364" s="64"/>
      <c r="K364" s="64"/>
      <c r="L364" s="64"/>
      <c r="M364" s="64"/>
      <c r="N364" s="64"/>
      <c r="O364" s="64"/>
      <c r="P364" s="64"/>
      <c r="Q364" s="64"/>
      <c r="R364" s="65" t="str">
        <f>IF($A364="","",IFERROR(MINIFS(Candidates!$K$2:$K$2000,Candidates!$A$2:$A$2000,$A364),""))</f>
        <v/>
      </c>
      <c r="S364" s="65" t="str">
        <f>IF($A364="","",IFERROR(MAXIFS(Candidates!$AA$2:$AA$2000,Candidates!$A$2:$A$2000,$A364),""))</f>
        <v/>
      </c>
      <c r="T364" s="64" t="str">
        <f>IFERROR(__xludf.DUMMYFUNCTION("IF($A364="""","""",IFERROR(TEXTJOIN("", "",TRUE,UNIQUE(FILTER(Candidates!$B$2:$B$2000,Candidates!$A$2:$A$2000=$A364))),""""))"),"")</f>
        <v/>
      </c>
      <c r="U364" s="66" t="str">
        <f>IF($A364="","",COUNTIF(Candidates!$A$2:$A$2000,$A364))</f>
        <v/>
      </c>
      <c r="V364" s="64" t="str">
        <f>IFERROR(__xludf.DUMMYFUNCTION("IF($A364="""","""",IFERROR(INDEX(FILTER(Candidates!$S$2:$S$2000,Candidates!$A$2:$A$2000=$A364),COUNTIF(Candidates!$A$2:$A$2000,$A364)),""""))"),"")</f>
        <v/>
      </c>
      <c r="W364" s="64" t="str">
        <f>IFERROR(__xludf.DUMMYFUNCTION("IF($A364="""","""",IFERROR(INDEX(FILTER(Candidates!$T$2:$T$2000,Candidates!$A$2:$A$2000=$A364),COUNTIF(Candidates!$A$2:$A$2000,$A364)),""""))"),"")</f>
        <v/>
      </c>
      <c r="X364" s="64"/>
      <c r="Y364" s="64"/>
      <c r="Z364" s="65"/>
      <c r="AA364" s="65"/>
      <c r="AB364" s="65"/>
      <c r="AC364" s="65"/>
    </row>
    <row r="365">
      <c r="A365" s="64"/>
      <c r="B365" s="64"/>
      <c r="C365" s="64"/>
      <c r="D365" s="64"/>
      <c r="E365" s="64"/>
      <c r="F365" s="64"/>
      <c r="G365" s="64"/>
      <c r="H365" s="63"/>
      <c r="I365" s="64"/>
      <c r="J365" s="64"/>
      <c r="K365" s="64"/>
      <c r="L365" s="64"/>
      <c r="M365" s="64"/>
      <c r="N365" s="64"/>
      <c r="O365" s="64"/>
      <c r="P365" s="64"/>
      <c r="Q365" s="64"/>
      <c r="R365" s="65" t="str">
        <f>IF($A365="","",IFERROR(MINIFS(Candidates!$K$2:$K$2000,Candidates!$A$2:$A$2000,$A365),""))</f>
        <v/>
      </c>
      <c r="S365" s="65" t="str">
        <f>IF($A365="","",IFERROR(MAXIFS(Candidates!$AA$2:$AA$2000,Candidates!$A$2:$A$2000,$A365),""))</f>
        <v/>
      </c>
      <c r="T365" s="64" t="str">
        <f>IFERROR(__xludf.DUMMYFUNCTION("IF($A365="""","""",IFERROR(TEXTJOIN("", "",TRUE,UNIQUE(FILTER(Candidates!$B$2:$B$2000,Candidates!$A$2:$A$2000=$A365))),""""))"),"")</f>
        <v/>
      </c>
      <c r="U365" s="66" t="str">
        <f>IF($A365="","",COUNTIF(Candidates!$A$2:$A$2000,$A365))</f>
        <v/>
      </c>
      <c r="V365" s="64" t="str">
        <f>IFERROR(__xludf.DUMMYFUNCTION("IF($A365="""","""",IFERROR(INDEX(FILTER(Candidates!$S$2:$S$2000,Candidates!$A$2:$A$2000=$A365),COUNTIF(Candidates!$A$2:$A$2000,$A365)),""""))"),"")</f>
        <v/>
      </c>
      <c r="W365" s="64" t="str">
        <f>IFERROR(__xludf.DUMMYFUNCTION("IF($A365="""","""",IFERROR(INDEX(FILTER(Candidates!$T$2:$T$2000,Candidates!$A$2:$A$2000=$A365),COUNTIF(Candidates!$A$2:$A$2000,$A365)),""""))"),"")</f>
        <v/>
      </c>
      <c r="X365" s="64"/>
      <c r="Y365" s="64"/>
      <c r="Z365" s="65"/>
      <c r="AA365" s="65"/>
      <c r="AB365" s="65"/>
      <c r="AC365" s="65"/>
    </row>
    <row r="366">
      <c r="A366" s="64"/>
      <c r="B366" s="64"/>
      <c r="C366" s="64"/>
      <c r="D366" s="64"/>
      <c r="E366" s="64"/>
      <c r="F366" s="64"/>
      <c r="G366" s="64"/>
      <c r="H366" s="63"/>
      <c r="I366" s="64"/>
      <c r="J366" s="64"/>
      <c r="K366" s="64"/>
      <c r="L366" s="64"/>
      <c r="M366" s="64"/>
      <c r="N366" s="64"/>
      <c r="O366" s="64"/>
      <c r="P366" s="64"/>
      <c r="Q366" s="64"/>
      <c r="R366" s="65" t="str">
        <f>IF($A366="","",IFERROR(MINIFS(Candidates!$K$2:$K$2000,Candidates!$A$2:$A$2000,$A366),""))</f>
        <v/>
      </c>
      <c r="S366" s="65" t="str">
        <f>IF($A366="","",IFERROR(MAXIFS(Candidates!$AA$2:$AA$2000,Candidates!$A$2:$A$2000,$A366),""))</f>
        <v/>
      </c>
      <c r="T366" s="64" t="str">
        <f>IFERROR(__xludf.DUMMYFUNCTION("IF($A366="""","""",IFERROR(TEXTJOIN("", "",TRUE,UNIQUE(FILTER(Candidates!$B$2:$B$2000,Candidates!$A$2:$A$2000=$A366))),""""))"),"")</f>
        <v/>
      </c>
      <c r="U366" s="66" t="str">
        <f>IF($A366="","",COUNTIF(Candidates!$A$2:$A$2000,$A366))</f>
        <v/>
      </c>
      <c r="V366" s="64" t="str">
        <f>IFERROR(__xludf.DUMMYFUNCTION("IF($A366="""","""",IFERROR(INDEX(FILTER(Candidates!$S$2:$S$2000,Candidates!$A$2:$A$2000=$A366),COUNTIF(Candidates!$A$2:$A$2000,$A366)),""""))"),"")</f>
        <v/>
      </c>
      <c r="W366" s="64" t="str">
        <f>IFERROR(__xludf.DUMMYFUNCTION("IF($A366="""","""",IFERROR(INDEX(FILTER(Candidates!$T$2:$T$2000,Candidates!$A$2:$A$2000=$A366),COUNTIF(Candidates!$A$2:$A$2000,$A366)),""""))"),"")</f>
        <v/>
      </c>
      <c r="X366" s="64"/>
      <c r="Y366" s="64"/>
      <c r="Z366" s="65"/>
      <c r="AA366" s="65"/>
      <c r="AB366" s="65"/>
      <c r="AC366" s="65"/>
    </row>
    <row r="367">
      <c r="A367" s="64"/>
      <c r="B367" s="64"/>
      <c r="C367" s="64"/>
      <c r="D367" s="64"/>
      <c r="E367" s="64"/>
      <c r="F367" s="64"/>
      <c r="G367" s="64"/>
      <c r="H367" s="63"/>
      <c r="I367" s="64"/>
      <c r="J367" s="64"/>
      <c r="K367" s="64"/>
      <c r="L367" s="64"/>
      <c r="M367" s="64"/>
      <c r="N367" s="64"/>
      <c r="O367" s="64"/>
      <c r="P367" s="64"/>
      <c r="Q367" s="64"/>
      <c r="R367" s="65" t="str">
        <f>IF($A367="","",IFERROR(MINIFS(Candidates!$K$2:$K$2000,Candidates!$A$2:$A$2000,$A367),""))</f>
        <v/>
      </c>
      <c r="S367" s="65" t="str">
        <f>IF($A367="","",IFERROR(MAXIFS(Candidates!$AA$2:$AA$2000,Candidates!$A$2:$A$2000,$A367),""))</f>
        <v/>
      </c>
      <c r="T367" s="64" t="str">
        <f>IFERROR(__xludf.DUMMYFUNCTION("IF($A367="""","""",IFERROR(TEXTJOIN("", "",TRUE,UNIQUE(FILTER(Candidates!$B$2:$B$2000,Candidates!$A$2:$A$2000=$A367))),""""))"),"")</f>
        <v/>
      </c>
      <c r="U367" s="66" t="str">
        <f>IF($A367="","",COUNTIF(Candidates!$A$2:$A$2000,$A367))</f>
        <v/>
      </c>
      <c r="V367" s="64" t="str">
        <f>IFERROR(__xludf.DUMMYFUNCTION("IF($A367="""","""",IFERROR(INDEX(FILTER(Candidates!$S$2:$S$2000,Candidates!$A$2:$A$2000=$A367),COUNTIF(Candidates!$A$2:$A$2000,$A367)),""""))"),"")</f>
        <v/>
      </c>
      <c r="W367" s="64" t="str">
        <f>IFERROR(__xludf.DUMMYFUNCTION("IF($A367="""","""",IFERROR(INDEX(FILTER(Candidates!$T$2:$T$2000,Candidates!$A$2:$A$2000=$A367),COUNTIF(Candidates!$A$2:$A$2000,$A367)),""""))"),"")</f>
        <v/>
      </c>
      <c r="X367" s="64"/>
      <c r="Y367" s="64"/>
      <c r="Z367" s="65"/>
      <c r="AA367" s="65"/>
      <c r="AB367" s="65"/>
      <c r="AC367" s="65"/>
    </row>
    <row r="368">
      <c r="A368" s="64"/>
      <c r="B368" s="64"/>
      <c r="C368" s="64"/>
      <c r="D368" s="64"/>
      <c r="E368" s="64"/>
      <c r="F368" s="64"/>
      <c r="G368" s="64"/>
      <c r="H368" s="63"/>
      <c r="I368" s="64"/>
      <c r="J368" s="64"/>
      <c r="K368" s="64"/>
      <c r="L368" s="64"/>
      <c r="M368" s="64"/>
      <c r="N368" s="64"/>
      <c r="O368" s="64"/>
      <c r="P368" s="64"/>
      <c r="Q368" s="64"/>
      <c r="R368" s="65" t="str">
        <f>IF($A368="","",IFERROR(MINIFS(Candidates!$K$2:$K$2000,Candidates!$A$2:$A$2000,$A368),""))</f>
        <v/>
      </c>
      <c r="S368" s="65" t="str">
        <f>IF($A368="","",IFERROR(MAXIFS(Candidates!$AA$2:$AA$2000,Candidates!$A$2:$A$2000,$A368),""))</f>
        <v/>
      </c>
      <c r="T368" s="64" t="str">
        <f>IFERROR(__xludf.DUMMYFUNCTION("IF($A368="""","""",IFERROR(TEXTJOIN("", "",TRUE,UNIQUE(FILTER(Candidates!$B$2:$B$2000,Candidates!$A$2:$A$2000=$A368))),""""))"),"")</f>
        <v/>
      </c>
      <c r="U368" s="66" t="str">
        <f>IF($A368="","",COUNTIF(Candidates!$A$2:$A$2000,$A368))</f>
        <v/>
      </c>
      <c r="V368" s="64" t="str">
        <f>IFERROR(__xludf.DUMMYFUNCTION("IF($A368="""","""",IFERROR(INDEX(FILTER(Candidates!$S$2:$S$2000,Candidates!$A$2:$A$2000=$A368),COUNTIF(Candidates!$A$2:$A$2000,$A368)),""""))"),"")</f>
        <v/>
      </c>
      <c r="W368" s="64" t="str">
        <f>IFERROR(__xludf.DUMMYFUNCTION("IF($A368="""","""",IFERROR(INDEX(FILTER(Candidates!$T$2:$T$2000,Candidates!$A$2:$A$2000=$A368),COUNTIF(Candidates!$A$2:$A$2000,$A368)),""""))"),"")</f>
        <v/>
      </c>
      <c r="X368" s="64"/>
      <c r="Y368" s="64"/>
      <c r="Z368" s="65"/>
      <c r="AA368" s="65"/>
      <c r="AB368" s="65"/>
      <c r="AC368" s="65"/>
    </row>
    <row r="369">
      <c r="A369" s="64"/>
      <c r="B369" s="64"/>
      <c r="C369" s="64"/>
      <c r="D369" s="64"/>
      <c r="E369" s="64"/>
      <c r="F369" s="64"/>
      <c r="G369" s="64"/>
      <c r="H369" s="63"/>
      <c r="I369" s="64"/>
      <c r="J369" s="64"/>
      <c r="K369" s="64"/>
      <c r="L369" s="64"/>
      <c r="M369" s="64"/>
      <c r="N369" s="64"/>
      <c r="O369" s="64"/>
      <c r="P369" s="64"/>
      <c r="Q369" s="64"/>
      <c r="R369" s="65" t="str">
        <f>IF($A369="","",IFERROR(MINIFS(Candidates!$K$2:$K$2000,Candidates!$A$2:$A$2000,$A369),""))</f>
        <v/>
      </c>
      <c r="S369" s="65" t="str">
        <f>IF($A369="","",IFERROR(MAXIFS(Candidates!$AA$2:$AA$2000,Candidates!$A$2:$A$2000,$A369),""))</f>
        <v/>
      </c>
      <c r="T369" s="64" t="str">
        <f>IFERROR(__xludf.DUMMYFUNCTION("IF($A369="""","""",IFERROR(TEXTJOIN("", "",TRUE,UNIQUE(FILTER(Candidates!$B$2:$B$2000,Candidates!$A$2:$A$2000=$A369))),""""))"),"")</f>
        <v/>
      </c>
      <c r="U369" s="66" t="str">
        <f>IF($A369="","",COUNTIF(Candidates!$A$2:$A$2000,$A369))</f>
        <v/>
      </c>
      <c r="V369" s="64" t="str">
        <f>IFERROR(__xludf.DUMMYFUNCTION("IF($A369="""","""",IFERROR(INDEX(FILTER(Candidates!$S$2:$S$2000,Candidates!$A$2:$A$2000=$A369),COUNTIF(Candidates!$A$2:$A$2000,$A369)),""""))"),"")</f>
        <v/>
      </c>
      <c r="W369" s="64" t="str">
        <f>IFERROR(__xludf.DUMMYFUNCTION("IF($A369="""","""",IFERROR(INDEX(FILTER(Candidates!$T$2:$T$2000,Candidates!$A$2:$A$2000=$A369),COUNTIF(Candidates!$A$2:$A$2000,$A369)),""""))"),"")</f>
        <v/>
      </c>
      <c r="X369" s="64"/>
      <c r="Y369" s="64"/>
      <c r="Z369" s="65"/>
      <c r="AA369" s="65"/>
      <c r="AB369" s="65"/>
      <c r="AC369" s="65"/>
    </row>
    <row r="370">
      <c r="A370" s="64"/>
      <c r="B370" s="64"/>
      <c r="C370" s="64"/>
      <c r="D370" s="64"/>
      <c r="E370" s="64"/>
      <c r="F370" s="64"/>
      <c r="G370" s="64"/>
      <c r="H370" s="63"/>
      <c r="I370" s="64"/>
      <c r="J370" s="64"/>
      <c r="K370" s="64"/>
      <c r="L370" s="64"/>
      <c r="M370" s="64"/>
      <c r="N370" s="64"/>
      <c r="O370" s="64"/>
      <c r="P370" s="64"/>
      <c r="Q370" s="64"/>
      <c r="R370" s="65" t="str">
        <f>IF($A370="","",IFERROR(MINIFS(Candidates!$K$2:$K$2000,Candidates!$A$2:$A$2000,$A370),""))</f>
        <v/>
      </c>
      <c r="S370" s="65" t="str">
        <f>IF($A370="","",IFERROR(MAXIFS(Candidates!$AA$2:$AA$2000,Candidates!$A$2:$A$2000,$A370),""))</f>
        <v/>
      </c>
      <c r="T370" s="64" t="str">
        <f>IFERROR(__xludf.DUMMYFUNCTION("IF($A370="""","""",IFERROR(TEXTJOIN("", "",TRUE,UNIQUE(FILTER(Candidates!$B$2:$B$2000,Candidates!$A$2:$A$2000=$A370))),""""))"),"")</f>
        <v/>
      </c>
      <c r="U370" s="66" t="str">
        <f>IF($A370="","",COUNTIF(Candidates!$A$2:$A$2000,$A370))</f>
        <v/>
      </c>
      <c r="V370" s="64" t="str">
        <f>IFERROR(__xludf.DUMMYFUNCTION("IF($A370="""","""",IFERROR(INDEX(FILTER(Candidates!$S$2:$S$2000,Candidates!$A$2:$A$2000=$A370),COUNTIF(Candidates!$A$2:$A$2000,$A370)),""""))"),"")</f>
        <v/>
      </c>
      <c r="W370" s="64" t="str">
        <f>IFERROR(__xludf.DUMMYFUNCTION("IF($A370="""","""",IFERROR(INDEX(FILTER(Candidates!$T$2:$T$2000,Candidates!$A$2:$A$2000=$A370),COUNTIF(Candidates!$A$2:$A$2000,$A370)),""""))"),"")</f>
        <v/>
      </c>
      <c r="X370" s="64"/>
      <c r="Y370" s="64"/>
      <c r="Z370" s="65"/>
      <c r="AA370" s="65"/>
      <c r="AB370" s="65"/>
      <c r="AC370" s="65"/>
    </row>
    <row r="371">
      <c r="A371" s="64"/>
      <c r="B371" s="64"/>
      <c r="C371" s="64"/>
      <c r="D371" s="64"/>
      <c r="E371" s="64"/>
      <c r="F371" s="64"/>
      <c r="G371" s="64"/>
      <c r="H371" s="63"/>
      <c r="I371" s="64"/>
      <c r="J371" s="64"/>
      <c r="K371" s="64"/>
      <c r="L371" s="64"/>
      <c r="M371" s="64"/>
      <c r="N371" s="64"/>
      <c r="O371" s="64"/>
      <c r="P371" s="64"/>
      <c r="Q371" s="64"/>
      <c r="R371" s="65" t="str">
        <f>IF($A371="","",IFERROR(MINIFS(Candidates!$K$2:$K$2000,Candidates!$A$2:$A$2000,$A371),""))</f>
        <v/>
      </c>
      <c r="S371" s="65" t="str">
        <f>IF($A371="","",IFERROR(MAXIFS(Candidates!$AA$2:$AA$2000,Candidates!$A$2:$A$2000,$A371),""))</f>
        <v/>
      </c>
      <c r="T371" s="64" t="str">
        <f>IFERROR(__xludf.DUMMYFUNCTION("IF($A371="""","""",IFERROR(TEXTJOIN("", "",TRUE,UNIQUE(FILTER(Candidates!$B$2:$B$2000,Candidates!$A$2:$A$2000=$A371))),""""))"),"")</f>
        <v/>
      </c>
      <c r="U371" s="66" t="str">
        <f>IF($A371="","",COUNTIF(Candidates!$A$2:$A$2000,$A371))</f>
        <v/>
      </c>
      <c r="V371" s="64" t="str">
        <f>IFERROR(__xludf.DUMMYFUNCTION("IF($A371="""","""",IFERROR(INDEX(FILTER(Candidates!$S$2:$S$2000,Candidates!$A$2:$A$2000=$A371),COUNTIF(Candidates!$A$2:$A$2000,$A371)),""""))"),"")</f>
        <v/>
      </c>
      <c r="W371" s="64" t="str">
        <f>IFERROR(__xludf.DUMMYFUNCTION("IF($A371="""","""",IFERROR(INDEX(FILTER(Candidates!$T$2:$T$2000,Candidates!$A$2:$A$2000=$A371),COUNTIF(Candidates!$A$2:$A$2000,$A371)),""""))"),"")</f>
        <v/>
      </c>
      <c r="X371" s="64"/>
      <c r="Y371" s="64"/>
      <c r="Z371" s="65"/>
      <c r="AA371" s="65"/>
      <c r="AB371" s="65"/>
      <c r="AC371" s="65"/>
    </row>
    <row r="372">
      <c r="A372" s="64"/>
      <c r="B372" s="64"/>
      <c r="C372" s="64"/>
      <c r="D372" s="64"/>
      <c r="E372" s="64"/>
      <c r="F372" s="64"/>
      <c r="G372" s="64"/>
      <c r="H372" s="63"/>
      <c r="I372" s="64"/>
      <c r="J372" s="64"/>
      <c r="K372" s="64"/>
      <c r="L372" s="64"/>
      <c r="M372" s="64"/>
      <c r="N372" s="64"/>
      <c r="O372" s="64"/>
      <c r="P372" s="64"/>
      <c r="Q372" s="64"/>
      <c r="R372" s="65" t="str">
        <f>IF($A372="","",IFERROR(MINIFS(Candidates!$K$2:$K$2000,Candidates!$A$2:$A$2000,$A372),""))</f>
        <v/>
      </c>
      <c r="S372" s="65" t="str">
        <f>IF($A372="","",IFERROR(MAXIFS(Candidates!$AA$2:$AA$2000,Candidates!$A$2:$A$2000,$A372),""))</f>
        <v/>
      </c>
      <c r="T372" s="64" t="str">
        <f>IFERROR(__xludf.DUMMYFUNCTION("IF($A372="""","""",IFERROR(TEXTJOIN("", "",TRUE,UNIQUE(FILTER(Candidates!$B$2:$B$2000,Candidates!$A$2:$A$2000=$A372))),""""))"),"")</f>
        <v/>
      </c>
      <c r="U372" s="66" t="str">
        <f>IF($A372="","",COUNTIF(Candidates!$A$2:$A$2000,$A372))</f>
        <v/>
      </c>
      <c r="V372" s="64" t="str">
        <f>IFERROR(__xludf.DUMMYFUNCTION("IF($A372="""","""",IFERROR(INDEX(FILTER(Candidates!$S$2:$S$2000,Candidates!$A$2:$A$2000=$A372),COUNTIF(Candidates!$A$2:$A$2000,$A372)),""""))"),"")</f>
        <v/>
      </c>
      <c r="W372" s="64" t="str">
        <f>IFERROR(__xludf.DUMMYFUNCTION("IF($A372="""","""",IFERROR(INDEX(FILTER(Candidates!$T$2:$T$2000,Candidates!$A$2:$A$2000=$A372),COUNTIF(Candidates!$A$2:$A$2000,$A372)),""""))"),"")</f>
        <v/>
      </c>
      <c r="X372" s="64"/>
      <c r="Y372" s="64"/>
      <c r="Z372" s="65"/>
      <c r="AA372" s="65"/>
      <c r="AB372" s="65"/>
      <c r="AC372" s="65"/>
    </row>
    <row r="373">
      <c r="A373" s="64"/>
      <c r="B373" s="64"/>
      <c r="C373" s="64"/>
      <c r="D373" s="64"/>
      <c r="E373" s="64"/>
      <c r="F373" s="64"/>
      <c r="G373" s="64"/>
      <c r="H373" s="63"/>
      <c r="I373" s="64"/>
      <c r="J373" s="64"/>
      <c r="K373" s="64"/>
      <c r="L373" s="64"/>
      <c r="M373" s="64"/>
      <c r="N373" s="64"/>
      <c r="O373" s="64"/>
      <c r="P373" s="64"/>
      <c r="Q373" s="64"/>
      <c r="R373" s="65" t="str">
        <f>IF($A373="","",IFERROR(MINIFS(Candidates!$K$2:$K$2000,Candidates!$A$2:$A$2000,$A373),""))</f>
        <v/>
      </c>
      <c r="S373" s="65" t="str">
        <f>IF($A373="","",IFERROR(MAXIFS(Candidates!$AA$2:$AA$2000,Candidates!$A$2:$A$2000,$A373),""))</f>
        <v/>
      </c>
      <c r="T373" s="64" t="str">
        <f>IFERROR(__xludf.DUMMYFUNCTION("IF($A373="""","""",IFERROR(TEXTJOIN("", "",TRUE,UNIQUE(FILTER(Candidates!$B$2:$B$2000,Candidates!$A$2:$A$2000=$A373))),""""))"),"")</f>
        <v/>
      </c>
      <c r="U373" s="66" t="str">
        <f>IF($A373="","",COUNTIF(Candidates!$A$2:$A$2000,$A373))</f>
        <v/>
      </c>
      <c r="V373" s="64" t="str">
        <f>IFERROR(__xludf.DUMMYFUNCTION("IF($A373="""","""",IFERROR(INDEX(FILTER(Candidates!$S$2:$S$2000,Candidates!$A$2:$A$2000=$A373),COUNTIF(Candidates!$A$2:$A$2000,$A373)),""""))"),"")</f>
        <v/>
      </c>
      <c r="W373" s="64" t="str">
        <f>IFERROR(__xludf.DUMMYFUNCTION("IF($A373="""","""",IFERROR(INDEX(FILTER(Candidates!$T$2:$T$2000,Candidates!$A$2:$A$2000=$A373),COUNTIF(Candidates!$A$2:$A$2000,$A373)),""""))"),"")</f>
        <v/>
      </c>
      <c r="X373" s="64"/>
      <c r="Y373" s="64"/>
      <c r="Z373" s="65"/>
      <c r="AA373" s="65"/>
      <c r="AB373" s="65"/>
      <c r="AC373" s="65"/>
    </row>
    <row r="374">
      <c r="A374" s="64"/>
      <c r="B374" s="64"/>
      <c r="C374" s="64"/>
      <c r="D374" s="64"/>
      <c r="E374" s="64"/>
      <c r="F374" s="64"/>
      <c r="G374" s="64"/>
      <c r="H374" s="63"/>
      <c r="I374" s="64"/>
      <c r="J374" s="64"/>
      <c r="K374" s="64"/>
      <c r="L374" s="64"/>
      <c r="M374" s="64"/>
      <c r="N374" s="64"/>
      <c r="O374" s="64"/>
      <c r="P374" s="64"/>
      <c r="Q374" s="64"/>
      <c r="R374" s="65" t="str">
        <f>IF($A374="","",IFERROR(MINIFS(Candidates!$K$2:$K$2000,Candidates!$A$2:$A$2000,$A374),""))</f>
        <v/>
      </c>
      <c r="S374" s="65" t="str">
        <f>IF($A374="","",IFERROR(MAXIFS(Candidates!$AA$2:$AA$2000,Candidates!$A$2:$A$2000,$A374),""))</f>
        <v/>
      </c>
      <c r="T374" s="64" t="str">
        <f>IFERROR(__xludf.DUMMYFUNCTION("IF($A374="""","""",IFERROR(TEXTJOIN("", "",TRUE,UNIQUE(FILTER(Candidates!$B$2:$B$2000,Candidates!$A$2:$A$2000=$A374))),""""))"),"")</f>
        <v/>
      </c>
      <c r="U374" s="66" t="str">
        <f>IF($A374="","",COUNTIF(Candidates!$A$2:$A$2000,$A374))</f>
        <v/>
      </c>
      <c r="V374" s="64" t="str">
        <f>IFERROR(__xludf.DUMMYFUNCTION("IF($A374="""","""",IFERROR(INDEX(FILTER(Candidates!$S$2:$S$2000,Candidates!$A$2:$A$2000=$A374),COUNTIF(Candidates!$A$2:$A$2000,$A374)),""""))"),"")</f>
        <v/>
      </c>
      <c r="W374" s="64" t="str">
        <f>IFERROR(__xludf.DUMMYFUNCTION("IF($A374="""","""",IFERROR(INDEX(FILTER(Candidates!$T$2:$T$2000,Candidates!$A$2:$A$2000=$A374),COUNTIF(Candidates!$A$2:$A$2000,$A374)),""""))"),"")</f>
        <v/>
      </c>
      <c r="X374" s="64"/>
      <c r="Y374" s="64"/>
      <c r="Z374" s="65"/>
      <c r="AA374" s="65"/>
      <c r="AB374" s="65"/>
      <c r="AC374" s="65"/>
    </row>
    <row r="375">
      <c r="A375" s="64"/>
      <c r="B375" s="64"/>
      <c r="C375" s="64"/>
      <c r="D375" s="64"/>
      <c r="E375" s="64"/>
      <c r="F375" s="64"/>
      <c r="G375" s="64"/>
      <c r="H375" s="63"/>
      <c r="I375" s="64"/>
      <c r="J375" s="64"/>
      <c r="K375" s="64"/>
      <c r="L375" s="64"/>
      <c r="M375" s="64"/>
      <c r="N375" s="64"/>
      <c r="O375" s="64"/>
      <c r="P375" s="64"/>
      <c r="Q375" s="64"/>
      <c r="R375" s="65" t="str">
        <f>IF($A375="","",IFERROR(MINIFS(Candidates!$K$2:$K$2000,Candidates!$A$2:$A$2000,$A375),""))</f>
        <v/>
      </c>
      <c r="S375" s="65" t="str">
        <f>IF($A375="","",IFERROR(MAXIFS(Candidates!$AA$2:$AA$2000,Candidates!$A$2:$A$2000,$A375),""))</f>
        <v/>
      </c>
      <c r="T375" s="64" t="str">
        <f>IFERROR(__xludf.DUMMYFUNCTION("IF($A375="""","""",IFERROR(TEXTJOIN("", "",TRUE,UNIQUE(FILTER(Candidates!$B$2:$B$2000,Candidates!$A$2:$A$2000=$A375))),""""))"),"")</f>
        <v/>
      </c>
      <c r="U375" s="66" t="str">
        <f>IF($A375="","",COUNTIF(Candidates!$A$2:$A$2000,$A375))</f>
        <v/>
      </c>
      <c r="V375" s="64" t="str">
        <f>IFERROR(__xludf.DUMMYFUNCTION("IF($A375="""","""",IFERROR(INDEX(FILTER(Candidates!$S$2:$S$2000,Candidates!$A$2:$A$2000=$A375),COUNTIF(Candidates!$A$2:$A$2000,$A375)),""""))"),"")</f>
        <v/>
      </c>
      <c r="W375" s="64" t="str">
        <f>IFERROR(__xludf.DUMMYFUNCTION("IF($A375="""","""",IFERROR(INDEX(FILTER(Candidates!$T$2:$T$2000,Candidates!$A$2:$A$2000=$A375),COUNTIF(Candidates!$A$2:$A$2000,$A375)),""""))"),"")</f>
        <v/>
      </c>
      <c r="X375" s="64"/>
      <c r="Y375" s="64"/>
      <c r="Z375" s="65"/>
      <c r="AA375" s="65"/>
      <c r="AB375" s="65"/>
      <c r="AC375" s="65"/>
    </row>
    <row r="376">
      <c r="A376" s="64"/>
      <c r="B376" s="64"/>
      <c r="C376" s="64"/>
      <c r="D376" s="64"/>
      <c r="E376" s="64"/>
      <c r="F376" s="64"/>
      <c r="G376" s="64"/>
      <c r="H376" s="63"/>
      <c r="I376" s="64"/>
      <c r="J376" s="64"/>
      <c r="K376" s="64"/>
      <c r="L376" s="64"/>
      <c r="M376" s="64"/>
      <c r="N376" s="64"/>
      <c r="O376" s="64"/>
      <c r="P376" s="64"/>
      <c r="Q376" s="64"/>
      <c r="R376" s="65" t="str">
        <f>IF($A376="","",IFERROR(MINIFS(Candidates!$K$2:$K$2000,Candidates!$A$2:$A$2000,$A376),""))</f>
        <v/>
      </c>
      <c r="S376" s="65" t="str">
        <f>IF($A376="","",IFERROR(MAXIFS(Candidates!$AA$2:$AA$2000,Candidates!$A$2:$A$2000,$A376),""))</f>
        <v/>
      </c>
      <c r="T376" s="64" t="str">
        <f>IFERROR(__xludf.DUMMYFUNCTION("IF($A376="""","""",IFERROR(TEXTJOIN("", "",TRUE,UNIQUE(FILTER(Candidates!$B$2:$B$2000,Candidates!$A$2:$A$2000=$A376))),""""))"),"")</f>
        <v/>
      </c>
      <c r="U376" s="66" t="str">
        <f>IF($A376="","",COUNTIF(Candidates!$A$2:$A$2000,$A376))</f>
        <v/>
      </c>
      <c r="V376" s="64" t="str">
        <f>IFERROR(__xludf.DUMMYFUNCTION("IF($A376="""","""",IFERROR(INDEX(FILTER(Candidates!$S$2:$S$2000,Candidates!$A$2:$A$2000=$A376),COUNTIF(Candidates!$A$2:$A$2000,$A376)),""""))"),"")</f>
        <v/>
      </c>
      <c r="W376" s="64" t="str">
        <f>IFERROR(__xludf.DUMMYFUNCTION("IF($A376="""","""",IFERROR(INDEX(FILTER(Candidates!$T$2:$T$2000,Candidates!$A$2:$A$2000=$A376),COUNTIF(Candidates!$A$2:$A$2000,$A376)),""""))"),"")</f>
        <v/>
      </c>
      <c r="X376" s="64"/>
      <c r="Y376" s="64"/>
      <c r="Z376" s="65"/>
      <c r="AA376" s="65"/>
      <c r="AB376" s="65"/>
      <c r="AC376" s="65"/>
    </row>
    <row r="377">
      <c r="A377" s="64"/>
      <c r="B377" s="64"/>
      <c r="C377" s="64"/>
      <c r="D377" s="64"/>
      <c r="E377" s="64"/>
      <c r="F377" s="64"/>
      <c r="G377" s="64"/>
      <c r="H377" s="63"/>
      <c r="I377" s="64"/>
      <c r="J377" s="64"/>
      <c r="K377" s="64"/>
      <c r="L377" s="64"/>
      <c r="M377" s="64"/>
      <c r="N377" s="64"/>
      <c r="O377" s="64"/>
      <c r="P377" s="64"/>
      <c r="Q377" s="64"/>
      <c r="R377" s="65" t="str">
        <f>IF($A377="","",IFERROR(MINIFS(Candidates!$K$2:$K$2000,Candidates!$A$2:$A$2000,$A377),""))</f>
        <v/>
      </c>
      <c r="S377" s="65" t="str">
        <f>IF($A377="","",IFERROR(MAXIFS(Candidates!$AA$2:$AA$2000,Candidates!$A$2:$A$2000,$A377),""))</f>
        <v/>
      </c>
      <c r="T377" s="64" t="str">
        <f>IFERROR(__xludf.DUMMYFUNCTION("IF($A377="""","""",IFERROR(TEXTJOIN("", "",TRUE,UNIQUE(FILTER(Candidates!$B$2:$B$2000,Candidates!$A$2:$A$2000=$A377))),""""))"),"")</f>
        <v/>
      </c>
      <c r="U377" s="66" t="str">
        <f>IF($A377="","",COUNTIF(Candidates!$A$2:$A$2000,$A377))</f>
        <v/>
      </c>
      <c r="V377" s="64" t="str">
        <f>IFERROR(__xludf.DUMMYFUNCTION("IF($A377="""","""",IFERROR(INDEX(FILTER(Candidates!$S$2:$S$2000,Candidates!$A$2:$A$2000=$A377),COUNTIF(Candidates!$A$2:$A$2000,$A377)),""""))"),"")</f>
        <v/>
      </c>
      <c r="W377" s="64" t="str">
        <f>IFERROR(__xludf.DUMMYFUNCTION("IF($A377="""","""",IFERROR(INDEX(FILTER(Candidates!$T$2:$T$2000,Candidates!$A$2:$A$2000=$A377),COUNTIF(Candidates!$A$2:$A$2000,$A377)),""""))"),"")</f>
        <v/>
      </c>
      <c r="X377" s="64"/>
      <c r="Y377" s="64"/>
      <c r="Z377" s="65"/>
      <c r="AA377" s="65"/>
      <c r="AB377" s="65"/>
      <c r="AC377" s="65"/>
    </row>
    <row r="378">
      <c r="A378" s="64"/>
      <c r="B378" s="64"/>
      <c r="C378" s="64"/>
      <c r="D378" s="64"/>
      <c r="E378" s="64"/>
      <c r="F378" s="64"/>
      <c r="G378" s="64"/>
      <c r="H378" s="63"/>
      <c r="I378" s="64"/>
      <c r="J378" s="64"/>
      <c r="K378" s="64"/>
      <c r="L378" s="64"/>
      <c r="M378" s="64"/>
      <c r="N378" s="64"/>
      <c r="O378" s="64"/>
      <c r="P378" s="64"/>
      <c r="Q378" s="64"/>
      <c r="R378" s="65" t="str">
        <f>IF($A378="","",IFERROR(MINIFS(Candidates!$K$2:$K$2000,Candidates!$A$2:$A$2000,$A378),""))</f>
        <v/>
      </c>
      <c r="S378" s="65" t="str">
        <f>IF($A378="","",IFERROR(MAXIFS(Candidates!$AA$2:$AA$2000,Candidates!$A$2:$A$2000,$A378),""))</f>
        <v/>
      </c>
      <c r="T378" s="64" t="str">
        <f>IFERROR(__xludf.DUMMYFUNCTION("IF($A378="""","""",IFERROR(TEXTJOIN("", "",TRUE,UNIQUE(FILTER(Candidates!$B$2:$B$2000,Candidates!$A$2:$A$2000=$A378))),""""))"),"")</f>
        <v/>
      </c>
      <c r="U378" s="66" t="str">
        <f>IF($A378="","",COUNTIF(Candidates!$A$2:$A$2000,$A378))</f>
        <v/>
      </c>
      <c r="V378" s="64" t="str">
        <f>IFERROR(__xludf.DUMMYFUNCTION("IF($A378="""","""",IFERROR(INDEX(FILTER(Candidates!$S$2:$S$2000,Candidates!$A$2:$A$2000=$A378),COUNTIF(Candidates!$A$2:$A$2000,$A378)),""""))"),"")</f>
        <v/>
      </c>
      <c r="W378" s="64" t="str">
        <f>IFERROR(__xludf.DUMMYFUNCTION("IF($A378="""","""",IFERROR(INDEX(FILTER(Candidates!$T$2:$T$2000,Candidates!$A$2:$A$2000=$A378),COUNTIF(Candidates!$A$2:$A$2000,$A378)),""""))"),"")</f>
        <v/>
      </c>
      <c r="X378" s="64"/>
      <c r="Y378" s="64"/>
      <c r="Z378" s="65"/>
      <c r="AA378" s="65"/>
      <c r="AB378" s="65"/>
      <c r="AC378" s="65"/>
    </row>
    <row r="379">
      <c r="A379" s="64"/>
      <c r="B379" s="64"/>
      <c r="C379" s="64"/>
      <c r="D379" s="64"/>
      <c r="E379" s="64"/>
      <c r="F379" s="64"/>
      <c r="G379" s="64"/>
      <c r="H379" s="63"/>
      <c r="I379" s="64"/>
      <c r="J379" s="64"/>
      <c r="K379" s="64"/>
      <c r="L379" s="64"/>
      <c r="M379" s="64"/>
      <c r="N379" s="64"/>
      <c r="O379" s="64"/>
      <c r="P379" s="64"/>
      <c r="Q379" s="64"/>
      <c r="R379" s="65" t="str">
        <f>IF($A379="","",IFERROR(MINIFS(Candidates!$K$2:$K$2000,Candidates!$A$2:$A$2000,$A379),""))</f>
        <v/>
      </c>
      <c r="S379" s="65" t="str">
        <f>IF($A379="","",IFERROR(MAXIFS(Candidates!$AA$2:$AA$2000,Candidates!$A$2:$A$2000,$A379),""))</f>
        <v/>
      </c>
      <c r="T379" s="64" t="str">
        <f>IFERROR(__xludf.DUMMYFUNCTION("IF($A379="""","""",IFERROR(TEXTJOIN("", "",TRUE,UNIQUE(FILTER(Candidates!$B$2:$B$2000,Candidates!$A$2:$A$2000=$A379))),""""))"),"")</f>
        <v/>
      </c>
      <c r="U379" s="66" t="str">
        <f>IF($A379="","",COUNTIF(Candidates!$A$2:$A$2000,$A379))</f>
        <v/>
      </c>
      <c r="V379" s="64" t="str">
        <f>IFERROR(__xludf.DUMMYFUNCTION("IF($A379="""","""",IFERROR(INDEX(FILTER(Candidates!$S$2:$S$2000,Candidates!$A$2:$A$2000=$A379),COUNTIF(Candidates!$A$2:$A$2000,$A379)),""""))"),"")</f>
        <v/>
      </c>
      <c r="W379" s="64" t="str">
        <f>IFERROR(__xludf.DUMMYFUNCTION("IF($A379="""","""",IFERROR(INDEX(FILTER(Candidates!$T$2:$T$2000,Candidates!$A$2:$A$2000=$A379),COUNTIF(Candidates!$A$2:$A$2000,$A379)),""""))"),"")</f>
        <v/>
      </c>
      <c r="X379" s="64"/>
      <c r="Y379" s="64"/>
      <c r="Z379" s="65"/>
      <c r="AA379" s="65"/>
      <c r="AB379" s="65"/>
      <c r="AC379" s="65"/>
    </row>
    <row r="380">
      <c r="A380" s="64"/>
      <c r="B380" s="64"/>
      <c r="C380" s="64"/>
      <c r="D380" s="64"/>
      <c r="E380" s="64"/>
      <c r="F380" s="64"/>
      <c r="G380" s="64"/>
      <c r="H380" s="63"/>
      <c r="I380" s="64"/>
      <c r="J380" s="64"/>
      <c r="K380" s="64"/>
      <c r="L380" s="64"/>
      <c r="M380" s="64"/>
      <c r="N380" s="64"/>
      <c r="O380" s="64"/>
      <c r="P380" s="64"/>
      <c r="Q380" s="64"/>
      <c r="R380" s="65" t="str">
        <f>IF($A380="","",IFERROR(MINIFS(Candidates!$K$2:$K$2000,Candidates!$A$2:$A$2000,$A380),""))</f>
        <v/>
      </c>
      <c r="S380" s="65" t="str">
        <f>IF($A380="","",IFERROR(MAXIFS(Candidates!$AA$2:$AA$2000,Candidates!$A$2:$A$2000,$A380),""))</f>
        <v/>
      </c>
      <c r="T380" s="64" t="str">
        <f>IFERROR(__xludf.DUMMYFUNCTION("IF($A380="""","""",IFERROR(TEXTJOIN("", "",TRUE,UNIQUE(FILTER(Candidates!$B$2:$B$2000,Candidates!$A$2:$A$2000=$A380))),""""))"),"")</f>
        <v/>
      </c>
      <c r="U380" s="66" t="str">
        <f>IF($A380="","",COUNTIF(Candidates!$A$2:$A$2000,$A380))</f>
        <v/>
      </c>
      <c r="V380" s="64" t="str">
        <f>IFERROR(__xludf.DUMMYFUNCTION("IF($A380="""","""",IFERROR(INDEX(FILTER(Candidates!$S$2:$S$2000,Candidates!$A$2:$A$2000=$A380),COUNTIF(Candidates!$A$2:$A$2000,$A380)),""""))"),"")</f>
        <v/>
      </c>
      <c r="W380" s="64" t="str">
        <f>IFERROR(__xludf.DUMMYFUNCTION("IF($A380="""","""",IFERROR(INDEX(FILTER(Candidates!$T$2:$T$2000,Candidates!$A$2:$A$2000=$A380),COUNTIF(Candidates!$A$2:$A$2000,$A380)),""""))"),"")</f>
        <v/>
      </c>
      <c r="X380" s="64"/>
      <c r="Y380" s="64"/>
      <c r="Z380" s="65"/>
      <c r="AA380" s="65"/>
      <c r="AB380" s="65"/>
      <c r="AC380" s="65"/>
    </row>
    <row r="381">
      <c r="A381" s="64"/>
      <c r="B381" s="64"/>
      <c r="C381" s="64"/>
      <c r="D381" s="64"/>
      <c r="E381" s="64"/>
      <c r="F381" s="64"/>
      <c r="G381" s="64"/>
      <c r="H381" s="63"/>
      <c r="I381" s="64"/>
      <c r="J381" s="64"/>
      <c r="K381" s="64"/>
      <c r="L381" s="64"/>
      <c r="M381" s="64"/>
      <c r="N381" s="64"/>
      <c r="O381" s="64"/>
      <c r="P381" s="64"/>
      <c r="Q381" s="64"/>
      <c r="R381" s="65" t="str">
        <f>IF($A381="","",IFERROR(MINIFS(Candidates!$K$2:$K$2000,Candidates!$A$2:$A$2000,$A381),""))</f>
        <v/>
      </c>
      <c r="S381" s="65" t="str">
        <f>IF($A381="","",IFERROR(MAXIFS(Candidates!$AA$2:$AA$2000,Candidates!$A$2:$A$2000,$A381),""))</f>
        <v/>
      </c>
      <c r="T381" s="64" t="str">
        <f>IFERROR(__xludf.DUMMYFUNCTION("IF($A381="""","""",IFERROR(TEXTJOIN("", "",TRUE,UNIQUE(FILTER(Candidates!$B$2:$B$2000,Candidates!$A$2:$A$2000=$A381))),""""))"),"")</f>
        <v/>
      </c>
      <c r="U381" s="66" t="str">
        <f>IF($A381="","",COUNTIF(Candidates!$A$2:$A$2000,$A381))</f>
        <v/>
      </c>
      <c r="V381" s="64" t="str">
        <f>IFERROR(__xludf.DUMMYFUNCTION("IF($A381="""","""",IFERROR(INDEX(FILTER(Candidates!$S$2:$S$2000,Candidates!$A$2:$A$2000=$A381),COUNTIF(Candidates!$A$2:$A$2000,$A381)),""""))"),"")</f>
        <v/>
      </c>
      <c r="W381" s="64" t="str">
        <f>IFERROR(__xludf.DUMMYFUNCTION("IF($A381="""","""",IFERROR(INDEX(FILTER(Candidates!$T$2:$T$2000,Candidates!$A$2:$A$2000=$A381),COUNTIF(Candidates!$A$2:$A$2000,$A381)),""""))"),"")</f>
        <v/>
      </c>
      <c r="X381" s="64"/>
      <c r="Y381" s="64"/>
      <c r="Z381" s="65"/>
      <c r="AA381" s="65"/>
      <c r="AB381" s="65"/>
      <c r="AC381" s="65"/>
    </row>
    <row r="382">
      <c r="A382" s="64"/>
      <c r="B382" s="64"/>
      <c r="C382" s="64"/>
      <c r="D382" s="64"/>
      <c r="E382" s="64"/>
      <c r="F382" s="64"/>
      <c r="G382" s="64"/>
      <c r="H382" s="63"/>
      <c r="I382" s="64"/>
      <c r="J382" s="64"/>
      <c r="K382" s="64"/>
      <c r="L382" s="64"/>
      <c r="M382" s="64"/>
      <c r="N382" s="64"/>
      <c r="O382" s="64"/>
      <c r="P382" s="64"/>
      <c r="Q382" s="64"/>
      <c r="R382" s="65" t="str">
        <f>IF($A382="","",IFERROR(MINIFS(Candidates!$K$2:$K$2000,Candidates!$A$2:$A$2000,$A382),""))</f>
        <v/>
      </c>
      <c r="S382" s="65" t="str">
        <f>IF($A382="","",IFERROR(MAXIFS(Candidates!$AA$2:$AA$2000,Candidates!$A$2:$A$2000,$A382),""))</f>
        <v/>
      </c>
      <c r="T382" s="64" t="str">
        <f>IFERROR(__xludf.DUMMYFUNCTION("IF($A382="""","""",IFERROR(TEXTJOIN("", "",TRUE,UNIQUE(FILTER(Candidates!$B$2:$B$2000,Candidates!$A$2:$A$2000=$A382))),""""))"),"")</f>
        <v/>
      </c>
      <c r="U382" s="66" t="str">
        <f>IF($A382="","",COUNTIF(Candidates!$A$2:$A$2000,$A382))</f>
        <v/>
      </c>
      <c r="V382" s="64" t="str">
        <f>IFERROR(__xludf.DUMMYFUNCTION("IF($A382="""","""",IFERROR(INDEX(FILTER(Candidates!$S$2:$S$2000,Candidates!$A$2:$A$2000=$A382),COUNTIF(Candidates!$A$2:$A$2000,$A382)),""""))"),"")</f>
        <v/>
      </c>
      <c r="W382" s="64" t="str">
        <f>IFERROR(__xludf.DUMMYFUNCTION("IF($A382="""","""",IFERROR(INDEX(FILTER(Candidates!$T$2:$T$2000,Candidates!$A$2:$A$2000=$A382),COUNTIF(Candidates!$A$2:$A$2000,$A382)),""""))"),"")</f>
        <v/>
      </c>
      <c r="X382" s="64"/>
      <c r="Y382" s="64"/>
      <c r="Z382" s="65"/>
      <c r="AA382" s="65"/>
      <c r="AB382" s="65"/>
      <c r="AC382" s="65"/>
    </row>
    <row r="383">
      <c r="A383" s="64"/>
      <c r="B383" s="64"/>
      <c r="C383" s="64"/>
      <c r="D383" s="64"/>
      <c r="E383" s="64"/>
      <c r="F383" s="64"/>
      <c r="G383" s="64"/>
      <c r="H383" s="63"/>
      <c r="I383" s="64"/>
      <c r="J383" s="64"/>
      <c r="K383" s="64"/>
      <c r="L383" s="64"/>
      <c r="M383" s="64"/>
      <c r="N383" s="64"/>
      <c r="O383" s="64"/>
      <c r="P383" s="64"/>
      <c r="Q383" s="64"/>
      <c r="R383" s="65" t="str">
        <f>IF($A383="","",IFERROR(MINIFS(Candidates!$K$2:$K$2000,Candidates!$A$2:$A$2000,$A383),""))</f>
        <v/>
      </c>
      <c r="S383" s="65" t="str">
        <f>IF($A383="","",IFERROR(MAXIFS(Candidates!$AA$2:$AA$2000,Candidates!$A$2:$A$2000,$A383),""))</f>
        <v/>
      </c>
      <c r="T383" s="64" t="str">
        <f>IFERROR(__xludf.DUMMYFUNCTION("IF($A383="""","""",IFERROR(TEXTJOIN("", "",TRUE,UNIQUE(FILTER(Candidates!$B$2:$B$2000,Candidates!$A$2:$A$2000=$A383))),""""))"),"")</f>
        <v/>
      </c>
      <c r="U383" s="66" t="str">
        <f>IF($A383="","",COUNTIF(Candidates!$A$2:$A$2000,$A383))</f>
        <v/>
      </c>
      <c r="V383" s="64" t="str">
        <f>IFERROR(__xludf.DUMMYFUNCTION("IF($A383="""","""",IFERROR(INDEX(FILTER(Candidates!$S$2:$S$2000,Candidates!$A$2:$A$2000=$A383),COUNTIF(Candidates!$A$2:$A$2000,$A383)),""""))"),"")</f>
        <v/>
      </c>
      <c r="W383" s="64" t="str">
        <f>IFERROR(__xludf.DUMMYFUNCTION("IF($A383="""","""",IFERROR(INDEX(FILTER(Candidates!$T$2:$T$2000,Candidates!$A$2:$A$2000=$A383),COUNTIF(Candidates!$A$2:$A$2000,$A383)),""""))"),"")</f>
        <v/>
      </c>
      <c r="X383" s="64"/>
      <c r="Y383" s="64"/>
      <c r="Z383" s="65"/>
      <c r="AA383" s="65"/>
      <c r="AB383" s="65"/>
      <c r="AC383" s="65"/>
    </row>
    <row r="384">
      <c r="A384" s="64"/>
      <c r="B384" s="64"/>
      <c r="C384" s="64"/>
      <c r="D384" s="64"/>
      <c r="E384" s="64"/>
      <c r="F384" s="64"/>
      <c r="G384" s="64"/>
      <c r="H384" s="63"/>
      <c r="I384" s="64"/>
      <c r="J384" s="64"/>
      <c r="K384" s="64"/>
      <c r="L384" s="64"/>
      <c r="M384" s="64"/>
      <c r="N384" s="64"/>
      <c r="O384" s="64"/>
      <c r="P384" s="64"/>
      <c r="Q384" s="64"/>
      <c r="R384" s="65" t="str">
        <f>IF($A384="","",IFERROR(MINIFS(Candidates!$K$2:$K$2000,Candidates!$A$2:$A$2000,$A384),""))</f>
        <v/>
      </c>
      <c r="S384" s="65" t="str">
        <f>IF($A384="","",IFERROR(MAXIFS(Candidates!$AA$2:$AA$2000,Candidates!$A$2:$A$2000,$A384),""))</f>
        <v/>
      </c>
      <c r="T384" s="64" t="str">
        <f>IFERROR(__xludf.DUMMYFUNCTION("IF($A384="""","""",IFERROR(TEXTJOIN("", "",TRUE,UNIQUE(FILTER(Candidates!$B$2:$B$2000,Candidates!$A$2:$A$2000=$A384))),""""))"),"")</f>
        <v/>
      </c>
      <c r="U384" s="66" t="str">
        <f>IF($A384="","",COUNTIF(Candidates!$A$2:$A$2000,$A384))</f>
        <v/>
      </c>
      <c r="V384" s="64" t="str">
        <f>IFERROR(__xludf.DUMMYFUNCTION("IF($A384="""","""",IFERROR(INDEX(FILTER(Candidates!$S$2:$S$2000,Candidates!$A$2:$A$2000=$A384),COUNTIF(Candidates!$A$2:$A$2000,$A384)),""""))"),"")</f>
        <v/>
      </c>
      <c r="W384" s="64" t="str">
        <f>IFERROR(__xludf.DUMMYFUNCTION("IF($A384="""","""",IFERROR(INDEX(FILTER(Candidates!$T$2:$T$2000,Candidates!$A$2:$A$2000=$A384),COUNTIF(Candidates!$A$2:$A$2000,$A384)),""""))"),"")</f>
        <v/>
      </c>
      <c r="X384" s="64"/>
      <c r="Y384" s="64"/>
      <c r="Z384" s="65"/>
      <c r="AA384" s="65"/>
      <c r="AB384" s="65"/>
      <c r="AC384" s="65"/>
    </row>
    <row r="385">
      <c r="A385" s="64"/>
      <c r="B385" s="64"/>
      <c r="C385" s="64"/>
      <c r="D385" s="64"/>
      <c r="E385" s="64"/>
      <c r="F385" s="64"/>
      <c r="G385" s="64"/>
      <c r="H385" s="63"/>
      <c r="I385" s="64"/>
      <c r="J385" s="64"/>
      <c r="K385" s="64"/>
      <c r="L385" s="64"/>
      <c r="M385" s="64"/>
      <c r="N385" s="64"/>
      <c r="O385" s="64"/>
      <c r="P385" s="64"/>
      <c r="Q385" s="64"/>
      <c r="R385" s="65" t="str">
        <f>IF($A385="","",IFERROR(MINIFS(Candidates!$K$2:$K$2000,Candidates!$A$2:$A$2000,$A385),""))</f>
        <v/>
      </c>
      <c r="S385" s="65" t="str">
        <f>IF($A385="","",IFERROR(MAXIFS(Candidates!$AA$2:$AA$2000,Candidates!$A$2:$A$2000,$A385),""))</f>
        <v/>
      </c>
      <c r="T385" s="64" t="str">
        <f>IFERROR(__xludf.DUMMYFUNCTION("IF($A385="""","""",IFERROR(TEXTJOIN("", "",TRUE,UNIQUE(FILTER(Candidates!$B$2:$B$2000,Candidates!$A$2:$A$2000=$A385))),""""))"),"")</f>
        <v/>
      </c>
      <c r="U385" s="66" t="str">
        <f>IF($A385="","",COUNTIF(Candidates!$A$2:$A$2000,$A385))</f>
        <v/>
      </c>
      <c r="V385" s="64" t="str">
        <f>IFERROR(__xludf.DUMMYFUNCTION("IF($A385="""","""",IFERROR(INDEX(FILTER(Candidates!$S$2:$S$2000,Candidates!$A$2:$A$2000=$A385),COUNTIF(Candidates!$A$2:$A$2000,$A385)),""""))"),"")</f>
        <v/>
      </c>
      <c r="W385" s="64" t="str">
        <f>IFERROR(__xludf.DUMMYFUNCTION("IF($A385="""","""",IFERROR(INDEX(FILTER(Candidates!$T$2:$T$2000,Candidates!$A$2:$A$2000=$A385),COUNTIF(Candidates!$A$2:$A$2000,$A385)),""""))"),"")</f>
        <v/>
      </c>
      <c r="X385" s="64"/>
      <c r="Y385" s="64"/>
      <c r="Z385" s="65"/>
      <c r="AA385" s="65"/>
      <c r="AB385" s="65"/>
      <c r="AC385" s="65"/>
    </row>
    <row r="386">
      <c r="A386" s="64"/>
      <c r="B386" s="64"/>
      <c r="C386" s="64"/>
      <c r="D386" s="64"/>
      <c r="E386" s="64"/>
      <c r="F386" s="64"/>
      <c r="G386" s="64"/>
      <c r="H386" s="63"/>
      <c r="I386" s="64"/>
      <c r="J386" s="64"/>
      <c r="K386" s="64"/>
      <c r="L386" s="64"/>
      <c r="M386" s="64"/>
      <c r="N386" s="64"/>
      <c r="O386" s="64"/>
      <c r="P386" s="64"/>
      <c r="Q386" s="64"/>
      <c r="R386" s="65" t="str">
        <f>IF($A386="","",IFERROR(MINIFS(Candidates!$K$2:$K$2000,Candidates!$A$2:$A$2000,$A386),""))</f>
        <v/>
      </c>
      <c r="S386" s="65" t="str">
        <f>IF($A386="","",IFERROR(MAXIFS(Candidates!$AA$2:$AA$2000,Candidates!$A$2:$A$2000,$A386),""))</f>
        <v/>
      </c>
      <c r="T386" s="64" t="str">
        <f>IFERROR(__xludf.DUMMYFUNCTION("IF($A386="""","""",IFERROR(TEXTJOIN("", "",TRUE,UNIQUE(FILTER(Candidates!$B$2:$B$2000,Candidates!$A$2:$A$2000=$A386))),""""))"),"")</f>
        <v/>
      </c>
      <c r="U386" s="66" t="str">
        <f>IF($A386="","",COUNTIF(Candidates!$A$2:$A$2000,$A386))</f>
        <v/>
      </c>
      <c r="V386" s="64" t="str">
        <f>IFERROR(__xludf.DUMMYFUNCTION("IF($A386="""","""",IFERROR(INDEX(FILTER(Candidates!$S$2:$S$2000,Candidates!$A$2:$A$2000=$A386),COUNTIF(Candidates!$A$2:$A$2000,$A386)),""""))"),"")</f>
        <v/>
      </c>
      <c r="W386" s="64" t="str">
        <f>IFERROR(__xludf.DUMMYFUNCTION("IF($A386="""","""",IFERROR(INDEX(FILTER(Candidates!$T$2:$T$2000,Candidates!$A$2:$A$2000=$A386),COUNTIF(Candidates!$A$2:$A$2000,$A386)),""""))"),"")</f>
        <v/>
      </c>
      <c r="X386" s="64"/>
      <c r="Y386" s="64"/>
      <c r="Z386" s="65"/>
      <c r="AA386" s="65"/>
      <c r="AB386" s="65"/>
      <c r="AC386" s="65"/>
    </row>
    <row r="387">
      <c r="A387" s="64"/>
      <c r="B387" s="64"/>
      <c r="C387" s="64"/>
      <c r="D387" s="64"/>
      <c r="E387" s="64"/>
      <c r="F387" s="64"/>
      <c r="G387" s="64"/>
      <c r="H387" s="63"/>
      <c r="I387" s="64"/>
      <c r="J387" s="64"/>
      <c r="K387" s="64"/>
      <c r="L387" s="64"/>
      <c r="M387" s="64"/>
      <c r="N387" s="64"/>
      <c r="O387" s="64"/>
      <c r="P387" s="64"/>
      <c r="Q387" s="64"/>
      <c r="R387" s="65" t="str">
        <f>IF($A387="","",IFERROR(MINIFS(Candidates!$K$2:$K$2000,Candidates!$A$2:$A$2000,$A387),""))</f>
        <v/>
      </c>
      <c r="S387" s="65" t="str">
        <f>IF($A387="","",IFERROR(MAXIFS(Candidates!$AA$2:$AA$2000,Candidates!$A$2:$A$2000,$A387),""))</f>
        <v/>
      </c>
      <c r="T387" s="64" t="str">
        <f>IFERROR(__xludf.DUMMYFUNCTION("IF($A387="""","""",IFERROR(TEXTJOIN("", "",TRUE,UNIQUE(FILTER(Candidates!$B$2:$B$2000,Candidates!$A$2:$A$2000=$A387))),""""))"),"")</f>
        <v/>
      </c>
      <c r="U387" s="66" t="str">
        <f>IF($A387="","",COUNTIF(Candidates!$A$2:$A$2000,$A387))</f>
        <v/>
      </c>
      <c r="V387" s="64" t="str">
        <f>IFERROR(__xludf.DUMMYFUNCTION("IF($A387="""","""",IFERROR(INDEX(FILTER(Candidates!$S$2:$S$2000,Candidates!$A$2:$A$2000=$A387),COUNTIF(Candidates!$A$2:$A$2000,$A387)),""""))"),"")</f>
        <v/>
      </c>
      <c r="W387" s="64" t="str">
        <f>IFERROR(__xludf.DUMMYFUNCTION("IF($A387="""","""",IFERROR(INDEX(FILTER(Candidates!$T$2:$T$2000,Candidates!$A$2:$A$2000=$A387),COUNTIF(Candidates!$A$2:$A$2000,$A387)),""""))"),"")</f>
        <v/>
      </c>
      <c r="X387" s="64"/>
      <c r="Y387" s="64"/>
      <c r="Z387" s="65"/>
      <c r="AA387" s="65"/>
      <c r="AB387" s="65"/>
      <c r="AC387" s="65"/>
    </row>
    <row r="388">
      <c r="A388" s="64"/>
      <c r="B388" s="64"/>
      <c r="C388" s="64"/>
      <c r="D388" s="64"/>
      <c r="E388" s="64"/>
      <c r="F388" s="64"/>
      <c r="G388" s="64"/>
      <c r="H388" s="63"/>
      <c r="I388" s="64"/>
      <c r="J388" s="64"/>
      <c r="K388" s="64"/>
      <c r="L388" s="64"/>
      <c r="M388" s="64"/>
      <c r="N388" s="64"/>
      <c r="O388" s="64"/>
      <c r="P388" s="64"/>
      <c r="Q388" s="64"/>
      <c r="R388" s="65" t="str">
        <f>IF($A388="","",IFERROR(MINIFS(Candidates!$K$2:$K$2000,Candidates!$A$2:$A$2000,$A388),""))</f>
        <v/>
      </c>
      <c r="S388" s="65" t="str">
        <f>IF($A388="","",IFERROR(MAXIFS(Candidates!$AA$2:$AA$2000,Candidates!$A$2:$A$2000,$A388),""))</f>
        <v/>
      </c>
      <c r="T388" s="64" t="str">
        <f>IFERROR(__xludf.DUMMYFUNCTION("IF($A388="""","""",IFERROR(TEXTJOIN("", "",TRUE,UNIQUE(FILTER(Candidates!$B$2:$B$2000,Candidates!$A$2:$A$2000=$A388))),""""))"),"")</f>
        <v/>
      </c>
      <c r="U388" s="66" t="str">
        <f>IF($A388="","",COUNTIF(Candidates!$A$2:$A$2000,$A388))</f>
        <v/>
      </c>
      <c r="V388" s="64" t="str">
        <f>IFERROR(__xludf.DUMMYFUNCTION("IF($A388="""","""",IFERROR(INDEX(FILTER(Candidates!$S$2:$S$2000,Candidates!$A$2:$A$2000=$A388),COUNTIF(Candidates!$A$2:$A$2000,$A388)),""""))"),"")</f>
        <v/>
      </c>
      <c r="W388" s="64" t="str">
        <f>IFERROR(__xludf.DUMMYFUNCTION("IF($A388="""","""",IFERROR(INDEX(FILTER(Candidates!$T$2:$T$2000,Candidates!$A$2:$A$2000=$A388),COUNTIF(Candidates!$A$2:$A$2000,$A388)),""""))"),"")</f>
        <v/>
      </c>
      <c r="X388" s="64"/>
      <c r="Y388" s="64"/>
      <c r="Z388" s="65"/>
      <c r="AA388" s="65"/>
      <c r="AB388" s="65"/>
      <c r="AC388" s="65"/>
    </row>
    <row r="389">
      <c r="A389" s="64"/>
      <c r="B389" s="64"/>
      <c r="C389" s="64"/>
      <c r="D389" s="64"/>
      <c r="E389" s="64"/>
      <c r="F389" s="64"/>
      <c r="G389" s="64"/>
      <c r="H389" s="63"/>
      <c r="I389" s="64"/>
      <c r="J389" s="64"/>
      <c r="K389" s="64"/>
      <c r="L389" s="64"/>
      <c r="M389" s="64"/>
      <c r="N389" s="64"/>
      <c r="O389" s="64"/>
      <c r="P389" s="64"/>
      <c r="Q389" s="64"/>
      <c r="R389" s="65" t="str">
        <f>IF($A389="","",IFERROR(MINIFS(Candidates!$K$2:$K$2000,Candidates!$A$2:$A$2000,$A389),""))</f>
        <v/>
      </c>
      <c r="S389" s="65" t="str">
        <f>IF($A389="","",IFERROR(MAXIFS(Candidates!$AA$2:$AA$2000,Candidates!$A$2:$A$2000,$A389),""))</f>
        <v/>
      </c>
      <c r="T389" s="64" t="str">
        <f>IFERROR(__xludf.DUMMYFUNCTION("IF($A389="""","""",IFERROR(TEXTJOIN("", "",TRUE,UNIQUE(FILTER(Candidates!$B$2:$B$2000,Candidates!$A$2:$A$2000=$A389))),""""))"),"")</f>
        <v/>
      </c>
      <c r="U389" s="66" t="str">
        <f>IF($A389="","",COUNTIF(Candidates!$A$2:$A$2000,$A389))</f>
        <v/>
      </c>
      <c r="V389" s="64" t="str">
        <f>IFERROR(__xludf.DUMMYFUNCTION("IF($A389="""","""",IFERROR(INDEX(FILTER(Candidates!$S$2:$S$2000,Candidates!$A$2:$A$2000=$A389),COUNTIF(Candidates!$A$2:$A$2000,$A389)),""""))"),"")</f>
        <v/>
      </c>
      <c r="W389" s="64" t="str">
        <f>IFERROR(__xludf.DUMMYFUNCTION("IF($A389="""","""",IFERROR(INDEX(FILTER(Candidates!$T$2:$T$2000,Candidates!$A$2:$A$2000=$A389),COUNTIF(Candidates!$A$2:$A$2000,$A389)),""""))"),"")</f>
        <v/>
      </c>
      <c r="X389" s="64"/>
      <c r="Y389" s="64"/>
      <c r="Z389" s="65"/>
      <c r="AA389" s="65"/>
      <c r="AB389" s="65"/>
      <c r="AC389" s="65"/>
    </row>
    <row r="390">
      <c r="A390" s="64"/>
      <c r="B390" s="64"/>
      <c r="C390" s="64"/>
      <c r="D390" s="64"/>
      <c r="E390" s="64"/>
      <c r="F390" s="64"/>
      <c r="G390" s="64"/>
      <c r="H390" s="63"/>
      <c r="I390" s="64"/>
      <c r="J390" s="64"/>
      <c r="K390" s="64"/>
      <c r="L390" s="64"/>
      <c r="M390" s="64"/>
      <c r="N390" s="64"/>
      <c r="O390" s="64"/>
      <c r="P390" s="64"/>
      <c r="Q390" s="64"/>
      <c r="R390" s="65" t="str">
        <f>IF($A390="","",IFERROR(MINIFS(Candidates!$K$2:$K$2000,Candidates!$A$2:$A$2000,$A390),""))</f>
        <v/>
      </c>
      <c r="S390" s="65" t="str">
        <f>IF($A390="","",IFERROR(MAXIFS(Candidates!$AA$2:$AA$2000,Candidates!$A$2:$A$2000,$A390),""))</f>
        <v/>
      </c>
      <c r="T390" s="64" t="str">
        <f>IFERROR(__xludf.DUMMYFUNCTION("IF($A390="""","""",IFERROR(TEXTJOIN("", "",TRUE,UNIQUE(FILTER(Candidates!$B$2:$B$2000,Candidates!$A$2:$A$2000=$A390))),""""))"),"")</f>
        <v/>
      </c>
      <c r="U390" s="66" t="str">
        <f>IF($A390="","",COUNTIF(Candidates!$A$2:$A$2000,$A390))</f>
        <v/>
      </c>
      <c r="V390" s="64" t="str">
        <f>IFERROR(__xludf.DUMMYFUNCTION("IF($A390="""","""",IFERROR(INDEX(FILTER(Candidates!$S$2:$S$2000,Candidates!$A$2:$A$2000=$A390),COUNTIF(Candidates!$A$2:$A$2000,$A390)),""""))"),"")</f>
        <v/>
      </c>
      <c r="W390" s="64" t="str">
        <f>IFERROR(__xludf.DUMMYFUNCTION("IF($A390="""","""",IFERROR(INDEX(FILTER(Candidates!$T$2:$T$2000,Candidates!$A$2:$A$2000=$A390),COUNTIF(Candidates!$A$2:$A$2000,$A390)),""""))"),"")</f>
        <v/>
      </c>
      <c r="X390" s="64"/>
      <c r="Y390" s="64"/>
      <c r="Z390" s="65"/>
      <c r="AA390" s="65"/>
      <c r="AB390" s="65"/>
      <c r="AC390" s="65"/>
    </row>
    <row r="391">
      <c r="A391" s="64"/>
      <c r="B391" s="64"/>
      <c r="C391" s="64"/>
      <c r="D391" s="64"/>
      <c r="E391" s="64"/>
      <c r="F391" s="64"/>
      <c r="G391" s="64"/>
      <c r="H391" s="63"/>
      <c r="I391" s="64"/>
      <c r="J391" s="64"/>
      <c r="K391" s="64"/>
      <c r="L391" s="64"/>
      <c r="M391" s="64"/>
      <c r="N391" s="64"/>
      <c r="O391" s="64"/>
      <c r="P391" s="64"/>
      <c r="Q391" s="64"/>
      <c r="R391" s="65" t="str">
        <f>IF($A391="","",IFERROR(MINIFS(Candidates!$K$2:$K$2000,Candidates!$A$2:$A$2000,$A391),""))</f>
        <v/>
      </c>
      <c r="S391" s="65" t="str">
        <f>IF($A391="","",IFERROR(MAXIFS(Candidates!$AA$2:$AA$2000,Candidates!$A$2:$A$2000,$A391),""))</f>
        <v/>
      </c>
      <c r="T391" s="64" t="str">
        <f>IFERROR(__xludf.DUMMYFUNCTION("IF($A391="""","""",IFERROR(TEXTJOIN("", "",TRUE,UNIQUE(FILTER(Candidates!$B$2:$B$2000,Candidates!$A$2:$A$2000=$A391))),""""))"),"")</f>
        <v/>
      </c>
      <c r="U391" s="66" t="str">
        <f>IF($A391="","",COUNTIF(Candidates!$A$2:$A$2000,$A391))</f>
        <v/>
      </c>
      <c r="V391" s="64" t="str">
        <f>IFERROR(__xludf.DUMMYFUNCTION("IF($A391="""","""",IFERROR(INDEX(FILTER(Candidates!$S$2:$S$2000,Candidates!$A$2:$A$2000=$A391),COUNTIF(Candidates!$A$2:$A$2000,$A391)),""""))"),"")</f>
        <v/>
      </c>
      <c r="W391" s="64" t="str">
        <f>IFERROR(__xludf.DUMMYFUNCTION("IF($A391="""","""",IFERROR(INDEX(FILTER(Candidates!$T$2:$T$2000,Candidates!$A$2:$A$2000=$A391),COUNTIF(Candidates!$A$2:$A$2000,$A391)),""""))"),"")</f>
        <v/>
      </c>
      <c r="X391" s="64"/>
      <c r="Y391" s="64"/>
      <c r="Z391" s="65"/>
      <c r="AA391" s="65"/>
      <c r="AB391" s="65"/>
      <c r="AC391" s="65"/>
    </row>
    <row r="392">
      <c r="A392" s="64"/>
      <c r="B392" s="64"/>
      <c r="C392" s="64"/>
      <c r="D392" s="64"/>
      <c r="E392" s="64"/>
      <c r="F392" s="64"/>
      <c r="G392" s="64"/>
      <c r="H392" s="63"/>
      <c r="I392" s="64"/>
      <c r="J392" s="64"/>
      <c r="K392" s="64"/>
      <c r="L392" s="64"/>
      <c r="M392" s="64"/>
      <c r="N392" s="64"/>
      <c r="O392" s="64"/>
      <c r="P392" s="64"/>
      <c r="Q392" s="64"/>
      <c r="R392" s="65" t="str">
        <f>IF($A392="","",IFERROR(MINIFS(Candidates!$K$2:$K$2000,Candidates!$A$2:$A$2000,$A392),""))</f>
        <v/>
      </c>
      <c r="S392" s="65" t="str">
        <f>IF($A392="","",IFERROR(MAXIFS(Candidates!$AA$2:$AA$2000,Candidates!$A$2:$A$2000,$A392),""))</f>
        <v/>
      </c>
      <c r="T392" s="64" t="str">
        <f>IFERROR(__xludf.DUMMYFUNCTION("IF($A392="""","""",IFERROR(TEXTJOIN("", "",TRUE,UNIQUE(FILTER(Candidates!$B$2:$B$2000,Candidates!$A$2:$A$2000=$A392))),""""))"),"")</f>
        <v/>
      </c>
      <c r="U392" s="66" t="str">
        <f>IF($A392="","",COUNTIF(Candidates!$A$2:$A$2000,$A392))</f>
        <v/>
      </c>
      <c r="V392" s="64" t="str">
        <f>IFERROR(__xludf.DUMMYFUNCTION("IF($A392="""","""",IFERROR(INDEX(FILTER(Candidates!$S$2:$S$2000,Candidates!$A$2:$A$2000=$A392),COUNTIF(Candidates!$A$2:$A$2000,$A392)),""""))"),"")</f>
        <v/>
      </c>
      <c r="W392" s="64" t="str">
        <f>IFERROR(__xludf.DUMMYFUNCTION("IF($A392="""","""",IFERROR(INDEX(FILTER(Candidates!$T$2:$T$2000,Candidates!$A$2:$A$2000=$A392),COUNTIF(Candidates!$A$2:$A$2000,$A392)),""""))"),"")</f>
        <v/>
      </c>
      <c r="X392" s="64"/>
      <c r="Y392" s="64"/>
      <c r="Z392" s="65"/>
      <c r="AA392" s="65"/>
      <c r="AB392" s="65"/>
      <c r="AC392" s="65"/>
    </row>
    <row r="393">
      <c r="A393" s="64"/>
      <c r="B393" s="64"/>
      <c r="C393" s="64"/>
      <c r="D393" s="64"/>
      <c r="E393" s="64"/>
      <c r="F393" s="64"/>
      <c r="G393" s="64"/>
      <c r="H393" s="63"/>
      <c r="I393" s="64"/>
      <c r="J393" s="64"/>
      <c r="K393" s="64"/>
      <c r="L393" s="64"/>
      <c r="M393" s="64"/>
      <c r="N393" s="64"/>
      <c r="O393" s="64"/>
      <c r="P393" s="64"/>
      <c r="Q393" s="64"/>
      <c r="R393" s="65" t="str">
        <f>IF($A393="","",IFERROR(MINIFS(Candidates!$K$2:$K$2000,Candidates!$A$2:$A$2000,$A393),""))</f>
        <v/>
      </c>
      <c r="S393" s="65" t="str">
        <f>IF($A393="","",IFERROR(MAXIFS(Candidates!$AA$2:$AA$2000,Candidates!$A$2:$A$2000,$A393),""))</f>
        <v/>
      </c>
      <c r="T393" s="64" t="str">
        <f>IFERROR(__xludf.DUMMYFUNCTION("IF($A393="""","""",IFERROR(TEXTJOIN("", "",TRUE,UNIQUE(FILTER(Candidates!$B$2:$B$2000,Candidates!$A$2:$A$2000=$A393))),""""))"),"")</f>
        <v/>
      </c>
      <c r="U393" s="66" t="str">
        <f>IF($A393="","",COUNTIF(Candidates!$A$2:$A$2000,$A393))</f>
        <v/>
      </c>
      <c r="V393" s="64" t="str">
        <f>IFERROR(__xludf.DUMMYFUNCTION("IF($A393="""","""",IFERROR(INDEX(FILTER(Candidates!$S$2:$S$2000,Candidates!$A$2:$A$2000=$A393),COUNTIF(Candidates!$A$2:$A$2000,$A393)),""""))"),"")</f>
        <v/>
      </c>
      <c r="W393" s="64" t="str">
        <f>IFERROR(__xludf.DUMMYFUNCTION("IF($A393="""","""",IFERROR(INDEX(FILTER(Candidates!$T$2:$T$2000,Candidates!$A$2:$A$2000=$A393),COUNTIF(Candidates!$A$2:$A$2000,$A393)),""""))"),"")</f>
        <v/>
      </c>
      <c r="X393" s="64"/>
      <c r="Y393" s="64"/>
      <c r="Z393" s="65"/>
      <c r="AA393" s="65"/>
      <c r="AB393" s="65"/>
      <c r="AC393" s="65"/>
    </row>
    <row r="394">
      <c r="A394" s="64"/>
      <c r="B394" s="64"/>
      <c r="C394" s="64"/>
      <c r="D394" s="64"/>
      <c r="E394" s="64"/>
      <c r="F394" s="64"/>
      <c r="G394" s="64"/>
      <c r="H394" s="63"/>
      <c r="I394" s="64"/>
      <c r="J394" s="64"/>
      <c r="K394" s="64"/>
      <c r="L394" s="64"/>
      <c r="M394" s="64"/>
      <c r="N394" s="64"/>
      <c r="O394" s="64"/>
      <c r="P394" s="64"/>
      <c r="Q394" s="64"/>
      <c r="R394" s="65" t="str">
        <f>IF($A394="","",IFERROR(MINIFS(Candidates!$K$2:$K$2000,Candidates!$A$2:$A$2000,$A394),""))</f>
        <v/>
      </c>
      <c r="S394" s="65" t="str">
        <f>IF($A394="","",IFERROR(MAXIFS(Candidates!$AA$2:$AA$2000,Candidates!$A$2:$A$2000,$A394),""))</f>
        <v/>
      </c>
      <c r="T394" s="64" t="str">
        <f>IFERROR(__xludf.DUMMYFUNCTION("IF($A394="""","""",IFERROR(TEXTJOIN("", "",TRUE,UNIQUE(FILTER(Candidates!$B$2:$B$2000,Candidates!$A$2:$A$2000=$A394))),""""))"),"")</f>
        <v/>
      </c>
      <c r="U394" s="66" t="str">
        <f>IF($A394="","",COUNTIF(Candidates!$A$2:$A$2000,$A394))</f>
        <v/>
      </c>
      <c r="V394" s="64" t="str">
        <f>IFERROR(__xludf.DUMMYFUNCTION("IF($A394="""","""",IFERROR(INDEX(FILTER(Candidates!$S$2:$S$2000,Candidates!$A$2:$A$2000=$A394),COUNTIF(Candidates!$A$2:$A$2000,$A394)),""""))"),"")</f>
        <v/>
      </c>
      <c r="W394" s="64" t="str">
        <f>IFERROR(__xludf.DUMMYFUNCTION("IF($A394="""","""",IFERROR(INDEX(FILTER(Candidates!$T$2:$T$2000,Candidates!$A$2:$A$2000=$A394),COUNTIF(Candidates!$A$2:$A$2000,$A394)),""""))"),"")</f>
        <v/>
      </c>
      <c r="X394" s="64"/>
      <c r="Y394" s="64"/>
      <c r="Z394" s="65"/>
      <c r="AA394" s="65"/>
      <c r="AB394" s="65"/>
      <c r="AC394" s="65"/>
    </row>
    <row r="395">
      <c r="A395" s="64"/>
      <c r="B395" s="64"/>
      <c r="C395" s="64"/>
      <c r="D395" s="64"/>
      <c r="E395" s="64"/>
      <c r="F395" s="64"/>
      <c r="G395" s="64"/>
      <c r="H395" s="63"/>
      <c r="I395" s="64"/>
      <c r="J395" s="64"/>
      <c r="K395" s="64"/>
      <c r="L395" s="64"/>
      <c r="M395" s="64"/>
      <c r="N395" s="64"/>
      <c r="O395" s="64"/>
      <c r="P395" s="64"/>
      <c r="Q395" s="64"/>
      <c r="R395" s="65" t="str">
        <f>IF($A395="","",IFERROR(MINIFS(Candidates!$K$2:$K$2000,Candidates!$A$2:$A$2000,$A395),""))</f>
        <v/>
      </c>
      <c r="S395" s="65" t="str">
        <f>IF($A395="","",IFERROR(MAXIFS(Candidates!$AA$2:$AA$2000,Candidates!$A$2:$A$2000,$A395),""))</f>
        <v/>
      </c>
      <c r="T395" s="64" t="str">
        <f>IFERROR(__xludf.DUMMYFUNCTION("IF($A395="""","""",IFERROR(TEXTJOIN("", "",TRUE,UNIQUE(FILTER(Candidates!$B$2:$B$2000,Candidates!$A$2:$A$2000=$A395))),""""))"),"")</f>
        <v/>
      </c>
      <c r="U395" s="66" t="str">
        <f>IF($A395="","",COUNTIF(Candidates!$A$2:$A$2000,$A395))</f>
        <v/>
      </c>
      <c r="V395" s="64" t="str">
        <f>IFERROR(__xludf.DUMMYFUNCTION("IF($A395="""","""",IFERROR(INDEX(FILTER(Candidates!$S$2:$S$2000,Candidates!$A$2:$A$2000=$A395),COUNTIF(Candidates!$A$2:$A$2000,$A395)),""""))"),"")</f>
        <v/>
      </c>
      <c r="W395" s="64" t="str">
        <f>IFERROR(__xludf.DUMMYFUNCTION("IF($A395="""","""",IFERROR(INDEX(FILTER(Candidates!$T$2:$T$2000,Candidates!$A$2:$A$2000=$A395),COUNTIF(Candidates!$A$2:$A$2000,$A395)),""""))"),"")</f>
        <v/>
      </c>
      <c r="X395" s="64"/>
      <c r="Y395" s="64"/>
      <c r="Z395" s="65"/>
      <c r="AA395" s="65"/>
      <c r="AB395" s="65"/>
      <c r="AC395" s="65"/>
    </row>
    <row r="396">
      <c r="A396" s="64"/>
      <c r="B396" s="64"/>
      <c r="C396" s="64"/>
      <c r="D396" s="64"/>
      <c r="E396" s="64"/>
      <c r="F396" s="64"/>
      <c r="G396" s="64"/>
      <c r="H396" s="63"/>
      <c r="I396" s="64"/>
      <c r="J396" s="64"/>
      <c r="K396" s="64"/>
      <c r="L396" s="64"/>
      <c r="M396" s="64"/>
      <c r="N396" s="64"/>
      <c r="O396" s="64"/>
      <c r="P396" s="64"/>
      <c r="Q396" s="64"/>
      <c r="R396" s="65" t="str">
        <f>IF($A396="","",IFERROR(MINIFS(Candidates!$K$2:$K$2000,Candidates!$A$2:$A$2000,$A396),""))</f>
        <v/>
      </c>
      <c r="S396" s="65" t="str">
        <f>IF($A396="","",IFERROR(MAXIFS(Candidates!$AA$2:$AA$2000,Candidates!$A$2:$A$2000,$A396),""))</f>
        <v/>
      </c>
      <c r="T396" s="64" t="str">
        <f>IFERROR(__xludf.DUMMYFUNCTION("IF($A396="""","""",IFERROR(TEXTJOIN("", "",TRUE,UNIQUE(FILTER(Candidates!$B$2:$B$2000,Candidates!$A$2:$A$2000=$A396))),""""))"),"")</f>
        <v/>
      </c>
      <c r="U396" s="66" t="str">
        <f>IF($A396="","",COUNTIF(Candidates!$A$2:$A$2000,$A396))</f>
        <v/>
      </c>
      <c r="V396" s="64" t="str">
        <f>IFERROR(__xludf.DUMMYFUNCTION("IF($A396="""","""",IFERROR(INDEX(FILTER(Candidates!$S$2:$S$2000,Candidates!$A$2:$A$2000=$A396),COUNTIF(Candidates!$A$2:$A$2000,$A396)),""""))"),"")</f>
        <v/>
      </c>
      <c r="W396" s="64" t="str">
        <f>IFERROR(__xludf.DUMMYFUNCTION("IF($A396="""","""",IFERROR(INDEX(FILTER(Candidates!$T$2:$T$2000,Candidates!$A$2:$A$2000=$A396),COUNTIF(Candidates!$A$2:$A$2000,$A396)),""""))"),"")</f>
        <v/>
      </c>
      <c r="X396" s="64"/>
      <c r="Y396" s="64"/>
      <c r="Z396" s="65"/>
      <c r="AA396" s="65"/>
      <c r="AB396" s="65"/>
      <c r="AC396" s="65"/>
    </row>
    <row r="397">
      <c r="A397" s="64"/>
      <c r="B397" s="64"/>
      <c r="C397" s="64"/>
      <c r="D397" s="64"/>
      <c r="E397" s="64"/>
      <c r="F397" s="64"/>
      <c r="G397" s="64"/>
      <c r="H397" s="63"/>
      <c r="I397" s="64"/>
      <c r="J397" s="64"/>
      <c r="K397" s="64"/>
      <c r="L397" s="64"/>
      <c r="M397" s="64"/>
      <c r="N397" s="64"/>
      <c r="O397" s="64"/>
      <c r="P397" s="64"/>
      <c r="Q397" s="64"/>
      <c r="R397" s="65" t="str">
        <f>IF($A397="","",IFERROR(MINIFS(Candidates!$K$2:$K$2000,Candidates!$A$2:$A$2000,$A397),""))</f>
        <v/>
      </c>
      <c r="S397" s="65" t="str">
        <f>IF($A397="","",IFERROR(MAXIFS(Candidates!$AA$2:$AA$2000,Candidates!$A$2:$A$2000,$A397),""))</f>
        <v/>
      </c>
      <c r="T397" s="64" t="str">
        <f>IFERROR(__xludf.DUMMYFUNCTION("IF($A397="""","""",IFERROR(TEXTJOIN("", "",TRUE,UNIQUE(FILTER(Candidates!$B$2:$B$2000,Candidates!$A$2:$A$2000=$A397))),""""))"),"")</f>
        <v/>
      </c>
      <c r="U397" s="66" t="str">
        <f>IF($A397="","",COUNTIF(Candidates!$A$2:$A$2000,$A397))</f>
        <v/>
      </c>
      <c r="V397" s="64" t="str">
        <f>IFERROR(__xludf.DUMMYFUNCTION("IF($A397="""","""",IFERROR(INDEX(FILTER(Candidates!$S$2:$S$2000,Candidates!$A$2:$A$2000=$A397),COUNTIF(Candidates!$A$2:$A$2000,$A397)),""""))"),"")</f>
        <v/>
      </c>
      <c r="W397" s="64" t="str">
        <f>IFERROR(__xludf.DUMMYFUNCTION("IF($A397="""","""",IFERROR(INDEX(FILTER(Candidates!$T$2:$T$2000,Candidates!$A$2:$A$2000=$A397),COUNTIF(Candidates!$A$2:$A$2000,$A397)),""""))"),"")</f>
        <v/>
      </c>
      <c r="X397" s="64"/>
      <c r="Y397" s="64"/>
      <c r="Z397" s="65"/>
      <c r="AA397" s="65"/>
      <c r="AB397" s="65"/>
      <c r="AC397" s="65"/>
    </row>
    <row r="398">
      <c r="A398" s="64"/>
      <c r="B398" s="64"/>
      <c r="C398" s="64"/>
      <c r="D398" s="64"/>
      <c r="E398" s="64"/>
      <c r="F398" s="64"/>
      <c r="G398" s="64"/>
      <c r="H398" s="63"/>
      <c r="I398" s="64"/>
      <c r="J398" s="64"/>
      <c r="K398" s="64"/>
      <c r="L398" s="64"/>
      <c r="M398" s="64"/>
      <c r="N398" s="64"/>
      <c r="O398" s="64"/>
      <c r="P398" s="64"/>
      <c r="Q398" s="64"/>
      <c r="R398" s="65" t="str">
        <f>IF($A398="","",IFERROR(MINIFS(Candidates!$K$2:$K$2000,Candidates!$A$2:$A$2000,$A398),""))</f>
        <v/>
      </c>
      <c r="S398" s="65" t="str">
        <f>IF($A398="","",IFERROR(MAXIFS(Candidates!$AA$2:$AA$2000,Candidates!$A$2:$A$2000,$A398),""))</f>
        <v/>
      </c>
      <c r="T398" s="64" t="str">
        <f>IFERROR(__xludf.DUMMYFUNCTION("IF($A398="""","""",IFERROR(TEXTJOIN("", "",TRUE,UNIQUE(FILTER(Candidates!$B$2:$B$2000,Candidates!$A$2:$A$2000=$A398))),""""))"),"")</f>
        <v/>
      </c>
      <c r="U398" s="66" t="str">
        <f>IF($A398="","",COUNTIF(Candidates!$A$2:$A$2000,$A398))</f>
        <v/>
      </c>
      <c r="V398" s="64" t="str">
        <f>IFERROR(__xludf.DUMMYFUNCTION("IF($A398="""","""",IFERROR(INDEX(FILTER(Candidates!$S$2:$S$2000,Candidates!$A$2:$A$2000=$A398),COUNTIF(Candidates!$A$2:$A$2000,$A398)),""""))"),"")</f>
        <v/>
      </c>
      <c r="W398" s="64" t="str">
        <f>IFERROR(__xludf.DUMMYFUNCTION("IF($A398="""","""",IFERROR(INDEX(FILTER(Candidates!$T$2:$T$2000,Candidates!$A$2:$A$2000=$A398),COUNTIF(Candidates!$A$2:$A$2000,$A398)),""""))"),"")</f>
        <v/>
      </c>
      <c r="X398" s="64"/>
      <c r="Y398" s="64"/>
      <c r="Z398" s="65"/>
      <c r="AA398" s="65"/>
      <c r="AB398" s="65"/>
      <c r="AC398" s="65"/>
    </row>
    <row r="399">
      <c r="A399" s="64"/>
      <c r="B399" s="64"/>
      <c r="C399" s="64"/>
      <c r="D399" s="64"/>
      <c r="E399" s="64"/>
      <c r="F399" s="64"/>
      <c r="G399" s="64"/>
      <c r="H399" s="63"/>
      <c r="I399" s="64"/>
      <c r="J399" s="64"/>
      <c r="K399" s="64"/>
      <c r="L399" s="64"/>
      <c r="M399" s="64"/>
      <c r="N399" s="64"/>
      <c r="O399" s="64"/>
      <c r="P399" s="64"/>
      <c r="Q399" s="64"/>
      <c r="R399" s="65" t="str">
        <f>IF($A399="","",IFERROR(MINIFS(Candidates!$K$2:$K$2000,Candidates!$A$2:$A$2000,$A399),""))</f>
        <v/>
      </c>
      <c r="S399" s="65" t="str">
        <f>IF($A399="","",IFERROR(MAXIFS(Candidates!$AA$2:$AA$2000,Candidates!$A$2:$A$2000,$A399),""))</f>
        <v/>
      </c>
      <c r="T399" s="64" t="str">
        <f>IFERROR(__xludf.DUMMYFUNCTION("IF($A399="""","""",IFERROR(TEXTJOIN("", "",TRUE,UNIQUE(FILTER(Candidates!$B$2:$B$2000,Candidates!$A$2:$A$2000=$A399))),""""))"),"")</f>
        <v/>
      </c>
      <c r="U399" s="66" t="str">
        <f>IF($A399="","",COUNTIF(Candidates!$A$2:$A$2000,$A399))</f>
        <v/>
      </c>
      <c r="V399" s="64" t="str">
        <f>IFERROR(__xludf.DUMMYFUNCTION("IF($A399="""","""",IFERROR(INDEX(FILTER(Candidates!$S$2:$S$2000,Candidates!$A$2:$A$2000=$A399),COUNTIF(Candidates!$A$2:$A$2000,$A399)),""""))"),"")</f>
        <v/>
      </c>
      <c r="W399" s="64" t="str">
        <f>IFERROR(__xludf.DUMMYFUNCTION("IF($A399="""","""",IFERROR(INDEX(FILTER(Candidates!$T$2:$T$2000,Candidates!$A$2:$A$2000=$A399),COUNTIF(Candidates!$A$2:$A$2000,$A399)),""""))"),"")</f>
        <v/>
      </c>
      <c r="X399" s="64"/>
      <c r="Y399" s="64"/>
      <c r="Z399" s="65"/>
      <c r="AA399" s="65"/>
      <c r="AB399" s="65"/>
      <c r="AC399" s="65"/>
    </row>
    <row r="400">
      <c r="A400" s="64"/>
      <c r="B400" s="64"/>
      <c r="C400" s="64"/>
      <c r="D400" s="64"/>
      <c r="E400" s="64"/>
      <c r="F400" s="64"/>
      <c r="G400" s="64"/>
      <c r="H400" s="63"/>
      <c r="I400" s="64"/>
      <c r="J400" s="64"/>
      <c r="K400" s="64"/>
      <c r="L400" s="64"/>
      <c r="M400" s="64"/>
      <c r="N400" s="64"/>
      <c r="O400" s="64"/>
      <c r="P400" s="64"/>
      <c r="Q400" s="64"/>
      <c r="R400" s="65" t="str">
        <f>IF($A400="","",IFERROR(MINIFS(Candidates!$K$2:$K$2000,Candidates!$A$2:$A$2000,$A400),""))</f>
        <v/>
      </c>
      <c r="S400" s="65" t="str">
        <f>IF($A400="","",IFERROR(MAXIFS(Candidates!$AA$2:$AA$2000,Candidates!$A$2:$A$2000,$A400),""))</f>
        <v/>
      </c>
      <c r="T400" s="64" t="str">
        <f>IFERROR(__xludf.DUMMYFUNCTION("IF($A400="""","""",IFERROR(TEXTJOIN("", "",TRUE,UNIQUE(FILTER(Candidates!$B$2:$B$2000,Candidates!$A$2:$A$2000=$A400))),""""))"),"")</f>
        <v/>
      </c>
      <c r="U400" s="66" t="str">
        <f>IF($A400="","",COUNTIF(Candidates!$A$2:$A$2000,$A400))</f>
        <v/>
      </c>
      <c r="V400" s="64" t="str">
        <f>IFERROR(__xludf.DUMMYFUNCTION("IF($A400="""","""",IFERROR(INDEX(FILTER(Candidates!$S$2:$S$2000,Candidates!$A$2:$A$2000=$A400),COUNTIF(Candidates!$A$2:$A$2000,$A400)),""""))"),"")</f>
        <v/>
      </c>
      <c r="W400" s="64" t="str">
        <f>IFERROR(__xludf.DUMMYFUNCTION("IF($A400="""","""",IFERROR(INDEX(FILTER(Candidates!$T$2:$T$2000,Candidates!$A$2:$A$2000=$A400),COUNTIF(Candidates!$A$2:$A$2000,$A400)),""""))"),"")</f>
        <v/>
      </c>
      <c r="X400" s="64"/>
      <c r="Y400" s="64"/>
      <c r="Z400" s="65"/>
      <c r="AA400" s="65"/>
      <c r="AB400" s="65"/>
      <c r="AC400" s="65"/>
    </row>
    <row r="401">
      <c r="A401" s="64"/>
      <c r="B401" s="64"/>
      <c r="C401" s="64"/>
      <c r="D401" s="64"/>
      <c r="E401" s="64"/>
      <c r="F401" s="64"/>
      <c r="G401" s="64"/>
      <c r="H401" s="63"/>
      <c r="I401" s="64"/>
      <c r="J401" s="64"/>
      <c r="K401" s="64"/>
      <c r="L401" s="64"/>
      <c r="M401" s="64"/>
      <c r="N401" s="64"/>
      <c r="O401" s="64"/>
      <c r="P401" s="64"/>
      <c r="Q401" s="64"/>
      <c r="R401" s="65" t="str">
        <f>IF($A401="","",IFERROR(MINIFS(Candidates!$K$2:$K$2000,Candidates!$A$2:$A$2000,$A401),""))</f>
        <v/>
      </c>
      <c r="S401" s="65" t="str">
        <f>IF($A401="","",IFERROR(MAXIFS(Candidates!$AA$2:$AA$2000,Candidates!$A$2:$A$2000,$A401),""))</f>
        <v/>
      </c>
      <c r="T401" s="64" t="str">
        <f>IFERROR(__xludf.DUMMYFUNCTION("IF($A401="""","""",IFERROR(TEXTJOIN("", "",TRUE,UNIQUE(FILTER(Candidates!$B$2:$B$2000,Candidates!$A$2:$A$2000=$A401))),""""))"),"")</f>
        <v/>
      </c>
      <c r="U401" s="66" t="str">
        <f>IF($A401="","",COUNTIF(Candidates!$A$2:$A$2000,$A401))</f>
        <v/>
      </c>
      <c r="V401" s="64" t="str">
        <f>IFERROR(__xludf.DUMMYFUNCTION("IF($A401="""","""",IFERROR(INDEX(FILTER(Candidates!$S$2:$S$2000,Candidates!$A$2:$A$2000=$A401),COUNTIF(Candidates!$A$2:$A$2000,$A401)),""""))"),"")</f>
        <v/>
      </c>
      <c r="W401" s="64" t="str">
        <f>IFERROR(__xludf.DUMMYFUNCTION("IF($A401="""","""",IFERROR(INDEX(FILTER(Candidates!$T$2:$T$2000,Candidates!$A$2:$A$2000=$A401),COUNTIF(Candidates!$A$2:$A$2000,$A401)),""""))"),"")</f>
        <v/>
      </c>
      <c r="X401" s="64"/>
      <c r="Y401" s="64"/>
      <c r="Z401" s="65"/>
      <c r="AA401" s="65"/>
      <c r="AB401" s="65"/>
      <c r="AC401" s="65"/>
    </row>
    <row r="402">
      <c r="A402" s="64"/>
      <c r="B402" s="64"/>
      <c r="C402" s="64"/>
      <c r="D402" s="64"/>
      <c r="E402" s="64"/>
      <c r="F402" s="64"/>
      <c r="G402" s="64"/>
      <c r="H402" s="63"/>
      <c r="I402" s="64"/>
      <c r="J402" s="64"/>
      <c r="K402" s="64"/>
      <c r="L402" s="64"/>
      <c r="M402" s="64"/>
      <c r="N402" s="64"/>
      <c r="O402" s="64"/>
      <c r="P402" s="64"/>
      <c r="Q402" s="64"/>
      <c r="R402" s="65" t="str">
        <f>IF($A402="","",IFERROR(MINIFS(Candidates!$K$2:$K$2000,Candidates!$A$2:$A$2000,$A402),""))</f>
        <v/>
      </c>
      <c r="S402" s="65" t="str">
        <f>IF($A402="","",IFERROR(MAXIFS(Candidates!$AA$2:$AA$2000,Candidates!$A$2:$A$2000,$A402),""))</f>
        <v/>
      </c>
      <c r="T402" s="64" t="str">
        <f>IFERROR(__xludf.DUMMYFUNCTION("IF($A402="""","""",IFERROR(TEXTJOIN("", "",TRUE,UNIQUE(FILTER(Candidates!$B$2:$B$2000,Candidates!$A$2:$A$2000=$A402))),""""))"),"")</f>
        <v/>
      </c>
      <c r="U402" s="66" t="str">
        <f>IF($A402="","",COUNTIF(Candidates!$A$2:$A$2000,$A402))</f>
        <v/>
      </c>
      <c r="V402" s="64" t="str">
        <f>IFERROR(__xludf.DUMMYFUNCTION("IF($A402="""","""",IFERROR(INDEX(FILTER(Candidates!$S$2:$S$2000,Candidates!$A$2:$A$2000=$A402),COUNTIF(Candidates!$A$2:$A$2000,$A402)),""""))"),"")</f>
        <v/>
      </c>
      <c r="W402" s="64" t="str">
        <f>IFERROR(__xludf.DUMMYFUNCTION("IF($A402="""","""",IFERROR(INDEX(FILTER(Candidates!$T$2:$T$2000,Candidates!$A$2:$A$2000=$A402),COUNTIF(Candidates!$A$2:$A$2000,$A402)),""""))"),"")</f>
        <v/>
      </c>
      <c r="X402" s="64"/>
      <c r="Y402" s="64"/>
      <c r="Z402" s="65"/>
      <c r="AA402" s="65"/>
      <c r="AB402" s="65"/>
      <c r="AC402" s="65"/>
    </row>
    <row r="403">
      <c r="A403" s="64"/>
      <c r="B403" s="64"/>
      <c r="C403" s="64"/>
      <c r="D403" s="64"/>
      <c r="E403" s="64"/>
      <c r="F403" s="64"/>
      <c r="G403" s="64"/>
      <c r="H403" s="63"/>
      <c r="I403" s="64"/>
      <c r="J403" s="64"/>
      <c r="K403" s="64"/>
      <c r="L403" s="64"/>
      <c r="M403" s="64"/>
      <c r="N403" s="64"/>
      <c r="O403" s="64"/>
      <c r="P403" s="64"/>
      <c r="Q403" s="64"/>
      <c r="R403" s="65" t="str">
        <f>IF($A403="","",IFERROR(MINIFS(Candidates!$K$2:$K$2000,Candidates!$A$2:$A$2000,$A403),""))</f>
        <v/>
      </c>
      <c r="S403" s="65" t="str">
        <f>IF($A403="","",IFERROR(MAXIFS(Candidates!$AA$2:$AA$2000,Candidates!$A$2:$A$2000,$A403),""))</f>
        <v/>
      </c>
      <c r="T403" s="64" t="str">
        <f>IFERROR(__xludf.DUMMYFUNCTION("IF($A403="""","""",IFERROR(TEXTJOIN("", "",TRUE,UNIQUE(FILTER(Candidates!$B$2:$B$2000,Candidates!$A$2:$A$2000=$A403))),""""))"),"")</f>
        <v/>
      </c>
      <c r="U403" s="66" t="str">
        <f>IF($A403="","",COUNTIF(Candidates!$A$2:$A$2000,$A403))</f>
        <v/>
      </c>
      <c r="V403" s="64" t="str">
        <f>IFERROR(__xludf.DUMMYFUNCTION("IF($A403="""","""",IFERROR(INDEX(FILTER(Candidates!$S$2:$S$2000,Candidates!$A$2:$A$2000=$A403),COUNTIF(Candidates!$A$2:$A$2000,$A403)),""""))"),"")</f>
        <v/>
      </c>
      <c r="W403" s="64" t="str">
        <f>IFERROR(__xludf.DUMMYFUNCTION("IF($A403="""","""",IFERROR(INDEX(FILTER(Candidates!$T$2:$T$2000,Candidates!$A$2:$A$2000=$A403),COUNTIF(Candidates!$A$2:$A$2000,$A403)),""""))"),"")</f>
        <v/>
      </c>
      <c r="X403" s="64"/>
      <c r="Y403" s="64"/>
      <c r="Z403" s="65"/>
      <c r="AA403" s="65"/>
      <c r="AB403" s="65"/>
      <c r="AC403" s="65"/>
    </row>
    <row r="404">
      <c r="A404" s="64"/>
      <c r="B404" s="64"/>
      <c r="C404" s="64"/>
      <c r="D404" s="64"/>
      <c r="E404" s="64"/>
      <c r="F404" s="64"/>
      <c r="G404" s="64"/>
      <c r="H404" s="63"/>
      <c r="I404" s="64"/>
      <c r="J404" s="64"/>
      <c r="K404" s="64"/>
      <c r="L404" s="64"/>
      <c r="M404" s="64"/>
      <c r="N404" s="64"/>
      <c r="O404" s="64"/>
      <c r="P404" s="64"/>
      <c r="Q404" s="64"/>
      <c r="R404" s="65" t="str">
        <f>IF($A404="","",IFERROR(MINIFS(Candidates!$K$2:$K$2000,Candidates!$A$2:$A$2000,$A404),""))</f>
        <v/>
      </c>
      <c r="S404" s="65" t="str">
        <f>IF($A404="","",IFERROR(MAXIFS(Candidates!$AA$2:$AA$2000,Candidates!$A$2:$A$2000,$A404),""))</f>
        <v/>
      </c>
      <c r="T404" s="64" t="str">
        <f>IFERROR(__xludf.DUMMYFUNCTION("IF($A404="""","""",IFERROR(TEXTJOIN("", "",TRUE,UNIQUE(FILTER(Candidates!$B$2:$B$2000,Candidates!$A$2:$A$2000=$A404))),""""))"),"")</f>
        <v/>
      </c>
      <c r="U404" s="66" t="str">
        <f>IF($A404="","",COUNTIF(Candidates!$A$2:$A$2000,$A404))</f>
        <v/>
      </c>
      <c r="V404" s="64" t="str">
        <f>IFERROR(__xludf.DUMMYFUNCTION("IF($A404="""","""",IFERROR(INDEX(FILTER(Candidates!$S$2:$S$2000,Candidates!$A$2:$A$2000=$A404),COUNTIF(Candidates!$A$2:$A$2000,$A404)),""""))"),"")</f>
        <v/>
      </c>
      <c r="W404" s="64" t="str">
        <f>IFERROR(__xludf.DUMMYFUNCTION("IF($A404="""","""",IFERROR(INDEX(FILTER(Candidates!$T$2:$T$2000,Candidates!$A$2:$A$2000=$A404),COUNTIF(Candidates!$A$2:$A$2000,$A404)),""""))"),"")</f>
        <v/>
      </c>
      <c r="X404" s="64"/>
      <c r="Y404" s="64"/>
      <c r="Z404" s="65"/>
      <c r="AA404" s="65"/>
      <c r="AB404" s="65"/>
      <c r="AC404" s="65"/>
    </row>
    <row r="405">
      <c r="A405" s="64"/>
      <c r="B405" s="64"/>
      <c r="C405" s="64"/>
      <c r="D405" s="64"/>
      <c r="E405" s="64"/>
      <c r="F405" s="64"/>
      <c r="G405" s="64"/>
      <c r="H405" s="63"/>
      <c r="I405" s="64"/>
      <c r="J405" s="64"/>
      <c r="K405" s="64"/>
      <c r="L405" s="64"/>
      <c r="M405" s="64"/>
      <c r="N405" s="64"/>
      <c r="O405" s="64"/>
      <c r="P405" s="64"/>
      <c r="Q405" s="64"/>
      <c r="R405" s="65" t="str">
        <f>IF($A405="","",IFERROR(MINIFS(Candidates!$K$2:$K$2000,Candidates!$A$2:$A$2000,$A405),""))</f>
        <v/>
      </c>
      <c r="S405" s="65" t="str">
        <f>IF($A405="","",IFERROR(MAXIFS(Candidates!$AA$2:$AA$2000,Candidates!$A$2:$A$2000,$A405),""))</f>
        <v/>
      </c>
      <c r="T405" s="64" t="str">
        <f>IFERROR(__xludf.DUMMYFUNCTION("IF($A405="""","""",IFERROR(TEXTJOIN("", "",TRUE,UNIQUE(FILTER(Candidates!$B$2:$B$2000,Candidates!$A$2:$A$2000=$A405))),""""))"),"")</f>
        <v/>
      </c>
      <c r="U405" s="66" t="str">
        <f>IF($A405="","",COUNTIF(Candidates!$A$2:$A$2000,$A405))</f>
        <v/>
      </c>
      <c r="V405" s="64" t="str">
        <f>IFERROR(__xludf.DUMMYFUNCTION("IF($A405="""","""",IFERROR(INDEX(FILTER(Candidates!$S$2:$S$2000,Candidates!$A$2:$A$2000=$A405),COUNTIF(Candidates!$A$2:$A$2000,$A405)),""""))"),"")</f>
        <v/>
      </c>
      <c r="W405" s="64" t="str">
        <f>IFERROR(__xludf.DUMMYFUNCTION("IF($A405="""","""",IFERROR(INDEX(FILTER(Candidates!$T$2:$T$2000,Candidates!$A$2:$A$2000=$A405),COUNTIF(Candidates!$A$2:$A$2000,$A405)),""""))"),"")</f>
        <v/>
      </c>
      <c r="X405" s="64"/>
      <c r="Y405" s="64"/>
      <c r="Z405" s="65"/>
      <c r="AA405" s="65"/>
      <c r="AB405" s="65"/>
      <c r="AC405" s="65"/>
    </row>
    <row r="406">
      <c r="A406" s="64"/>
      <c r="B406" s="64"/>
      <c r="C406" s="64"/>
      <c r="D406" s="64"/>
      <c r="E406" s="64"/>
      <c r="F406" s="64"/>
      <c r="G406" s="64"/>
      <c r="H406" s="63"/>
      <c r="I406" s="64"/>
      <c r="J406" s="64"/>
      <c r="K406" s="64"/>
      <c r="L406" s="64"/>
      <c r="M406" s="64"/>
      <c r="N406" s="64"/>
      <c r="O406" s="64"/>
      <c r="P406" s="64"/>
      <c r="Q406" s="64"/>
      <c r="R406" s="65" t="str">
        <f>IF($A406="","",IFERROR(MINIFS(Candidates!$K$2:$K$2000,Candidates!$A$2:$A$2000,$A406),""))</f>
        <v/>
      </c>
      <c r="S406" s="65" t="str">
        <f>IF($A406="","",IFERROR(MAXIFS(Candidates!$AA$2:$AA$2000,Candidates!$A$2:$A$2000,$A406),""))</f>
        <v/>
      </c>
      <c r="T406" s="64" t="str">
        <f>IFERROR(__xludf.DUMMYFUNCTION("IF($A406="""","""",IFERROR(TEXTJOIN("", "",TRUE,UNIQUE(FILTER(Candidates!$B$2:$B$2000,Candidates!$A$2:$A$2000=$A406))),""""))"),"")</f>
        <v/>
      </c>
      <c r="U406" s="66" t="str">
        <f>IF($A406="","",COUNTIF(Candidates!$A$2:$A$2000,$A406))</f>
        <v/>
      </c>
      <c r="V406" s="64" t="str">
        <f>IFERROR(__xludf.DUMMYFUNCTION("IF($A406="""","""",IFERROR(INDEX(FILTER(Candidates!$S$2:$S$2000,Candidates!$A$2:$A$2000=$A406),COUNTIF(Candidates!$A$2:$A$2000,$A406)),""""))"),"")</f>
        <v/>
      </c>
      <c r="W406" s="64" t="str">
        <f>IFERROR(__xludf.DUMMYFUNCTION("IF($A406="""","""",IFERROR(INDEX(FILTER(Candidates!$T$2:$T$2000,Candidates!$A$2:$A$2000=$A406),COUNTIF(Candidates!$A$2:$A$2000,$A406)),""""))"),"")</f>
        <v/>
      </c>
      <c r="X406" s="64"/>
      <c r="Y406" s="64"/>
      <c r="Z406" s="65"/>
      <c r="AA406" s="65"/>
      <c r="AB406" s="65"/>
      <c r="AC406" s="65"/>
    </row>
    <row r="407">
      <c r="A407" s="64"/>
      <c r="B407" s="64"/>
      <c r="C407" s="64"/>
      <c r="D407" s="64"/>
      <c r="E407" s="64"/>
      <c r="F407" s="64"/>
      <c r="G407" s="64"/>
      <c r="H407" s="63"/>
      <c r="I407" s="64"/>
      <c r="J407" s="64"/>
      <c r="K407" s="64"/>
      <c r="L407" s="64"/>
      <c r="M407" s="64"/>
      <c r="N407" s="64"/>
      <c r="O407" s="64"/>
      <c r="P407" s="64"/>
      <c r="Q407" s="64"/>
      <c r="R407" s="65" t="str">
        <f>IF($A407="","",IFERROR(MINIFS(Candidates!$K$2:$K$2000,Candidates!$A$2:$A$2000,$A407),""))</f>
        <v/>
      </c>
      <c r="S407" s="65" t="str">
        <f>IF($A407="","",IFERROR(MAXIFS(Candidates!$AA$2:$AA$2000,Candidates!$A$2:$A$2000,$A407),""))</f>
        <v/>
      </c>
      <c r="T407" s="64" t="str">
        <f>IFERROR(__xludf.DUMMYFUNCTION("IF($A407="""","""",IFERROR(TEXTJOIN("", "",TRUE,UNIQUE(FILTER(Candidates!$B$2:$B$2000,Candidates!$A$2:$A$2000=$A407))),""""))"),"")</f>
        <v/>
      </c>
      <c r="U407" s="66" t="str">
        <f>IF($A407="","",COUNTIF(Candidates!$A$2:$A$2000,$A407))</f>
        <v/>
      </c>
      <c r="V407" s="64" t="str">
        <f>IFERROR(__xludf.DUMMYFUNCTION("IF($A407="""","""",IFERROR(INDEX(FILTER(Candidates!$S$2:$S$2000,Candidates!$A$2:$A$2000=$A407),COUNTIF(Candidates!$A$2:$A$2000,$A407)),""""))"),"")</f>
        <v/>
      </c>
      <c r="W407" s="64" t="str">
        <f>IFERROR(__xludf.DUMMYFUNCTION("IF($A407="""","""",IFERROR(INDEX(FILTER(Candidates!$T$2:$T$2000,Candidates!$A$2:$A$2000=$A407),COUNTIF(Candidates!$A$2:$A$2000,$A407)),""""))"),"")</f>
        <v/>
      </c>
      <c r="X407" s="64"/>
      <c r="Y407" s="64"/>
      <c r="Z407" s="65"/>
      <c r="AA407" s="65"/>
      <c r="AB407" s="65"/>
      <c r="AC407" s="65"/>
    </row>
    <row r="408">
      <c r="A408" s="64"/>
      <c r="B408" s="64"/>
      <c r="C408" s="64"/>
      <c r="D408" s="64"/>
      <c r="E408" s="64"/>
      <c r="F408" s="64"/>
      <c r="G408" s="64"/>
      <c r="H408" s="63"/>
      <c r="I408" s="64"/>
      <c r="J408" s="64"/>
      <c r="K408" s="64"/>
      <c r="L408" s="64"/>
      <c r="M408" s="64"/>
      <c r="N408" s="64"/>
      <c r="O408" s="64"/>
      <c r="P408" s="64"/>
      <c r="Q408" s="64"/>
      <c r="R408" s="65" t="str">
        <f>IF($A408="","",IFERROR(MINIFS(Candidates!$K$2:$K$2000,Candidates!$A$2:$A$2000,$A408),""))</f>
        <v/>
      </c>
      <c r="S408" s="65" t="str">
        <f>IF($A408="","",IFERROR(MAXIFS(Candidates!$AA$2:$AA$2000,Candidates!$A$2:$A$2000,$A408),""))</f>
        <v/>
      </c>
      <c r="T408" s="64" t="str">
        <f>IFERROR(__xludf.DUMMYFUNCTION("IF($A408="""","""",IFERROR(TEXTJOIN("", "",TRUE,UNIQUE(FILTER(Candidates!$B$2:$B$2000,Candidates!$A$2:$A$2000=$A408))),""""))"),"")</f>
        <v/>
      </c>
      <c r="U408" s="66" t="str">
        <f>IF($A408="","",COUNTIF(Candidates!$A$2:$A$2000,$A408))</f>
        <v/>
      </c>
      <c r="V408" s="64" t="str">
        <f>IFERROR(__xludf.DUMMYFUNCTION("IF($A408="""","""",IFERROR(INDEX(FILTER(Candidates!$S$2:$S$2000,Candidates!$A$2:$A$2000=$A408),COUNTIF(Candidates!$A$2:$A$2000,$A408)),""""))"),"")</f>
        <v/>
      </c>
      <c r="W408" s="64" t="str">
        <f>IFERROR(__xludf.DUMMYFUNCTION("IF($A408="""","""",IFERROR(INDEX(FILTER(Candidates!$T$2:$T$2000,Candidates!$A$2:$A$2000=$A408),COUNTIF(Candidates!$A$2:$A$2000,$A408)),""""))"),"")</f>
        <v/>
      </c>
      <c r="X408" s="64"/>
      <c r="Y408" s="64"/>
      <c r="Z408" s="65"/>
      <c r="AA408" s="65"/>
      <c r="AB408" s="65"/>
      <c r="AC408" s="65"/>
    </row>
    <row r="409">
      <c r="A409" s="64"/>
      <c r="B409" s="64"/>
      <c r="C409" s="64"/>
      <c r="D409" s="64"/>
      <c r="E409" s="64"/>
      <c r="F409" s="64"/>
      <c r="G409" s="64"/>
      <c r="H409" s="63"/>
      <c r="I409" s="64"/>
      <c r="J409" s="64"/>
      <c r="K409" s="64"/>
      <c r="L409" s="64"/>
      <c r="M409" s="64"/>
      <c r="N409" s="64"/>
      <c r="O409" s="64"/>
      <c r="P409" s="64"/>
      <c r="Q409" s="64"/>
      <c r="R409" s="65" t="str">
        <f>IF($A409="","",IFERROR(MINIFS(Candidates!$K$2:$K$2000,Candidates!$A$2:$A$2000,$A409),""))</f>
        <v/>
      </c>
      <c r="S409" s="65" t="str">
        <f>IF($A409="","",IFERROR(MAXIFS(Candidates!$AA$2:$AA$2000,Candidates!$A$2:$A$2000,$A409),""))</f>
        <v/>
      </c>
      <c r="T409" s="64" t="str">
        <f>IFERROR(__xludf.DUMMYFUNCTION("IF($A409="""","""",IFERROR(TEXTJOIN("", "",TRUE,UNIQUE(FILTER(Candidates!$B$2:$B$2000,Candidates!$A$2:$A$2000=$A409))),""""))"),"")</f>
        <v/>
      </c>
      <c r="U409" s="66" t="str">
        <f>IF($A409="","",COUNTIF(Candidates!$A$2:$A$2000,$A409))</f>
        <v/>
      </c>
      <c r="V409" s="64" t="str">
        <f>IFERROR(__xludf.DUMMYFUNCTION("IF($A409="""","""",IFERROR(INDEX(FILTER(Candidates!$S$2:$S$2000,Candidates!$A$2:$A$2000=$A409),COUNTIF(Candidates!$A$2:$A$2000,$A409)),""""))"),"")</f>
        <v/>
      </c>
      <c r="W409" s="64" t="str">
        <f>IFERROR(__xludf.DUMMYFUNCTION("IF($A409="""","""",IFERROR(INDEX(FILTER(Candidates!$T$2:$T$2000,Candidates!$A$2:$A$2000=$A409),COUNTIF(Candidates!$A$2:$A$2000,$A409)),""""))"),"")</f>
        <v/>
      </c>
      <c r="X409" s="64"/>
      <c r="Y409" s="64"/>
      <c r="Z409" s="65"/>
      <c r="AA409" s="65"/>
      <c r="AB409" s="65"/>
      <c r="AC409" s="65"/>
    </row>
    <row r="410">
      <c r="A410" s="64"/>
      <c r="B410" s="64"/>
      <c r="C410" s="64"/>
      <c r="D410" s="64"/>
      <c r="E410" s="64"/>
      <c r="F410" s="64"/>
      <c r="G410" s="64"/>
      <c r="H410" s="63"/>
      <c r="I410" s="64"/>
      <c r="J410" s="64"/>
      <c r="K410" s="64"/>
      <c r="L410" s="64"/>
      <c r="M410" s="64"/>
      <c r="N410" s="64"/>
      <c r="O410" s="64"/>
      <c r="P410" s="64"/>
      <c r="Q410" s="64"/>
      <c r="R410" s="65" t="str">
        <f>IF($A410="","",IFERROR(MINIFS(Candidates!$K$2:$K$2000,Candidates!$A$2:$A$2000,$A410),""))</f>
        <v/>
      </c>
      <c r="S410" s="65" t="str">
        <f>IF($A410="","",IFERROR(MAXIFS(Candidates!$AA$2:$AA$2000,Candidates!$A$2:$A$2000,$A410),""))</f>
        <v/>
      </c>
      <c r="T410" s="64" t="str">
        <f>IFERROR(__xludf.DUMMYFUNCTION("IF($A410="""","""",IFERROR(TEXTJOIN("", "",TRUE,UNIQUE(FILTER(Candidates!$B$2:$B$2000,Candidates!$A$2:$A$2000=$A410))),""""))"),"")</f>
        <v/>
      </c>
      <c r="U410" s="66" t="str">
        <f>IF($A410="","",COUNTIF(Candidates!$A$2:$A$2000,$A410))</f>
        <v/>
      </c>
      <c r="V410" s="64" t="str">
        <f>IFERROR(__xludf.DUMMYFUNCTION("IF($A410="""","""",IFERROR(INDEX(FILTER(Candidates!$S$2:$S$2000,Candidates!$A$2:$A$2000=$A410),COUNTIF(Candidates!$A$2:$A$2000,$A410)),""""))"),"")</f>
        <v/>
      </c>
      <c r="W410" s="64" t="str">
        <f>IFERROR(__xludf.DUMMYFUNCTION("IF($A410="""","""",IFERROR(INDEX(FILTER(Candidates!$T$2:$T$2000,Candidates!$A$2:$A$2000=$A410),COUNTIF(Candidates!$A$2:$A$2000,$A410)),""""))"),"")</f>
        <v/>
      </c>
      <c r="X410" s="64"/>
      <c r="Y410" s="64"/>
      <c r="Z410" s="65"/>
      <c r="AA410" s="65"/>
      <c r="AB410" s="65"/>
      <c r="AC410" s="65"/>
    </row>
    <row r="411">
      <c r="A411" s="64"/>
      <c r="B411" s="64"/>
      <c r="C411" s="64"/>
      <c r="D411" s="64"/>
      <c r="E411" s="64"/>
      <c r="F411" s="64"/>
      <c r="G411" s="64"/>
      <c r="H411" s="63"/>
      <c r="I411" s="64"/>
      <c r="J411" s="64"/>
      <c r="K411" s="64"/>
      <c r="L411" s="64"/>
      <c r="M411" s="64"/>
      <c r="N411" s="64"/>
      <c r="O411" s="64"/>
      <c r="P411" s="64"/>
      <c r="Q411" s="64"/>
      <c r="R411" s="65" t="str">
        <f>IF($A411="","",IFERROR(MINIFS(Candidates!$K$2:$K$2000,Candidates!$A$2:$A$2000,$A411),""))</f>
        <v/>
      </c>
      <c r="S411" s="65" t="str">
        <f>IF($A411="","",IFERROR(MAXIFS(Candidates!$AA$2:$AA$2000,Candidates!$A$2:$A$2000,$A411),""))</f>
        <v/>
      </c>
      <c r="T411" s="64" t="str">
        <f>IFERROR(__xludf.DUMMYFUNCTION("IF($A411="""","""",IFERROR(TEXTJOIN("", "",TRUE,UNIQUE(FILTER(Candidates!$B$2:$B$2000,Candidates!$A$2:$A$2000=$A411))),""""))"),"")</f>
        <v/>
      </c>
      <c r="U411" s="66" t="str">
        <f>IF($A411="","",COUNTIF(Candidates!$A$2:$A$2000,$A411))</f>
        <v/>
      </c>
      <c r="V411" s="64" t="str">
        <f>IFERROR(__xludf.DUMMYFUNCTION("IF($A411="""","""",IFERROR(INDEX(FILTER(Candidates!$S$2:$S$2000,Candidates!$A$2:$A$2000=$A411),COUNTIF(Candidates!$A$2:$A$2000,$A411)),""""))"),"")</f>
        <v/>
      </c>
      <c r="W411" s="64" t="str">
        <f>IFERROR(__xludf.DUMMYFUNCTION("IF($A411="""","""",IFERROR(INDEX(FILTER(Candidates!$T$2:$T$2000,Candidates!$A$2:$A$2000=$A411),COUNTIF(Candidates!$A$2:$A$2000,$A411)),""""))"),"")</f>
        <v/>
      </c>
      <c r="X411" s="64"/>
      <c r="Y411" s="64"/>
      <c r="Z411" s="65"/>
      <c r="AA411" s="65"/>
      <c r="AB411" s="65"/>
      <c r="AC411" s="65"/>
    </row>
    <row r="412">
      <c r="A412" s="64"/>
      <c r="B412" s="64"/>
      <c r="C412" s="64"/>
      <c r="D412" s="64"/>
      <c r="E412" s="64"/>
      <c r="F412" s="64"/>
      <c r="G412" s="64"/>
      <c r="H412" s="63"/>
      <c r="I412" s="64"/>
      <c r="J412" s="64"/>
      <c r="K412" s="64"/>
      <c r="L412" s="64"/>
      <c r="M412" s="64"/>
      <c r="N412" s="64"/>
      <c r="O412" s="64"/>
      <c r="P412" s="64"/>
      <c r="Q412" s="64"/>
      <c r="R412" s="65" t="str">
        <f>IF($A412="","",IFERROR(MINIFS(Candidates!$K$2:$K$2000,Candidates!$A$2:$A$2000,$A412),""))</f>
        <v/>
      </c>
      <c r="S412" s="65" t="str">
        <f>IF($A412="","",IFERROR(MAXIFS(Candidates!$AA$2:$AA$2000,Candidates!$A$2:$A$2000,$A412),""))</f>
        <v/>
      </c>
      <c r="T412" s="64" t="str">
        <f>IFERROR(__xludf.DUMMYFUNCTION("IF($A412="""","""",IFERROR(TEXTJOIN("", "",TRUE,UNIQUE(FILTER(Candidates!$B$2:$B$2000,Candidates!$A$2:$A$2000=$A412))),""""))"),"")</f>
        <v/>
      </c>
      <c r="U412" s="66" t="str">
        <f>IF($A412="","",COUNTIF(Candidates!$A$2:$A$2000,$A412))</f>
        <v/>
      </c>
      <c r="V412" s="64" t="str">
        <f>IFERROR(__xludf.DUMMYFUNCTION("IF($A412="""","""",IFERROR(INDEX(FILTER(Candidates!$S$2:$S$2000,Candidates!$A$2:$A$2000=$A412),COUNTIF(Candidates!$A$2:$A$2000,$A412)),""""))"),"")</f>
        <v/>
      </c>
      <c r="W412" s="64" t="str">
        <f>IFERROR(__xludf.DUMMYFUNCTION("IF($A412="""","""",IFERROR(INDEX(FILTER(Candidates!$T$2:$T$2000,Candidates!$A$2:$A$2000=$A412),COUNTIF(Candidates!$A$2:$A$2000,$A412)),""""))"),"")</f>
        <v/>
      </c>
      <c r="X412" s="64"/>
      <c r="Y412" s="64"/>
      <c r="Z412" s="65"/>
      <c r="AA412" s="65"/>
      <c r="AB412" s="65"/>
      <c r="AC412" s="65"/>
    </row>
    <row r="413">
      <c r="A413" s="64"/>
      <c r="B413" s="64"/>
      <c r="C413" s="64"/>
      <c r="D413" s="64"/>
      <c r="E413" s="64"/>
      <c r="F413" s="64"/>
      <c r="G413" s="64"/>
      <c r="H413" s="63"/>
      <c r="I413" s="64"/>
      <c r="J413" s="64"/>
      <c r="K413" s="64"/>
      <c r="L413" s="64"/>
      <c r="M413" s="64"/>
      <c r="N413" s="64"/>
      <c r="O413" s="64"/>
      <c r="P413" s="64"/>
      <c r="Q413" s="64"/>
      <c r="R413" s="65" t="str">
        <f>IF($A413="","",IFERROR(MINIFS(Candidates!$K$2:$K$2000,Candidates!$A$2:$A$2000,$A413),""))</f>
        <v/>
      </c>
      <c r="S413" s="65" t="str">
        <f>IF($A413="","",IFERROR(MAXIFS(Candidates!$AA$2:$AA$2000,Candidates!$A$2:$A$2000,$A413),""))</f>
        <v/>
      </c>
      <c r="T413" s="64" t="str">
        <f>IFERROR(__xludf.DUMMYFUNCTION("IF($A413="""","""",IFERROR(TEXTJOIN("", "",TRUE,UNIQUE(FILTER(Candidates!$B$2:$B$2000,Candidates!$A$2:$A$2000=$A413))),""""))"),"")</f>
        <v/>
      </c>
      <c r="U413" s="66" t="str">
        <f>IF($A413="","",COUNTIF(Candidates!$A$2:$A$2000,$A413))</f>
        <v/>
      </c>
      <c r="V413" s="64" t="str">
        <f>IFERROR(__xludf.DUMMYFUNCTION("IF($A413="""","""",IFERROR(INDEX(FILTER(Candidates!$S$2:$S$2000,Candidates!$A$2:$A$2000=$A413),COUNTIF(Candidates!$A$2:$A$2000,$A413)),""""))"),"")</f>
        <v/>
      </c>
      <c r="W413" s="64" t="str">
        <f>IFERROR(__xludf.DUMMYFUNCTION("IF($A413="""","""",IFERROR(INDEX(FILTER(Candidates!$T$2:$T$2000,Candidates!$A$2:$A$2000=$A413),COUNTIF(Candidates!$A$2:$A$2000,$A413)),""""))"),"")</f>
        <v/>
      </c>
      <c r="X413" s="64"/>
      <c r="Y413" s="64"/>
      <c r="Z413" s="65"/>
      <c r="AA413" s="65"/>
      <c r="AB413" s="65"/>
      <c r="AC413" s="65"/>
    </row>
    <row r="414">
      <c r="A414" s="64"/>
      <c r="B414" s="64"/>
      <c r="C414" s="64"/>
      <c r="D414" s="64"/>
      <c r="E414" s="64"/>
      <c r="F414" s="64"/>
      <c r="G414" s="64"/>
      <c r="H414" s="63"/>
      <c r="I414" s="64"/>
      <c r="J414" s="64"/>
      <c r="K414" s="64"/>
      <c r="L414" s="64"/>
      <c r="M414" s="64"/>
      <c r="N414" s="64"/>
      <c r="O414" s="64"/>
      <c r="P414" s="64"/>
      <c r="Q414" s="64"/>
      <c r="R414" s="65" t="str">
        <f>IF($A414="","",IFERROR(MINIFS(Candidates!$K$2:$K$2000,Candidates!$A$2:$A$2000,$A414),""))</f>
        <v/>
      </c>
      <c r="S414" s="65" t="str">
        <f>IF($A414="","",IFERROR(MAXIFS(Candidates!$AA$2:$AA$2000,Candidates!$A$2:$A$2000,$A414),""))</f>
        <v/>
      </c>
      <c r="T414" s="64" t="str">
        <f>IFERROR(__xludf.DUMMYFUNCTION("IF($A414="""","""",IFERROR(TEXTJOIN("", "",TRUE,UNIQUE(FILTER(Candidates!$B$2:$B$2000,Candidates!$A$2:$A$2000=$A414))),""""))"),"")</f>
        <v/>
      </c>
      <c r="U414" s="66" t="str">
        <f>IF($A414="","",COUNTIF(Candidates!$A$2:$A$2000,$A414))</f>
        <v/>
      </c>
      <c r="V414" s="64" t="str">
        <f>IFERROR(__xludf.DUMMYFUNCTION("IF($A414="""","""",IFERROR(INDEX(FILTER(Candidates!$S$2:$S$2000,Candidates!$A$2:$A$2000=$A414),COUNTIF(Candidates!$A$2:$A$2000,$A414)),""""))"),"")</f>
        <v/>
      </c>
      <c r="W414" s="64" t="str">
        <f>IFERROR(__xludf.DUMMYFUNCTION("IF($A414="""","""",IFERROR(INDEX(FILTER(Candidates!$T$2:$T$2000,Candidates!$A$2:$A$2000=$A414),COUNTIF(Candidates!$A$2:$A$2000,$A414)),""""))"),"")</f>
        <v/>
      </c>
      <c r="X414" s="64"/>
      <c r="Y414" s="64"/>
      <c r="Z414" s="65"/>
      <c r="AA414" s="65"/>
      <c r="AB414" s="65"/>
      <c r="AC414" s="65"/>
    </row>
    <row r="415">
      <c r="A415" s="64"/>
      <c r="B415" s="64"/>
      <c r="C415" s="64"/>
      <c r="D415" s="64"/>
      <c r="E415" s="64"/>
      <c r="F415" s="64"/>
      <c r="G415" s="64"/>
      <c r="H415" s="63"/>
      <c r="I415" s="64"/>
      <c r="J415" s="64"/>
      <c r="K415" s="64"/>
      <c r="L415" s="64"/>
      <c r="M415" s="64"/>
      <c r="N415" s="64"/>
      <c r="O415" s="64"/>
      <c r="P415" s="64"/>
      <c r="Q415" s="64"/>
      <c r="R415" s="65" t="str">
        <f>IF($A415="","",IFERROR(MINIFS(Candidates!$K$2:$K$2000,Candidates!$A$2:$A$2000,$A415),""))</f>
        <v/>
      </c>
      <c r="S415" s="65" t="str">
        <f>IF($A415="","",IFERROR(MAXIFS(Candidates!$AA$2:$AA$2000,Candidates!$A$2:$A$2000,$A415),""))</f>
        <v/>
      </c>
      <c r="T415" s="64" t="str">
        <f>IFERROR(__xludf.DUMMYFUNCTION("IF($A415="""","""",IFERROR(TEXTJOIN("", "",TRUE,UNIQUE(FILTER(Candidates!$B$2:$B$2000,Candidates!$A$2:$A$2000=$A415))),""""))"),"")</f>
        <v/>
      </c>
      <c r="U415" s="66" t="str">
        <f>IF($A415="","",COUNTIF(Candidates!$A$2:$A$2000,$A415))</f>
        <v/>
      </c>
      <c r="V415" s="64" t="str">
        <f>IFERROR(__xludf.DUMMYFUNCTION("IF($A415="""","""",IFERROR(INDEX(FILTER(Candidates!$S$2:$S$2000,Candidates!$A$2:$A$2000=$A415),COUNTIF(Candidates!$A$2:$A$2000,$A415)),""""))"),"")</f>
        <v/>
      </c>
      <c r="W415" s="64" t="str">
        <f>IFERROR(__xludf.DUMMYFUNCTION("IF($A415="""","""",IFERROR(INDEX(FILTER(Candidates!$T$2:$T$2000,Candidates!$A$2:$A$2000=$A415),COUNTIF(Candidates!$A$2:$A$2000,$A415)),""""))"),"")</f>
        <v/>
      </c>
      <c r="X415" s="64"/>
      <c r="Y415" s="64"/>
      <c r="Z415" s="65"/>
      <c r="AA415" s="65"/>
      <c r="AB415" s="65"/>
      <c r="AC415" s="65"/>
    </row>
    <row r="416">
      <c r="A416" s="64"/>
      <c r="B416" s="64"/>
      <c r="C416" s="64"/>
      <c r="D416" s="64"/>
      <c r="E416" s="64"/>
      <c r="F416" s="64"/>
      <c r="G416" s="64"/>
      <c r="H416" s="63"/>
      <c r="I416" s="64"/>
      <c r="J416" s="64"/>
      <c r="K416" s="64"/>
      <c r="L416" s="64"/>
      <c r="M416" s="64"/>
      <c r="N416" s="64"/>
      <c r="O416" s="64"/>
      <c r="P416" s="64"/>
      <c r="Q416" s="64"/>
      <c r="R416" s="65" t="str">
        <f>IF($A416="","",IFERROR(MINIFS(Candidates!$K$2:$K$2000,Candidates!$A$2:$A$2000,$A416),""))</f>
        <v/>
      </c>
      <c r="S416" s="65" t="str">
        <f>IF($A416="","",IFERROR(MAXIFS(Candidates!$AA$2:$AA$2000,Candidates!$A$2:$A$2000,$A416),""))</f>
        <v/>
      </c>
      <c r="T416" s="64" t="str">
        <f>IFERROR(__xludf.DUMMYFUNCTION("IF($A416="""","""",IFERROR(TEXTJOIN("", "",TRUE,UNIQUE(FILTER(Candidates!$B$2:$B$2000,Candidates!$A$2:$A$2000=$A416))),""""))"),"")</f>
        <v/>
      </c>
      <c r="U416" s="66" t="str">
        <f>IF($A416="","",COUNTIF(Candidates!$A$2:$A$2000,$A416))</f>
        <v/>
      </c>
      <c r="V416" s="64" t="str">
        <f>IFERROR(__xludf.DUMMYFUNCTION("IF($A416="""","""",IFERROR(INDEX(FILTER(Candidates!$S$2:$S$2000,Candidates!$A$2:$A$2000=$A416),COUNTIF(Candidates!$A$2:$A$2000,$A416)),""""))"),"")</f>
        <v/>
      </c>
      <c r="W416" s="64" t="str">
        <f>IFERROR(__xludf.DUMMYFUNCTION("IF($A416="""","""",IFERROR(INDEX(FILTER(Candidates!$T$2:$T$2000,Candidates!$A$2:$A$2000=$A416),COUNTIF(Candidates!$A$2:$A$2000,$A416)),""""))"),"")</f>
        <v/>
      </c>
      <c r="X416" s="64"/>
      <c r="Y416" s="64"/>
      <c r="Z416" s="65"/>
      <c r="AA416" s="65"/>
      <c r="AB416" s="65"/>
      <c r="AC416" s="65"/>
    </row>
    <row r="417">
      <c r="A417" s="64"/>
      <c r="B417" s="64"/>
      <c r="C417" s="64"/>
      <c r="D417" s="64"/>
      <c r="E417" s="64"/>
      <c r="F417" s="64"/>
      <c r="G417" s="64"/>
      <c r="H417" s="63"/>
      <c r="I417" s="64"/>
      <c r="J417" s="64"/>
      <c r="K417" s="64"/>
      <c r="L417" s="64"/>
      <c r="M417" s="64"/>
      <c r="N417" s="64"/>
      <c r="O417" s="64"/>
      <c r="P417" s="64"/>
      <c r="Q417" s="64"/>
      <c r="R417" s="65" t="str">
        <f>IF($A417="","",IFERROR(MINIFS(Candidates!$K$2:$K$2000,Candidates!$A$2:$A$2000,$A417),""))</f>
        <v/>
      </c>
      <c r="S417" s="65" t="str">
        <f>IF($A417="","",IFERROR(MAXIFS(Candidates!$AA$2:$AA$2000,Candidates!$A$2:$A$2000,$A417),""))</f>
        <v/>
      </c>
      <c r="T417" s="64" t="str">
        <f>IFERROR(__xludf.DUMMYFUNCTION("IF($A417="""","""",IFERROR(TEXTJOIN("", "",TRUE,UNIQUE(FILTER(Candidates!$B$2:$B$2000,Candidates!$A$2:$A$2000=$A417))),""""))"),"")</f>
        <v/>
      </c>
      <c r="U417" s="66" t="str">
        <f>IF($A417="","",COUNTIF(Candidates!$A$2:$A$2000,$A417))</f>
        <v/>
      </c>
      <c r="V417" s="64" t="str">
        <f>IFERROR(__xludf.DUMMYFUNCTION("IF($A417="""","""",IFERROR(INDEX(FILTER(Candidates!$S$2:$S$2000,Candidates!$A$2:$A$2000=$A417),COUNTIF(Candidates!$A$2:$A$2000,$A417)),""""))"),"")</f>
        <v/>
      </c>
      <c r="W417" s="64" t="str">
        <f>IFERROR(__xludf.DUMMYFUNCTION("IF($A417="""","""",IFERROR(INDEX(FILTER(Candidates!$T$2:$T$2000,Candidates!$A$2:$A$2000=$A417),COUNTIF(Candidates!$A$2:$A$2000,$A417)),""""))"),"")</f>
        <v/>
      </c>
      <c r="X417" s="64"/>
      <c r="Y417" s="64"/>
      <c r="Z417" s="65"/>
      <c r="AA417" s="65"/>
      <c r="AB417" s="65"/>
      <c r="AC417" s="65"/>
    </row>
    <row r="418">
      <c r="A418" s="64"/>
      <c r="B418" s="64"/>
      <c r="C418" s="64"/>
      <c r="D418" s="64"/>
      <c r="E418" s="64"/>
      <c r="F418" s="64"/>
      <c r="G418" s="64"/>
      <c r="H418" s="63"/>
      <c r="I418" s="64"/>
      <c r="J418" s="64"/>
      <c r="K418" s="64"/>
      <c r="L418" s="64"/>
      <c r="M418" s="64"/>
      <c r="N418" s="64"/>
      <c r="O418" s="64"/>
      <c r="P418" s="64"/>
      <c r="Q418" s="64"/>
      <c r="R418" s="65" t="str">
        <f>IF($A418="","",IFERROR(MINIFS(Candidates!$K$2:$K$2000,Candidates!$A$2:$A$2000,$A418),""))</f>
        <v/>
      </c>
      <c r="S418" s="65" t="str">
        <f>IF($A418="","",IFERROR(MAXIFS(Candidates!$AA$2:$AA$2000,Candidates!$A$2:$A$2000,$A418),""))</f>
        <v/>
      </c>
      <c r="T418" s="64" t="str">
        <f>IFERROR(__xludf.DUMMYFUNCTION("IF($A418="""","""",IFERROR(TEXTJOIN("", "",TRUE,UNIQUE(FILTER(Candidates!$B$2:$B$2000,Candidates!$A$2:$A$2000=$A418))),""""))"),"")</f>
        <v/>
      </c>
      <c r="U418" s="66" t="str">
        <f>IF($A418="","",COUNTIF(Candidates!$A$2:$A$2000,$A418))</f>
        <v/>
      </c>
      <c r="V418" s="64" t="str">
        <f>IFERROR(__xludf.DUMMYFUNCTION("IF($A418="""","""",IFERROR(INDEX(FILTER(Candidates!$S$2:$S$2000,Candidates!$A$2:$A$2000=$A418),COUNTIF(Candidates!$A$2:$A$2000,$A418)),""""))"),"")</f>
        <v/>
      </c>
      <c r="W418" s="64" t="str">
        <f>IFERROR(__xludf.DUMMYFUNCTION("IF($A418="""","""",IFERROR(INDEX(FILTER(Candidates!$T$2:$T$2000,Candidates!$A$2:$A$2000=$A418),COUNTIF(Candidates!$A$2:$A$2000,$A418)),""""))"),"")</f>
        <v/>
      </c>
      <c r="X418" s="64"/>
      <c r="Y418" s="64"/>
      <c r="Z418" s="65"/>
      <c r="AA418" s="65"/>
      <c r="AB418" s="65"/>
      <c r="AC418" s="65"/>
    </row>
    <row r="419">
      <c r="A419" s="64"/>
      <c r="B419" s="64"/>
      <c r="C419" s="64"/>
      <c r="D419" s="64"/>
      <c r="E419" s="64"/>
      <c r="F419" s="64"/>
      <c r="G419" s="64"/>
      <c r="H419" s="63"/>
      <c r="I419" s="64"/>
      <c r="J419" s="64"/>
      <c r="K419" s="64"/>
      <c r="L419" s="64"/>
      <c r="M419" s="64"/>
      <c r="N419" s="64"/>
      <c r="O419" s="64"/>
      <c r="P419" s="64"/>
      <c r="Q419" s="64"/>
      <c r="R419" s="65" t="str">
        <f>IF($A419="","",IFERROR(MINIFS(Candidates!$K$2:$K$2000,Candidates!$A$2:$A$2000,$A419),""))</f>
        <v/>
      </c>
      <c r="S419" s="65" t="str">
        <f>IF($A419="","",IFERROR(MAXIFS(Candidates!$AA$2:$AA$2000,Candidates!$A$2:$A$2000,$A419),""))</f>
        <v/>
      </c>
      <c r="T419" s="64" t="str">
        <f>IFERROR(__xludf.DUMMYFUNCTION("IF($A419="""","""",IFERROR(TEXTJOIN("", "",TRUE,UNIQUE(FILTER(Candidates!$B$2:$B$2000,Candidates!$A$2:$A$2000=$A419))),""""))"),"")</f>
        <v/>
      </c>
      <c r="U419" s="66" t="str">
        <f>IF($A419="","",COUNTIF(Candidates!$A$2:$A$2000,$A419))</f>
        <v/>
      </c>
      <c r="V419" s="64" t="str">
        <f>IFERROR(__xludf.DUMMYFUNCTION("IF($A419="""","""",IFERROR(INDEX(FILTER(Candidates!$S$2:$S$2000,Candidates!$A$2:$A$2000=$A419),COUNTIF(Candidates!$A$2:$A$2000,$A419)),""""))"),"")</f>
        <v/>
      </c>
      <c r="W419" s="64" t="str">
        <f>IFERROR(__xludf.DUMMYFUNCTION("IF($A419="""","""",IFERROR(INDEX(FILTER(Candidates!$T$2:$T$2000,Candidates!$A$2:$A$2000=$A419),COUNTIF(Candidates!$A$2:$A$2000,$A419)),""""))"),"")</f>
        <v/>
      </c>
      <c r="X419" s="64"/>
      <c r="Y419" s="64"/>
      <c r="Z419" s="65"/>
      <c r="AA419" s="65"/>
      <c r="AB419" s="65"/>
      <c r="AC419" s="65"/>
    </row>
    <row r="420">
      <c r="A420" s="64"/>
      <c r="B420" s="64"/>
      <c r="C420" s="64"/>
      <c r="D420" s="64"/>
      <c r="E420" s="64"/>
      <c r="F420" s="64"/>
      <c r="G420" s="64"/>
      <c r="H420" s="63"/>
      <c r="I420" s="64"/>
      <c r="J420" s="64"/>
      <c r="K420" s="64"/>
      <c r="L420" s="64"/>
      <c r="M420" s="64"/>
      <c r="N420" s="64"/>
      <c r="O420" s="64"/>
      <c r="P420" s="64"/>
      <c r="Q420" s="64"/>
      <c r="R420" s="65" t="str">
        <f>IF($A420="","",IFERROR(MINIFS(Candidates!$K$2:$K$2000,Candidates!$A$2:$A$2000,$A420),""))</f>
        <v/>
      </c>
      <c r="S420" s="65" t="str">
        <f>IF($A420="","",IFERROR(MAXIFS(Candidates!$AA$2:$AA$2000,Candidates!$A$2:$A$2000,$A420),""))</f>
        <v/>
      </c>
      <c r="T420" s="64" t="str">
        <f>IFERROR(__xludf.DUMMYFUNCTION("IF($A420="""","""",IFERROR(TEXTJOIN("", "",TRUE,UNIQUE(FILTER(Candidates!$B$2:$B$2000,Candidates!$A$2:$A$2000=$A420))),""""))"),"")</f>
        <v/>
      </c>
      <c r="U420" s="66" t="str">
        <f>IF($A420="","",COUNTIF(Candidates!$A$2:$A$2000,$A420))</f>
        <v/>
      </c>
      <c r="V420" s="64" t="str">
        <f>IFERROR(__xludf.DUMMYFUNCTION("IF($A420="""","""",IFERROR(INDEX(FILTER(Candidates!$S$2:$S$2000,Candidates!$A$2:$A$2000=$A420),COUNTIF(Candidates!$A$2:$A$2000,$A420)),""""))"),"")</f>
        <v/>
      </c>
      <c r="W420" s="64" t="str">
        <f>IFERROR(__xludf.DUMMYFUNCTION("IF($A420="""","""",IFERROR(INDEX(FILTER(Candidates!$T$2:$T$2000,Candidates!$A$2:$A$2000=$A420),COUNTIF(Candidates!$A$2:$A$2000,$A420)),""""))"),"")</f>
        <v/>
      </c>
      <c r="X420" s="64"/>
      <c r="Y420" s="64"/>
      <c r="Z420" s="65"/>
      <c r="AA420" s="65"/>
      <c r="AB420" s="65"/>
      <c r="AC420" s="65"/>
    </row>
    <row r="421">
      <c r="A421" s="64"/>
      <c r="B421" s="64"/>
      <c r="C421" s="64"/>
      <c r="D421" s="64"/>
      <c r="E421" s="64"/>
      <c r="F421" s="64"/>
      <c r="G421" s="64"/>
      <c r="H421" s="63"/>
      <c r="I421" s="64"/>
      <c r="J421" s="64"/>
      <c r="K421" s="64"/>
      <c r="L421" s="64"/>
      <c r="M421" s="64"/>
      <c r="N421" s="64"/>
      <c r="O421" s="64"/>
      <c r="P421" s="64"/>
      <c r="Q421" s="64"/>
      <c r="R421" s="65" t="str">
        <f>IF($A421="","",IFERROR(MINIFS(Candidates!$K$2:$K$2000,Candidates!$A$2:$A$2000,$A421),""))</f>
        <v/>
      </c>
      <c r="S421" s="65" t="str">
        <f>IF($A421="","",IFERROR(MAXIFS(Candidates!$AA$2:$AA$2000,Candidates!$A$2:$A$2000,$A421),""))</f>
        <v/>
      </c>
      <c r="T421" s="64" t="str">
        <f>IFERROR(__xludf.DUMMYFUNCTION("IF($A421="""","""",IFERROR(TEXTJOIN("", "",TRUE,UNIQUE(FILTER(Candidates!$B$2:$B$2000,Candidates!$A$2:$A$2000=$A421))),""""))"),"")</f>
        <v/>
      </c>
      <c r="U421" s="66" t="str">
        <f>IF($A421="","",COUNTIF(Candidates!$A$2:$A$2000,$A421))</f>
        <v/>
      </c>
      <c r="V421" s="64" t="str">
        <f>IFERROR(__xludf.DUMMYFUNCTION("IF($A421="""","""",IFERROR(INDEX(FILTER(Candidates!$S$2:$S$2000,Candidates!$A$2:$A$2000=$A421),COUNTIF(Candidates!$A$2:$A$2000,$A421)),""""))"),"")</f>
        <v/>
      </c>
      <c r="W421" s="64" t="str">
        <f>IFERROR(__xludf.DUMMYFUNCTION("IF($A421="""","""",IFERROR(INDEX(FILTER(Candidates!$T$2:$T$2000,Candidates!$A$2:$A$2000=$A421),COUNTIF(Candidates!$A$2:$A$2000,$A421)),""""))"),"")</f>
        <v/>
      </c>
      <c r="X421" s="64"/>
      <c r="Y421" s="64"/>
      <c r="Z421" s="65"/>
      <c r="AA421" s="65"/>
      <c r="AB421" s="65"/>
      <c r="AC421" s="65"/>
    </row>
    <row r="422">
      <c r="A422" s="64"/>
      <c r="B422" s="64"/>
      <c r="C422" s="64"/>
      <c r="D422" s="64"/>
      <c r="E422" s="64"/>
      <c r="F422" s="64"/>
      <c r="G422" s="64"/>
      <c r="H422" s="63"/>
      <c r="I422" s="64"/>
      <c r="J422" s="64"/>
      <c r="K422" s="64"/>
      <c r="L422" s="64"/>
      <c r="M422" s="64"/>
      <c r="N422" s="64"/>
      <c r="O422" s="64"/>
      <c r="P422" s="64"/>
      <c r="Q422" s="64"/>
      <c r="R422" s="65" t="str">
        <f>IF($A422="","",IFERROR(MINIFS(Candidates!$K$2:$K$2000,Candidates!$A$2:$A$2000,$A422),""))</f>
        <v/>
      </c>
      <c r="S422" s="65" t="str">
        <f>IF($A422="","",IFERROR(MAXIFS(Candidates!$AA$2:$AA$2000,Candidates!$A$2:$A$2000,$A422),""))</f>
        <v/>
      </c>
      <c r="T422" s="64" t="str">
        <f>IFERROR(__xludf.DUMMYFUNCTION("IF($A422="""","""",IFERROR(TEXTJOIN("", "",TRUE,UNIQUE(FILTER(Candidates!$B$2:$B$2000,Candidates!$A$2:$A$2000=$A422))),""""))"),"")</f>
        <v/>
      </c>
      <c r="U422" s="66" t="str">
        <f>IF($A422="","",COUNTIF(Candidates!$A$2:$A$2000,$A422))</f>
        <v/>
      </c>
      <c r="V422" s="64" t="str">
        <f>IFERROR(__xludf.DUMMYFUNCTION("IF($A422="""","""",IFERROR(INDEX(FILTER(Candidates!$S$2:$S$2000,Candidates!$A$2:$A$2000=$A422),COUNTIF(Candidates!$A$2:$A$2000,$A422)),""""))"),"")</f>
        <v/>
      </c>
      <c r="W422" s="64" t="str">
        <f>IFERROR(__xludf.DUMMYFUNCTION("IF($A422="""","""",IFERROR(INDEX(FILTER(Candidates!$T$2:$T$2000,Candidates!$A$2:$A$2000=$A422),COUNTIF(Candidates!$A$2:$A$2000,$A422)),""""))"),"")</f>
        <v/>
      </c>
      <c r="X422" s="64"/>
      <c r="Y422" s="64"/>
      <c r="Z422" s="65"/>
      <c r="AA422" s="65"/>
      <c r="AB422" s="65"/>
      <c r="AC422" s="65"/>
    </row>
    <row r="423">
      <c r="A423" s="64"/>
      <c r="B423" s="64"/>
      <c r="C423" s="64"/>
      <c r="D423" s="64"/>
      <c r="E423" s="64"/>
      <c r="F423" s="64"/>
      <c r="G423" s="64"/>
      <c r="H423" s="63"/>
      <c r="I423" s="64"/>
      <c r="J423" s="64"/>
      <c r="K423" s="64"/>
      <c r="L423" s="64"/>
      <c r="M423" s="64"/>
      <c r="N423" s="64"/>
      <c r="O423" s="64"/>
      <c r="P423" s="64"/>
      <c r="Q423" s="64"/>
      <c r="R423" s="65" t="str">
        <f>IF($A423="","",IFERROR(MINIFS(Candidates!$K$2:$K$2000,Candidates!$A$2:$A$2000,$A423),""))</f>
        <v/>
      </c>
      <c r="S423" s="65" t="str">
        <f>IF($A423="","",IFERROR(MAXIFS(Candidates!$AA$2:$AA$2000,Candidates!$A$2:$A$2000,$A423),""))</f>
        <v/>
      </c>
      <c r="T423" s="64" t="str">
        <f>IFERROR(__xludf.DUMMYFUNCTION("IF($A423="""","""",IFERROR(TEXTJOIN("", "",TRUE,UNIQUE(FILTER(Candidates!$B$2:$B$2000,Candidates!$A$2:$A$2000=$A423))),""""))"),"")</f>
        <v/>
      </c>
      <c r="U423" s="66" t="str">
        <f>IF($A423="","",COUNTIF(Candidates!$A$2:$A$2000,$A423))</f>
        <v/>
      </c>
      <c r="V423" s="64" t="str">
        <f>IFERROR(__xludf.DUMMYFUNCTION("IF($A423="""","""",IFERROR(INDEX(FILTER(Candidates!$S$2:$S$2000,Candidates!$A$2:$A$2000=$A423),COUNTIF(Candidates!$A$2:$A$2000,$A423)),""""))"),"")</f>
        <v/>
      </c>
      <c r="W423" s="64" t="str">
        <f>IFERROR(__xludf.DUMMYFUNCTION("IF($A423="""","""",IFERROR(INDEX(FILTER(Candidates!$T$2:$T$2000,Candidates!$A$2:$A$2000=$A423),COUNTIF(Candidates!$A$2:$A$2000,$A423)),""""))"),"")</f>
        <v/>
      </c>
      <c r="X423" s="64"/>
      <c r="Y423" s="64"/>
      <c r="Z423" s="65"/>
      <c r="AA423" s="65"/>
      <c r="AB423" s="65"/>
      <c r="AC423" s="65"/>
    </row>
    <row r="424">
      <c r="A424" s="64"/>
      <c r="B424" s="64"/>
      <c r="C424" s="64"/>
      <c r="D424" s="64"/>
      <c r="E424" s="64"/>
      <c r="F424" s="64"/>
      <c r="G424" s="64"/>
      <c r="H424" s="63"/>
      <c r="I424" s="64"/>
      <c r="J424" s="64"/>
      <c r="K424" s="64"/>
      <c r="L424" s="64"/>
      <c r="M424" s="64"/>
      <c r="N424" s="64"/>
      <c r="O424" s="64"/>
      <c r="P424" s="64"/>
      <c r="Q424" s="64"/>
      <c r="R424" s="65" t="str">
        <f>IF($A424="","",IFERROR(MINIFS(Candidates!$K$2:$K$2000,Candidates!$A$2:$A$2000,$A424),""))</f>
        <v/>
      </c>
      <c r="S424" s="65" t="str">
        <f>IF($A424="","",IFERROR(MAXIFS(Candidates!$AA$2:$AA$2000,Candidates!$A$2:$A$2000,$A424),""))</f>
        <v/>
      </c>
      <c r="T424" s="64" t="str">
        <f>IFERROR(__xludf.DUMMYFUNCTION("IF($A424="""","""",IFERROR(TEXTJOIN("", "",TRUE,UNIQUE(FILTER(Candidates!$B$2:$B$2000,Candidates!$A$2:$A$2000=$A424))),""""))"),"")</f>
        <v/>
      </c>
      <c r="U424" s="66" t="str">
        <f>IF($A424="","",COUNTIF(Candidates!$A$2:$A$2000,$A424))</f>
        <v/>
      </c>
      <c r="V424" s="64" t="str">
        <f>IFERROR(__xludf.DUMMYFUNCTION("IF($A424="""","""",IFERROR(INDEX(FILTER(Candidates!$S$2:$S$2000,Candidates!$A$2:$A$2000=$A424),COUNTIF(Candidates!$A$2:$A$2000,$A424)),""""))"),"")</f>
        <v/>
      </c>
      <c r="W424" s="64" t="str">
        <f>IFERROR(__xludf.DUMMYFUNCTION("IF($A424="""","""",IFERROR(INDEX(FILTER(Candidates!$T$2:$T$2000,Candidates!$A$2:$A$2000=$A424),COUNTIF(Candidates!$A$2:$A$2000,$A424)),""""))"),"")</f>
        <v/>
      </c>
      <c r="X424" s="64"/>
      <c r="Y424" s="64"/>
      <c r="Z424" s="65"/>
      <c r="AA424" s="65"/>
      <c r="AB424" s="65"/>
      <c r="AC424" s="65"/>
    </row>
    <row r="425">
      <c r="A425" s="64"/>
      <c r="B425" s="64"/>
      <c r="C425" s="64"/>
      <c r="D425" s="64"/>
      <c r="E425" s="64"/>
      <c r="F425" s="64"/>
      <c r="G425" s="64"/>
      <c r="H425" s="63"/>
      <c r="I425" s="64"/>
      <c r="J425" s="64"/>
      <c r="K425" s="64"/>
      <c r="L425" s="64"/>
      <c r="M425" s="64"/>
      <c r="N425" s="64"/>
      <c r="O425" s="64"/>
      <c r="P425" s="64"/>
      <c r="Q425" s="64"/>
      <c r="R425" s="65" t="str">
        <f>IF($A425="","",IFERROR(MINIFS(Candidates!$K$2:$K$2000,Candidates!$A$2:$A$2000,$A425),""))</f>
        <v/>
      </c>
      <c r="S425" s="65" t="str">
        <f>IF($A425="","",IFERROR(MAXIFS(Candidates!$AA$2:$AA$2000,Candidates!$A$2:$A$2000,$A425),""))</f>
        <v/>
      </c>
      <c r="T425" s="64" t="str">
        <f>IFERROR(__xludf.DUMMYFUNCTION("IF($A425="""","""",IFERROR(TEXTJOIN("", "",TRUE,UNIQUE(FILTER(Candidates!$B$2:$B$2000,Candidates!$A$2:$A$2000=$A425))),""""))"),"")</f>
        <v/>
      </c>
      <c r="U425" s="66" t="str">
        <f>IF($A425="","",COUNTIF(Candidates!$A$2:$A$2000,$A425))</f>
        <v/>
      </c>
      <c r="V425" s="64" t="str">
        <f>IFERROR(__xludf.DUMMYFUNCTION("IF($A425="""","""",IFERROR(INDEX(FILTER(Candidates!$S$2:$S$2000,Candidates!$A$2:$A$2000=$A425),COUNTIF(Candidates!$A$2:$A$2000,$A425)),""""))"),"")</f>
        <v/>
      </c>
      <c r="W425" s="64" t="str">
        <f>IFERROR(__xludf.DUMMYFUNCTION("IF($A425="""","""",IFERROR(INDEX(FILTER(Candidates!$T$2:$T$2000,Candidates!$A$2:$A$2000=$A425),COUNTIF(Candidates!$A$2:$A$2000,$A425)),""""))"),"")</f>
        <v/>
      </c>
      <c r="X425" s="64"/>
      <c r="Y425" s="64"/>
      <c r="Z425" s="65"/>
      <c r="AA425" s="65"/>
      <c r="AB425" s="65"/>
      <c r="AC425" s="65"/>
    </row>
    <row r="426">
      <c r="A426" s="64"/>
      <c r="B426" s="64"/>
      <c r="C426" s="64"/>
      <c r="D426" s="64"/>
      <c r="E426" s="64"/>
      <c r="F426" s="64"/>
      <c r="G426" s="64"/>
      <c r="H426" s="63"/>
      <c r="I426" s="64"/>
      <c r="J426" s="64"/>
      <c r="K426" s="64"/>
      <c r="L426" s="64"/>
      <c r="M426" s="64"/>
      <c r="N426" s="64"/>
      <c r="O426" s="64"/>
      <c r="P426" s="64"/>
      <c r="Q426" s="64"/>
      <c r="R426" s="65" t="str">
        <f>IF($A426="","",IFERROR(MINIFS(Candidates!$K$2:$K$2000,Candidates!$A$2:$A$2000,$A426),""))</f>
        <v/>
      </c>
      <c r="S426" s="65" t="str">
        <f>IF($A426="","",IFERROR(MAXIFS(Candidates!$AA$2:$AA$2000,Candidates!$A$2:$A$2000,$A426),""))</f>
        <v/>
      </c>
      <c r="T426" s="64" t="str">
        <f>IFERROR(__xludf.DUMMYFUNCTION("IF($A426="""","""",IFERROR(TEXTJOIN("", "",TRUE,UNIQUE(FILTER(Candidates!$B$2:$B$2000,Candidates!$A$2:$A$2000=$A426))),""""))"),"")</f>
        <v/>
      </c>
      <c r="U426" s="66" t="str">
        <f>IF($A426="","",COUNTIF(Candidates!$A$2:$A$2000,$A426))</f>
        <v/>
      </c>
      <c r="V426" s="64" t="str">
        <f>IFERROR(__xludf.DUMMYFUNCTION("IF($A426="""","""",IFERROR(INDEX(FILTER(Candidates!$S$2:$S$2000,Candidates!$A$2:$A$2000=$A426),COUNTIF(Candidates!$A$2:$A$2000,$A426)),""""))"),"")</f>
        <v/>
      </c>
      <c r="W426" s="64" t="str">
        <f>IFERROR(__xludf.DUMMYFUNCTION("IF($A426="""","""",IFERROR(INDEX(FILTER(Candidates!$T$2:$T$2000,Candidates!$A$2:$A$2000=$A426),COUNTIF(Candidates!$A$2:$A$2000,$A426)),""""))"),"")</f>
        <v/>
      </c>
      <c r="X426" s="64"/>
      <c r="Y426" s="64"/>
      <c r="Z426" s="65"/>
      <c r="AA426" s="65"/>
      <c r="AB426" s="65"/>
      <c r="AC426" s="65"/>
    </row>
    <row r="427">
      <c r="A427" s="64"/>
      <c r="B427" s="64"/>
      <c r="C427" s="64"/>
      <c r="D427" s="64"/>
      <c r="E427" s="64"/>
      <c r="F427" s="64"/>
      <c r="G427" s="64"/>
      <c r="H427" s="63"/>
      <c r="I427" s="64"/>
      <c r="J427" s="64"/>
      <c r="K427" s="64"/>
      <c r="L427" s="64"/>
      <c r="M427" s="64"/>
      <c r="N427" s="64"/>
      <c r="O427" s="64"/>
      <c r="P427" s="64"/>
      <c r="Q427" s="64"/>
      <c r="R427" s="65" t="str">
        <f>IF($A427="","",IFERROR(MINIFS(Candidates!$K$2:$K$2000,Candidates!$A$2:$A$2000,$A427),""))</f>
        <v/>
      </c>
      <c r="S427" s="65" t="str">
        <f>IF($A427="","",IFERROR(MAXIFS(Candidates!$AA$2:$AA$2000,Candidates!$A$2:$A$2000,$A427),""))</f>
        <v/>
      </c>
      <c r="T427" s="64" t="str">
        <f>IFERROR(__xludf.DUMMYFUNCTION("IF($A427="""","""",IFERROR(TEXTJOIN("", "",TRUE,UNIQUE(FILTER(Candidates!$B$2:$B$2000,Candidates!$A$2:$A$2000=$A427))),""""))"),"")</f>
        <v/>
      </c>
      <c r="U427" s="66" t="str">
        <f>IF($A427="","",COUNTIF(Candidates!$A$2:$A$2000,$A427))</f>
        <v/>
      </c>
      <c r="V427" s="64" t="str">
        <f>IFERROR(__xludf.DUMMYFUNCTION("IF($A427="""","""",IFERROR(INDEX(FILTER(Candidates!$S$2:$S$2000,Candidates!$A$2:$A$2000=$A427),COUNTIF(Candidates!$A$2:$A$2000,$A427)),""""))"),"")</f>
        <v/>
      </c>
      <c r="W427" s="64" t="str">
        <f>IFERROR(__xludf.DUMMYFUNCTION("IF($A427="""","""",IFERROR(INDEX(FILTER(Candidates!$T$2:$T$2000,Candidates!$A$2:$A$2000=$A427),COUNTIF(Candidates!$A$2:$A$2000,$A427)),""""))"),"")</f>
        <v/>
      </c>
      <c r="X427" s="64"/>
      <c r="Y427" s="64"/>
      <c r="Z427" s="65"/>
      <c r="AA427" s="65"/>
      <c r="AB427" s="65"/>
      <c r="AC427" s="65"/>
    </row>
    <row r="428">
      <c r="A428" s="64"/>
      <c r="B428" s="64"/>
      <c r="C428" s="64"/>
      <c r="D428" s="64"/>
      <c r="E428" s="64"/>
      <c r="F428" s="64"/>
      <c r="G428" s="64"/>
      <c r="H428" s="63"/>
      <c r="I428" s="64"/>
      <c r="J428" s="64"/>
      <c r="K428" s="64"/>
      <c r="L428" s="64"/>
      <c r="M428" s="64"/>
      <c r="N428" s="64"/>
      <c r="O428" s="64"/>
      <c r="P428" s="64"/>
      <c r="Q428" s="64"/>
      <c r="R428" s="65" t="str">
        <f>IF($A428="","",IFERROR(MINIFS(Candidates!$K$2:$K$2000,Candidates!$A$2:$A$2000,$A428),""))</f>
        <v/>
      </c>
      <c r="S428" s="65" t="str">
        <f>IF($A428="","",IFERROR(MAXIFS(Candidates!$AA$2:$AA$2000,Candidates!$A$2:$A$2000,$A428),""))</f>
        <v/>
      </c>
      <c r="T428" s="64" t="str">
        <f>IFERROR(__xludf.DUMMYFUNCTION("IF($A428="""","""",IFERROR(TEXTJOIN("", "",TRUE,UNIQUE(FILTER(Candidates!$B$2:$B$2000,Candidates!$A$2:$A$2000=$A428))),""""))"),"")</f>
        <v/>
      </c>
      <c r="U428" s="66" t="str">
        <f>IF($A428="","",COUNTIF(Candidates!$A$2:$A$2000,$A428))</f>
        <v/>
      </c>
      <c r="V428" s="64" t="str">
        <f>IFERROR(__xludf.DUMMYFUNCTION("IF($A428="""","""",IFERROR(INDEX(FILTER(Candidates!$S$2:$S$2000,Candidates!$A$2:$A$2000=$A428),COUNTIF(Candidates!$A$2:$A$2000,$A428)),""""))"),"")</f>
        <v/>
      </c>
      <c r="W428" s="64" t="str">
        <f>IFERROR(__xludf.DUMMYFUNCTION("IF($A428="""","""",IFERROR(INDEX(FILTER(Candidates!$T$2:$T$2000,Candidates!$A$2:$A$2000=$A428),COUNTIF(Candidates!$A$2:$A$2000,$A428)),""""))"),"")</f>
        <v/>
      </c>
      <c r="X428" s="64"/>
      <c r="Y428" s="64"/>
      <c r="Z428" s="65"/>
      <c r="AA428" s="65"/>
      <c r="AB428" s="65"/>
      <c r="AC428" s="65"/>
    </row>
    <row r="429">
      <c r="A429" s="64"/>
      <c r="B429" s="64"/>
      <c r="C429" s="64"/>
      <c r="D429" s="64"/>
      <c r="E429" s="64"/>
      <c r="F429" s="64"/>
      <c r="G429" s="64"/>
      <c r="H429" s="63"/>
      <c r="I429" s="64"/>
      <c r="J429" s="64"/>
      <c r="K429" s="64"/>
      <c r="L429" s="64"/>
      <c r="M429" s="64"/>
      <c r="N429" s="64"/>
      <c r="O429" s="64"/>
      <c r="P429" s="64"/>
      <c r="Q429" s="64"/>
      <c r="R429" s="65" t="str">
        <f>IF($A429="","",IFERROR(MINIFS(Candidates!$K$2:$K$2000,Candidates!$A$2:$A$2000,$A429),""))</f>
        <v/>
      </c>
      <c r="S429" s="65" t="str">
        <f>IF($A429="","",IFERROR(MAXIFS(Candidates!$AA$2:$AA$2000,Candidates!$A$2:$A$2000,$A429),""))</f>
        <v/>
      </c>
      <c r="T429" s="64" t="str">
        <f>IFERROR(__xludf.DUMMYFUNCTION("IF($A429="""","""",IFERROR(TEXTJOIN("", "",TRUE,UNIQUE(FILTER(Candidates!$B$2:$B$2000,Candidates!$A$2:$A$2000=$A429))),""""))"),"")</f>
        <v/>
      </c>
      <c r="U429" s="66" t="str">
        <f>IF($A429="","",COUNTIF(Candidates!$A$2:$A$2000,$A429))</f>
        <v/>
      </c>
      <c r="V429" s="64" t="str">
        <f>IFERROR(__xludf.DUMMYFUNCTION("IF($A429="""","""",IFERROR(INDEX(FILTER(Candidates!$S$2:$S$2000,Candidates!$A$2:$A$2000=$A429),COUNTIF(Candidates!$A$2:$A$2000,$A429)),""""))"),"")</f>
        <v/>
      </c>
      <c r="W429" s="64" t="str">
        <f>IFERROR(__xludf.DUMMYFUNCTION("IF($A429="""","""",IFERROR(INDEX(FILTER(Candidates!$T$2:$T$2000,Candidates!$A$2:$A$2000=$A429),COUNTIF(Candidates!$A$2:$A$2000,$A429)),""""))"),"")</f>
        <v/>
      </c>
      <c r="X429" s="64"/>
      <c r="Y429" s="64"/>
      <c r="Z429" s="65"/>
      <c r="AA429" s="65"/>
      <c r="AB429" s="65"/>
      <c r="AC429" s="65"/>
    </row>
    <row r="430">
      <c r="A430" s="64"/>
      <c r="B430" s="64"/>
      <c r="C430" s="64"/>
      <c r="D430" s="64"/>
      <c r="E430" s="64"/>
      <c r="F430" s="64"/>
      <c r="G430" s="64"/>
      <c r="H430" s="63"/>
      <c r="I430" s="64"/>
      <c r="J430" s="64"/>
      <c r="K430" s="64"/>
      <c r="L430" s="64"/>
      <c r="M430" s="64"/>
      <c r="N430" s="64"/>
      <c r="O430" s="64"/>
      <c r="P430" s="64"/>
      <c r="Q430" s="64"/>
      <c r="R430" s="65" t="str">
        <f>IF($A430="","",IFERROR(MINIFS(Candidates!$K$2:$K$2000,Candidates!$A$2:$A$2000,$A430),""))</f>
        <v/>
      </c>
      <c r="S430" s="65" t="str">
        <f>IF($A430="","",IFERROR(MAXIFS(Candidates!$AA$2:$AA$2000,Candidates!$A$2:$A$2000,$A430),""))</f>
        <v/>
      </c>
      <c r="T430" s="64" t="str">
        <f>IFERROR(__xludf.DUMMYFUNCTION("IF($A430="""","""",IFERROR(TEXTJOIN("", "",TRUE,UNIQUE(FILTER(Candidates!$B$2:$B$2000,Candidates!$A$2:$A$2000=$A430))),""""))"),"")</f>
        <v/>
      </c>
      <c r="U430" s="66" t="str">
        <f>IF($A430="","",COUNTIF(Candidates!$A$2:$A$2000,$A430))</f>
        <v/>
      </c>
      <c r="V430" s="64" t="str">
        <f>IFERROR(__xludf.DUMMYFUNCTION("IF($A430="""","""",IFERROR(INDEX(FILTER(Candidates!$S$2:$S$2000,Candidates!$A$2:$A$2000=$A430),COUNTIF(Candidates!$A$2:$A$2000,$A430)),""""))"),"")</f>
        <v/>
      </c>
      <c r="W430" s="64" t="str">
        <f>IFERROR(__xludf.DUMMYFUNCTION("IF($A430="""","""",IFERROR(INDEX(FILTER(Candidates!$T$2:$T$2000,Candidates!$A$2:$A$2000=$A430),COUNTIF(Candidates!$A$2:$A$2000,$A430)),""""))"),"")</f>
        <v/>
      </c>
      <c r="X430" s="64"/>
      <c r="Y430" s="64"/>
      <c r="Z430" s="65"/>
      <c r="AA430" s="65"/>
      <c r="AB430" s="65"/>
      <c r="AC430" s="65"/>
    </row>
    <row r="431">
      <c r="A431" s="64"/>
      <c r="B431" s="64"/>
      <c r="C431" s="64"/>
      <c r="D431" s="64"/>
      <c r="E431" s="64"/>
      <c r="F431" s="64"/>
      <c r="G431" s="64"/>
      <c r="H431" s="63"/>
      <c r="I431" s="64"/>
      <c r="J431" s="64"/>
      <c r="K431" s="64"/>
      <c r="L431" s="64"/>
      <c r="M431" s="64"/>
      <c r="N431" s="64"/>
      <c r="O431" s="64"/>
      <c r="P431" s="64"/>
      <c r="Q431" s="64"/>
      <c r="R431" s="65" t="str">
        <f>IF($A431="","",IFERROR(MINIFS(Candidates!$K$2:$K$2000,Candidates!$A$2:$A$2000,$A431),""))</f>
        <v/>
      </c>
      <c r="S431" s="65" t="str">
        <f>IF($A431="","",IFERROR(MAXIFS(Candidates!$AA$2:$AA$2000,Candidates!$A$2:$A$2000,$A431),""))</f>
        <v/>
      </c>
      <c r="T431" s="64" t="str">
        <f>IFERROR(__xludf.DUMMYFUNCTION("IF($A431="""","""",IFERROR(TEXTJOIN("", "",TRUE,UNIQUE(FILTER(Candidates!$B$2:$B$2000,Candidates!$A$2:$A$2000=$A431))),""""))"),"")</f>
        <v/>
      </c>
      <c r="U431" s="66" t="str">
        <f>IF($A431="","",COUNTIF(Candidates!$A$2:$A$2000,$A431))</f>
        <v/>
      </c>
      <c r="V431" s="64" t="str">
        <f>IFERROR(__xludf.DUMMYFUNCTION("IF($A431="""","""",IFERROR(INDEX(FILTER(Candidates!$S$2:$S$2000,Candidates!$A$2:$A$2000=$A431),COUNTIF(Candidates!$A$2:$A$2000,$A431)),""""))"),"")</f>
        <v/>
      </c>
      <c r="W431" s="64" t="str">
        <f>IFERROR(__xludf.DUMMYFUNCTION("IF($A431="""","""",IFERROR(INDEX(FILTER(Candidates!$T$2:$T$2000,Candidates!$A$2:$A$2000=$A431),COUNTIF(Candidates!$A$2:$A$2000,$A431)),""""))"),"")</f>
        <v/>
      </c>
      <c r="X431" s="64"/>
      <c r="Y431" s="64"/>
      <c r="Z431" s="65"/>
      <c r="AA431" s="65"/>
      <c r="AB431" s="65"/>
      <c r="AC431" s="65"/>
    </row>
    <row r="432">
      <c r="A432" s="64"/>
      <c r="B432" s="64"/>
      <c r="C432" s="64"/>
      <c r="D432" s="64"/>
      <c r="E432" s="64"/>
      <c r="F432" s="64"/>
      <c r="G432" s="64"/>
      <c r="H432" s="63"/>
      <c r="I432" s="64"/>
      <c r="J432" s="64"/>
      <c r="K432" s="64"/>
      <c r="L432" s="64"/>
      <c r="M432" s="64"/>
      <c r="N432" s="64"/>
      <c r="O432" s="64"/>
      <c r="P432" s="64"/>
      <c r="Q432" s="64"/>
      <c r="R432" s="65" t="str">
        <f>IF($A432="","",IFERROR(MINIFS(Candidates!$K$2:$K$2000,Candidates!$A$2:$A$2000,$A432),""))</f>
        <v/>
      </c>
      <c r="S432" s="65" t="str">
        <f>IF($A432="","",IFERROR(MAXIFS(Candidates!$AA$2:$AA$2000,Candidates!$A$2:$A$2000,$A432),""))</f>
        <v/>
      </c>
      <c r="T432" s="64" t="str">
        <f>IFERROR(__xludf.DUMMYFUNCTION("IF($A432="""","""",IFERROR(TEXTJOIN("", "",TRUE,UNIQUE(FILTER(Candidates!$B$2:$B$2000,Candidates!$A$2:$A$2000=$A432))),""""))"),"")</f>
        <v/>
      </c>
      <c r="U432" s="66" t="str">
        <f>IF($A432="","",COUNTIF(Candidates!$A$2:$A$2000,$A432))</f>
        <v/>
      </c>
      <c r="V432" s="64" t="str">
        <f>IFERROR(__xludf.DUMMYFUNCTION("IF($A432="""","""",IFERROR(INDEX(FILTER(Candidates!$S$2:$S$2000,Candidates!$A$2:$A$2000=$A432),COUNTIF(Candidates!$A$2:$A$2000,$A432)),""""))"),"")</f>
        <v/>
      </c>
      <c r="W432" s="64" t="str">
        <f>IFERROR(__xludf.DUMMYFUNCTION("IF($A432="""","""",IFERROR(INDEX(FILTER(Candidates!$T$2:$T$2000,Candidates!$A$2:$A$2000=$A432),COUNTIF(Candidates!$A$2:$A$2000,$A432)),""""))"),"")</f>
        <v/>
      </c>
      <c r="X432" s="64"/>
      <c r="Y432" s="64"/>
      <c r="Z432" s="65"/>
      <c r="AA432" s="65"/>
      <c r="AB432" s="65"/>
      <c r="AC432" s="65"/>
    </row>
    <row r="433">
      <c r="A433" s="64"/>
      <c r="B433" s="64"/>
      <c r="C433" s="64"/>
      <c r="D433" s="64"/>
      <c r="E433" s="64"/>
      <c r="F433" s="64"/>
      <c r="G433" s="64"/>
      <c r="H433" s="63"/>
      <c r="I433" s="64"/>
      <c r="J433" s="64"/>
      <c r="K433" s="64"/>
      <c r="L433" s="64"/>
      <c r="M433" s="64"/>
      <c r="N433" s="64"/>
      <c r="O433" s="64"/>
      <c r="P433" s="64"/>
      <c r="Q433" s="64"/>
      <c r="R433" s="65" t="str">
        <f>IF($A433="","",IFERROR(MINIFS(Candidates!$K$2:$K$2000,Candidates!$A$2:$A$2000,$A433),""))</f>
        <v/>
      </c>
      <c r="S433" s="65" t="str">
        <f>IF($A433="","",IFERROR(MAXIFS(Candidates!$AA$2:$AA$2000,Candidates!$A$2:$A$2000,$A433),""))</f>
        <v/>
      </c>
      <c r="T433" s="64" t="str">
        <f>IFERROR(__xludf.DUMMYFUNCTION("IF($A433="""","""",IFERROR(TEXTJOIN("", "",TRUE,UNIQUE(FILTER(Candidates!$B$2:$B$2000,Candidates!$A$2:$A$2000=$A433))),""""))"),"")</f>
        <v/>
      </c>
      <c r="U433" s="66" t="str">
        <f>IF($A433="","",COUNTIF(Candidates!$A$2:$A$2000,$A433))</f>
        <v/>
      </c>
      <c r="V433" s="64" t="str">
        <f>IFERROR(__xludf.DUMMYFUNCTION("IF($A433="""","""",IFERROR(INDEX(FILTER(Candidates!$S$2:$S$2000,Candidates!$A$2:$A$2000=$A433),COUNTIF(Candidates!$A$2:$A$2000,$A433)),""""))"),"")</f>
        <v/>
      </c>
      <c r="W433" s="64" t="str">
        <f>IFERROR(__xludf.DUMMYFUNCTION("IF($A433="""","""",IFERROR(INDEX(FILTER(Candidates!$T$2:$T$2000,Candidates!$A$2:$A$2000=$A433),COUNTIF(Candidates!$A$2:$A$2000,$A433)),""""))"),"")</f>
        <v/>
      </c>
      <c r="X433" s="64"/>
      <c r="Y433" s="64"/>
      <c r="Z433" s="65"/>
      <c r="AA433" s="65"/>
      <c r="AB433" s="65"/>
      <c r="AC433" s="65"/>
    </row>
    <row r="434">
      <c r="A434" s="64"/>
      <c r="B434" s="64"/>
      <c r="C434" s="64"/>
      <c r="D434" s="64"/>
      <c r="E434" s="64"/>
      <c r="F434" s="64"/>
      <c r="G434" s="64"/>
      <c r="H434" s="63"/>
      <c r="I434" s="64"/>
      <c r="J434" s="64"/>
      <c r="K434" s="64"/>
      <c r="L434" s="64"/>
      <c r="M434" s="64"/>
      <c r="N434" s="64"/>
      <c r="O434" s="64"/>
      <c r="P434" s="64"/>
      <c r="Q434" s="64"/>
      <c r="R434" s="65" t="str">
        <f>IF($A434="","",IFERROR(MINIFS(Candidates!$K$2:$K$2000,Candidates!$A$2:$A$2000,$A434),""))</f>
        <v/>
      </c>
      <c r="S434" s="65" t="str">
        <f>IF($A434="","",IFERROR(MAXIFS(Candidates!$AA$2:$AA$2000,Candidates!$A$2:$A$2000,$A434),""))</f>
        <v/>
      </c>
      <c r="T434" s="64" t="str">
        <f>IFERROR(__xludf.DUMMYFUNCTION("IF($A434="""","""",IFERROR(TEXTJOIN("", "",TRUE,UNIQUE(FILTER(Candidates!$B$2:$B$2000,Candidates!$A$2:$A$2000=$A434))),""""))"),"")</f>
        <v/>
      </c>
      <c r="U434" s="66" t="str">
        <f>IF($A434="","",COUNTIF(Candidates!$A$2:$A$2000,$A434))</f>
        <v/>
      </c>
      <c r="V434" s="64" t="str">
        <f>IFERROR(__xludf.DUMMYFUNCTION("IF($A434="""","""",IFERROR(INDEX(FILTER(Candidates!$S$2:$S$2000,Candidates!$A$2:$A$2000=$A434),COUNTIF(Candidates!$A$2:$A$2000,$A434)),""""))"),"")</f>
        <v/>
      </c>
      <c r="W434" s="64" t="str">
        <f>IFERROR(__xludf.DUMMYFUNCTION("IF($A434="""","""",IFERROR(INDEX(FILTER(Candidates!$T$2:$T$2000,Candidates!$A$2:$A$2000=$A434),COUNTIF(Candidates!$A$2:$A$2000,$A434)),""""))"),"")</f>
        <v/>
      </c>
      <c r="X434" s="64"/>
      <c r="Y434" s="64"/>
      <c r="Z434" s="65"/>
      <c r="AA434" s="65"/>
      <c r="AB434" s="65"/>
      <c r="AC434" s="65"/>
    </row>
    <row r="435">
      <c r="A435" s="64"/>
      <c r="B435" s="64"/>
      <c r="C435" s="64"/>
      <c r="D435" s="64"/>
      <c r="E435" s="64"/>
      <c r="F435" s="64"/>
      <c r="G435" s="64"/>
      <c r="H435" s="63"/>
      <c r="I435" s="64"/>
      <c r="J435" s="64"/>
      <c r="K435" s="64"/>
      <c r="L435" s="64"/>
      <c r="M435" s="64"/>
      <c r="N435" s="64"/>
      <c r="O435" s="64"/>
      <c r="P435" s="64"/>
      <c r="Q435" s="64"/>
      <c r="R435" s="65" t="str">
        <f>IF($A435="","",IFERROR(MINIFS(Candidates!$K$2:$K$2000,Candidates!$A$2:$A$2000,$A435),""))</f>
        <v/>
      </c>
      <c r="S435" s="65" t="str">
        <f>IF($A435="","",IFERROR(MAXIFS(Candidates!$AA$2:$AA$2000,Candidates!$A$2:$A$2000,$A435),""))</f>
        <v/>
      </c>
      <c r="T435" s="64" t="str">
        <f>IFERROR(__xludf.DUMMYFUNCTION("IF($A435="""","""",IFERROR(TEXTJOIN("", "",TRUE,UNIQUE(FILTER(Candidates!$B$2:$B$2000,Candidates!$A$2:$A$2000=$A435))),""""))"),"")</f>
        <v/>
      </c>
      <c r="U435" s="66" t="str">
        <f>IF($A435="","",COUNTIF(Candidates!$A$2:$A$2000,$A435))</f>
        <v/>
      </c>
      <c r="V435" s="64" t="str">
        <f>IFERROR(__xludf.DUMMYFUNCTION("IF($A435="""","""",IFERROR(INDEX(FILTER(Candidates!$S$2:$S$2000,Candidates!$A$2:$A$2000=$A435),COUNTIF(Candidates!$A$2:$A$2000,$A435)),""""))"),"")</f>
        <v/>
      </c>
      <c r="W435" s="64" t="str">
        <f>IFERROR(__xludf.DUMMYFUNCTION("IF($A435="""","""",IFERROR(INDEX(FILTER(Candidates!$T$2:$T$2000,Candidates!$A$2:$A$2000=$A435),COUNTIF(Candidates!$A$2:$A$2000,$A435)),""""))"),"")</f>
        <v/>
      </c>
      <c r="X435" s="64"/>
      <c r="Y435" s="64"/>
      <c r="Z435" s="65"/>
      <c r="AA435" s="65"/>
      <c r="AB435" s="65"/>
      <c r="AC435" s="65"/>
    </row>
    <row r="436">
      <c r="A436" s="64"/>
      <c r="B436" s="64"/>
      <c r="C436" s="64"/>
      <c r="D436" s="64"/>
      <c r="E436" s="64"/>
      <c r="F436" s="64"/>
      <c r="G436" s="64"/>
      <c r="H436" s="63"/>
      <c r="I436" s="64"/>
      <c r="J436" s="64"/>
      <c r="K436" s="64"/>
      <c r="L436" s="64"/>
      <c r="M436" s="64"/>
      <c r="N436" s="64"/>
      <c r="O436" s="64"/>
      <c r="P436" s="64"/>
      <c r="Q436" s="64"/>
      <c r="R436" s="65" t="str">
        <f>IF($A436="","",IFERROR(MINIFS(Candidates!$K$2:$K$2000,Candidates!$A$2:$A$2000,$A436),""))</f>
        <v/>
      </c>
      <c r="S436" s="65" t="str">
        <f>IF($A436="","",IFERROR(MAXIFS(Candidates!$AA$2:$AA$2000,Candidates!$A$2:$A$2000,$A436),""))</f>
        <v/>
      </c>
      <c r="T436" s="64" t="str">
        <f>IFERROR(__xludf.DUMMYFUNCTION("IF($A436="""","""",IFERROR(TEXTJOIN("", "",TRUE,UNIQUE(FILTER(Candidates!$B$2:$B$2000,Candidates!$A$2:$A$2000=$A436))),""""))"),"")</f>
        <v/>
      </c>
      <c r="U436" s="66" t="str">
        <f>IF($A436="","",COUNTIF(Candidates!$A$2:$A$2000,$A436))</f>
        <v/>
      </c>
      <c r="V436" s="64" t="str">
        <f>IFERROR(__xludf.DUMMYFUNCTION("IF($A436="""","""",IFERROR(INDEX(FILTER(Candidates!$S$2:$S$2000,Candidates!$A$2:$A$2000=$A436),COUNTIF(Candidates!$A$2:$A$2000,$A436)),""""))"),"")</f>
        <v/>
      </c>
      <c r="W436" s="64" t="str">
        <f>IFERROR(__xludf.DUMMYFUNCTION("IF($A436="""","""",IFERROR(INDEX(FILTER(Candidates!$T$2:$T$2000,Candidates!$A$2:$A$2000=$A436),COUNTIF(Candidates!$A$2:$A$2000,$A436)),""""))"),"")</f>
        <v/>
      </c>
      <c r="X436" s="64"/>
      <c r="Y436" s="64"/>
      <c r="Z436" s="65"/>
      <c r="AA436" s="65"/>
      <c r="AB436" s="65"/>
      <c r="AC436" s="65"/>
    </row>
    <row r="437">
      <c r="A437" s="64"/>
      <c r="B437" s="64"/>
      <c r="C437" s="64"/>
      <c r="D437" s="64"/>
      <c r="E437" s="64"/>
      <c r="F437" s="64"/>
      <c r="G437" s="64"/>
      <c r="H437" s="63"/>
      <c r="I437" s="64"/>
      <c r="J437" s="64"/>
      <c r="K437" s="64"/>
      <c r="L437" s="64"/>
      <c r="M437" s="64"/>
      <c r="N437" s="64"/>
      <c r="O437" s="64"/>
      <c r="P437" s="64"/>
      <c r="Q437" s="64"/>
      <c r="R437" s="65" t="str">
        <f>IF($A437="","",IFERROR(MINIFS(Candidates!$K$2:$K$2000,Candidates!$A$2:$A$2000,$A437),""))</f>
        <v/>
      </c>
      <c r="S437" s="65" t="str">
        <f>IF($A437="","",IFERROR(MAXIFS(Candidates!$AA$2:$AA$2000,Candidates!$A$2:$A$2000,$A437),""))</f>
        <v/>
      </c>
      <c r="T437" s="64" t="str">
        <f>IFERROR(__xludf.DUMMYFUNCTION("IF($A437="""","""",IFERROR(TEXTJOIN("", "",TRUE,UNIQUE(FILTER(Candidates!$B$2:$B$2000,Candidates!$A$2:$A$2000=$A437))),""""))"),"")</f>
        <v/>
      </c>
      <c r="U437" s="66" t="str">
        <f>IF($A437="","",COUNTIF(Candidates!$A$2:$A$2000,$A437))</f>
        <v/>
      </c>
      <c r="V437" s="64" t="str">
        <f>IFERROR(__xludf.DUMMYFUNCTION("IF($A437="""","""",IFERROR(INDEX(FILTER(Candidates!$S$2:$S$2000,Candidates!$A$2:$A$2000=$A437),COUNTIF(Candidates!$A$2:$A$2000,$A437)),""""))"),"")</f>
        <v/>
      </c>
      <c r="W437" s="64" t="str">
        <f>IFERROR(__xludf.DUMMYFUNCTION("IF($A437="""","""",IFERROR(INDEX(FILTER(Candidates!$T$2:$T$2000,Candidates!$A$2:$A$2000=$A437),COUNTIF(Candidates!$A$2:$A$2000,$A437)),""""))"),"")</f>
        <v/>
      </c>
      <c r="X437" s="64"/>
      <c r="Y437" s="64"/>
      <c r="Z437" s="65"/>
      <c r="AA437" s="65"/>
      <c r="AB437" s="65"/>
      <c r="AC437" s="65"/>
    </row>
    <row r="438">
      <c r="A438" s="64"/>
      <c r="B438" s="64"/>
      <c r="C438" s="64"/>
      <c r="D438" s="64"/>
      <c r="E438" s="64"/>
      <c r="F438" s="64"/>
      <c r="G438" s="64"/>
      <c r="H438" s="63"/>
      <c r="I438" s="64"/>
      <c r="J438" s="64"/>
      <c r="K438" s="64"/>
      <c r="L438" s="64"/>
      <c r="M438" s="64"/>
      <c r="N438" s="64"/>
      <c r="O438" s="64"/>
      <c r="P438" s="64"/>
      <c r="Q438" s="64"/>
      <c r="R438" s="65" t="str">
        <f>IF($A438="","",IFERROR(MINIFS(Candidates!$K$2:$K$2000,Candidates!$A$2:$A$2000,$A438),""))</f>
        <v/>
      </c>
      <c r="S438" s="65" t="str">
        <f>IF($A438="","",IFERROR(MAXIFS(Candidates!$AA$2:$AA$2000,Candidates!$A$2:$A$2000,$A438),""))</f>
        <v/>
      </c>
      <c r="T438" s="64" t="str">
        <f>IFERROR(__xludf.DUMMYFUNCTION("IF($A438="""","""",IFERROR(TEXTJOIN("", "",TRUE,UNIQUE(FILTER(Candidates!$B$2:$B$2000,Candidates!$A$2:$A$2000=$A438))),""""))"),"")</f>
        <v/>
      </c>
      <c r="U438" s="66" t="str">
        <f>IF($A438="","",COUNTIF(Candidates!$A$2:$A$2000,$A438))</f>
        <v/>
      </c>
      <c r="V438" s="64" t="str">
        <f>IFERROR(__xludf.DUMMYFUNCTION("IF($A438="""","""",IFERROR(INDEX(FILTER(Candidates!$S$2:$S$2000,Candidates!$A$2:$A$2000=$A438),COUNTIF(Candidates!$A$2:$A$2000,$A438)),""""))"),"")</f>
        <v/>
      </c>
      <c r="W438" s="64" t="str">
        <f>IFERROR(__xludf.DUMMYFUNCTION("IF($A438="""","""",IFERROR(INDEX(FILTER(Candidates!$T$2:$T$2000,Candidates!$A$2:$A$2000=$A438),COUNTIF(Candidates!$A$2:$A$2000,$A438)),""""))"),"")</f>
        <v/>
      </c>
      <c r="X438" s="64"/>
      <c r="Y438" s="64"/>
      <c r="Z438" s="65"/>
      <c r="AA438" s="65"/>
      <c r="AB438" s="65"/>
      <c r="AC438" s="65"/>
    </row>
    <row r="439">
      <c r="A439" s="64"/>
      <c r="B439" s="64"/>
      <c r="C439" s="64"/>
      <c r="D439" s="64"/>
      <c r="E439" s="64"/>
      <c r="F439" s="64"/>
      <c r="G439" s="64"/>
      <c r="H439" s="63"/>
      <c r="I439" s="64"/>
      <c r="J439" s="64"/>
      <c r="K439" s="64"/>
      <c r="L439" s="64"/>
      <c r="M439" s="64"/>
      <c r="N439" s="64"/>
      <c r="O439" s="64"/>
      <c r="P439" s="64"/>
      <c r="Q439" s="64"/>
      <c r="R439" s="65" t="str">
        <f>IF($A439="","",IFERROR(MINIFS(Candidates!$K$2:$K$2000,Candidates!$A$2:$A$2000,$A439),""))</f>
        <v/>
      </c>
      <c r="S439" s="65" t="str">
        <f>IF($A439="","",IFERROR(MAXIFS(Candidates!$AA$2:$AA$2000,Candidates!$A$2:$A$2000,$A439),""))</f>
        <v/>
      </c>
      <c r="T439" s="64" t="str">
        <f>IFERROR(__xludf.DUMMYFUNCTION("IF($A439="""","""",IFERROR(TEXTJOIN("", "",TRUE,UNIQUE(FILTER(Candidates!$B$2:$B$2000,Candidates!$A$2:$A$2000=$A439))),""""))"),"")</f>
        <v/>
      </c>
      <c r="U439" s="66" t="str">
        <f>IF($A439="","",COUNTIF(Candidates!$A$2:$A$2000,$A439))</f>
        <v/>
      </c>
      <c r="V439" s="64" t="str">
        <f>IFERROR(__xludf.DUMMYFUNCTION("IF($A439="""","""",IFERROR(INDEX(FILTER(Candidates!$S$2:$S$2000,Candidates!$A$2:$A$2000=$A439),COUNTIF(Candidates!$A$2:$A$2000,$A439)),""""))"),"")</f>
        <v/>
      </c>
      <c r="W439" s="64" t="str">
        <f>IFERROR(__xludf.DUMMYFUNCTION("IF($A439="""","""",IFERROR(INDEX(FILTER(Candidates!$T$2:$T$2000,Candidates!$A$2:$A$2000=$A439),COUNTIF(Candidates!$A$2:$A$2000,$A439)),""""))"),"")</f>
        <v/>
      </c>
      <c r="X439" s="64"/>
      <c r="Y439" s="64"/>
      <c r="Z439" s="65"/>
      <c r="AA439" s="65"/>
      <c r="AB439" s="65"/>
      <c r="AC439" s="65"/>
    </row>
    <row r="440">
      <c r="A440" s="64"/>
      <c r="B440" s="64"/>
      <c r="C440" s="64"/>
      <c r="D440" s="64"/>
      <c r="E440" s="64"/>
      <c r="F440" s="64"/>
      <c r="G440" s="64"/>
      <c r="H440" s="63"/>
      <c r="I440" s="64"/>
      <c r="J440" s="64"/>
      <c r="K440" s="64"/>
      <c r="L440" s="64"/>
      <c r="M440" s="64"/>
      <c r="N440" s="64"/>
      <c r="O440" s="64"/>
      <c r="P440" s="64"/>
      <c r="Q440" s="64"/>
      <c r="R440" s="65" t="str">
        <f>IF($A440="","",IFERROR(MINIFS(Candidates!$K$2:$K$2000,Candidates!$A$2:$A$2000,$A440),""))</f>
        <v/>
      </c>
      <c r="S440" s="65" t="str">
        <f>IF($A440="","",IFERROR(MAXIFS(Candidates!$AA$2:$AA$2000,Candidates!$A$2:$A$2000,$A440),""))</f>
        <v/>
      </c>
      <c r="T440" s="64" t="str">
        <f>IFERROR(__xludf.DUMMYFUNCTION("IF($A440="""","""",IFERROR(TEXTJOIN("", "",TRUE,UNIQUE(FILTER(Candidates!$B$2:$B$2000,Candidates!$A$2:$A$2000=$A440))),""""))"),"")</f>
        <v/>
      </c>
      <c r="U440" s="66" t="str">
        <f>IF($A440="","",COUNTIF(Candidates!$A$2:$A$2000,$A440))</f>
        <v/>
      </c>
      <c r="V440" s="64" t="str">
        <f>IFERROR(__xludf.DUMMYFUNCTION("IF($A440="""","""",IFERROR(INDEX(FILTER(Candidates!$S$2:$S$2000,Candidates!$A$2:$A$2000=$A440),COUNTIF(Candidates!$A$2:$A$2000,$A440)),""""))"),"")</f>
        <v/>
      </c>
      <c r="W440" s="64" t="str">
        <f>IFERROR(__xludf.DUMMYFUNCTION("IF($A440="""","""",IFERROR(INDEX(FILTER(Candidates!$T$2:$T$2000,Candidates!$A$2:$A$2000=$A440),COUNTIF(Candidates!$A$2:$A$2000,$A440)),""""))"),"")</f>
        <v/>
      </c>
      <c r="X440" s="64"/>
      <c r="Y440" s="64"/>
      <c r="Z440" s="65"/>
      <c r="AA440" s="65"/>
      <c r="AB440" s="65"/>
      <c r="AC440" s="65"/>
    </row>
    <row r="441">
      <c r="A441" s="64"/>
      <c r="B441" s="64"/>
      <c r="C441" s="64"/>
      <c r="D441" s="64"/>
      <c r="E441" s="64"/>
      <c r="F441" s="64"/>
      <c r="G441" s="64"/>
      <c r="H441" s="63"/>
      <c r="I441" s="64"/>
      <c r="J441" s="64"/>
      <c r="K441" s="64"/>
      <c r="L441" s="64"/>
      <c r="M441" s="64"/>
      <c r="N441" s="64"/>
      <c r="O441" s="64"/>
      <c r="P441" s="64"/>
      <c r="Q441" s="64"/>
      <c r="R441" s="65" t="str">
        <f>IF($A441="","",IFERROR(MINIFS(Candidates!$K$2:$K$2000,Candidates!$A$2:$A$2000,$A441),""))</f>
        <v/>
      </c>
      <c r="S441" s="65" t="str">
        <f>IF($A441="","",IFERROR(MAXIFS(Candidates!$AA$2:$AA$2000,Candidates!$A$2:$A$2000,$A441),""))</f>
        <v/>
      </c>
      <c r="T441" s="64" t="str">
        <f>IFERROR(__xludf.DUMMYFUNCTION("IF($A441="""","""",IFERROR(TEXTJOIN("", "",TRUE,UNIQUE(FILTER(Candidates!$B$2:$B$2000,Candidates!$A$2:$A$2000=$A441))),""""))"),"")</f>
        <v/>
      </c>
      <c r="U441" s="66" t="str">
        <f>IF($A441="","",COUNTIF(Candidates!$A$2:$A$2000,$A441))</f>
        <v/>
      </c>
      <c r="V441" s="64" t="str">
        <f>IFERROR(__xludf.DUMMYFUNCTION("IF($A441="""","""",IFERROR(INDEX(FILTER(Candidates!$S$2:$S$2000,Candidates!$A$2:$A$2000=$A441),COUNTIF(Candidates!$A$2:$A$2000,$A441)),""""))"),"")</f>
        <v/>
      </c>
      <c r="W441" s="64" t="str">
        <f>IFERROR(__xludf.DUMMYFUNCTION("IF($A441="""","""",IFERROR(INDEX(FILTER(Candidates!$T$2:$T$2000,Candidates!$A$2:$A$2000=$A441),COUNTIF(Candidates!$A$2:$A$2000,$A441)),""""))"),"")</f>
        <v/>
      </c>
      <c r="X441" s="64"/>
      <c r="Y441" s="64"/>
      <c r="Z441" s="65"/>
      <c r="AA441" s="65"/>
      <c r="AB441" s="65"/>
      <c r="AC441" s="65"/>
    </row>
    <row r="442">
      <c r="A442" s="64"/>
      <c r="B442" s="64"/>
      <c r="C442" s="64"/>
      <c r="D442" s="64"/>
      <c r="E442" s="64"/>
      <c r="F442" s="64"/>
      <c r="G442" s="64"/>
      <c r="H442" s="63"/>
      <c r="I442" s="64"/>
      <c r="J442" s="64"/>
      <c r="K442" s="64"/>
      <c r="L442" s="64"/>
      <c r="M442" s="64"/>
      <c r="N442" s="64"/>
      <c r="O442" s="64"/>
      <c r="P442" s="64"/>
      <c r="Q442" s="64"/>
      <c r="R442" s="65" t="str">
        <f>IF($A442="","",IFERROR(MINIFS(Candidates!$K$2:$K$2000,Candidates!$A$2:$A$2000,$A442),""))</f>
        <v/>
      </c>
      <c r="S442" s="65" t="str">
        <f>IF($A442="","",IFERROR(MAXIFS(Candidates!$AA$2:$AA$2000,Candidates!$A$2:$A$2000,$A442),""))</f>
        <v/>
      </c>
      <c r="T442" s="64" t="str">
        <f>IFERROR(__xludf.DUMMYFUNCTION("IF($A442="""","""",IFERROR(TEXTJOIN("", "",TRUE,UNIQUE(FILTER(Candidates!$B$2:$B$2000,Candidates!$A$2:$A$2000=$A442))),""""))"),"")</f>
        <v/>
      </c>
      <c r="U442" s="66" t="str">
        <f>IF($A442="","",COUNTIF(Candidates!$A$2:$A$2000,$A442))</f>
        <v/>
      </c>
      <c r="V442" s="64" t="str">
        <f>IFERROR(__xludf.DUMMYFUNCTION("IF($A442="""","""",IFERROR(INDEX(FILTER(Candidates!$S$2:$S$2000,Candidates!$A$2:$A$2000=$A442),COUNTIF(Candidates!$A$2:$A$2000,$A442)),""""))"),"")</f>
        <v/>
      </c>
      <c r="W442" s="64" t="str">
        <f>IFERROR(__xludf.DUMMYFUNCTION("IF($A442="""","""",IFERROR(INDEX(FILTER(Candidates!$T$2:$T$2000,Candidates!$A$2:$A$2000=$A442),COUNTIF(Candidates!$A$2:$A$2000,$A442)),""""))"),"")</f>
        <v/>
      </c>
      <c r="X442" s="64"/>
      <c r="Y442" s="64"/>
      <c r="Z442" s="65"/>
      <c r="AA442" s="65"/>
      <c r="AB442" s="65"/>
      <c r="AC442" s="65"/>
    </row>
    <row r="443">
      <c r="A443" s="64"/>
      <c r="B443" s="64"/>
      <c r="C443" s="64"/>
      <c r="D443" s="64"/>
      <c r="E443" s="64"/>
      <c r="F443" s="64"/>
      <c r="G443" s="64"/>
      <c r="H443" s="63"/>
      <c r="I443" s="64"/>
      <c r="J443" s="64"/>
      <c r="K443" s="64"/>
      <c r="L443" s="64"/>
      <c r="M443" s="64"/>
      <c r="N443" s="64"/>
      <c r="O443" s="64"/>
      <c r="P443" s="64"/>
      <c r="Q443" s="64"/>
      <c r="R443" s="65" t="str">
        <f>IF($A443="","",IFERROR(MINIFS(Candidates!$K$2:$K$2000,Candidates!$A$2:$A$2000,$A443),""))</f>
        <v/>
      </c>
      <c r="S443" s="65" t="str">
        <f>IF($A443="","",IFERROR(MAXIFS(Candidates!$AA$2:$AA$2000,Candidates!$A$2:$A$2000,$A443),""))</f>
        <v/>
      </c>
      <c r="T443" s="64" t="str">
        <f>IFERROR(__xludf.DUMMYFUNCTION("IF($A443="""","""",IFERROR(TEXTJOIN("", "",TRUE,UNIQUE(FILTER(Candidates!$B$2:$B$2000,Candidates!$A$2:$A$2000=$A443))),""""))"),"")</f>
        <v/>
      </c>
      <c r="U443" s="66" t="str">
        <f>IF($A443="","",COUNTIF(Candidates!$A$2:$A$2000,$A443))</f>
        <v/>
      </c>
      <c r="V443" s="64" t="str">
        <f>IFERROR(__xludf.DUMMYFUNCTION("IF($A443="""","""",IFERROR(INDEX(FILTER(Candidates!$S$2:$S$2000,Candidates!$A$2:$A$2000=$A443),COUNTIF(Candidates!$A$2:$A$2000,$A443)),""""))"),"")</f>
        <v/>
      </c>
      <c r="W443" s="64" t="str">
        <f>IFERROR(__xludf.DUMMYFUNCTION("IF($A443="""","""",IFERROR(INDEX(FILTER(Candidates!$T$2:$T$2000,Candidates!$A$2:$A$2000=$A443),COUNTIF(Candidates!$A$2:$A$2000,$A443)),""""))"),"")</f>
        <v/>
      </c>
      <c r="X443" s="64"/>
      <c r="Y443" s="64"/>
      <c r="Z443" s="65"/>
      <c r="AA443" s="65"/>
      <c r="AB443" s="65"/>
      <c r="AC443" s="65"/>
    </row>
    <row r="444">
      <c r="A444" s="64"/>
      <c r="B444" s="64"/>
      <c r="C444" s="64"/>
      <c r="D444" s="64"/>
      <c r="E444" s="64"/>
      <c r="F444" s="64"/>
      <c r="G444" s="64"/>
      <c r="H444" s="63"/>
      <c r="I444" s="64"/>
      <c r="J444" s="64"/>
      <c r="K444" s="64"/>
      <c r="L444" s="64"/>
      <c r="M444" s="64"/>
      <c r="N444" s="64"/>
      <c r="O444" s="64"/>
      <c r="P444" s="64"/>
      <c r="Q444" s="64"/>
      <c r="R444" s="65" t="str">
        <f>IF($A444="","",IFERROR(MINIFS(Candidates!$K$2:$K$2000,Candidates!$A$2:$A$2000,$A444),""))</f>
        <v/>
      </c>
      <c r="S444" s="65" t="str">
        <f>IF($A444="","",IFERROR(MAXIFS(Candidates!$AA$2:$AA$2000,Candidates!$A$2:$A$2000,$A444),""))</f>
        <v/>
      </c>
      <c r="T444" s="64" t="str">
        <f>IFERROR(__xludf.DUMMYFUNCTION("IF($A444="""","""",IFERROR(TEXTJOIN("", "",TRUE,UNIQUE(FILTER(Candidates!$B$2:$B$2000,Candidates!$A$2:$A$2000=$A444))),""""))"),"")</f>
        <v/>
      </c>
      <c r="U444" s="66" t="str">
        <f>IF($A444="","",COUNTIF(Candidates!$A$2:$A$2000,$A444))</f>
        <v/>
      </c>
      <c r="V444" s="64" t="str">
        <f>IFERROR(__xludf.DUMMYFUNCTION("IF($A444="""","""",IFERROR(INDEX(FILTER(Candidates!$S$2:$S$2000,Candidates!$A$2:$A$2000=$A444),COUNTIF(Candidates!$A$2:$A$2000,$A444)),""""))"),"")</f>
        <v/>
      </c>
      <c r="W444" s="64" t="str">
        <f>IFERROR(__xludf.DUMMYFUNCTION("IF($A444="""","""",IFERROR(INDEX(FILTER(Candidates!$T$2:$T$2000,Candidates!$A$2:$A$2000=$A444),COUNTIF(Candidates!$A$2:$A$2000,$A444)),""""))"),"")</f>
        <v/>
      </c>
      <c r="X444" s="64"/>
      <c r="Y444" s="64"/>
      <c r="Z444" s="65"/>
      <c r="AA444" s="65"/>
      <c r="AB444" s="65"/>
      <c r="AC444" s="65"/>
    </row>
    <row r="445">
      <c r="A445" s="64"/>
      <c r="B445" s="64"/>
      <c r="C445" s="64"/>
      <c r="D445" s="64"/>
      <c r="E445" s="64"/>
      <c r="F445" s="64"/>
      <c r="G445" s="64"/>
      <c r="H445" s="63"/>
      <c r="I445" s="64"/>
      <c r="J445" s="64"/>
      <c r="K445" s="64"/>
      <c r="L445" s="64"/>
      <c r="M445" s="64"/>
      <c r="N445" s="64"/>
      <c r="O445" s="64"/>
      <c r="P445" s="64"/>
      <c r="Q445" s="64"/>
      <c r="R445" s="65" t="str">
        <f>IF($A445="","",IFERROR(MINIFS(Candidates!$K$2:$K$2000,Candidates!$A$2:$A$2000,$A445),""))</f>
        <v/>
      </c>
      <c r="S445" s="65" t="str">
        <f>IF($A445="","",IFERROR(MAXIFS(Candidates!$AA$2:$AA$2000,Candidates!$A$2:$A$2000,$A445),""))</f>
        <v/>
      </c>
      <c r="T445" s="64" t="str">
        <f>IFERROR(__xludf.DUMMYFUNCTION("IF($A445="""","""",IFERROR(TEXTJOIN("", "",TRUE,UNIQUE(FILTER(Candidates!$B$2:$B$2000,Candidates!$A$2:$A$2000=$A445))),""""))"),"")</f>
        <v/>
      </c>
      <c r="U445" s="66" t="str">
        <f>IF($A445="","",COUNTIF(Candidates!$A$2:$A$2000,$A445))</f>
        <v/>
      </c>
      <c r="V445" s="64" t="str">
        <f>IFERROR(__xludf.DUMMYFUNCTION("IF($A445="""","""",IFERROR(INDEX(FILTER(Candidates!$S$2:$S$2000,Candidates!$A$2:$A$2000=$A445),COUNTIF(Candidates!$A$2:$A$2000,$A445)),""""))"),"")</f>
        <v/>
      </c>
      <c r="W445" s="64" t="str">
        <f>IFERROR(__xludf.DUMMYFUNCTION("IF($A445="""","""",IFERROR(INDEX(FILTER(Candidates!$T$2:$T$2000,Candidates!$A$2:$A$2000=$A445),COUNTIF(Candidates!$A$2:$A$2000,$A445)),""""))"),"")</f>
        <v/>
      </c>
      <c r="X445" s="64"/>
      <c r="Y445" s="64"/>
      <c r="Z445" s="65"/>
      <c r="AA445" s="65"/>
      <c r="AB445" s="65"/>
      <c r="AC445" s="65"/>
    </row>
    <row r="446">
      <c r="A446" s="64"/>
      <c r="B446" s="64"/>
      <c r="C446" s="64"/>
      <c r="D446" s="64"/>
      <c r="E446" s="64"/>
      <c r="F446" s="64"/>
      <c r="G446" s="64"/>
      <c r="H446" s="63"/>
      <c r="I446" s="64"/>
      <c r="J446" s="64"/>
      <c r="K446" s="64"/>
      <c r="L446" s="64"/>
      <c r="M446" s="64"/>
      <c r="N446" s="64"/>
      <c r="O446" s="64"/>
      <c r="P446" s="64"/>
      <c r="Q446" s="64"/>
      <c r="R446" s="65" t="str">
        <f>IF($A446="","",IFERROR(MINIFS(Candidates!$K$2:$K$2000,Candidates!$A$2:$A$2000,$A446),""))</f>
        <v/>
      </c>
      <c r="S446" s="65" t="str">
        <f>IF($A446="","",IFERROR(MAXIFS(Candidates!$AA$2:$AA$2000,Candidates!$A$2:$A$2000,$A446),""))</f>
        <v/>
      </c>
      <c r="T446" s="64" t="str">
        <f>IFERROR(__xludf.DUMMYFUNCTION("IF($A446="""","""",IFERROR(TEXTJOIN("", "",TRUE,UNIQUE(FILTER(Candidates!$B$2:$B$2000,Candidates!$A$2:$A$2000=$A446))),""""))"),"")</f>
        <v/>
      </c>
      <c r="U446" s="66" t="str">
        <f>IF($A446="","",COUNTIF(Candidates!$A$2:$A$2000,$A446))</f>
        <v/>
      </c>
      <c r="V446" s="64" t="str">
        <f>IFERROR(__xludf.DUMMYFUNCTION("IF($A446="""","""",IFERROR(INDEX(FILTER(Candidates!$S$2:$S$2000,Candidates!$A$2:$A$2000=$A446),COUNTIF(Candidates!$A$2:$A$2000,$A446)),""""))"),"")</f>
        <v/>
      </c>
      <c r="W446" s="64" t="str">
        <f>IFERROR(__xludf.DUMMYFUNCTION("IF($A446="""","""",IFERROR(INDEX(FILTER(Candidates!$T$2:$T$2000,Candidates!$A$2:$A$2000=$A446),COUNTIF(Candidates!$A$2:$A$2000,$A446)),""""))"),"")</f>
        <v/>
      </c>
      <c r="X446" s="64"/>
      <c r="Y446" s="64"/>
      <c r="Z446" s="65"/>
      <c r="AA446" s="65"/>
      <c r="AB446" s="65"/>
      <c r="AC446" s="65"/>
    </row>
    <row r="447">
      <c r="A447" s="64"/>
      <c r="B447" s="64"/>
      <c r="C447" s="64"/>
      <c r="D447" s="64"/>
      <c r="E447" s="64"/>
      <c r="F447" s="64"/>
      <c r="G447" s="64"/>
      <c r="H447" s="63"/>
      <c r="I447" s="64"/>
      <c r="J447" s="64"/>
      <c r="K447" s="64"/>
      <c r="L447" s="64"/>
      <c r="M447" s="64"/>
      <c r="N447" s="64"/>
      <c r="O447" s="64"/>
      <c r="P447" s="64"/>
      <c r="Q447" s="64"/>
      <c r="R447" s="65" t="str">
        <f>IF($A447="","",IFERROR(MINIFS(Candidates!$K$2:$K$2000,Candidates!$A$2:$A$2000,$A447),""))</f>
        <v/>
      </c>
      <c r="S447" s="65" t="str">
        <f>IF($A447="","",IFERROR(MAXIFS(Candidates!$AA$2:$AA$2000,Candidates!$A$2:$A$2000,$A447),""))</f>
        <v/>
      </c>
      <c r="T447" s="64" t="str">
        <f>IFERROR(__xludf.DUMMYFUNCTION("IF($A447="""","""",IFERROR(TEXTJOIN("", "",TRUE,UNIQUE(FILTER(Candidates!$B$2:$B$2000,Candidates!$A$2:$A$2000=$A447))),""""))"),"")</f>
        <v/>
      </c>
      <c r="U447" s="66" t="str">
        <f>IF($A447="","",COUNTIF(Candidates!$A$2:$A$2000,$A447))</f>
        <v/>
      </c>
      <c r="V447" s="64" t="str">
        <f>IFERROR(__xludf.DUMMYFUNCTION("IF($A447="""","""",IFERROR(INDEX(FILTER(Candidates!$S$2:$S$2000,Candidates!$A$2:$A$2000=$A447),COUNTIF(Candidates!$A$2:$A$2000,$A447)),""""))"),"")</f>
        <v/>
      </c>
      <c r="W447" s="64" t="str">
        <f>IFERROR(__xludf.DUMMYFUNCTION("IF($A447="""","""",IFERROR(INDEX(FILTER(Candidates!$T$2:$T$2000,Candidates!$A$2:$A$2000=$A447),COUNTIF(Candidates!$A$2:$A$2000,$A447)),""""))"),"")</f>
        <v/>
      </c>
      <c r="X447" s="64"/>
      <c r="Y447" s="64"/>
      <c r="Z447" s="65"/>
      <c r="AA447" s="65"/>
      <c r="AB447" s="65"/>
      <c r="AC447" s="65"/>
    </row>
    <row r="448">
      <c r="A448" s="64"/>
      <c r="B448" s="64"/>
      <c r="C448" s="64"/>
      <c r="D448" s="64"/>
      <c r="E448" s="64"/>
      <c r="F448" s="64"/>
      <c r="G448" s="64"/>
      <c r="H448" s="63"/>
      <c r="I448" s="64"/>
      <c r="J448" s="64"/>
      <c r="K448" s="64"/>
      <c r="L448" s="64"/>
      <c r="M448" s="64"/>
      <c r="N448" s="64"/>
      <c r="O448" s="64"/>
      <c r="P448" s="64"/>
      <c r="Q448" s="64"/>
      <c r="R448" s="65" t="str">
        <f>IF($A448="","",IFERROR(MINIFS(Candidates!$K$2:$K$2000,Candidates!$A$2:$A$2000,$A448),""))</f>
        <v/>
      </c>
      <c r="S448" s="65" t="str">
        <f>IF($A448="","",IFERROR(MAXIFS(Candidates!$AA$2:$AA$2000,Candidates!$A$2:$A$2000,$A448),""))</f>
        <v/>
      </c>
      <c r="T448" s="64" t="str">
        <f>IFERROR(__xludf.DUMMYFUNCTION("IF($A448="""","""",IFERROR(TEXTJOIN("", "",TRUE,UNIQUE(FILTER(Candidates!$B$2:$B$2000,Candidates!$A$2:$A$2000=$A448))),""""))"),"")</f>
        <v/>
      </c>
      <c r="U448" s="66" t="str">
        <f>IF($A448="","",COUNTIF(Candidates!$A$2:$A$2000,$A448))</f>
        <v/>
      </c>
      <c r="V448" s="64" t="str">
        <f>IFERROR(__xludf.DUMMYFUNCTION("IF($A448="""","""",IFERROR(INDEX(FILTER(Candidates!$S$2:$S$2000,Candidates!$A$2:$A$2000=$A448),COUNTIF(Candidates!$A$2:$A$2000,$A448)),""""))"),"")</f>
        <v/>
      </c>
      <c r="W448" s="64" t="str">
        <f>IFERROR(__xludf.DUMMYFUNCTION("IF($A448="""","""",IFERROR(INDEX(FILTER(Candidates!$T$2:$T$2000,Candidates!$A$2:$A$2000=$A448),COUNTIF(Candidates!$A$2:$A$2000,$A448)),""""))"),"")</f>
        <v/>
      </c>
      <c r="X448" s="64"/>
      <c r="Y448" s="64"/>
      <c r="Z448" s="65"/>
      <c r="AA448" s="65"/>
      <c r="AB448" s="65"/>
      <c r="AC448" s="65"/>
    </row>
    <row r="449">
      <c r="A449" s="64"/>
      <c r="B449" s="64"/>
      <c r="C449" s="64"/>
      <c r="D449" s="64"/>
      <c r="E449" s="64"/>
      <c r="F449" s="64"/>
      <c r="G449" s="64"/>
      <c r="H449" s="63"/>
      <c r="I449" s="64"/>
      <c r="J449" s="64"/>
      <c r="K449" s="64"/>
      <c r="L449" s="64"/>
      <c r="M449" s="64"/>
      <c r="N449" s="64"/>
      <c r="O449" s="64"/>
      <c r="P449" s="64"/>
      <c r="Q449" s="64"/>
      <c r="R449" s="65" t="str">
        <f>IF($A449="","",IFERROR(MINIFS(Candidates!$K$2:$K$2000,Candidates!$A$2:$A$2000,$A449),""))</f>
        <v/>
      </c>
      <c r="S449" s="65" t="str">
        <f>IF($A449="","",IFERROR(MAXIFS(Candidates!$AA$2:$AA$2000,Candidates!$A$2:$A$2000,$A449),""))</f>
        <v/>
      </c>
      <c r="T449" s="64" t="str">
        <f>IFERROR(__xludf.DUMMYFUNCTION("IF($A449="""","""",IFERROR(TEXTJOIN("", "",TRUE,UNIQUE(FILTER(Candidates!$B$2:$B$2000,Candidates!$A$2:$A$2000=$A449))),""""))"),"")</f>
        <v/>
      </c>
      <c r="U449" s="66" t="str">
        <f>IF($A449="","",COUNTIF(Candidates!$A$2:$A$2000,$A449))</f>
        <v/>
      </c>
      <c r="V449" s="64" t="str">
        <f>IFERROR(__xludf.DUMMYFUNCTION("IF($A449="""","""",IFERROR(INDEX(FILTER(Candidates!$S$2:$S$2000,Candidates!$A$2:$A$2000=$A449),COUNTIF(Candidates!$A$2:$A$2000,$A449)),""""))"),"")</f>
        <v/>
      </c>
      <c r="W449" s="64" t="str">
        <f>IFERROR(__xludf.DUMMYFUNCTION("IF($A449="""","""",IFERROR(INDEX(FILTER(Candidates!$T$2:$T$2000,Candidates!$A$2:$A$2000=$A449),COUNTIF(Candidates!$A$2:$A$2000,$A449)),""""))"),"")</f>
        <v/>
      </c>
      <c r="X449" s="64"/>
      <c r="Y449" s="64"/>
      <c r="Z449" s="65"/>
      <c r="AA449" s="65"/>
      <c r="AB449" s="65"/>
      <c r="AC449" s="65"/>
    </row>
    <row r="450">
      <c r="A450" s="64"/>
      <c r="B450" s="64"/>
      <c r="C450" s="64"/>
      <c r="D450" s="64"/>
      <c r="E450" s="64"/>
      <c r="F450" s="64"/>
      <c r="G450" s="64"/>
      <c r="H450" s="63"/>
      <c r="I450" s="64"/>
      <c r="J450" s="64"/>
      <c r="K450" s="64"/>
      <c r="L450" s="64"/>
      <c r="M450" s="64"/>
      <c r="N450" s="64"/>
      <c r="O450" s="64"/>
      <c r="P450" s="64"/>
      <c r="Q450" s="64"/>
      <c r="R450" s="65" t="str">
        <f>IF($A450="","",IFERROR(MINIFS(Candidates!$K$2:$K$2000,Candidates!$A$2:$A$2000,$A450),""))</f>
        <v/>
      </c>
      <c r="S450" s="65" t="str">
        <f>IF($A450="","",IFERROR(MAXIFS(Candidates!$AA$2:$AA$2000,Candidates!$A$2:$A$2000,$A450),""))</f>
        <v/>
      </c>
      <c r="T450" s="64" t="str">
        <f>IFERROR(__xludf.DUMMYFUNCTION("IF($A450="""","""",IFERROR(TEXTJOIN("", "",TRUE,UNIQUE(FILTER(Candidates!$B$2:$B$2000,Candidates!$A$2:$A$2000=$A450))),""""))"),"")</f>
        <v/>
      </c>
      <c r="U450" s="66" t="str">
        <f>IF($A450="","",COUNTIF(Candidates!$A$2:$A$2000,$A450))</f>
        <v/>
      </c>
      <c r="V450" s="64" t="str">
        <f>IFERROR(__xludf.DUMMYFUNCTION("IF($A450="""","""",IFERROR(INDEX(FILTER(Candidates!$S$2:$S$2000,Candidates!$A$2:$A$2000=$A450),COUNTIF(Candidates!$A$2:$A$2000,$A450)),""""))"),"")</f>
        <v/>
      </c>
      <c r="W450" s="64" t="str">
        <f>IFERROR(__xludf.DUMMYFUNCTION("IF($A450="""","""",IFERROR(INDEX(FILTER(Candidates!$T$2:$T$2000,Candidates!$A$2:$A$2000=$A450),COUNTIF(Candidates!$A$2:$A$2000,$A450)),""""))"),"")</f>
        <v/>
      </c>
      <c r="X450" s="64"/>
      <c r="Y450" s="64"/>
      <c r="Z450" s="65"/>
      <c r="AA450" s="65"/>
      <c r="AB450" s="65"/>
      <c r="AC450" s="65"/>
    </row>
    <row r="451">
      <c r="A451" s="64"/>
      <c r="B451" s="64"/>
      <c r="C451" s="64"/>
      <c r="D451" s="64"/>
      <c r="E451" s="64"/>
      <c r="F451" s="64"/>
      <c r="G451" s="64"/>
      <c r="H451" s="63"/>
      <c r="I451" s="64"/>
      <c r="J451" s="64"/>
      <c r="K451" s="64"/>
      <c r="L451" s="64"/>
      <c r="M451" s="64"/>
      <c r="N451" s="64"/>
      <c r="O451" s="64"/>
      <c r="P451" s="64"/>
      <c r="Q451" s="64"/>
      <c r="R451" s="65" t="str">
        <f>IF($A451="","",IFERROR(MINIFS(Candidates!$K$2:$K$2000,Candidates!$A$2:$A$2000,$A451),""))</f>
        <v/>
      </c>
      <c r="S451" s="65" t="str">
        <f>IF($A451="","",IFERROR(MAXIFS(Candidates!$AA$2:$AA$2000,Candidates!$A$2:$A$2000,$A451),""))</f>
        <v/>
      </c>
      <c r="T451" s="64" t="str">
        <f>IFERROR(__xludf.DUMMYFUNCTION("IF($A451="""","""",IFERROR(TEXTJOIN("", "",TRUE,UNIQUE(FILTER(Candidates!$B$2:$B$2000,Candidates!$A$2:$A$2000=$A451))),""""))"),"")</f>
        <v/>
      </c>
      <c r="U451" s="66" t="str">
        <f>IF($A451="","",COUNTIF(Candidates!$A$2:$A$2000,$A451))</f>
        <v/>
      </c>
      <c r="V451" s="64" t="str">
        <f>IFERROR(__xludf.DUMMYFUNCTION("IF($A451="""","""",IFERROR(INDEX(FILTER(Candidates!$S$2:$S$2000,Candidates!$A$2:$A$2000=$A451),COUNTIF(Candidates!$A$2:$A$2000,$A451)),""""))"),"")</f>
        <v/>
      </c>
      <c r="W451" s="64" t="str">
        <f>IFERROR(__xludf.DUMMYFUNCTION("IF($A451="""","""",IFERROR(INDEX(FILTER(Candidates!$T$2:$T$2000,Candidates!$A$2:$A$2000=$A451),COUNTIF(Candidates!$A$2:$A$2000,$A451)),""""))"),"")</f>
        <v/>
      </c>
      <c r="X451" s="64"/>
      <c r="Y451" s="64"/>
      <c r="Z451" s="65"/>
      <c r="AA451" s="65"/>
      <c r="AB451" s="65"/>
      <c r="AC451" s="65"/>
    </row>
    <row r="452">
      <c r="A452" s="64"/>
      <c r="B452" s="64"/>
      <c r="C452" s="64"/>
      <c r="D452" s="64"/>
      <c r="E452" s="64"/>
      <c r="F452" s="64"/>
      <c r="G452" s="64"/>
      <c r="H452" s="63"/>
      <c r="I452" s="64"/>
      <c r="J452" s="64"/>
      <c r="K452" s="64"/>
      <c r="L452" s="64"/>
      <c r="M452" s="64"/>
      <c r="N452" s="64"/>
      <c r="O452" s="64"/>
      <c r="P452" s="64"/>
      <c r="Q452" s="64"/>
      <c r="R452" s="65" t="str">
        <f>IF($A452="","",IFERROR(MINIFS(Candidates!$K$2:$K$2000,Candidates!$A$2:$A$2000,$A452),""))</f>
        <v/>
      </c>
      <c r="S452" s="65" t="str">
        <f>IF($A452="","",IFERROR(MAXIFS(Candidates!$AA$2:$AA$2000,Candidates!$A$2:$A$2000,$A452),""))</f>
        <v/>
      </c>
      <c r="T452" s="64" t="str">
        <f>IFERROR(__xludf.DUMMYFUNCTION("IF($A452="""","""",IFERROR(TEXTJOIN("", "",TRUE,UNIQUE(FILTER(Candidates!$B$2:$B$2000,Candidates!$A$2:$A$2000=$A452))),""""))"),"")</f>
        <v/>
      </c>
      <c r="U452" s="66" t="str">
        <f>IF($A452="","",COUNTIF(Candidates!$A$2:$A$2000,$A452))</f>
        <v/>
      </c>
      <c r="V452" s="64" t="str">
        <f>IFERROR(__xludf.DUMMYFUNCTION("IF($A452="""","""",IFERROR(INDEX(FILTER(Candidates!$S$2:$S$2000,Candidates!$A$2:$A$2000=$A452),COUNTIF(Candidates!$A$2:$A$2000,$A452)),""""))"),"")</f>
        <v/>
      </c>
      <c r="W452" s="64" t="str">
        <f>IFERROR(__xludf.DUMMYFUNCTION("IF($A452="""","""",IFERROR(INDEX(FILTER(Candidates!$T$2:$T$2000,Candidates!$A$2:$A$2000=$A452),COUNTIF(Candidates!$A$2:$A$2000,$A452)),""""))"),"")</f>
        <v/>
      </c>
      <c r="X452" s="64"/>
      <c r="Y452" s="64"/>
      <c r="Z452" s="65"/>
      <c r="AA452" s="65"/>
      <c r="AB452" s="65"/>
      <c r="AC452" s="65"/>
    </row>
    <row r="453">
      <c r="A453" s="64"/>
      <c r="B453" s="64"/>
      <c r="C453" s="64"/>
      <c r="D453" s="64"/>
      <c r="E453" s="64"/>
      <c r="F453" s="64"/>
      <c r="G453" s="64"/>
      <c r="H453" s="63"/>
      <c r="I453" s="64"/>
      <c r="J453" s="64"/>
      <c r="K453" s="64"/>
      <c r="L453" s="64"/>
      <c r="M453" s="64"/>
      <c r="N453" s="64"/>
      <c r="O453" s="64"/>
      <c r="P453" s="64"/>
      <c r="Q453" s="64"/>
      <c r="R453" s="65" t="str">
        <f>IF($A453="","",IFERROR(MINIFS(Candidates!$K$2:$K$2000,Candidates!$A$2:$A$2000,$A453),""))</f>
        <v/>
      </c>
      <c r="S453" s="65" t="str">
        <f>IF($A453="","",IFERROR(MAXIFS(Candidates!$AA$2:$AA$2000,Candidates!$A$2:$A$2000,$A453),""))</f>
        <v/>
      </c>
      <c r="T453" s="64" t="str">
        <f>IFERROR(__xludf.DUMMYFUNCTION("IF($A453="""","""",IFERROR(TEXTJOIN("", "",TRUE,UNIQUE(FILTER(Candidates!$B$2:$B$2000,Candidates!$A$2:$A$2000=$A453))),""""))"),"")</f>
        <v/>
      </c>
      <c r="U453" s="66" t="str">
        <f>IF($A453="","",COUNTIF(Candidates!$A$2:$A$2000,$A453))</f>
        <v/>
      </c>
      <c r="V453" s="64" t="str">
        <f>IFERROR(__xludf.DUMMYFUNCTION("IF($A453="""","""",IFERROR(INDEX(FILTER(Candidates!$S$2:$S$2000,Candidates!$A$2:$A$2000=$A453),COUNTIF(Candidates!$A$2:$A$2000,$A453)),""""))"),"")</f>
        <v/>
      </c>
      <c r="W453" s="64" t="str">
        <f>IFERROR(__xludf.DUMMYFUNCTION("IF($A453="""","""",IFERROR(INDEX(FILTER(Candidates!$T$2:$T$2000,Candidates!$A$2:$A$2000=$A453),COUNTIF(Candidates!$A$2:$A$2000,$A453)),""""))"),"")</f>
        <v/>
      </c>
      <c r="X453" s="64"/>
      <c r="Y453" s="64"/>
      <c r="Z453" s="65"/>
      <c r="AA453" s="65"/>
      <c r="AB453" s="65"/>
      <c r="AC453" s="65"/>
    </row>
    <row r="454">
      <c r="A454" s="64"/>
      <c r="B454" s="64"/>
      <c r="C454" s="64"/>
      <c r="D454" s="64"/>
      <c r="E454" s="64"/>
      <c r="F454" s="64"/>
      <c r="G454" s="64"/>
      <c r="H454" s="63"/>
      <c r="I454" s="64"/>
      <c r="J454" s="64"/>
      <c r="K454" s="64"/>
      <c r="L454" s="64"/>
      <c r="M454" s="64"/>
      <c r="N454" s="64"/>
      <c r="O454" s="64"/>
      <c r="P454" s="64"/>
      <c r="Q454" s="64"/>
      <c r="R454" s="65" t="str">
        <f>IF($A454="","",IFERROR(MINIFS(Candidates!$K$2:$K$2000,Candidates!$A$2:$A$2000,$A454),""))</f>
        <v/>
      </c>
      <c r="S454" s="65" t="str">
        <f>IF($A454="","",IFERROR(MAXIFS(Candidates!$AA$2:$AA$2000,Candidates!$A$2:$A$2000,$A454),""))</f>
        <v/>
      </c>
      <c r="T454" s="64" t="str">
        <f>IFERROR(__xludf.DUMMYFUNCTION("IF($A454="""","""",IFERROR(TEXTJOIN("", "",TRUE,UNIQUE(FILTER(Candidates!$B$2:$B$2000,Candidates!$A$2:$A$2000=$A454))),""""))"),"")</f>
        <v/>
      </c>
      <c r="U454" s="66" t="str">
        <f>IF($A454="","",COUNTIF(Candidates!$A$2:$A$2000,$A454))</f>
        <v/>
      </c>
      <c r="V454" s="64" t="str">
        <f>IFERROR(__xludf.DUMMYFUNCTION("IF($A454="""","""",IFERROR(INDEX(FILTER(Candidates!$S$2:$S$2000,Candidates!$A$2:$A$2000=$A454),COUNTIF(Candidates!$A$2:$A$2000,$A454)),""""))"),"")</f>
        <v/>
      </c>
      <c r="W454" s="64" t="str">
        <f>IFERROR(__xludf.DUMMYFUNCTION("IF($A454="""","""",IFERROR(INDEX(FILTER(Candidates!$T$2:$T$2000,Candidates!$A$2:$A$2000=$A454),COUNTIF(Candidates!$A$2:$A$2000,$A454)),""""))"),"")</f>
        <v/>
      </c>
      <c r="X454" s="64"/>
      <c r="Y454" s="64"/>
      <c r="Z454" s="65"/>
      <c r="AA454" s="65"/>
      <c r="AB454" s="65"/>
      <c r="AC454" s="65"/>
    </row>
    <row r="455">
      <c r="A455" s="64"/>
      <c r="B455" s="64"/>
      <c r="C455" s="64"/>
      <c r="D455" s="64"/>
      <c r="E455" s="64"/>
      <c r="F455" s="64"/>
      <c r="G455" s="64"/>
      <c r="H455" s="63"/>
      <c r="I455" s="64"/>
      <c r="J455" s="64"/>
      <c r="K455" s="64"/>
      <c r="L455" s="64"/>
      <c r="M455" s="64"/>
      <c r="N455" s="64"/>
      <c r="O455" s="64"/>
      <c r="P455" s="64"/>
      <c r="Q455" s="64"/>
      <c r="R455" s="65" t="str">
        <f>IF($A455="","",IFERROR(MINIFS(Candidates!$K$2:$K$2000,Candidates!$A$2:$A$2000,$A455),""))</f>
        <v/>
      </c>
      <c r="S455" s="65" t="str">
        <f>IF($A455="","",IFERROR(MAXIFS(Candidates!$AA$2:$AA$2000,Candidates!$A$2:$A$2000,$A455),""))</f>
        <v/>
      </c>
      <c r="T455" s="64" t="str">
        <f>IFERROR(__xludf.DUMMYFUNCTION("IF($A455="""","""",IFERROR(TEXTJOIN("", "",TRUE,UNIQUE(FILTER(Candidates!$B$2:$B$2000,Candidates!$A$2:$A$2000=$A455))),""""))"),"")</f>
        <v/>
      </c>
      <c r="U455" s="66" t="str">
        <f>IF($A455="","",COUNTIF(Candidates!$A$2:$A$2000,$A455))</f>
        <v/>
      </c>
      <c r="V455" s="64" t="str">
        <f>IFERROR(__xludf.DUMMYFUNCTION("IF($A455="""","""",IFERROR(INDEX(FILTER(Candidates!$S$2:$S$2000,Candidates!$A$2:$A$2000=$A455),COUNTIF(Candidates!$A$2:$A$2000,$A455)),""""))"),"")</f>
        <v/>
      </c>
      <c r="W455" s="64" t="str">
        <f>IFERROR(__xludf.DUMMYFUNCTION("IF($A455="""","""",IFERROR(INDEX(FILTER(Candidates!$T$2:$T$2000,Candidates!$A$2:$A$2000=$A455),COUNTIF(Candidates!$A$2:$A$2000,$A455)),""""))"),"")</f>
        <v/>
      </c>
      <c r="X455" s="64"/>
      <c r="Y455" s="64"/>
      <c r="Z455" s="65"/>
      <c r="AA455" s="65"/>
      <c r="AB455" s="65"/>
      <c r="AC455" s="65"/>
    </row>
    <row r="456">
      <c r="A456" s="64"/>
      <c r="B456" s="64"/>
      <c r="C456" s="64"/>
      <c r="D456" s="64"/>
      <c r="E456" s="64"/>
      <c r="F456" s="64"/>
      <c r="G456" s="64"/>
      <c r="H456" s="63"/>
      <c r="I456" s="64"/>
      <c r="J456" s="64"/>
      <c r="K456" s="64"/>
      <c r="L456" s="64"/>
      <c r="M456" s="64"/>
      <c r="N456" s="64"/>
      <c r="O456" s="64"/>
      <c r="P456" s="64"/>
      <c r="Q456" s="64"/>
      <c r="R456" s="65" t="str">
        <f>IF($A456="","",IFERROR(MINIFS(Candidates!$K$2:$K$2000,Candidates!$A$2:$A$2000,$A456),""))</f>
        <v/>
      </c>
      <c r="S456" s="65" t="str">
        <f>IF($A456="","",IFERROR(MAXIFS(Candidates!$AA$2:$AA$2000,Candidates!$A$2:$A$2000,$A456),""))</f>
        <v/>
      </c>
      <c r="T456" s="64" t="str">
        <f>IFERROR(__xludf.DUMMYFUNCTION("IF($A456="""","""",IFERROR(TEXTJOIN("", "",TRUE,UNIQUE(FILTER(Candidates!$B$2:$B$2000,Candidates!$A$2:$A$2000=$A456))),""""))"),"")</f>
        <v/>
      </c>
      <c r="U456" s="66" t="str">
        <f>IF($A456="","",COUNTIF(Candidates!$A$2:$A$2000,$A456))</f>
        <v/>
      </c>
      <c r="V456" s="64" t="str">
        <f>IFERROR(__xludf.DUMMYFUNCTION("IF($A456="""","""",IFERROR(INDEX(FILTER(Candidates!$S$2:$S$2000,Candidates!$A$2:$A$2000=$A456),COUNTIF(Candidates!$A$2:$A$2000,$A456)),""""))"),"")</f>
        <v/>
      </c>
      <c r="W456" s="64" t="str">
        <f>IFERROR(__xludf.DUMMYFUNCTION("IF($A456="""","""",IFERROR(INDEX(FILTER(Candidates!$T$2:$T$2000,Candidates!$A$2:$A$2000=$A456),COUNTIF(Candidates!$A$2:$A$2000,$A456)),""""))"),"")</f>
        <v/>
      </c>
      <c r="X456" s="64"/>
      <c r="Y456" s="64"/>
      <c r="Z456" s="65"/>
      <c r="AA456" s="65"/>
      <c r="AB456" s="65"/>
      <c r="AC456" s="65"/>
    </row>
    <row r="457">
      <c r="A457" s="64"/>
      <c r="B457" s="64"/>
      <c r="C457" s="64"/>
      <c r="D457" s="64"/>
      <c r="E457" s="64"/>
      <c r="F457" s="64"/>
      <c r="G457" s="64"/>
      <c r="H457" s="63"/>
      <c r="I457" s="64"/>
      <c r="J457" s="64"/>
      <c r="K457" s="64"/>
      <c r="L457" s="64"/>
      <c r="M457" s="64"/>
      <c r="N457" s="64"/>
      <c r="O457" s="64"/>
      <c r="P457" s="64"/>
      <c r="Q457" s="64"/>
      <c r="R457" s="65" t="str">
        <f>IF($A457="","",IFERROR(MINIFS(Candidates!$K$2:$K$2000,Candidates!$A$2:$A$2000,$A457),""))</f>
        <v/>
      </c>
      <c r="S457" s="65" t="str">
        <f>IF($A457="","",IFERROR(MAXIFS(Candidates!$AA$2:$AA$2000,Candidates!$A$2:$A$2000,$A457),""))</f>
        <v/>
      </c>
      <c r="T457" s="64" t="str">
        <f>IFERROR(__xludf.DUMMYFUNCTION("IF($A457="""","""",IFERROR(TEXTJOIN("", "",TRUE,UNIQUE(FILTER(Candidates!$B$2:$B$2000,Candidates!$A$2:$A$2000=$A457))),""""))"),"")</f>
        <v/>
      </c>
      <c r="U457" s="66" t="str">
        <f>IF($A457="","",COUNTIF(Candidates!$A$2:$A$2000,$A457))</f>
        <v/>
      </c>
      <c r="V457" s="64" t="str">
        <f>IFERROR(__xludf.DUMMYFUNCTION("IF($A457="""","""",IFERROR(INDEX(FILTER(Candidates!$S$2:$S$2000,Candidates!$A$2:$A$2000=$A457),COUNTIF(Candidates!$A$2:$A$2000,$A457)),""""))"),"")</f>
        <v/>
      </c>
      <c r="W457" s="64" t="str">
        <f>IFERROR(__xludf.DUMMYFUNCTION("IF($A457="""","""",IFERROR(INDEX(FILTER(Candidates!$T$2:$T$2000,Candidates!$A$2:$A$2000=$A457),COUNTIF(Candidates!$A$2:$A$2000,$A457)),""""))"),"")</f>
        <v/>
      </c>
      <c r="X457" s="64"/>
      <c r="Y457" s="64"/>
      <c r="Z457" s="65"/>
      <c r="AA457" s="65"/>
      <c r="AB457" s="65"/>
      <c r="AC457" s="65"/>
    </row>
    <row r="458">
      <c r="A458" s="64"/>
      <c r="B458" s="64"/>
      <c r="C458" s="64"/>
      <c r="D458" s="64"/>
      <c r="E458" s="64"/>
      <c r="F458" s="64"/>
      <c r="G458" s="64"/>
      <c r="H458" s="63"/>
      <c r="I458" s="64"/>
      <c r="J458" s="64"/>
      <c r="K458" s="64"/>
      <c r="L458" s="64"/>
      <c r="M458" s="64"/>
      <c r="N458" s="64"/>
      <c r="O458" s="64"/>
      <c r="P458" s="64"/>
      <c r="Q458" s="64"/>
      <c r="R458" s="65" t="str">
        <f>IF($A458="","",IFERROR(MINIFS(Candidates!$K$2:$K$2000,Candidates!$A$2:$A$2000,$A458),""))</f>
        <v/>
      </c>
      <c r="S458" s="65" t="str">
        <f>IF($A458="","",IFERROR(MAXIFS(Candidates!$AA$2:$AA$2000,Candidates!$A$2:$A$2000,$A458),""))</f>
        <v/>
      </c>
      <c r="T458" s="64" t="str">
        <f>IFERROR(__xludf.DUMMYFUNCTION("IF($A458="""","""",IFERROR(TEXTJOIN("", "",TRUE,UNIQUE(FILTER(Candidates!$B$2:$B$2000,Candidates!$A$2:$A$2000=$A458))),""""))"),"")</f>
        <v/>
      </c>
      <c r="U458" s="66" t="str">
        <f>IF($A458="","",COUNTIF(Candidates!$A$2:$A$2000,$A458))</f>
        <v/>
      </c>
      <c r="V458" s="64" t="str">
        <f>IFERROR(__xludf.DUMMYFUNCTION("IF($A458="""","""",IFERROR(INDEX(FILTER(Candidates!$S$2:$S$2000,Candidates!$A$2:$A$2000=$A458),COUNTIF(Candidates!$A$2:$A$2000,$A458)),""""))"),"")</f>
        <v/>
      </c>
      <c r="W458" s="64" t="str">
        <f>IFERROR(__xludf.DUMMYFUNCTION("IF($A458="""","""",IFERROR(INDEX(FILTER(Candidates!$T$2:$T$2000,Candidates!$A$2:$A$2000=$A458),COUNTIF(Candidates!$A$2:$A$2000,$A458)),""""))"),"")</f>
        <v/>
      </c>
      <c r="X458" s="64"/>
      <c r="Y458" s="64"/>
      <c r="Z458" s="65"/>
      <c r="AA458" s="65"/>
      <c r="AB458" s="65"/>
      <c r="AC458" s="65"/>
    </row>
    <row r="459">
      <c r="A459" s="64"/>
      <c r="B459" s="64"/>
      <c r="C459" s="64"/>
      <c r="D459" s="64"/>
      <c r="E459" s="64"/>
      <c r="F459" s="64"/>
      <c r="G459" s="64"/>
      <c r="H459" s="63"/>
      <c r="I459" s="64"/>
      <c r="J459" s="64"/>
      <c r="K459" s="64"/>
      <c r="L459" s="64"/>
      <c r="M459" s="64"/>
      <c r="N459" s="64"/>
      <c r="O459" s="64"/>
      <c r="P459" s="64"/>
      <c r="Q459" s="64"/>
      <c r="R459" s="65" t="str">
        <f>IF($A459="","",IFERROR(MINIFS(Candidates!$K$2:$K$2000,Candidates!$A$2:$A$2000,$A459),""))</f>
        <v/>
      </c>
      <c r="S459" s="65" t="str">
        <f>IF($A459="","",IFERROR(MAXIFS(Candidates!$AA$2:$AA$2000,Candidates!$A$2:$A$2000,$A459),""))</f>
        <v/>
      </c>
      <c r="T459" s="64" t="str">
        <f>IFERROR(__xludf.DUMMYFUNCTION("IF($A459="""","""",IFERROR(TEXTJOIN("", "",TRUE,UNIQUE(FILTER(Candidates!$B$2:$B$2000,Candidates!$A$2:$A$2000=$A459))),""""))"),"")</f>
        <v/>
      </c>
      <c r="U459" s="66" t="str">
        <f>IF($A459="","",COUNTIF(Candidates!$A$2:$A$2000,$A459))</f>
        <v/>
      </c>
      <c r="V459" s="64" t="str">
        <f>IFERROR(__xludf.DUMMYFUNCTION("IF($A459="""","""",IFERROR(INDEX(FILTER(Candidates!$S$2:$S$2000,Candidates!$A$2:$A$2000=$A459),COUNTIF(Candidates!$A$2:$A$2000,$A459)),""""))"),"")</f>
        <v/>
      </c>
      <c r="W459" s="64" t="str">
        <f>IFERROR(__xludf.DUMMYFUNCTION("IF($A459="""","""",IFERROR(INDEX(FILTER(Candidates!$T$2:$T$2000,Candidates!$A$2:$A$2000=$A459),COUNTIF(Candidates!$A$2:$A$2000,$A459)),""""))"),"")</f>
        <v/>
      </c>
      <c r="X459" s="64"/>
      <c r="Y459" s="64"/>
      <c r="Z459" s="65"/>
      <c r="AA459" s="65"/>
      <c r="AB459" s="65"/>
      <c r="AC459" s="65"/>
    </row>
    <row r="460">
      <c r="A460" s="64"/>
      <c r="B460" s="64"/>
      <c r="C460" s="64"/>
      <c r="D460" s="64"/>
      <c r="E460" s="64"/>
      <c r="F460" s="64"/>
      <c r="G460" s="64"/>
      <c r="H460" s="63"/>
      <c r="I460" s="64"/>
      <c r="J460" s="64"/>
      <c r="K460" s="64"/>
      <c r="L460" s="64"/>
      <c r="M460" s="64"/>
      <c r="N460" s="64"/>
      <c r="O460" s="64"/>
      <c r="P460" s="64"/>
      <c r="Q460" s="64"/>
      <c r="R460" s="65" t="str">
        <f>IF($A460="","",IFERROR(MINIFS(Candidates!$K$2:$K$2000,Candidates!$A$2:$A$2000,$A460),""))</f>
        <v/>
      </c>
      <c r="S460" s="65" t="str">
        <f>IF($A460="","",IFERROR(MAXIFS(Candidates!$AA$2:$AA$2000,Candidates!$A$2:$A$2000,$A460),""))</f>
        <v/>
      </c>
      <c r="T460" s="64" t="str">
        <f>IFERROR(__xludf.DUMMYFUNCTION("IF($A460="""","""",IFERROR(TEXTJOIN("", "",TRUE,UNIQUE(FILTER(Candidates!$B$2:$B$2000,Candidates!$A$2:$A$2000=$A460))),""""))"),"")</f>
        <v/>
      </c>
      <c r="U460" s="66" t="str">
        <f>IF($A460="","",COUNTIF(Candidates!$A$2:$A$2000,$A460))</f>
        <v/>
      </c>
      <c r="V460" s="64" t="str">
        <f>IFERROR(__xludf.DUMMYFUNCTION("IF($A460="""","""",IFERROR(INDEX(FILTER(Candidates!$S$2:$S$2000,Candidates!$A$2:$A$2000=$A460),COUNTIF(Candidates!$A$2:$A$2000,$A460)),""""))"),"")</f>
        <v/>
      </c>
      <c r="W460" s="64" t="str">
        <f>IFERROR(__xludf.DUMMYFUNCTION("IF($A460="""","""",IFERROR(INDEX(FILTER(Candidates!$T$2:$T$2000,Candidates!$A$2:$A$2000=$A460),COUNTIF(Candidates!$A$2:$A$2000,$A460)),""""))"),"")</f>
        <v/>
      </c>
      <c r="X460" s="64"/>
      <c r="Y460" s="64"/>
      <c r="Z460" s="65"/>
      <c r="AA460" s="65"/>
      <c r="AB460" s="65"/>
      <c r="AC460" s="65"/>
    </row>
    <row r="461">
      <c r="A461" s="64"/>
      <c r="B461" s="64"/>
      <c r="C461" s="64"/>
      <c r="D461" s="64"/>
      <c r="E461" s="64"/>
      <c r="F461" s="64"/>
      <c r="G461" s="64"/>
      <c r="H461" s="63"/>
      <c r="I461" s="64"/>
      <c r="J461" s="64"/>
      <c r="K461" s="64"/>
      <c r="L461" s="64"/>
      <c r="M461" s="64"/>
      <c r="N461" s="64"/>
      <c r="O461" s="64"/>
      <c r="P461" s="64"/>
      <c r="Q461" s="64"/>
      <c r="R461" s="65" t="str">
        <f>IF($A461="","",IFERROR(MINIFS(Candidates!$K$2:$K$2000,Candidates!$A$2:$A$2000,$A461),""))</f>
        <v/>
      </c>
      <c r="S461" s="65" t="str">
        <f>IF($A461="","",IFERROR(MAXIFS(Candidates!$AA$2:$AA$2000,Candidates!$A$2:$A$2000,$A461),""))</f>
        <v/>
      </c>
      <c r="T461" s="64" t="str">
        <f>IFERROR(__xludf.DUMMYFUNCTION("IF($A461="""","""",IFERROR(TEXTJOIN("", "",TRUE,UNIQUE(FILTER(Candidates!$B$2:$B$2000,Candidates!$A$2:$A$2000=$A461))),""""))"),"")</f>
        <v/>
      </c>
      <c r="U461" s="66" t="str">
        <f>IF($A461="","",COUNTIF(Candidates!$A$2:$A$2000,$A461))</f>
        <v/>
      </c>
      <c r="V461" s="64" t="str">
        <f>IFERROR(__xludf.DUMMYFUNCTION("IF($A461="""","""",IFERROR(INDEX(FILTER(Candidates!$S$2:$S$2000,Candidates!$A$2:$A$2000=$A461),COUNTIF(Candidates!$A$2:$A$2000,$A461)),""""))"),"")</f>
        <v/>
      </c>
      <c r="W461" s="64" t="str">
        <f>IFERROR(__xludf.DUMMYFUNCTION("IF($A461="""","""",IFERROR(INDEX(FILTER(Candidates!$T$2:$T$2000,Candidates!$A$2:$A$2000=$A461),COUNTIF(Candidates!$A$2:$A$2000,$A461)),""""))"),"")</f>
        <v/>
      </c>
      <c r="X461" s="64"/>
      <c r="Y461" s="64"/>
      <c r="Z461" s="65"/>
      <c r="AA461" s="65"/>
      <c r="AB461" s="65"/>
      <c r="AC461" s="65"/>
    </row>
    <row r="462">
      <c r="A462" s="64"/>
      <c r="B462" s="64"/>
      <c r="C462" s="64"/>
      <c r="D462" s="64"/>
      <c r="E462" s="64"/>
      <c r="F462" s="64"/>
      <c r="G462" s="64"/>
      <c r="H462" s="63"/>
      <c r="I462" s="64"/>
      <c r="J462" s="64"/>
      <c r="K462" s="64"/>
      <c r="L462" s="64"/>
      <c r="M462" s="64"/>
      <c r="N462" s="64"/>
      <c r="O462" s="64"/>
      <c r="P462" s="64"/>
      <c r="Q462" s="64"/>
      <c r="R462" s="65" t="str">
        <f>IF($A462="","",IFERROR(MINIFS(Candidates!$K$2:$K$2000,Candidates!$A$2:$A$2000,$A462),""))</f>
        <v/>
      </c>
      <c r="S462" s="65" t="str">
        <f>IF($A462="","",IFERROR(MAXIFS(Candidates!$AA$2:$AA$2000,Candidates!$A$2:$A$2000,$A462),""))</f>
        <v/>
      </c>
      <c r="T462" s="64" t="str">
        <f>IFERROR(__xludf.DUMMYFUNCTION("IF($A462="""","""",IFERROR(TEXTJOIN("", "",TRUE,UNIQUE(FILTER(Candidates!$B$2:$B$2000,Candidates!$A$2:$A$2000=$A462))),""""))"),"")</f>
        <v/>
      </c>
      <c r="U462" s="66" t="str">
        <f>IF($A462="","",COUNTIF(Candidates!$A$2:$A$2000,$A462))</f>
        <v/>
      </c>
      <c r="V462" s="64" t="str">
        <f>IFERROR(__xludf.DUMMYFUNCTION("IF($A462="""","""",IFERROR(INDEX(FILTER(Candidates!$S$2:$S$2000,Candidates!$A$2:$A$2000=$A462),COUNTIF(Candidates!$A$2:$A$2000,$A462)),""""))"),"")</f>
        <v/>
      </c>
      <c r="W462" s="64" t="str">
        <f>IFERROR(__xludf.DUMMYFUNCTION("IF($A462="""","""",IFERROR(INDEX(FILTER(Candidates!$T$2:$T$2000,Candidates!$A$2:$A$2000=$A462),COUNTIF(Candidates!$A$2:$A$2000,$A462)),""""))"),"")</f>
        <v/>
      </c>
      <c r="X462" s="64"/>
      <c r="Y462" s="64"/>
      <c r="Z462" s="65"/>
      <c r="AA462" s="65"/>
      <c r="AB462" s="65"/>
      <c r="AC462" s="65"/>
    </row>
    <row r="463">
      <c r="A463" s="64"/>
      <c r="B463" s="64"/>
      <c r="C463" s="64"/>
      <c r="D463" s="64"/>
      <c r="E463" s="64"/>
      <c r="F463" s="64"/>
      <c r="G463" s="64"/>
      <c r="H463" s="63"/>
      <c r="I463" s="64"/>
      <c r="J463" s="64"/>
      <c r="K463" s="64"/>
      <c r="L463" s="64"/>
      <c r="M463" s="64"/>
      <c r="N463" s="64"/>
      <c r="O463" s="64"/>
      <c r="P463" s="64"/>
      <c r="Q463" s="64"/>
      <c r="R463" s="65" t="str">
        <f>IF($A463="","",IFERROR(MINIFS(Candidates!$K$2:$K$2000,Candidates!$A$2:$A$2000,$A463),""))</f>
        <v/>
      </c>
      <c r="S463" s="65" t="str">
        <f>IF($A463="","",IFERROR(MAXIFS(Candidates!$AA$2:$AA$2000,Candidates!$A$2:$A$2000,$A463),""))</f>
        <v/>
      </c>
      <c r="T463" s="64" t="str">
        <f>IFERROR(__xludf.DUMMYFUNCTION("IF($A463="""","""",IFERROR(TEXTJOIN("", "",TRUE,UNIQUE(FILTER(Candidates!$B$2:$B$2000,Candidates!$A$2:$A$2000=$A463))),""""))"),"")</f>
        <v/>
      </c>
      <c r="U463" s="66" t="str">
        <f>IF($A463="","",COUNTIF(Candidates!$A$2:$A$2000,$A463))</f>
        <v/>
      </c>
      <c r="V463" s="64" t="str">
        <f>IFERROR(__xludf.DUMMYFUNCTION("IF($A463="""","""",IFERROR(INDEX(FILTER(Candidates!$S$2:$S$2000,Candidates!$A$2:$A$2000=$A463),COUNTIF(Candidates!$A$2:$A$2000,$A463)),""""))"),"")</f>
        <v/>
      </c>
      <c r="W463" s="64" t="str">
        <f>IFERROR(__xludf.DUMMYFUNCTION("IF($A463="""","""",IFERROR(INDEX(FILTER(Candidates!$T$2:$T$2000,Candidates!$A$2:$A$2000=$A463),COUNTIF(Candidates!$A$2:$A$2000,$A463)),""""))"),"")</f>
        <v/>
      </c>
      <c r="X463" s="64"/>
      <c r="Y463" s="64"/>
      <c r="Z463" s="65"/>
      <c r="AA463" s="65"/>
      <c r="AB463" s="65"/>
      <c r="AC463" s="65"/>
    </row>
    <row r="464">
      <c r="A464" s="64"/>
      <c r="B464" s="64"/>
      <c r="C464" s="64"/>
      <c r="D464" s="64"/>
      <c r="E464" s="64"/>
      <c r="F464" s="64"/>
      <c r="G464" s="64"/>
      <c r="H464" s="63"/>
      <c r="I464" s="64"/>
      <c r="J464" s="64"/>
      <c r="K464" s="64"/>
      <c r="L464" s="64"/>
      <c r="M464" s="64"/>
      <c r="N464" s="64"/>
      <c r="O464" s="64"/>
      <c r="P464" s="64"/>
      <c r="Q464" s="64"/>
      <c r="R464" s="65" t="str">
        <f>IF($A464="","",IFERROR(MINIFS(Candidates!$K$2:$K$2000,Candidates!$A$2:$A$2000,$A464),""))</f>
        <v/>
      </c>
      <c r="S464" s="65" t="str">
        <f>IF($A464="","",IFERROR(MAXIFS(Candidates!$AA$2:$AA$2000,Candidates!$A$2:$A$2000,$A464),""))</f>
        <v/>
      </c>
      <c r="T464" s="64" t="str">
        <f>IFERROR(__xludf.DUMMYFUNCTION("IF($A464="""","""",IFERROR(TEXTJOIN("", "",TRUE,UNIQUE(FILTER(Candidates!$B$2:$B$2000,Candidates!$A$2:$A$2000=$A464))),""""))"),"")</f>
        <v/>
      </c>
      <c r="U464" s="66" t="str">
        <f>IF($A464="","",COUNTIF(Candidates!$A$2:$A$2000,$A464))</f>
        <v/>
      </c>
      <c r="V464" s="64" t="str">
        <f>IFERROR(__xludf.DUMMYFUNCTION("IF($A464="""","""",IFERROR(INDEX(FILTER(Candidates!$S$2:$S$2000,Candidates!$A$2:$A$2000=$A464),COUNTIF(Candidates!$A$2:$A$2000,$A464)),""""))"),"")</f>
        <v/>
      </c>
      <c r="W464" s="64" t="str">
        <f>IFERROR(__xludf.DUMMYFUNCTION("IF($A464="""","""",IFERROR(INDEX(FILTER(Candidates!$T$2:$T$2000,Candidates!$A$2:$A$2000=$A464),COUNTIF(Candidates!$A$2:$A$2000,$A464)),""""))"),"")</f>
        <v/>
      </c>
      <c r="X464" s="64"/>
      <c r="Y464" s="64"/>
      <c r="Z464" s="65"/>
      <c r="AA464" s="65"/>
      <c r="AB464" s="65"/>
      <c r="AC464" s="65"/>
    </row>
    <row r="465">
      <c r="A465" s="64"/>
      <c r="B465" s="64"/>
      <c r="C465" s="64"/>
      <c r="D465" s="64"/>
      <c r="E465" s="64"/>
      <c r="F465" s="64"/>
      <c r="G465" s="64"/>
      <c r="H465" s="63"/>
      <c r="I465" s="64"/>
      <c r="J465" s="64"/>
      <c r="K465" s="64"/>
      <c r="L465" s="64"/>
      <c r="M465" s="64"/>
      <c r="N465" s="64"/>
      <c r="O465" s="64"/>
      <c r="P465" s="64"/>
      <c r="Q465" s="64"/>
      <c r="R465" s="65" t="str">
        <f>IF($A465="","",IFERROR(MINIFS(Candidates!$K$2:$K$2000,Candidates!$A$2:$A$2000,$A465),""))</f>
        <v/>
      </c>
      <c r="S465" s="65" t="str">
        <f>IF($A465="","",IFERROR(MAXIFS(Candidates!$AA$2:$AA$2000,Candidates!$A$2:$A$2000,$A465),""))</f>
        <v/>
      </c>
      <c r="T465" s="64" t="str">
        <f>IFERROR(__xludf.DUMMYFUNCTION("IF($A465="""","""",IFERROR(TEXTJOIN("", "",TRUE,UNIQUE(FILTER(Candidates!$B$2:$B$2000,Candidates!$A$2:$A$2000=$A465))),""""))"),"")</f>
        <v/>
      </c>
      <c r="U465" s="66" t="str">
        <f>IF($A465="","",COUNTIF(Candidates!$A$2:$A$2000,$A465))</f>
        <v/>
      </c>
      <c r="V465" s="64" t="str">
        <f>IFERROR(__xludf.DUMMYFUNCTION("IF($A465="""","""",IFERROR(INDEX(FILTER(Candidates!$S$2:$S$2000,Candidates!$A$2:$A$2000=$A465),COUNTIF(Candidates!$A$2:$A$2000,$A465)),""""))"),"")</f>
        <v/>
      </c>
      <c r="W465" s="64" t="str">
        <f>IFERROR(__xludf.DUMMYFUNCTION("IF($A465="""","""",IFERROR(INDEX(FILTER(Candidates!$T$2:$T$2000,Candidates!$A$2:$A$2000=$A465),COUNTIF(Candidates!$A$2:$A$2000,$A465)),""""))"),"")</f>
        <v/>
      </c>
      <c r="X465" s="64"/>
      <c r="Y465" s="64"/>
      <c r="Z465" s="65"/>
      <c r="AA465" s="65"/>
      <c r="AB465" s="65"/>
      <c r="AC465" s="65"/>
    </row>
    <row r="466">
      <c r="A466" s="64"/>
      <c r="B466" s="64"/>
      <c r="C466" s="64"/>
      <c r="D466" s="64"/>
      <c r="E466" s="64"/>
      <c r="F466" s="64"/>
      <c r="G466" s="64"/>
      <c r="H466" s="63"/>
      <c r="I466" s="64"/>
      <c r="J466" s="64"/>
      <c r="K466" s="64"/>
      <c r="L466" s="64"/>
      <c r="M466" s="64"/>
      <c r="N466" s="64"/>
      <c r="O466" s="64"/>
      <c r="P466" s="64"/>
      <c r="Q466" s="64"/>
      <c r="R466" s="65" t="str">
        <f>IF($A466="","",IFERROR(MINIFS(Candidates!$K$2:$K$2000,Candidates!$A$2:$A$2000,$A466),""))</f>
        <v/>
      </c>
      <c r="S466" s="65" t="str">
        <f>IF($A466="","",IFERROR(MAXIFS(Candidates!$AA$2:$AA$2000,Candidates!$A$2:$A$2000,$A466),""))</f>
        <v/>
      </c>
      <c r="T466" s="64" t="str">
        <f>IFERROR(__xludf.DUMMYFUNCTION("IF($A466="""","""",IFERROR(TEXTJOIN("", "",TRUE,UNIQUE(FILTER(Candidates!$B$2:$B$2000,Candidates!$A$2:$A$2000=$A466))),""""))"),"")</f>
        <v/>
      </c>
      <c r="U466" s="66" t="str">
        <f>IF($A466="","",COUNTIF(Candidates!$A$2:$A$2000,$A466))</f>
        <v/>
      </c>
      <c r="V466" s="64" t="str">
        <f>IFERROR(__xludf.DUMMYFUNCTION("IF($A466="""","""",IFERROR(INDEX(FILTER(Candidates!$S$2:$S$2000,Candidates!$A$2:$A$2000=$A466),COUNTIF(Candidates!$A$2:$A$2000,$A466)),""""))"),"")</f>
        <v/>
      </c>
      <c r="W466" s="64" t="str">
        <f>IFERROR(__xludf.DUMMYFUNCTION("IF($A466="""","""",IFERROR(INDEX(FILTER(Candidates!$T$2:$T$2000,Candidates!$A$2:$A$2000=$A466),COUNTIF(Candidates!$A$2:$A$2000,$A466)),""""))"),"")</f>
        <v/>
      </c>
      <c r="X466" s="64"/>
      <c r="Y466" s="64"/>
      <c r="Z466" s="65"/>
      <c r="AA466" s="65"/>
      <c r="AB466" s="65"/>
      <c r="AC466" s="65"/>
    </row>
    <row r="467">
      <c r="A467" s="64"/>
      <c r="B467" s="64"/>
      <c r="C467" s="64"/>
      <c r="D467" s="64"/>
      <c r="E467" s="64"/>
      <c r="F467" s="64"/>
      <c r="G467" s="64"/>
      <c r="H467" s="63"/>
      <c r="I467" s="64"/>
      <c r="J467" s="64"/>
      <c r="K467" s="64"/>
      <c r="L467" s="64"/>
      <c r="M467" s="64"/>
      <c r="N467" s="64"/>
      <c r="O467" s="64"/>
      <c r="P467" s="64"/>
      <c r="Q467" s="64"/>
      <c r="R467" s="65" t="str">
        <f>IF($A467="","",IFERROR(MINIFS(Candidates!$K$2:$K$2000,Candidates!$A$2:$A$2000,$A467),""))</f>
        <v/>
      </c>
      <c r="S467" s="65" t="str">
        <f>IF($A467="","",IFERROR(MAXIFS(Candidates!$AA$2:$AA$2000,Candidates!$A$2:$A$2000,$A467),""))</f>
        <v/>
      </c>
      <c r="T467" s="64" t="str">
        <f>IFERROR(__xludf.DUMMYFUNCTION("IF($A467="""","""",IFERROR(TEXTJOIN("", "",TRUE,UNIQUE(FILTER(Candidates!$B$2:$B$2000,Candidates!$A$2:$A$2000=$A467))),""""))"),"")</f>
        <v/>
      </c>
      <c r="U467" s="66" t="str">
        <f>IF($A467="","",COUNTIF(Candidates!$A$2:$A$2000,$A467))</f>
        <v/>
      </c>
      <c r="V467" s="64" t="str">
        <f>IFERROR(__xludf.DUMMYFUNCTION("IF($A467="""","""",IFERROR(INDEX(FILTER(Candidates!$S$2:$S$2000,Candidates!$A$2:$A$2000=$A467),COUNTIF(Candidates!$A$2:$A$2000,$A467)),""""))"),"")</f>
        <v/>
      </c>
      <c r="W467" s="64" t="str">
        <f>IFERROR(__xludf.DUMMYFUNCTION("IF($A467="""","""",IFERROR(INDEX(FILTER(Candidates!$T$2:$T$2000,Candidates!$A$2:$A$2000=$A467),COUNTIF(Candidates!$A$2:$A$2000,$A467)),""""))"),"")</f>
        <v/>
      </c>
      <c r="X467" s="64"/>
      <c r="Y467" s="64"/>
      <c r="Z467" s="65"/>
      <c r="AA467" s="65"/>
      <c r="AB467" s="65"/>
      <c r="AC467" s="65"/>
    </row>
    <row r="468">
      <c r="A468" s="64"/>
      <c r="B468" s="64"/>
      <c r="C468" s="64"/>
      <c r="D468" s="64"/>
      <c r="E468" s="64"/>
      <c r="F468" s="64"/>
      <c r="G468" s="64"/>
      <c r="H468" s="63"/>
      <c r="I468" s="64"/>
      <c r="J468" s="64"/>
      <c r="K468" s="64"/>
      <c r="L468" s="64"/>
      <c r="M468" s="64"/>
      <c r="N468" s="64"/>
      <c r="O468" s="64"/>
      <c r="P468" s="64"/>
      <c r="Q468" s="64"/>
      <c r="R468" s="65" t="str">
        <f>IF($A468="","",IFERROR(MINIFS(Candidates!$K$2:$K$2000,Candidates!$A$2:$A$2000,$A468),""))</f>
        <v/>
      </c>
      <c r="S468" s="65" t="str">
        <f>IF($A468="","",IFERROR(MAXIFS(Candidates!$AA$2:$AA$2000,Candidates!$A$2:$A$2000,$A468),""))</f>
        <v/>
      </c>
      <c r="T468" s="64" t="str">
        <f>IFERROR(__xludf.DUMMYFUNCTION("IF($A468="""","""",IFERROR(TEXTJOIN("", "",TRUE,UNIQUE(FILTER(Candidates!$B$2:$B$2000,Candidates!$A$2:$A$2000=$A468))),""""))"),"")</f>
        <v/>
      </c>
      <c r="U468" s="66" t="str">
        <f>IF($A468="","",COUNTIF(Candidates!$A$2:$A$2000,$A468))</f>
        <v/>
      </c>
      <c r="V468" s="64" t="str">
        <f>IFERROR(__xludf.DUMMYFUNCTION("IF($A468="""","""",IFERROR(INDEX(FILTER(Candidates!$S$2:$S$2000,Candidates!$A$2:$A$2000=$A468),COUNTIF(Candidates!$A$2:$A$2000,$A468)),""""))"),"")</f>
        <v/>
      </c>
      <c r="W468" s="64" t="str">
        <f>IFERROR(__xludf.DUMMYFUNCTION("IF($A468="""","""",IFERROR(INDEX(FILTER(Candidates!$T$2:$T$2000,Candidates!$A$2:$A$2000=$A468),COUNTIF(Candidates!$A$2:$A$2000,$A468)),""""))"),"")</f>
        <v/>
      </c>
      <c r="X468" s="64"/>
      <c r="Y468" s="64"/>
      <c r="Z468" s="65"/>
      <c r="AA468" s="65"/>
      <c r="AB468" s="65"/>
      <c r="AC468" s="65"/>
    </row>
    <row r="469">
      <c r="A469" s="64"/>
      <c r="B469" s="64"/>
      <c r="C469" s="64"/>
      <c r="D469" s="64"/>
      <c r="E469" s="64"/>
      <c r="F469" s="64"/>
      <c r="G469" s="64"/>
      <c r="H469" s="63"/>
      <c r="I469" s="64"/>
      <c r="J469" s="64"/>
      <c r="K469" s="64"/>
      <c r="L469" s="64"/>
      <c r="M469" s="64"/>
      <c r="N469" s="64"/>
      <c r="O469" s="64"/>
      <c r="P469" s="64"/>
      <c r="Q469" s="64"/>
      <c r="R469" s="65" t="str">
        <f>IF($A469="","",IFERROR(MINIFS(Candidates!$K$2:$K$2000,Candidates!$A$2:$A$2000,$A469),""))</f>
        <v/>
      </c>
      <c r="S469" s="65" t="str">
        <f>IF($A469="","",IFERROR(MAXIFS(Candidates!$AA$2:$AA$2000,Candidates!$A$2:$A$2000,$A469),""))</f>
        <v/>
      </c>
      <c r="T469" s="64" t="str">
        <f>IFERROR(__xludf.DUMMYFUNCTION("IF($A469="""","""",IFERROR(TEXTJOIN("", "",TRUE,UNIQUE(FILTER(Candidates!$B$2:$B$2000,Candidates!$A$2:$A$2000=$A469))),""""))"),"")</f>
        <v/>
      </c>
      <c r="U469" s="66" t="str">
        <f>IF($A469="","",COUNTIF(Candidates!$A$2:$A$2000,$A469))</f>
        <v/>
      </c>
      <c r="V469" s="64" t="str">
        <f>IFERROR(__xludf.DUMMYFUNCTION("IF($A469="""","""",IFERROR(INDEX(FILTER(Candidates!$S$2:$S$2000,Candidates!$A$2:$A$2000=$A469),COUNTIF(Candidates!$A$2:$A$2000,$A469)),""""))"),"")</f>
        <v/>
      </c>
      <c r="W469" s="64" t="str">
        <f>IFERROR(__xludf.DUMMYFUNCTION("IF($A469="""","""",IFERROR(INDEX(FILTER(Candidates!$T$2:$T$2000,Candidates!$A$2:$A$2000=$A469),COUNTIF(Candidates!$A$2:$A$2000,$A469)),""""))"),"")</f>
        <v/>
      </c>
      <c r="X469" s="64"/>
      <c r="Y469" s="64"/>
      <c r="Z469" s="65"/>
      <c r="AA469" s="65"/>
      <c r="AB469" s="65"/>
      <c r="AC469" s="65"/>
    </row>
    <row r="470">
      <c r="A470" s="64"/>
      <c r="B470" s="64"/>
      <c r="C470" s="64"/>
      <c r="D470" s="64"/>
      <c r="E470" s="64"/>
      <c r="F470" s="64"/>
      <c r="G470" s="64"/>
      <c r="H470" s="63"/>
      <c r="I470" s="64"/>
      <c r="J470" s="64"/>
      <c r="K470" s="64"/>
      <c r="L470" s="64"/>
      <c r="M470" s="64"/>
      <c r="N470" s="64"/>
      <c r="O470" s="64"/>
      <c r="P470" s="64"/>
      <c r="Q470" s="64"/>
      <c r="R470" s="65" t="str">
        <f>IF($A470="","",IFERROR(MINIFS(Candidates!$K$2:$K$2000,Candidates!$A$2:$A$2000,$A470),""))</f>
        <v/>
      </c>
      <c r="S470" s="65" t="str">
        <f>IF($A470="","",IFERROR(MAXIFS(Candidates!$AA$2:$AA$2000,Candidates!$A$2:$A$2000,$A470),""))</f>
        <v/>
      </c>
      <c r="T470" s="64" t="str">
        <f>IFERROR(__xludf.DUMMYFUNCTION("IF($A470="""","""",IFERROR(TEXTJOIN("", "",TRUE,UNIQUE(FILTER(Candidates!$B$2:$B$2000,Candidates!$A$2:$A$2000=$A470))),""""))"),"")</f>
        <v/>
      </c>
      <c r="U470" s="66" t="str">
        <f>IF($A470="","",COUNTIF(Candidates!$A$2:$A$2000,$A470))</f>
        <v/>
      </c>
      <c r="V470" s="64" t="str">
        <f>IFERROR(__xludf.DUMMYFUNCTION("IF($A470="""","""",IFERROR(INDEX(FILTER(Candidates!$S$2:$S$2000,Candidates!$A$2:$A$2000=$A470),COUNTIF(Candidates!$A$2:$A$2000,$A470)),""""))"),"")</f>
        <v/>
      </c>
      <c r="W470" s="64" t="str">
        <f>IFERROR(__xludf.DUMMYFUNCTION("IF($A470="""","""",IFERROR(INDEX(FILTER(Candidates!$T$2:$T$2000,Candidates!$A$2:$A$2000=$A470),COUNTIF(Candidates!$A$2:$A$2000,$A470)),""""))"),"")</f>
        <v/>
      </c>
      <c r="X470" s="64"/>
      <c r="Y470" s="64"/>
      <c r="Z470" s="65"/>
      <c r="AA470" s="65"/>
      <c r="AB470" s="65"/>
      <c r="AC470" s="65"/>
    </row>
    <row r="471">
      <c r="A471" s="64"/>
      <c r="B471" s="64"/>
      <c r="C471" s="64"/>
      <c r="D471" s="64"/>
      <c r="E471" s="64"/>
      <c r="F471" s="64"/>
      <c r="G471" s="64"/>
      <c r="H471" s="63"/>
      <c r="I471" s="64"/>
      <c r="J471" s="64"/>
      <c r="K471" s="64"/>
      <c r="L471" s="64"/>
      <c r="M471" s="64"/>
      <c r="N471" s="64"/>
      <c r="O471" s="64"/>
      <c r="P471" s="64"/>
      <c r="Q471" s="64"/>
      <c r="R471" s="65" t="str">
        <f>IF($A471="","",IFERROR(MINIFS(Candidates!$K$2:$K$2000,Candidates!$A$2:$A$2000,$A471),""))</f>
        <v/>
      </c>
      <c r="S471" s="65" t="str">
        <f>IF($A471="","",IFERROR(MAXIFS(Candidates!$AA$2:$AA$2000,Candidates!$A$2:$A$2000,$A471),""))</f>
        <v/>
      </c>
      <c r="T471" s="64" t="str">
        <f>IFERROR(__xludf.DUMMYFUNCTION("IF($A471="""","""",IFERROR(TEXTJOIN("", "",TRUE,UNIQUE(FILTER(Candidates!$B$2:$B$2000,Candidates!$A$2:$A$2000=$A471))),""""))"),"")</f>
        <v/>
      </c>
      <c r="U471" s="66" t="str">
        <f>IF($A471="","",COUNTIF(Candidates!$A$2:$A$2000,$A471))</f>
        <v/>
      </c>
      <c r="V471" s="64" t="str">
        <f>IFERROR(__xludf.DUMMYFUNCTION("IF($A471="""","""",IFERROR(INDEX(FILTER(Candidates!$S$2:$S$2000,Candidates!$A$2:$A$2000=$A471),COUNTIF(Candidates!$A$2:$A$2000,$A471)),""""))"),"")</f>
        <v/>
      </c>
      <c r="W471" s="64" t="str">
        <f>IFERROR(__xludf.DUMMYFUNCTION("IF($A471="""","""",IFERROR(INDEX(FILTER(Candidates!$T$2:$T$2000,Candidates!$A$2:$A$2000=$A471),COUNTIF(Candidates!$A$2:$A$2000,$A471)),""""))"),"")</f>
        <v/>
      </c>
      <c r="X471" s="64"/>
      <c r="Y471" s="64"/>
      <c r="Z471" s="65"/>
      <c r="AA471" s="65"/>
      <c r="AB471" s="65"/>
      <c r="AC471" s="65"/>
    </row>
    <row r="472">
      <c r="A472" s="64"/>
      <c r="B472" s="64"/>
      <c r="C472" s="64"/>
      <c r="D472" s="64"/>
      <c r="E472" s="64"/>
      <c r="F472" s="64"/>
      <c r="G472" s="64"/>
      <c r="H472" s="63"/>
      <c r="I472" s="64"/>
      <c r="J472" s="64"/>
      <c r="K472" s="64"/>
      <c r="L472" s="64"/>
      <c r="M472" s="64"/>
      <c r="N472" s="64"/>
      <c r="O472" s="64"/>
      <c r="P472" s="64"/>
      <c r="Q472" s="64"/>
      <c r="R472" s="65" t="str">
        <f>IF($A472="","",IFERROR(MINIFS(Candidates!$K$2:$K$2000,Candidates!$A$2:$A$2000,$A472),""))</f>
        <v/>
      </c>
      <c r="S472" s="65" t="str">
        <f>IF($A472="","",IFERROR(MAXIFS(Candidates!$AA$2:$AA$2000,Candidates!$A$2:$A$2000,$A472),""))</f>
        <v/>
      </c>
      <c r="T472" s="64" t="str">
        <f>IFERROR(__xludf.DUMMYFUNCTION("IF($A472="""","""",IFERROR(TEXTJOIN("", "",TRUE,UNIQUE(FILTER(Candidates!$B$2:$B$2000,Candidates!$A$2:$A$2000=$A472))),""""))"),"")</f>
        <v/>
      </c>
      <c r="U472" s="66" t="str">
        <f>IF($A472="","",COUNTIF(Candidates!$A$2:$A$2000,$A472))</f>
        <v/>
      </c>
      <c r="V472" s="64" t="str">
        <f>IFERROR(__xludf.DUMMYFUNCTION("IF($A472="""","""",IFERROR(INDEX(FILTER(Candidates!$S$2:$S$2000,Candidates!$A$2:$A$2000=$A472),COUNTIF(Candidates!$A$2:$A$2000,$A472)),""""))"),"")</f>
        <v/>
      </c>
      <c r="W472" s="64" t="str">
        <f>IFERROR(__xludf.DUMMYFUNCTION("IF($A472="""","""",IFERROR(INDEX(FILTER(Candidates!$T$2:$T$2000,Candidates!$A$2:$A$2000=$A472),COUNTIF(Candidates!$A$2:$A$2000,$A472)),""""))"),"")</f>
        <v/>
      </c>
      <c r="X472" s="64"/>
      <c r="Y472" s="64"/>
      <c r="Z472" s="65"/>
      <c r="AA472" s="65"/>
      <c r="AB472" s="65"/>
      <c r="AC472" s="65"/>
    </row>
    <row r="473">
      <c r="A473" s="64"/>
      <c r="B473" s="64"/>
      <c r="C473" s="64"/>
      <c r="D473" s="64"/>
      <c r="E473" s="64"/>
      <c r="F473" s="64"/>
      <c r="G473" s="64"/>
      <c r="H473" s="63"/>
      <c r="I473" s="64"/>
      <c r="J473" s="64"/>
      <c r="K473" s="64"/>
      <c r="L473" s="64"/>
      <c r="M473" s="64"/>
      <c r="N473" s="64"/>
      <c r="O473" s="64"/>
      <c r="P473" s="64"/>
      <c r="Q473" s="64"/>
      <c r="R473" s="65" t="str">
        <f>IF($A473="","",IFERROR(MINIFS(Candidates!$K$2:$K$2000,Candidates!$A$2:$A$2000,$A473),""))</f>
        <v/>
      </c>
      <c r="S473" s="65" t="str">
        <f>IF($A473="","",IFERROR(MAXIFS(Candidates!$AA$2:$AA$2000,Candidates!$A$2:$A$2000,$A473),""))</f>
        <v/>
      </c>
      <c r="T473" s="64" t="str">
        <f>IFERROR(__xludf.DUMMYFUNCTION("IF($A473="""","""",IFERROR(TEXTJOIN("", "",TRUE,UNIQUE(FILTER(Candidates!$B$2:$B$2000,Candidates!$A$2:$A$2000=$A473))),""""))"),"")</f>
        <v/>
      </c>
      <c r="U473" s="66" t="str">
        <f>IF($A473="","",COUNTIF(Candidates!$A$2:$A$2000,$A473))</f>
        <v/>
      </c>
      <c r="V473" s="64" t="str">
        <f>IFERROR(__xludf.DUMMYFUNCTION("IF($A473="""","""",IFERROR(INDEX(FILTER(Candidates!$S$2:$S$2000,Candidates!$A$2:$A$2000=$A473),COUNTIF(Candidates!$A$2:$A$2000,$A473)),""""))"),"")</f>
        <v/>
      </c>
      <c r="W473" s="64" t="str">
        <f>IFERROR(__xludf.DUMMYFUNCTION("IF($A473="""","""",IFERROR(INDEX(FILTER(Candidates!$T$2:$T$2000,Candidates!$A$2:$A$2000=$A473),COUNTIF(Candidates!$A$2:$A$2000,$A473)),""""))"),"")</f>
        <v/>
      </c>
      <c r="X473" s="64"/>
      <c r="Y473" s="64"/>
      <c r="Z473" s="65"/>
      <c r="AA473" s="65"/>
      <c r="AB473" s="65"/>
      <c r="AC473" s="65"/>
    </row>
    <row r="474">
      <c r="A474" s="64"/>
      <c r="B474" s="64"/>
      <c r="C474" s="64"/>
      <c r="D474" s="64"/>
      <c r="E474" s="64"/>
      <c r="F474" s="64"/>
      <c r="G474" s="64"/>
      <c r="H474" s="63"/>
      <c r="I474" s="64"/>
      <c r="J474" s="64"/>
      <c r="K474" s="64"/>
      <c r="L474" s="64"/>
      <c r="M474" s="64"/>
      <c r="N474" s="64"/>
      <c r="O474" s="64"/>
      <c r="P474" s="64"/>
      <c r="Q474" s="64"/>
      <c r="R474" s="65" t="str">
        <f>IF($A474="","",IFERROR(MINIFS(Candidates!$K$2:$K$2000,Candidates!$A$2:$A$2000,$A474),""))</f>
        <v/>
      </c>
      <c r="S474" s="65" t="str">
        <f>IF($A474="","",IFERROR(MAXIFS(Candidates!$AA$2:$AA$2000,Candidates!$A$2:$A$2000,$A474),""))</f>
        <v/>
      </c>
      <c r="T474" s="64" t="str">
        <f>IFERROR(__xludf.DUMMYFUNCTION("IF($A474="""","""",IFERROR(TEXTJOIN("", "",TRUE,UNIQUE(FILTER(Candidates!$B$2:$B$2000,Candidates!$A$2:$A$2000=$A474))),""""))"),"")</f>
        <v/>
      </c>
      <c r="U474" s="66" t="str">
        <f>IF($A474="","",COUNTIF(Candidates!$A$2:$A$2000,$A474))</f>
        <v/>
      </c>
      <c r="V474" s="64" t="str">
        <f>IFERROR(__xludf.DUMMYFUNCTION("IF($A474="""","""",IFERROR(INDEX(FILTER(Candidates!$S$2:$S$2000,Candidates!$A$2:$A$2000=$A474),COUNTIF(Candidates!$A$2:$A$2000,$A474)),""""))"),"")</f>
        <v/>
      </c>
      <c r="W474" s="64" t="str">
        <f>IFERROR(__xludf.DUMMYFUNCTION("IF($A474="""","""",IFERROR(INDEX(FILTER(Candidates!$T$2:$T$2000,Candidates!$A$2:$A$2000=$A474),COUNTIF(Candidates!$A$2:$A$2000,$A474)),""""))"),"")</f>
        <v/>
      </c>
      <c r="X474" s="64"/>
      <c r="Y474" s="64"/>
      <c r="Z474" s="65"/>
      <c r="AA474" s="65"/>
      <c r="AB474" s="65"/>
      <c r="AC474" s="65"/>
    </row>
    <row r="475">
      <c r="A475" s="64"/>
      <c r="B475" s="64"/>
      <c r="C475" s="64"/>
      <c r="D475" s="64"/>
      <c r="E475" s="64"/>
      <c r="F475" s="64"/>
      <c r="G475" s="64"/>
      <c r="H475" s="63"/>
      <c r="I475" s="64"/>
      <c r="J475" s="64"/>
      <c r="K475" s="64"/>
      <c r="L475" s="64"/>
      <c r="M475" s="64"/>
      <c r="N475" s="64"/>
      <c r="O475" s="64"/>
      <c r="P475" s="64"/>
      <c r="Q475" s="64"/>
      <c r="R475" s="65" t="str">
        <f>IF($A475="","",IFERROR(MINIFS(Candidates!$K$2:$K$2000,Candidates!$A$2:$A$2000,$A475),""))</f>
        <v/>
      </c>
      <c r="S475" s="65" t="str">
        <f>IF($A475="","",IFERROR(MAXIFS(Candidates!$AA$2:$AA$2000,Candidates!$A$2:$A$2000,$A475),""))</f>
        <v/>
      </c>
      <c r="T475" s="64" t="str">
        <f>IFERROR(__xludf.DUMMYFUNCTION("IF($A475="""","""",IFERROR(TEXTJOIN("", "",TRUE,UNIQUE(FILTER(Candidates!$B$2:$B$2000,Candidates!$A$2:$A$2000=$A475))),""""))"),"")</f>
        <v/>
      </c>
      <c r="U475" s="66" t="str">
        <f>IF($A475="","",COUNTIF(Candidates!$A$2:$A$2000,$A475))</f>
        <v/>
      </c>
      <c r="V475" s="64" t="str">
        <f>IFERROR(__xludf.DUMMYFUNCTION("IF($A475="""","""",IFERROR(INDEX(FILTER(Candidates!$S$2:$S$2000,Candidates!$A$2:$A$2000=$A475),COUNTIF(Candidates!$A$2:$A$2000,$A475)),""""))"),"")</f>
        <v/>
      </c>
      <c r="W475" s="64" t="str">
        <f>IFERROR(__xludf.DUMMYFUNCTION("IF($A475="""","""",IFERROR(INDEX(FILTER(Candidates!$T$2:$T$2000,Candidates!$A$2:$A$2000=$A475),COUNTIF(Candidates!$A$2:$A$2000,$A475)),""""))"),"")</f>
        <v/>
      </c>
      <c r="X475" s="64"/>
      <c r="Y475" s="64"/>
      <c r="Z475" s="65"/>
      <c r="AA475" s="65"/>
      <c r="AB475" s="65"/>
      <c r="AC475" s="65"/>
    </row>
    <row r="476">
      <c r="A476" s="64"/>
      <c r="B476" s="64"/>
      <c r="C476" s="64"/>
      <c r="D476" s="64"/>
      <c r="E476" s="64"/>
      <c r="F476" s="64"/>
      <c r="G476" s="64"/>
      <c r="H476" s="63"/>
      <c r="I476" s="64"/>
      <c r="J476" s="64"/>
      <c r="K476" s="64"/>
      <c r="L476" s="64"/>
      <c r="M476" s="64"/>
      <c r="N476" s="64"/>
      <c r="O476" s="64"/>
      <c r="P476" s="64"/>
      <c r="Q476" s="64"/>
      <c r="R476" s="65" t="str">
        <f>IF($A476="","",IFERROR(MINIFS(Candidates!$K$2:$K$2000,Candidates!$A$2:$A$2000,$A476),""))</f>
        <v/>
      </c>
      <c r="S476" s="65" t="str">
        <f>IF($A476="","",IFERROR(MAXIFS(Candidates!$AA$2:$AA$2000,Candidates!$A$2:$A$2000,$A476),""))</f>
        <v/>
      </c>
      <c r="T476" s="64" t="str">
        <f>IFERROR(__xludf.DUMMYFUNCTION("IF($A476="""","""",IFERROR(TEXTJOIN("", "",TRUE,UNIQUE(FILTER(Candidates!$B$2:$B$2000,Candidates!$A$2:$A$2000=$A476))),""""))"),"")</f>
        <v/>
      </c>
      <c r="U476" s="66" t="str">
        <f>IF($A476="","",COUNTIF(Candidates!$A$2:$A$2000,$A476))</f>
        <v/>
      </c>
      <c r="V476" s="64" t="str">
        <f>IFERROR(__xludf.DUMMYFUNCTION("IF($A476="""","""",IFERROR(INDEX(FILTER(Candidates!$S$2:$S$2000,Candidates!$A$2:$A$2000=$A476),COUNTIF(Candidates!$A$2:$A$2000,$A476)),""""))"),"")</f>
        <v/>
      </c>
      <c r="W476" s="64" t="str">
        <f>IFERROR(__xludf.DUMMYFUNCTION("IF($A476="""","""",IFERROR(INDEX(FILTER(Candidates!$T$2:$T$2000,Candidates!$A$2:$A$2000=$A476),COUNTIF(Candidates!$A$2:$A$2000,$A476)),""""))"),"")</f>
        <v/>
      </c>
      <c r="X476" s="64"/>
      <c r="Y476" s="64"/>
      <c r="Z476" s="65"/>
      <c r="AA476" s="65"/>
      <c r="AB476" s="65"/>
      <c r="AC476" s="65"/>
    </row>
    <row r="477">
      <c r="A477" s="64"/>
      <c r="B477" s="64"/>
      <c r="C477" s="64"/>
      <c r="D477" s="64"/>
      <c r="E477" s="64"/>
      <c r="F477" s="64"/>
      <c r="G477" s="64"/>
      <c r="H477" s="63"/>
      <c r="I477" s="64"/>
      <c r="J477" s="64"/>
      <c r="K477" s="64"/>
      <c r="L477" s="64"/>
      <c r="M477" s="64"/>
      <c r="N477" s="64"/>
      <c r="O477" s="64"/>
      <c r="P477" s="64"/>
      <c r="Q477" s="64"/>
      <c r="R477" s="65" t="str">
        <f>IF($A477="","",IFERROR(MINIFS(Candidates!$K$2:$K$2000,Candidates!$A$2:$A$2000,$A477),""))</f>
        <v/>
      </c>
      <c r="S477" s="65" t="str">
        <f>IF($A477="","",IFERROR(MAXIFS(Candidates!$AA$2:$AA$2000,Candidates!$A$2:$A$2000,$A477),""))</f>
        <v/>
      </c>
      <c r="T477" s="64" t="str">
        <f>IFERROR(__xludf.DUMMYFUNCTION("IF($A477="""","""",IFERROR(TEXTJOIN("", "",TRUE,UNIQUE(FILTER(Candidates!$B$2:$B$2000,Candidates!$A$2:$A$2000=$A477))),""""))"),"")</f>
        <v/>
      </c>
      <c r="U477" s="66" t="str">
        <f>IF($A477="","",COUNTIF(Candidates!$A$2:$A$2000,$A477))</f>
        <v/>
      </c>
      <c r="V477" s="64" t="str">
        <f>IFERROR(__xludf.DUMMYFUNCTION("IF($A477="""","""",IFERROR(INDEX(FILTER(Candidates!$S$2:$S$2000,Candidates!$A$2:$A$2000=$A477),COUNTIF(Candidates!$A$2:$A$2000,$A477)),""""))"),"")</f>
        <v/>
      </c>
      <c r="W477" s="64" t="str">
        <f>IFERROR(__xludf.DUMMYFUNCTION("IF($A477="""","""",IFERROR(INDEX(FILTER(Candidates!$T$2:$T$2000,Candidates!$A$2:$A$2000=$A477),COUNTIF(Candidates!$A$2:$A$2000,$A477)),""""))"),"")</f>
        <v/>
      </c>
      <c r="X477" s="64"/>
      <c r="Y477" s="64"/>
      <c r="Z477" s="65"/>
      <c r="AA477" s="65"/>
      <c r="AB477" s="65"/>
      <c r="AC477" s="65"/>
    </row>
    <row r="478">
      <c r="A478" s="64"/>
      <c r="B478" s="64"/>
      <c r="C478" s="64"/>
      <c r="D478" s="64"/>
      <c r="E478" s="64"/>
      <c r="F478" s="64"/>
      <c r="G478" s="64"/>
      <c r="H478" s="63"/>
      <c r="I478" s="64"/>
      <c r="J478" s="64"/>
      <c r="K478" s="64"/>
      <c r="L478" s="64"/>
      <c r="M478" s="64"/>
      <c r="N478" s="64"/>
      <c r="O478" s="64"/>
      <c r="P478" s="64"/>
      <c r="Q478" s="64"/>
      <c r="R478" s="65" t="str">
        <f>IF($A478="","",IFERROR(MINIFS(Candidates!$K$2:$K$2000,Candidates!$A$2:$A$2000,$A478),""))</f>
        <v/>
      </c>
      <c r="S478" s="65" t="str">
        <f>IF($A478="","",IFERROR(MAXIFS(Candidates!$AA$2:$AA$2000,Candidates!$A$2:$A$2000,$A478),""))</f>
        <v/>
      </c>
      <c r="T478" s="64" t="str">
        <f>IFERROR(__xludf.DUMMYFUNCTION("IF($A478="""","""",IFERROR(TEXTJOIN("", "",TRUE,UNIQUE(FILTER(Candidates!$B$2:$B$2000,Candidates!$A$2:$A$2000=$A478))),""""))"),"")</f>
        <v/>
      </c>
      <c r="U478" s="66" t="str">
        <f>IF($A478="","",COUNTIF(Candidates!$A$2:$A$2000,$A478))</f>
        <v/>
      </c>
      <c r="V478" s="64" t="str">
        <f>IFERROR(__xludf.DUMMYFUNCTION("IF($A478="""","""",IFERROR(INDEX(FILTER(Candidates!$S$2:$S$2000,Candidates!$A$2:$A$2000=$A478),COUNTIF(Candidates!$A$2:$A$2000,$A478)),""""))"),"")</f>
        <v/>
      </c>
      <c r="W478" s="64" t="str">
        <f>IFERROR(__xludf.DUMMYFUNCTION("IF($A478="""","""",IFERROR(INDEX(FILTER(Candidates!$T$2:$T$2000,Candidates!$A$2:$A$2000=$A478),COUNTIF(Candidates!$A$2:$A$2000,$A478)),""""))"),"")</f>
        <v/>
      </c>
      <c r="X478" s="64"/>
      <c r="Y478" s="64"/>
      <c r="Z478" s="65"/>
      <c r="AA478" s="65"/>
      <c r="AB478" s="65"/>
      <c r="AC478" s="65"/>
    </row>
    <row r="479">
      <c r="A479" s="64"/>
      <c r="B479" s="64"/>
      <c r="C479" s="64"/>
      <c r="D479" s="64"/>
      <c r="E479" s="64"/>
      <c r="F479" s="64"/>
      <c r="G479" s="64"/>
      <c r="H479" s="63"/>
      <c r="I479" s="64"/>
      <c r="J479" s="64"/>
      <c r="K479" s="64"/>
      <c r="L479" s="64"/>
      <c r="M479" s="64"/>
      <c r="N479" s="64"/>
      <c r="O479" s="64"/>
      <c r="P479" s="64"/>
      <c r="Q479" s="64"/>
      <c r="R479" s="65" t="str">
        <f>IF($A479="","",IFERROR(MINIFS(Candidates!$K$2:$K$2000,Candidates!$A$2:$A$2000,$A479),""))</f>
        <v/>
      </c>
      <c r="S479" s="65" t="str">
        <f>IF($A479="","",IFERROR(MAXIFS(Candidates!$AA$2:$AA$2000,Candidates!$A$2:$A$2000,$A479),""))</f>
        <v/>
      </c>
      <c r="T479" s="64" t="str">
        <f>IFERROR(__xludf.DUMMYFUNCTION("IF($A479="""","""",IFERROR(TEXTJOIN("", "",TRUE,UNIQUE(FILTER(Candidates!$B$2:$B$2000,Candidates!$A$2:$A$2000=$A479))),""""))"),"")</f>
        <v/>
      </c>
      <c r="U479" s="66" t="str">
        <f>IF($A479="","",COUNTIF(Candidates!$A$2:$A$2000,$A479))</f>
        <v/>
      </c>
      <c r="V479" s="64" t="str">
        <f>IFERROR(__xludf.DUMMYFUNCTION("IF($A479="""","""",IFERROR(INDEX(FILTER(Candidates!$S$2:$S$2000,Candidates!$A$2:$A$2000=$A479),COUNTIF(Candidates!$A$2:$A$2000,$A479)),""""))"),"")</f>
        <v/>
      </c>
      <c r="W479" s="64" t="str">
        <f>IFERROR(__xludf.DUMMYFUNCTION("IF($A479="""","""",IFERROR(INDEX(FILTER(Candidates!$T$2:$T$2000,Candidates!$A$2:$A$2000=$A479),COUNTIF(Candidates!$A$2:$A$2000,$A479)),""""))"),"")</f>
        <v/>
      </c>
      <c r="X479" s="64"/>
      <c r="Y479" s="64"/>
      <c r="Z479" s="65"/>
      <c r="AA479" s="65"/>
      <c r="AB479" s="65"/>
      <c r="AC479" s="65"/>
    </row>
    <row r="480">
      <c r="A480" s="64"/>
      <c r="B480" s="64"/>
      <c r="C480" s="64"/>
      <c r="D480" s="64"/>
      <c r="E480" s="64"/>
      <c r="F480" s="64"/>
      <c r="G480" s="64"/>
      <c r="H480" s="63"/>
      <c r="I480" s="64"/>
      <c r="J480" s="64"/>
      <c r="K480" s="64"/>
      <c r="L480" s="64"/>
      <c r="M480" s="64"/>
      <c r="N480" s="64"/>
      <c r="O480" s="64"/>
      <c r="P480" s="64"/>
      <c r="Q480" s="64"/>
      <c r="R480" s="65" t="str">
        <f>IF($A480="","",IFERROR(MINIFS(Candidates!$K$2:$K$2000,Candidates!$A$2:$A$2000,$A480),""))</f>
        <v/>
      </c>
      <c r="S480" s="65" t="str">
        <f>IF($A480="","",IFERROR(MAXIFS(Candidates!$AA$2:$AA$2000,Candidates!$A$2:$A$2000,$A480),""))</f>
        <v/>
      </c>
      <c r="T480" s="64" t="str">
        <f>IFERROR(__xludf.DUMMYFUNCTION("IF($A480="""","""",IFERROR(TEXTJOIN("", "",TRUE,UNIQUE(FILTER(Candidates!$B$2:$B$2000,Candidates!$A$2:$A$2000=$A480))),""""))"),"")</f>
        <v/>
      </c>
      <c r="U480" s="66" t="str">
        <f>IF($A480="","",COUNTIF(Candidates!$A$2:$A$2000,$A480))</f>
        <v/>
      </c>
      <c r="V480" s="64" t="str">
        <f>IFERROR(__xludf.DUMMYFUNCTION("IF($A480="""","""",IFERROR(INDEX(FILTER(Candidates!$S$2:$S$2000,Candidates!$A$2:$A$2000=$A480),COUNTIF(Candidates!$A$2:$A$2000,$A480)),""""))"),"")</f>
        <v/>
      </c>
      <c r="W480" s="64" t="str">
        <f>IFERROR(__xludf.DUMMYFUNCTION("IF($A480="""","""",IFERROR(INDEX(FILTER(Candidates!$T$2:$T$2000,Candidates!$A$2:$A$2000=$A480),COUNTIF(Candidates!$A$2:$A$2000,$A480)),""""))"),"")</f>
        <v/>
      </c>
      <c r="X480" s="64"/>
      <c r="Y480" s="64"/>
      <c r="Z480" s="65"/>
      <c r="AA480" s="65"/>
      <c r="AB480" s="65"/>
      <c r="AC480" s="65"/>
    </row>
    <row r="481">
      <c r="A481" s="64"/>
      <c r="B481" s="64"/>
      <c r="C481" s="64"/>
      <c r="D481" s="64"/>
      <c r="E481" s="64"/>
      <c r="F481" s="64"/>
      <c r="G481" s="64"/>
      <c r="H481" s="63"/>
      <c r="I481" s="64"/>
      <c r="J481" s="64"/>
      <c r="K481" s="64"/>
      <c r="L481" s="64"/>
      <c r="M481" s="64"/>
      <c r="N481" s="64"/>
      <c r="O481" s="64"/>
      <c r="P481" s="64"/>
      <c r="Q481" s="64"/>
      <c r="R481" s="65" t="str">
        <f>IF($A481="","",IFERROR(MINIFS(Candidates!$K$2:$K$2000,Candidates!$A$2:$A$2000,$A481),""))</f>
        <v/>
      </c>
      <c r="S481" s="65" t="str">
        <f>IF($A481="","",IFERROR(MAXIFS(Candidates!$AA$2:$AA$2000,Candidates!$A$2:$A$2000,$A481),""))</f>
        <v/>
      </c>
      <c r="T481" s="64" t="str">
        <f>IFERROR(__xludf.DUMMYFUNCTION("IF($A481="""","""",IFERROR(TEXTJOIN("", "",TRUE,UNIQUE(FILTER(Candidates!$B$2:$B$2000,Candidates!$A$2:$A$2000=$A481))),""""))"),"")</f>
        <v/>
      </c>
      <c r="U481" s="66" t="str">
        <f>IF($A481="","",COUNTIF(Candidates!$A$2:$A$2000,$A481))</f>
        <v/>
      </c>
      <c r="V481" s="64" t="str">
        <f>IFERROR(__xludf.DUMMYFUNCTION("IF($A481="""","""",IFERROR(INDEX(FILTER(Candidates!$S$2:$S$2000,Candidates!$A$2:$A$2000=$A481),COUNTIF(Candidates!$A$2:$A$2000,$A481)),""""))"),"")</f>
        <v/>
      </c>
      <c r="W481" s="64" t="str">
        <f>IFERROR(__xludf.DUMMYFUNCTION("IF($A481="""","""",IFERROR(INDEX(FILTER(Candidates!$T$2:$T$2000,Candidates!$A$2:$A$2000=$A481),COUNTIF(Candidates!$A$2:$A$2000,$A481)),""""))"),"")</f>
        <v/>
      </c>
      <c r="X481" s="64"/>
      <c r="Y481" s="64"/>
      <c r="Z481" s="65"/>
      <c r="AA481" s="65"/>
      <c r="AB481" s="65"/>
      <c r="AC481" s="65"/>
    </row>
    <row r="482">
      <c r="A482" s="64"/>
      <c r="B482" s="64"/>
      <c r="C482" s="64"/>
      <c r="D482" s="64"/>
      <c r="E482" s="64"/>
      <c r="F482" s="64"/>
      <c r="G482" s="64"/>
      <c r="H482" s="63"/>
      <c r="I482" s="64"/>
      <c r="J482" s="64"/>
      <c r="K482" s="64"/>
      <c r="L482" s="64"/>
      <c r="M482" s="64"/>
      <c r="N482" s="64"/>
      <c r="O482" s="64"/>
      <c r="P482" s="64"/>
      <c r="Q482" s="64"/>
      <c r="R482" s="65" t="str">
        <f>IF($A482="","",IFERROR(MINIFS(Candidates!$K$2:$K$2000,Candidates!$A$2:$A$2000,$A482),""))</f>
        <v/>
      </c>
      <c r="S482" s="65" t="str">
        <f>IF($A482="","",IFERROR(MAXIFS(Candidates!$AA$2:$AA$2000,Candidates!$A$2:$A$2000,$A482),""))</f>
        <v/>
      </c>
      <c r="T482" s="64" t="str">
        <f>IFERROR(__xludf.DUMMYFUNCTION("IF($A482="""","""",IFERROR(TEXTJOIN("", "",TRUE,UNIQUE(FILTER(Candidates!$B$2:$B$2000,Candidates!$A$2:$A$2000=$A482))),""""))"),"")</f>
        <v/>
      </c>
      <c r="U482" s="66" t="str">
        <f>IF($A482="","",COUNTIF(Candidates!$A$2:$A$2000,$A482))</f>
        <v/>
      </c>
      <c r="V482" s="64" t="str">
        <f>IFERROR(__xludf.DUMMYFUNCTION("IF($A482="""","""",IFERROR(INDEX(FILTER(Candidates!$S$2:$S$2000,Candidates!$A$2:$A$2000=$A482),COUNTIF(Candidates!$A$2:$A$2000,$A482)),""""))"),"")</f>
        <v/>
      </c>
      <c r="W482" s="64" t="str">
        <f>IFERROR(__xludf.DUMMYFUNCTION("IF($A482="""","""",IFERROR(INDEX(FILTER(Candidates!$T$2:$T$2000,Candidates!$A$2:$A$2000=$A482),COUNTIF(Candidates!$A$2:$A$2000,$A482)),""""))"),"")</f>
        <v/>
      </c>
      <c r="X482" s="64"/>
      <c r="Y482" s="64"/>
      <c r="Z482" s="65"/>
      <c r="AA482" s="65"/>
      <c r="AB482" s="65"/>
      <c r="AC482" s="65"/>
    </row>
    <row r="483">
      <c r="A483" s="64"/>
      <c r="B483" s="64"/>
      <c r="C483" s="64"/>
      <c r="D483" s="64"/>
      <c r="E483" s="64"/>
      <c r="F483" s="64"/>
      <c r="G483" s="64"/>
      <c r="H483" s="63"/>
      <c r="I483" s="64"/>
      <c r="J483" s="64"/>
      <c r="K483" s="64"/>
      <c r="L483" s="64"/>
      <c r="M483" s="64"/>
      <c r="N483" s="64"/>
      <c r="O483" s="64"/>
      <c r="P483" s="64"/>
      <c r="Q483" s="64"/>
      <c r="R483" s="65" t="str">
        <f>IF($A483="","",IFERROR(MINIFS(Candidates!$K$2:$K$2000,Candidates!$A$2:$A$2000,$A483),""))</f>
        <v/>
      </c>
      <c r="S483" s="65" t="str">
        <f>IF($A483="","",IFERROR(MAXIFS(Candidates!$AA$2:$AA$2000,Candidates!$A$2:$A$2000,$A483),""))</f>
        <v/>
      </c>
      <c r="T483" s="64" t="str">
        <f>IFERROR(__xludf.DUMMYFUNCTION("IF($A483="""","""",IFERROR(TEXTJOIN("", "",TRUE,UNIQUE(FILTER(Candidates!$B$2:$B$2000,Candidates!$A$2:$A$2000=$A483))),""""))"),"")</f>
        <v/>
      </c>
      <c r="U483" s="66" t="str">
        <f>IF($A483="","",COUNTIF(Candidates!$A$2:$A$2000,$A483))</f>
        <v/>
      </c>
      <c r="V483" s="64" t="str">
        <f>IFERROR(__xludf.DUMMYFUNCTION("IF($A483="""","""",IFERROR(INDEX(FILTER(Candidates!$S$2:$S$2000,Candidates!$A$2:$A$2000=$A483),COUNTIF(Candidates!$A$2:$A$2000,$A483)),""""))"),"")</f>
        <v/>
      </c>
      <c r="W483" s="64" t="str">
        <f>IFERROR(__xludf.DUMMYFUNCTION("IF($A483="""","""",IFERROR(INDEX(FILTER(Candidates!$T$2:$T$2000,Candidates!$A$2:$A$2000=$A483),COUNTIF(Candidates!$A$2:$A$2000,$A483)),""""))"),"")</f>
        <v/>
      </c>
      <c r="X483" s="64"/>
      <c r="Y483" s="64"/>
      <c r="Z483" s="65"/>
      <c r="AA483" s="65"/>
      <c r="AB483" s="65"/>
      <c r="AC483" s="65"/>
    </row>
    <row r="484">
      <c r="A484" s="64"/>
      <c r="B484" s="64"/>
      <c r="C484" s="64"/>
      <c r="D484" s="64"/>
      <c r="E484" s="64"/>
      <c r="F484" s="64"/>
      <c r="G484" s="64"/>
      <c r="H484" s="63"/>
      <c r="I484" s="64"/>
      <c r="J484" s="64"/>
      <c r="K484" s="64"/>
      <c r="L484" s="64"/>
      <c r="M484" s="64"/>
      <c r="N484" s="64"/>
      <c r="O484" s="64"/>
      <c r="P484" s="64"/>
      <c r="Q484" s="64"/>
      <c r="R484" s="65" t="str">
        <f>IF($A484="","",IFERROR(MINIFS(Candidates!$K$2:$K$2000,Candidates!$A$2:$A$2000,$A484),""))</f>
        <v/>
      </c>
      <c r="S484" s="65" t="str">
        <f>IF($A484="","",IFERROR(MAXIFS(Candidates!$AA$2:$AA$2000,Candidates!$A$2:$A$2000,$A484),""))</f>
        <v/>
      </c>
      <c r="T484" s="64" t="str">
        <f>IFERROR(__xludf.DUMMYFUNCTION("IF($A484="""","""",IFERROR(TEXTJOIN("", "",TRUE,UNIQUE(FILTER(Candidates!$B$2:$B$2000,Candidates!$A$2:$A$2000=$A484))),""""))"),"")</f>
        <v/>
      </c>
      <c r="U484" s="66" t="str">
        <f>IF($A484="","",COUNTIF(Candidates!$A$2:$A$2000,$A484))</f>
        <v/>
      </c>
      <c r="V484" s="64" t="str">
        <f>IFERROR(__xludf.DUMMYFUNCTION("IF($A484="""","""",IFERROR(INDEX(FILTER(Candidates!$S$2:$S$2000,Candidates!$A$2:$A$2000=$A484),COUNTIF(Candidates!$A$2:$A$2000,$A484)),""""))"),"")</f>
        <v/>
      </c>
      <c r="W484" s="64" t="str">
        <f>IFERROR(__xludf.DUMMYFUNCTION("IF($A484="""","""",IFERROR(INDEX(FILTER(Candidates!$T$2:$T$2000,Candidates!$A$2:$A$2000=$A484),COUNTIF(Candidates!$A$2:$A$2000,$A484)),""""))"),"")</f>
        <v/>
      </c>
      <c r="X484" s="64"/>
      <c r="Y484" s="64"/>
      <c r="Z484" s="65"/>
      <c r="AA484" s="65"/>
      <c r="AB484" s="65"/>
      <c r="AC484" s="65"/>
    </row>
    <row r="485">
      <c r="A485" s="64"/>
      <c r="B485" s="64"/>
      <c r="C485" s="64"/>
      <c r="D485" s="64"/>
      <c r="E485" s="64"/>
      <c r="F485" s="64"/>
      <c r="G485" s="64"/>
      <c r="H485" s="63"/>
      <c r="I485" s="64"/>
      <c r="J485" s="64"/>
      <c r="K485" s="64"/>
      <c r="L485" s="64"/>
      <c r="M485" s="64"/>
      <c r="N485" s="64"/>
      <c r="O485" s="64"/>
      <c r="P485" s="64"/>
      <c r="Q485" s="64"/>
      <c r="R485" s="65" t="str">
        <f>IF($A485="","",IFERROR(MINIFS(Candidates!$K$2:$K$2000,Candidates!$A$2:$A$2000,$A485),""))</f>
        <v/>
      </c>
      <c r="S485" s="65" t="str">
        <f>IF($A485="","",IFERROR(MAXIFS(Candidates!$AA$2:$AA$2000,Candidates!$A$2:$A$2000,$A485),""))</f>
        <v/>
      </c>
      <c r="T485" s="64" t="str">
        <f>IFERROR(__xludf.DUMMYFUNCTION("IF($A485="""","""",IFERROR(TEXTJOIN("", "",TRUE,UNIQUE(FILTER(Candidates!$B$2:$B$2000,Candidates!$A$2:$A$2000=$A485))),""""))"),"")</f>
        <v/>
      </c>
      <c r="U485" s="66" t="str">
        <f>IF($A485="","",COUNTIF(Candidates!$A$2:$A$2000,$A485))</f>
        <v/>
      </c>
      <c r="V485" s="64" t="str">
        <f>IFERROR(__xludf.DUMMYFUNCTION("IF($A485="""","""",IFERROR(INDEX(FILTER(Candidates!$S$2:$S$2000,Candidates!$A$2:$A$2000=$A485),COUNTIF(Candidates!$A$2:$A$2000,$A485)),""""))"),"")</f>
        <v/>
      </c>
      <c r="W485" s="64" t="str">
        <f>IFERROR(__xludf.DUMMYFUNCTION("IF($A485="""","""",IFERROR(INDEX(FILTER(Candidates!$T$2:$T$2000,Candidates!$A$2:$A$2000=$A485),COUNTIF(Candidates!$A$2:$A$2000,$A485)),""""))"),"")</f>
        <v/>
      </c>
      <c r="X485" s="64"/>
      <c r="Y485" s="64"/>
      <c r="Z485" s="65"/>
      <c r="AA485" s="65"/>
      <c r="AB485" s="65"/>
      <c r="AC485" s="65"/>
    </row>
    <row r="486">
      <c r="A486" s="64"/>
      <c r="B486" s="64"/>
      <c r="C486" s="64"/>
      <c r="D486" s="64"/>
      <c r="E486" s="64"/>
      <c r="F486" s="64"/>
      <c r="G486" s="64"/>
      <c r="H486" s="63"/>
      <c r="I486" s="64"/>
      <c r="J486" s="64"/>
      <c r="K486" s="64"/>
      <c r="L486" s="64"/>
      <c r="M486" s="64"/>
      <c r="N486" s="64"/>
      <c r="O486" s="64"/>
      <c r="P486" s="64"/>
      <c r="Q486" s="64"/>
      <c r="R486" s="65" t="str">
        <f>IF($A486="","",IFERROR(MINIFS(Candidates!$K$2:$K$2000,Candidates!$A$2:$A$2000,$A486),""))</f>
        <v/>
      </c>
      <c r="S486" s="65" t="str">
        <f>IF($A486="","",IFERROR(MAXIFS(Candidates!$AA$2:$AA$2000,Candidates!$A$2:$A$2000,$A486),""))</f>
        <v/>
      </c>
      <c r="T486" s="64" t="str">
        <f>IFERROR(__xludf.DUMMYFUNCTION("IF($A486="""","""",IFERROR(TEXTJOIN("", "",TRUE,UNIQUE(FILTER(Candidates!$B$2:$B$2000,Candidates!$A$2:$A$2000=$A486))),""""))"),"")</f>
        <v/>
      </c>
      <c r="U486" s="66" t="str">
        <f>IF($A486="","",COUNTIF(Candidates!$A$2:$A$2000,$A486))</f>
        <v/>
      </c>
      <c r="V486" s="64" t="str">
        <f>IFERROR(__xludf.DUMMYFUNCTION("IF($A486="""","""",IFERROR(INDEX(FILTER(Candidates!$S$2:$S$2000,Candidates!$A$2:$A$2000=$A486),COUNTIF(Candidates!$A$2:$A$2000,$A486)),""""))"),"")</f>
        <v/>
      </c>
      <c r="W486" s="64" t="str">
        <f>IFERROR(__xludf.DUMMYFUNCTION("IF($A486="""","""",IFERROR(INDEX(FILTER(Candidates!$T$2:$T$2000,Candidates!$A$2:$A$2000=$A486),COUNTIF(Candidates!$A$2:$A$2000,$A486)),""""))"),"")</f>
        <v/>
      </c>
      <c r="X486" s="64"/>
      <c r="Y486" s="64"/>
      <c r="Z486" s="65"/>
      <c r="AA486" s="65"/>
      <c r="AB486" s="65"/>
      <c r="AC486" s="65"/>
    </row>
    <row r="487">
      <c r="A487" s="64"/>
      <c r="B487" s="64"/>
      <c r="C487" s="64"/>
      <c r="D487" s="64"/>
      <c r="E487" s="64"/>
      <c r="F487" s="64"/>
      <c r="G487" s="64"/>
      <c r="H487" s="63"/>
      <c r="I487" s="64"/>
      <c r="J487" s="64"/>
      <c r="K487" s="64"/>
      <c r="L487" s="64"/>
      <c r="M487" s="64"/>
      <c r="N487" s="64"/>
      <c r="O487" s="64"/>
      <c r="P487" s="64"/>
      <c r="Q487" s="64"/>
      <c r="R487" s="65" t="str">
        <f>IF($A487="","",IFERROR(MINIFS(Candidates!$K$2:$K$2000,Candidates!$A$2:$A$2000,$A487),""))</f>
        <v/>
      </c>
      <c r="S487" s="65" t="str">
        <f>IF($A487="","",IFERROR(MAXIFS(Candidates!$AA$2:$AA$2000,Candidates!$A$2:$A$2000,$A487),""))</f>
        <v/>
      </c>
      <c r="T487" s="64" t="str">
        <f>IFERROR(__xludf.DUMMYFUNCTION("IF($A487="""","""",IFERROR(TEXTJOIN("", "",TRUE,UNIQUE(FILTER(Candidates!$B$2:$B$2000,Candidates!$A$2:$A$2000=$A487))),""""))"),"")</f>
        <v/>
      </c>
      <c r="U487" s="66" t="str">
        <f>IF($A487="","",COUNTIF(Candidates!$A$2:$A$2000,$A487))</f>
        <v/>
      </c>
      <c r="V487" s="64" t="str">
        <f>IFERROR(__xludf.DUMMYFUNCTION("IF($A487="""","""",IFERROR(INDEX(FILTER(Candidates!$S$2:$S$2000,Candidates!$A$2:$A$2000=$A487),COUNTIF(Candidates!$A$2:$A$2000,$A487)),""""))"),"")</f>
        <v/>
      </c>
      <c r="W487" s="64" t="str">
        <f>IFERROR(__xludf.DUMMYFUNCTION("IF($A487="""","""",IFERROR(INDEX(FILTER(Candidates!$T$2:$T$2000,Candidates!$A$2:$A$2000=$A487),COUNTIF(Candidates!$A$2:$A$2000,$A487)),""""))"),"")</f>
        <v/>
      </c>
      <c r="X487" s="64"/>
      <c r="Y487" s="64"/>
      <c r="Z487" s="65"/>
      <c r="AA487" s="65"/>
      <c r="AB487" s="65"/>
      <c r="AC487" s="65"/>
    </row>
    <row r="488">
      <c r="A488" s="64"/>
      <c r="B488" s="64"/>
      <c r="C488" s="64"/>
      <c r="D488" s="64"/>
      <c r="E488" s="64"/>
      <c r="F488" s="64"/>
      <c r="G488" s="64"/>
      <c r="H488" s="63"/>
      <c r="I488" s="64"/>
      <c r="J488" s="64"/>
      <c r="K488" s="64"/>
      <c r="L488" s="64"/>
      <c r="M488" s="64"/>
      <c r="N488" s="64"/>
      <c r="O488" s="64"/>
      <c r="P488" s="64"/>
      <c r="Q488" s="64"/>
      <c r="R488" s="65" t="str">
        <f>IF($A488="","",IFERROR(MINIFS(Candidates!$K$2:$K$2000,Candidates!$A$2:$A$2000,$A488),""))</f>
        <v/>
      </c>
      <c r="S488" s="65" t="str">
        <f>IF($A488="","",IFERROR(MAXIFS(Candidates!$AA$2:$AA$2000,Candidates!$A$2:$A$2000,$A488),""))</f>
        <v/>
      </c>
      <c r="T488" s="64" t="str">
        <f>IFERROR(__xludf.DUMMYFUNCTION("IF($A488="""","""",IFERROR(TEXTJOIN("", "",TRUE,UNIQUE(FILTER(Candidates!$B$2:$B$2000,Candidates!$A$2:$A$2000=$A488))),""""))"),"")</f>
        <v/>
      </c>
      <c r="U488" s="66" t="str">
        <f>IF($A488="","",COUNTIF(Candidates!$A$2:$A$2000,$A488))</f>
        <v/>
      </c>
      <c r="V488" s="64" t="str">
        <f>IFERROR(__xludf.DUMMYFUNCTION("IF($A488="""","""",IFERROR(INDEX(FILTER(Candidates!$S$2:$S$2000,Candidates!$A$2:$A$2000=$A488),COUNTIF(Candidates!$A$2:$A$2000,$A488)),""""))"),"")</f>
        <v/>
      </c>
      <c r="W488" s="64" t="str">
        <f>IFERROR(__xludf.DUMMYFUNCTION("IF($A488="""","""",IFERROR(INDEX(FILTER(Candidates!$T$2:$T$2000,Candidates!$A$2:$A$2000=$A488),COUNTIF(Candidates!$A$2:$A$2000,$A488)),""""))"),"")</f>
        <v/>
      </c>
      <c r="X488" s="64"/>
      <c r="Y488" s="64"/>
      <c r="Z488" s="65"/>
      <c r="AA488" s="65"/>
      <c r="AB488" s="65"/>
      <c r="AC488" s="65"/>
    </row>
    <row r="489">
      <c r="A489" s="64"/>
      <c r="B489" s="64"/>
      <c r="C489" s="64"/>
      <c r="D489" s="64"/>
      <c r="E489" s="64"/>
      <c r="F489" s="64"/>
      <c r="G489" s="64"/>
      <c r="H489" s="63"/>
      <c r="I489" s="64"/>
      <c r="J489" s="64"/>
      <c r="K489" s="64"/>
      <c r="L489" s="64"/>
      <c r="M489" s="64"/>
      <c r="N489" s="64"/>
      <c r="O489" s="64"/>
      <c r="P489" s="64"/>
      <c r="Q489" s="64"/>
      <c r="R489" s="65" t="str">
        <f>IF($A489="","",IFERROR(MINIFS(Candidates!$K$2:$K$2000,Candidates!$A$2:$A$2000,$A489),""))</f>
        <v/>
      </c>
      <c r="S489" s="65" t="str">
        <f>IF($A489="","",IFERROR(MAXIFS(Candidates!$AA$2:$AA$2000,Candidates!$A$2:$A$2000,$A489),""))</f>
        <v/>
      </c>
      <c r="T489" s="64" t="str">
        <f>IFERROR(__xludf.DUMMYFUNCTION("IF($A489="""","""",IFERROR(TEXTJOIN("", "",TRUE,UNIQUE(FILTER(Candidates!$B$2:$B$2000,Candidates!$A$2:$A$2000=$A489))),""""))"),"")</f>
        <v/>
      </c>
      <c r="U489" s="66" t="str">
        <f>IF($A489="","",COUNTIF(Candidates!$A$2:$A$2000,$A489))</f>
        <v/>
      </c>
      <c r="V489" s="64" t="str">
        <f>IFERROR(__xludf.DUMMYFUNCTION("IF($A489="""","""",IFERROR(INDEX(FILTER(Candidates!$S$2:$S$2000,Candidates!$A$2:$A$2000=$A489),COUNTIF(Candidates!$A$2:$A$2000,$A489)),""""))"),"")</f>
        <v/>
      </c>
      <c r="W489" s="64" t="str">
        <f>IFERROR(__xludf.DUMMYFUNCTION("IF($A489="""","""",IFERROR(INDEX(FILTER(Candidates!$T$2:$T$2000,Candidates!$A$2:$A$2000=$A489),COUNTIF(Candidates!$A$2:$A$2000,$A489)),""""))"),"")</f>
        <v/>
      </c>
      <c r="X489" s="64"/>
      <c r="Y489" s="64"/>
      <c r="Z489" s="65"/>
      <c r="AA489" s="65"/>
      <c r="AB489" s="65"/>
      <c r="AC489" s="65"/>
    </row>
    <row r="490">
      <c r="A490" s="64"/>
      <c r="B490" s="64"/>
      <c r="C490" s="64"/>
      <c r="D490" s="64"/>
      <c r="E490" s="64"/>
      <c r="F490" s="64"/>
      <c r="G490" s="64"/>
      <c r="H490" s="63"/>
      <c r="I490" s="64"/>
      <c r="J490" s="64"/>
      <c r="K490" s="64"/>
      <c r="L490" s="64"/>
      <c r="M490" s="64"/>
      <c r="N490" s="64"/>
      <c r="O490" s="64"/>
      <c r="P490" s="64"/>
      <c r="Q490" s="64"/>
      <c r="R490" s="65" t="str">
        <f>IF($A490="","",IFERROR(MINIFS(Candidates!$K$2:$K$2000,Candidates!$A$2:$A$2000,$A490),""))</f>
        <v/>
      </c>
      <c r="S490" s="65" t="str">
        <f>IF($A490="","",IFERROR(MAXIFS(Candidates!$AA$2:$AA$2000,Candidates!$A$2:$A$2000,$A490),""))</f>
        <v/>
      </c>
      <c r="T490" s="64" t="str">
        <f>IFERROR(__xludf.DUMMYFUNCTION("IF($A490="""","""",IFERROR(TEXTJOIN("", "",TRUE,UNIQUE(FILTER(Candidates!$B$2:$B$2000,Candidates!$A$2:$A$2000=$A490))),""""))"),"")</f>
        <v/>
      </c>
      <c r="U490" s="66" t="str">
        <f>IF($A490="","",COUNTIF(Candidates!$A$2:$A$2000,$A490))</f>
        <v/>
      </c>
      <c r="V490" s="64" t="str">
        <f>IFERROR(__xludf.DUMMYFUNCTION("IF($A490="""","""",IFERROR(INDEX(FILTER(Candidates!$S$2:$S$2000,Candidates!$A$2:$A$2000=$A490),COUNTIF(Candidates!$A$2:$A$2000,$A490)),""""))"),"")</f>
        <v/>
      </c>
      <c r="W490" s="64" t="str">
        <f>IFERROR(__xludf.DUMMYFUNCTION("IF($A490="""","""",IFERROR(INDEX(FILTER(Candidates!$T$2:$T$2000,Candidates!$A$2:$A$2000=$A490),COUNTIF(Candidates!$A$2:$A$2000,$A490)),""""))"),"")</f>
        <v/>
      </c>
      <c r="X490" s="64"/>
      <c r="Y490" s="64"/>
      <c r="Z490" s="65"/>
      <c r="AA490" s="65"/>
      <c r="AB490" s="65"/>
      <c r="AC490" s="65"/>
    </row>
    <row r="491">
      <c r="A491" s="64"/>
      <c r="B491" s="64"/>
      <c r="C491" s="64"/>
      <c r="D491" s="64"/>
      <c r="E491" s="64"/>
      <c r="F491" s="64"/>
      <c r="G491" s="64"/>
      <c r="H491" s="63"/>
      <c r="I491" s="64"/>
      <c r="J491" s="64"/>
      <c r="K491" s="64"/>
      <c r="L491" s="64"/>
      <c r="M491" s="64"/>
      <c r="N491" s="64"/>
      <c r="O491" s="64"/>
      <c r="P491" s="64"/>
      <c r="Q491" s="64"/>
      <c r="R491" s="65" t="str">
        <f>IF($A491="","",IFERROR(MINIFS(Candidates!$K$2:$K$2000,Candidates!$A$2:$A$2000,$A491),""))</f>
        <v/>
      </c>
      <c r="S491" s="65" t="str">
        <f>IF($A491="","",IFERROR(MAXIFS(Candidates!$AA$2:$AA$2000,Candidates!$A$2:$A$2000,$A491),""))</f>
        <v/>
      </c>
      <c r="T491" s="64" t="str">
        <f>IFERROR(__xludf.DUMMYFUNCTION("IF($A491="""","""",IFERROR(TEXTJOIN("", "",TRUE,UNIQUE(FILTER(Candidates!$B$2:$B$2000,Candidates!$A$2:$A$2000=$A491))),""""))"),"")</f>
        <v/>
      </c>
      <c r="U491" s="66" t="str">
        <f>IF($A491="","",COUNTIF(Candidates!$A$2:$A$2000,$A491))</f>
        <v/>
      </c>
      <c r="V491" s="64" t="str">
        <f>IFERROR(__xludf.DUMMYFUNCTION("IF($A491="""","""",IFERROR(INDEX(FILTER(Candidates!$S$2:$S$2000,Candidates!$A$2:$A$2000=$A491),COUNTIF(Candidates!$A$2:$A$2000,$A491)),""""))"),"")</f>
        <v/>
      </c>
      <c r="W491" s="64" t="str">
        <f>IFERROR(__xludf.DUMMYFUNCTION("IF($A491="""","""",IFERROR(INDEX(FILTER(Candidates!$T$2:$T$2000,Candidates!$A$2:$A$2000=$A491),COUNTIF(Candidates!$A$2:$A$2000,$A491)),""""))"),"")</f>
        <v/>
      </c>
      <c r="X491" s="64"/>
      <c r="Y491" s="64"/>
      <c r="Z491" s="65"/>
      <c r="AA491" s="65"/>
      <c r="AB491" s="65"/>
      <c r="AC491" s="65"/>
    </row>
    <row r="492">
      <c r="A492" s="64"/>
      <c r="B492" s="64"/>
      <c r="C492" s="64"/>
      <c r="D492" s="64"/>
      <c r="E492" s="64"/>
      <c r="F492" s="64"/>
      <c r="G492" s="64"/>
      <c r="H492" s="63"/>
      <c r="I492" s="64"/>
      <c r="J492" s="64"/>
      <c r="K492" s="64"/>
      <c r="L492" s="64"/>
      <c r="M492" s="64"/>
      <c r="N492" s="64"/>
      <c r="O492" s="64"/>
      <c r="P492" s="64"/>
      <c r="Q492" s="64"/>
      <c r="R492" s="65" t="str">
        <f>IF($A492="","",IFERROR(MINIFS(Candidates!$K$2:$K$2000,Candidates!$A$2:$A$2000,$A492),""))</f>
        <v/>
      </c>
      <c r="S492" s="65" t="str">
        <f>IF($A492="","",IFERROR(MAXIFS(Candidates!$AA$2:$AA$2000,Candidates!$A$2:$A$2000,$A492),""))</f>
        <v/>
      </c>
      <c r="T492" s="64" t="str">
        <f>IFERROR(__xludf.DUMMYFUNCTION("IF($A492="""","""",IFERROR(TEXTJOIN("", "",TRUE,UNIQUE(FILTER(Candidates!$B$2:$B$2000,Candidates!$A$2:$A$2000=$A492))),""""))"),"")</f>
        <v/>
      </c>
      <c r="U492" s="66" t="str">
        <f>IF($A492="","",COUNTIF(Candidates!$A$2:$A$2000,$A492))</f>
        <v/>
      </c>
      <c r="V492" s="64" t="str">
        <f>IFERROR(__xludf.DUMMYFUNCTION("IF($A492="""","""",IFERROR(INDEX(FILTER(Candidates!$S$2:$S$2000,Candidates!$A$2:$A$2000=$A492),COUNTIF(Candidates!$A$2:$A$2000,$A492)),""""))"),"")</f>
        <v/>
      </c>
      <c r="W492" s="64" t="str">
        <f>IFERROR(__xludf.DUMMYFUNCTION("IF($A492="""","""",IFERROR(INDEX(FILTER(Candidates!$T$2:$T$2000,Candidates!$A$2:$A$2000=$A492),COUNTIF(Candidates!$A$2:$A$2000,$A492)),""""))"),"")</f>
        <v/>
      </c>
      <c r="X492" s="64"/>
      <c r="Y492" s="64"/>
      <c r="Z492" s="65"/>
      <c r="AA492" s="65"/>
      <c r="AB492" s="65"/>
      <c r="AC492" s="65"/>
    </row>
    <row r="493">
      <c r="A493" s="64"/>
      <c r="B493" s="64"/>
      <c r="C493" s="64"/>
      <c r="D493" s="64"/>
      <c r="E493" s="64"/>
      <c r="F493" s="64"/>
      <c r="G493" s="64"/>
      <c r="H493" s="63"/>
      <c r="I493" s="64"/>
      <c r="J493" s="64"/>
      <c r="K493" s="64"/>
      <c r="L493" s="64"/>
      <c r="M493" s="64"/>
      <c r="N493" s="64"/>
      <c r="O493" s="64"/>
      <c r="P493" s="64"/>
      <c r="Q493" s="64"/>
      <c r="R493" s="65" t="str">
        <f>IF($A493="","",IFERROR(MINIFS(Candidates!$K$2:$K$2000,Candidates!$A$2:$A$2000,$A493),""))</f>
        <v/>
      </c>
      <c r="S493" s="65" t="str">
        <f>IF($A493="","",IFERROR(MAXIFS(Candidates!$AA$2:$AA$2000,Candidates!$A$2:$A$2000,$A493),""))</f>
        <v/>
      </c>
      <c r="T493" s="64" t="str">
        <f>IFERROR(__xludf.DUMMYFUNCTION("IF($A493="""","""",IFERROR(TEXTJOIN("", "",TRUE,UNIQUE(FILTER(Candidates!$B$2:$B$2000,Candidates!$A$2:$A$2000=$A493))),""""))"),"")</f>
        <v/>
      </c>
      <c r="U493" s="66" t="str">
        <f>IF($A493="","",COUNTIF(Candidates!$A$2:$A$2000,$A493))</f>
        <v/>
      </c>
      <c r="V493" s="64" t="str">
        <f>IFERROR(__xludf.DUMMYFUNCTION("IF($A493="""","""",IFERROR(INDEX(FILTER(Candidates!$S$2:$S$2000,Candidates!$A$2:$A$2000=$A493),COUNTIF(Candidates!$A$2:$A$2000,$A493)),""""))"),"")</f>
        <v/>
      </c>
      <c r="W493" s="64" t="str">
        <f>IFERROR(__xludf.DUMMYFUNCTION("IF($A493="""","""",IFERROR(INDEX(FILTER(Candidates!$T$2:$T$2000,Candidates!$A$2:$A$2000=$A493),COUNTIF(Candidates!$A$2:$A$2000,$A493)),""""))"),"")</f>
        <v/>
      </c>
      <c r="X493" s="64"/>
      <c r="Y493" s="64"/>
      <c r="Z493" s="65"/>
      <c r="AA493" s="65"/>
      <c r="AB493" s="65"/>
      <c r="AC493" s="65"/>
    </row>
    <row r="494">
      <c r="A494" s="64"/>
      <c r="B494" s="64"/>
      <c r="C494" s="64"/>
      <c r="D494" s="64"/>
      <c r="E494" s="64"/>
      <c r="F494" s="64"/>
      <c r="G494" s="64"/>
      <c r="H494" s="63"/>
      <c r="I494" s="64"/>
      <c r="J494" s="64"/>
      <c r="K494" s="64"/>
      <c r="L494" s="64"/>
      <c r="M494" s="64"/>
      <c r="N494" s="64"/>
      <c r="O494" s="64"/>
      <c r="P494" s="64"/>
      <c r="Q494" s="64"/>
      <c r="R494" s="65" t="str">
        <f>IF($A494="","",IFERROR(MINIFS(Candidates!$K$2:$K$2000,Candidates!$A$2:$A$2000,$A494),""))</f>
        <v/>
      </c>
      <c r="S494" s="65" t="str">
        <f>IF($A494="","",IFERROR(MAXIFS(Candidates!$AA$2:$AA$2000,Candidates!$A$2:$A$2000,$A494),""))</f>
        <v/>
      </c>
      <c r="T494" s="64" t="str">
        <f>IFERROR(__xludf.DUMMYFUNCTION("IF($A494="""","""",IFERROR(TEXTJOIN("", "",TRUE,UNIQUE(FILTER(Candidates!$B$2:$B$2000,Candidates!$A$2:$A$2000=$A494))),""""))"),"")</f>
        <v/>
      </c>
      <c r="U494" s="66" t="str">
        <f>IF($A494="","",COUNTIF(Candidates!$A$2:$A$2000,$A494))</f>
        <v/>
      </c>
      <c r="V494" s="64" t="str">
        <f>IFERROR(__xludf.DUMMYFUNCTION("IF($A494="""","""",IFERROR(INDEX(FILTER(Candidates!$S$2:$S$2000,Candidates!$A$2:$A$2000=$A494),COUNTIF(Candidates!$A$2:$A$2000,$A494)),""""))"),"")</f>
        <v/>
      </c>
      <c r="W494" s="64" t="str">
        <f>IFERROR(__xludf.DUMMYFUNCTION("IF($A494="""","""",IFERROR(INDEX(FILTER(Candidates!$T$2:$T$2000,Candidates!$A$2:$A$2000=$A494),COUNTIF(Candidates!$A$2:$A$2000,$A494)),""""))"),"")</f>
        <v/>
      </c>
      <c r="X494" s="64"/>
      <c r="Y494" s="64"/>
      <c r="Z494" s="65"/>
      <c r="AA494" s="65"/>
      <c r="AB494" s="65"/>
      <c r="AC494" s="65"/>
    </row>
    <row r="495">
      <c r="A495" s="64"/>
      <c r="B495" s="64"/>
      <c r="C495" s="64"/>
      <c r="D495" s="64"/>
      <c r="E495" s="64"/>
      <c r="F495" s="64"/>
      <c r="G495" s="64"/>
      <c r="H495" s="63"/>
      <c r="I495" s="64"/>
      <c r="J495" s="64"/>
      <c r="K495" s="64"/>
      <c r="L495" s="64"/>
      <c r="M495" s="64"/>
      <c r="N495" s="64"/>
      <c r="O495" s="64"/>
      <c r="P495" s="64"/>
      <c r="Q495" s="64"/>
      <c r="R495" s="65" t="str">
        <f>IF($A495="","",IFERROR(MINIFS(Candidates!$K$2:$K$2000,Candidates!$A$2:$A$2000,$A495),""))</f>
        <v/>
      </c>
      <c r="S495" s="65" t="str">
        <f>IF($A495="","",IFERROR(MAXIFS(Candidates!$AA$2:$AA$2000,Candidates!$A$2:$A$2000,$A495),""))</f>
        <v/>
      </c>
      <c r="T495" s="64" t="str">
        <f>IFERROR(__xludf.DUMMYFUNCTION("IF($A495="""","""",IFERROR(TEXTJOIN("", "",TRUE,UNIQUE(FILTER(Candidates!$B$2:$B$2000,Candidates!$A$2:$A$2000=$A495))),""""))"),"")</f>
        <v/>
      </c>
      <c r="U495" s="66" t="str">
        <f>IF($A495="","",COUNTIF(Candidates!$A$2:$A$2000,$A495))</f>
        <v/>
      </c>
      <c r="V495" s="64" t="str">
        <f>IFERROR(__xludf.DUMMYFUNCTION("IF($A495="""","""",IFERROR(INDEX(FILTER(Candidates!$S$2:$S$2000,Candidates!$A$2:$A$2000=$A495),COUNTIF(Candidates!$A$2:$A$2000,$A495)),""""))"),"")</f>
        <v/>
      </c>
      <c r="W495" s="64" t="str">
        <f>IFERROR(__xludf.DUMMYFUNCTION("IF($A495="""","""",IFERROR(INDEX(FILTER(Candidates!$T$2:$T$2000,Candidates!$A$2:$A$2000=$A495),COUNTIF(Candidates!$A$2:$A$2000,$A495)),""""))"),"")</f>
        <v/>
      </c>
      <c r="X495" s="64"/>
      <c r="Y495" s="64"/>
      <c r="Z495" s="65"/>
      <c r="AA495" s="65"/>
      <c r="AB495" s="65"/>
      <c r="AC495" s="65"/>
    </row>
    <row r="496">
      <c r="A496" s="64"/>
      <c r="B496" s="64"/>
      <c r="C496" s="64"/>
      <c r="D496" s="64"/>
      <c r="E496" s="64"/>
      <c r="F496" s="64"/>
      <c r="G496" s="64"/>
      <c r="H496" s="63"/>
      <c r="I496" s="64"/>
      <c r="J496" s="64"/>
      <c r="K496" s="64"/>
      <c r="L496" s="64"/>
      <c r="M496" s="64"/>
      <c r="N496" s="64"/>
      <c r="O496" s="64"/>
      <c r="P496" s="64"/>
      <c r="Q496" s="64"/>
      <c r="R496" s="65" t="str">
        <f>IF($A496="","",IFERROR(MINIFS(Candidates!$K$2:$K$2000,Candidates!$A$2:$A$2000,$A496),""))</f>
        <v/>
      </c>
      <c r="S496" s="65" t="str">
        <f>IF($A496="","",IFERROR(MAXIFS(Candidates!$AA$2:$AA$2000,Candidates!$A$2:$A$2000,$A496),""))</f>
        <v/>
      </c>
      <c r="T496" s="64" t="str">
        <f>IFERROR(__xludf.DUMMYFUNCTION("IF($A496="""","""",IFERROR(TEXTJOIN("", "",TRUE,UNIQUE(FILTER(Candidates!$B$2:$B$2000,Candidates!$A$2:$A$2000=$A496))),""""))"),"")</f>
        <v/>
      </c>
      <c r="U496" s="66" t="str">
        <f>IF($A496="","",COUNTIF(Candidates!$A$2:$A$2000,$A496))</f>
        <v/>
      </c>
      <c r="V496" s="64" t="str">
        <f>IFERROR(__xludf.DUMMYFUNCTION("IF($A496="""","""",IFERROR(INDEX(FILTER(Candidates!$S$2:$S$2000,Candidates!$A$2:$A$2000=$A496),COUNTIF(Candidates!$A$2:$A$2000,$A496)),""""))"),"")</f>
        <v/>
      </c>
      <c r="W496" s="64" t="str">
        <f>IFERROR(__xludf.DUMMYFUNCTION("IF($A496="""","""",IFERROR(INDEX(FILTER(Candidates!$T$2:$T$2000,Candidates!$A$2:$A$2000=$A496),COUNTIF(Candidates!$A$2:$A$2000,$A496)),""""))"),"")</f>
        <v/>
      </c>
      <c r="X496" s="64"/>
      <c r="Y496" s="64"/>
      <c r="Z496" s="65"/>
      <c r="AA496" s="65"/>
      <c r="AB496" s="65"/>
      <c r="AC496" s="65"/>
    </row>
    <row r="497">
      <c r="A497" s="64"/>
      <c r="B497" s="64"/>
      <c r="C497" s="64"/>
      <c r="D497" s="64"/>
      <c r="E497" s="64"/>
      <c r="F497" s="64"/>
      <c r="G497" s="64"/>
      <c r="H497" s="63"/>
      <c r="I497" s="64"/>
      <c r="J497" s="64"/>
      <c r="K497" s="64"/>
      <c r="L497" s="64"/>
      <c r="M497" s="64"/>
      <c r="N497" s="64"/>
      <c r="O497" s="64"/>
      <c r="P497" s="64"/>
      <c r="Q497" s="64"/>
      <c r="R497" s="65" t="str">
        <f>IF($A497="","",IFERROR(MINIFS(Candidates!$K$2:$K$2000,Candidates!$A$2:$A$2000,$A497),""))</f>
        <v/>
      </c>
      <c r="S497" s="65" t="str">
        <f>IF($A497="","",IFERROR(MAXIFS(Candidates!$AA$2:$AA$2000,Candidates!$A$2:$A$2000,$A497),""))</f>
        <v/>
      </c>
      <c r="T497" s="64" t="str">
        <f>IFERROR(__xludf.DUMMYFUNCTION("IF($A497="""","""",IFERROR(TEXTJOIN("", "",TRUE,UNIQUE(FILTER(Candidates!$B$2:$B$2000,Candidates!$A$2:$A$2000=$A497))),""""))"),"")</f>
        <v/>
      </c>
      <c r="U497" s="66" t="str">
        <f>IF($A497="","",COUNTIF(Candidates!$A$2:$A$2000,$A497))</f>
        <v/>
      </c>
      <c r="V497" s="64" t="str">
        <f>IFERROR(__xludf.DUMMYFUNCTION("IF($A497="""","""",IFERROR(INDEX(FILTER(Candidates!$S$2:$S$2000,Candidates!$A$2:$A$2000=$A497),COUNTIF(Candidates!$A$2:$A$2000,$A497)),""""))"),"")</f>
        <v/>
      </c>
      <c r="W497" s="64" t="str">
        <f>IFERROR(__xludf.DUMMYFUNCTION("IF($A497="""","""",IFERROR(INDEX(FILTER(Candidates!$T$2:$T$2000,Candidates!$A$2:$A$2000=$A497),COUNTIF(Candidates!$A$2:$A$2000,$A497)),""""))"),"")</f>
        <v/>
      </c>
      <c r="X497" s="64"/>
      <c r="Y497" s="64"/>
      <c r="Z497" s="65"/>
      <c r="AA497" s="65"/>
      <c r="AB497" s="65"/>
      <c r="AC497" s="65"/>
    </row>
    <row r="498">
      <c r="A498" s="64"/>
      <c r="B498" s="64"/>
      <c r="C498" s="64"/>
      <c r="D498" s="64"/>
      <c r="E498" s="64"/>
      <c r="F498" s="64"/>
      <c r="G498" s="64"/>
      <c r="H498" s="63"/>
      <c r="I498" s="64"/>
      <c r="J498" s="64"/>
      <c r="K498" s="64"/>
      <c r="L498" s="64"/>
      <c r="M498" s="64"/>
      <c r="N498" s="64"/>
      <c r="O498" s="64"/>
      <c r="P498" s="64"/>
      <c r="Q498" s="64"/>
      <c r="R498" s="65" t="str">
        <f>IF($A498="","",IFERROR(MINIFS(Candidates!$K$2:$K$2000,Candidates!$A$2:$A$2000,$A498),""))</f>
        <v/>
      </c>
      <c r="S498" s="65" t="str">
        <f>IF($A498="","",IFERROR(MAXIFS(Candidates!$AA$2:$AA$2000,Candidates!$A$2:$A$2000,$A498),""))</f>
        <v/>
      </c>
      <c r="T498" s="64" t="str">
        <f>IFERROR(__xludf.DUMMYFUNCTION("IF($A498="""","""",IFERROR(TEXTJOIN("", "",TRUE,UNIQUE(FILTER(Candidates!$B$2:$B$2000,Candidates!$A$2:$A$2000=$A498))),""""))"),"")</f>
        <v/>
      </c>
      <c r="U498" s="66" t="str">
        <f>IF($A498="","",COUNTIF(Candidates!$A$2:$A$2000,$A498))</f>
        <v/>
      </c>
      <c r="V498" s="64" t="str">
        <f>IFERROR(__xludf.DUMMYFUNCTION("IF($A498="""","""",IFERROR(INDEX(FILTER(Candidates!$S$2:$S$2000,Candidates!$A$2:$A$2000=$A498),COUNTIF(Candidates!$A$2:$A$2000,$A498)),""""))"),"")</f>
        <v/>
      </c>
      <c r="W498" s="64" t="str">
        <f>IFERROR(__xludf.DUMMYFUNCTION("IF($A498="""","""",IFERROR(INDEX(FILTER(Candidates!$T$2:$T$2000,Candidates!$A$2:$A$2000=$A498),COUNTIF(Candidates!$A$2:$A$2000,$A498)),""""))"),"")</f>
        <v/>
      </c>
      <c r="X498" s="64"/>
      <c r="Y498" s="64"/>
      <c r="Z498" s="65"/>
      <c r="AA498" s="65"/>
      <c r="AB498" s="65"/>
      <c r="AC498" s="65"/>
    </row>
    <row r="499">
      <c r="A499" s="64"/>
      <c r="B499" s="64"/>
      <c r="C499" s="64"/>
      <c r="D499" s="64"/>
      <c r="E499" s="64"/>
      <c r="F499" s="64"/>
      <c r="G499" s="64"/>
      <c r="H499" s="63"/>
      <c r="I499" s="64"/>
      <c r="J499" s="64"/>
      <c r="K499" s="64"/>
      <c r="L499" s="64"/>
      <c r="M499" s="64"/>
      <c r="N499" s="64"/>
      <c r="O499" s="64"/>
      <c r="P499" s="64"/>
      <c r="Q499" s="64"/>
      <c r="R499" s="65" t="str">
        <f>IF($A499="","",IFERROR(MINIFS(Candidates!$K$2:$K$2000,Candidates!$A$2:$A$2000,$A499),""))</f>
        <v/>
      </c>
      <c r="S499" s="65" t="str">
        <f>IF($A499="","",IFERROR(MAXIFS(Candidates!$AA$2:$AA$2000,Candidates!$A$2:$A$2000,$A499),""))</f>
        <v/>
      </c>
      <c r="T499" s="64" t="str">
        <f>IFERROR(__xludf.DUMMYFUNCTION("IF($A499="""","""",IFERROR(TEXTJOIN("", "",TRUE,UNIQUE(FILTER(Candidates!$B$2:$B$2000,Candidates!$A$2:$A$2000=$A499))),""""))"),"")</f>
        <v/>
      </c>
      <c r="U499" s="66" t="str">
        <f>IF($A499="","",COUNTIF(Candidates!$A$2:$A$2000,$A499))</f>
        <v/>
      </c>
      <c r="V499" s="64" t="str">
        <f>IFERROR(__xludf.DUMMYFUNCTION("IF($A499="""","""",IFERROR(INDEX(FILTER(Candidates!$S$2:$S$2000,Candidates!$A$2:$A$2000=$A499),COUNTIF(Candidates!$A$2:$A$2000,$A499)),""""))"),"")</f>
        <v/>
      </c>
      <c r="W499" s="64" t="str">
        <f>IFERROR(__xludf.DUMMYFUNCTION("IF($A499="""","""",IFERROR(INDEX(FILTER(Candidates!$T$2:$T$2000,Candidates!$A$2:$A$2000=$A499),COUNTIF(Candidates!$A$2:$A$2000,$A499)),""""))"),"")</f>
        <v/>
      </c>
      <c r="X499" s="64"/>
      <c r="Y499" s="64"/>
      <c r="Z499" s="65"/>
      <c r="AA499" s="65"/>
      <c r="AB499" s="65"/>
      <c r="AC499" s="65"/>
    </row>
    <row r="500">
      <c r="A500" s="64"/>
      <c r="B500" s="64"/>
      <c r="C500" s="64"/>
      <c r="D500" s="64"/>
      <c r="E500" s="64"/>
      <c r="F500" s="64"/>
      <c r="G500" s="64"/>
      <c r="H500" s="63"/>
      <c r="I500" s="64"/>
      <c r="J500" s="64"/>
      <c r="K500" s="64"/>
      <c r="L500" s="64"/>
      <c r="M500" s="64"/>
      <c r="N500" s="64"/>
      <c r="O500" s="64"/>
      <c r="P500" s="64"/>
      <c r="Q500" s="64"/>
      <c r="R500" s="65" t="str">
        <f>IF($A500="","",IFERROR(MINIFS(Candidates!$K$2:$K$2000,Candidates!$A$2:$A$2000,$A500),""))</f>
        <v/>
      </c>
      <c r="S500" s="65" t="str">
        <f>IF($A500="","",IFERROR(MAXIFS(Candidates!$AA$2:$AA$2000,Candidates!$A$2:$A$2000,$A500),""))</f>
        <v/>
      </c>
      <c r="T500" s="64" t="str">
        <f>IFERROR(__xludf.DUMMYFUNCTION("IF($A500="""","""",IFERROR(TEXTJOIN("", "",TRUE,UNIQUE(FILTER(Candidates!$B$2:$B$2000,Candidates!$A$2:$A$2000=$A500))),""""))"),"")</f>
        <v/>
      </c>
      <c r="U500" s="66" t="str">
        <f>IF($A500="","",COUNTIF(Candidates!$A$2:$A$2000,$A500))</f>
        <v/>
      </c>
      <c r="V500" s="64" t="str">
        <f>IFERROR(__xludf.DUMMYFUNCTION("IF($A500="""","""",IFERROR(INDEX(FILTER(Candidates!$S$2:$S$2000,Candidates!$A$2:$A$2000=$A500),COUNTIF(Candidates!$A$2:$A$2000,$A500)),""""))"),"")</f>
        <v/>
      </c>
      <c r="W500" s="64" t="str">
        <f>IFERROR(__xludf.DUMMYFUNCTION("IF($A500="""","""",IFERROR(INDEX(FILTER(Candidates!$T$2:$T$2000,Candidates!$A$2:$A$2000=$A500),COUNTIF(Candidates!$A$2:$A$2000,$A500)),""""))"),"")</f>
        <v/>
      </c>
      <c r="X500" s="64"/>
      <c r="Y500" s="64"/>
      <c r="Z500" s="65"/>
      <c r="AA500" s="65"/>
      <c r="AB500" s="65"/>
      <c r="AC500" s="65"/>
    </row>
    <row r="501">
      <c r="A501" s="64"/>
      <c r="B501" s="64"/>
      <c r="C501" s="64"/>
      <c r="D501" s="64"/>
      <c r="E501" s="64"/>
      <c r="F501" s="64"/>
      <c r="G501" s="64"/>
      <c r="H501" s="63"/>
      <c r="I501" s="64"/>
      <c r="J501" s="64"/>
      <c r="K501" s="64"/>
      <c r="L501" s="64"/>
      <c r="M501" s="64"/>
      <c r="N501" s="64"/>
      <c r="O501" s="64"/>
      <c r="P501" s="64"/>
      <c r="Q501" s="64"/>
      <c r="R501" s="65" t="str">
        <f>IF($A501="","",IFERROR(MINIFS(Candidates!$K$2:$K$2000,Candidates!$A$2:$A$2000,$A501),""))</f>
        <v/>
      </c>
      <c r="S501" s="65" t="str">
        <f>IF($A501="","",IFERROR(MAXIFS(Candidates!$AA$2:$AA$2000,Candidates!$A$2:$A$2000,$A501),""))</f>
        <v/>
      </c>
      <c r="T501" s="64" t="str">
        <f>IFERROR(__xludf.DUMMYFUNCTION("IF($A501="""","""",IFERROR(TEXTJOIN("", "",TRUE,UNIQUE(FILTER(Candidates!$B$2:$B$2000,Candidates!$A$2:$A$2000=$A501))),""""))"),"")</f>
        <v/>
      </c>
      <c r="U501" s="66" t="str">
        <f>IF($A501="","",COUNTIF(Candidates!$A$2:$A$2000,$A501))</f>
        <v/>
      </c>
      <c r="V501" s="64" t="str">
        <f>IFERROR(__xludf.DUMMYFUNCTION("IF($A501="""","""",IFERROR(INDEX(FILTER(Candidates!$S$2:$S$2000,Candidates!$A$2:$A$2000=$A501),COUNTIF(Candidates!$A$2:$A$2000,$A501)),""""))"),"")</f>
        <v/>
      </c>
      <c r="W501" s="64" t="str">
        <f>IFERROR(__xludf.DUMMYFUNCTION("IF($A501="""","""",IFERROR(INDEX(FILTER(Candidates!$T$2:$T$2000,Candidates!$A$2:$A$2000=$A501),COUNTIF(Candidates!$A$2:$A$2000,$A501)),""""))"),"")</f>
        <v/>
      </c>
      <c r="X501" s="64"/>
      <c r="Y501" s="64"/>
      <c r="Z501" s="65"/>
      <c r="AA501" s="65"/>
      <c r="AB501" s="65"/>
      <c r="AC501" s="65"/>
    </row>
    <row r="502">
      <c r="A502" s="64"/>
      <c r="B502" s="64"/>
      <c r="C502" s="64"/>
      <c r="D502" s="64"/>
      <c r="E502" s="64"/>
      <c r="F502" s="64"/>
      <c r="G502" s="64"/>
      <c r="H502" s="63"/>
      <c r="I502" s="64"/>
      <c r="J502" s="64"/>
      <c r="K502" s="64"/>
      <c r="L502" s="64"/>
      <c r="M502" s="64"/>
      <c r="N502" s="64"/>
      <c r="O502" s="64"/>
      <c r="P502" s="64"/>
      <c r="Q502" s="64"/>
      <c r="R502" s="65" t="str">
        <f>IF($A502="","",IFERROR(MINIFS(Candidates!$K$2:$K$2000,Candidates!$A$2:$A$2000,$A502),""))</f>
        <v/>
      </c>
      <c r="S502" s="65" t="str">
        <f>IF($A502="","",IFERROR(MAXIFS(Candidates!$AA$2:$AA$2000,Candidates!$A$2:$A$2000,$A502),""))</f>
        <v/>
      </c>
      <c r="T502" s="64" t="str">
        <f>IFERROR(__xludf.DUMMYFUNCTION("IF($A502="""","""",IFERROR(TEXTJOIN("", "",TRUE,UNIQUE(FILTER(Candidates!$B$2:$B$2000,Candidates!$A$2:$A$2000=$A502))),""""))"),"")</f>
        <v/>
      </c>
      <c r="U502" s="66" t="str">
        <f>IF($A502="","",COUNTIF(Candidates!$A$2:$A$2000,$A502))</f>
        <v/>
      </c>
      <c r="V502" s="64" t="str">
        <f>IFERROR(__xludf.DUMMYFUNCTION("IF($A502="""","""",IFERROR(INDEX(FILTER(Candidates!$S$2:$S$2000,Candidates!$A$2:$A$2000=$A502),COUNTIF(Candidates!$A$2:$A$2000,$A502)),""""))"),"")</f>
        <v/>
      </c>
      <c r="W502" s="64" t="str">
        <f>IFERROR(__xludf.DUMMYFUNCTION("IF($A502="""","""",IFERROR(INDEX(FILTER(Candidates!$T$2:$T$2000,Candidates!$A$2:$A$2000=$A502),COUNTIF(Candidates!$A$2:$A$2000,$A502)),""""))"),"")</f>
        <v/>
      </c>
      <c r="X502" s="64"/>
      <c r="Y502" s="64"/>
      <c r="Z502" s="65"/>
      <c r="AA502" s="65"/>
      <c r="AB502" s="65"/>
      <c r="AC502" s="65"/>
    </row>
    <row r="503">
      <c r="A503" s="64"/>
      <c r="B503" s="64"/>
      <c r="C503" s="64"/>
      <c r="D503" s="64"/>
      <c r="E503" s="64"/>
      <c r="F503" s="64"/>
      <c r="G503" s="64"/>
      <c r="H503" s="63"/>
      <c r="I503" s="64"/>
      <c r="J503" s="64"/>
      <c r="K503" s="64"/>
      <c r="L503" s="64"/>
      <c r="M503" s="64"/>
      <c r="N503" s="64"/>
      <c r="O503" s="64"/>
      <c r="P503" s="64"/>
      <c r="Q503" s="64"/>
      <c r="R503" s="65" t="str">
        <f>IF($A503="","",IFERROR(MINIFS(Candidates!$K$2:$K$2000,Candidates!$A$2:$A$2000,$A503),""))</f>
        <v/>
      </c>
      <c r="S503" s="65" t="str">
        <f>IF($A503="","",IFERROR(MAXIFS(Candidates!$AA$2:$AA$2000,Candidates!$A$2:$A$2000,$A503),""))</f>
        <v/>
      </c>
      <c r="T503" s="64" t="str">
        <f>IFERROR(__xludf.DUMMYFUNCTION("IF($A503="""","""",IFERROR(TEXTJOIN("", "",TRUE,UNIQUE(FILTER(Candidates!$B$2:$B$2000,Candidates!$A$2:$A$2000=$A503))),""""))"),"")</f>
        <v/>
      </c>
      <c r="U503" s="66" t="str">
        <f>IF($A503="","",COUNTIF(Candidates!$A$2:$A$2000,$A503))</f>
        <v/>
      </c>
      <c r="V503" s="64" t="str">
        <f>IFERROR(__xludf.DUMMYFUNCTION("IF($A503="""","""",IFERROR(INDEX(FILTER(Candidates!$S$2:$S$2000,Candidates!$A$2:$A$2000=$A503),COUNTIF(Candidates!$A$2:$A$2000,$A503)),""""))"),"")</f>
        <v/>
      </c>
      <c r="W503" s="64" t="str">
        <f>IFERROR(__xludf.DUMMYFUNCTION("IF($A503="""","""",IFERROR(INDEX(FILTER(Candidates!$T$2:$T$2000,Candidates!$A$2:$A$2000=$A503),COUNTIF(Candidates!$A$2:$A$2000,$A503)),""""))"),"")</f>
        <v/>
      </c>
      <c r="X503" s="64"/>
      <c r="Y503" s="64"/>
      <c r="Z503" s="65"/>
      <c r="AA503" s="65"/>
      <c r="AB503" s="65"/>
      <c r="AC503" s="65"/>
    </row>
    <row r="504">
      <c r="A504" s="64"/>
      <c r="B504" s="64"/>
      <c r="C504" s="64"/>
      <c r="D504" s="64"/>
      <c r="E504" s="64"/>
      <c r="F504" s="64"/>
      <c r="G504" s="64"/>
      <c r="H504" s="63"/>
      <c r="I504" s="64"/>
      <c r="J504" s="64"/>
      <c r="K504" s="64"/>
      <c r="L504" s="64"/>
      <c r="M504" s="64"/>
      <c r="N504" s="64"/>
      <c r="O504" s="64"/>
      <c r="P504" s="64"/>
      <c r="Q504" s="64"/>
      <c r="R504" s="65" t="str">
        <f>IF($A504="","",IFERROR(MINIFS(Candidates!$K$2:$K$2000,Candidates!$A$2:$A$2000,$A504),""))</f>
        <v/>
      </c>
      <c r="S504" s="65" t="str">
        <f>IF($A504="","",IFERROR(MAXIFS(Candidates!$AA$2:$AA$2000,Candidates!$A$2:$A$2000,$A504),""))</f>
        <v/>
      </c>
      <c r="T504" s="64" t="str">
        <f>IFERROR(__xludf.DUMMYFUNCTION("IF($A504="""","""",IFERROR(TEXTJOIN("", "",TRUE,UNIQUE(FILTER(Candidates!$B$2:$B$2000,Candidates!$A$2:$A$2000=$A504))),""""))"),"")</f>
        <v/>
      </c>
      <c r="U504" s="66" t="str">
        <f>IF($A504="","",COUNTIF(Candidates!$A$2:$A$2000,$A504))</f>
        <v/>
      </c>
      <c r="V504" s="64" t="str">
        <f>IFERROR(__xludf.DUMMYFUNCTION("IF($A504="""","""",IFERROR(INDEX(FILTER(Candidates!$S$2:$S$2000,Candidates!$A$2:$A$2000=$A504),COUNTIF(Candidates!$A$2:$A$2000,$A504)),""""))"),"")</f>
        <v/>
      </c>
      <c r="W504" s="64" t="str">
        <f>IFERROR(__xludf.DUMMYFUNCTION("IF($A504="""","""",IFERROR(INDEX(FILTER(Candidates!$T$2:$T$2000,Candidates!$A$2:$A$2000=$A504),COUNTIF(Candidates!$A$2:$A$2000,$A504)),""""))"),"")</f>
        <v/>
      </c>
      <c r="X504" s="64"/>
      <c r="Y504" s="64"/>
      <c r="Z504" s="65"/>
      <c r="AA504" s="65"/>
      <c r="AB504" s="65"/>
      <c r="AC504" s="65"/>
    </row>
    <row r="505">
      <c r="A505" s="64"/>
      <c r="B505" s="64"/>
      <c r="C505" s="64"/>
      <c r="D505" s="64"/>
      <c r="E505" s="64"/>
      <c r="F505" s="64"/>
      <c r="G505" s="64"/>
      <c r="H505" s="63"/>
      <c r="I505" s="64"/>
      <c r="J505" s="64"/>
      <c r="K505" s="64"/>
      <c r="L505" s="64"/>
      <c r="M505" s="64"/>
      <c r="N505" s="64"/>
      <c r="O505" s="64"/>
      <c r="P505" s="64"/>
      <c r="Q505" s="64"/>
      <c r="R505" s="65" t="str">
        <f>IF($A505="","",IFERROR(MINIFS(Candidates!$K$2:$K$2000,Candidates!$A$2:$A$2000,$A505),""))</f>
        <v/>
      </c>
      <c r="S505" s="65" t="str">
        <f>IF($A505="","",IFERROR(MAXIFS(Candidates!$AA$2:$AA$2000,Candidates!$A$2:$A$2000,$A505),""))</f>
        <v/>
      </c>
      <c r="T505" s="64" t="str">
        <f>IFERROR(__xludf.DUMMYFUNCTION("IF($A505="""","""",IFERROR(TEXTJOIN("", "",TRUE,UNIQUE(FILTER(Candidates!$B$2:$B$2000,Candidates!$A$2:$A$2000=$A505))),""""))"),"")</f>
        <v/>
      </c>
      <c r="U505" s="66" t="str">
        <f>IF($A505="","",COUNTIF(Candidates!$A$2:$A$2000,$A505))</f>
        <v/>
      </c>
      <c r="V505" s="64" t="str">
        <f>IFERROR(__xludf.DUMMYFUNCTION("IF($A505="""","""",IFERROR(INDEX(FILTER(Candidates!$S$2:$S$2000,Candidates!$A$2:$A$2000=$A505),COUNTIF(Candidates!$A$2:$A$2000,$A505)),""""))"),"")</f>
        <v/>
      </c>
      <c r="W505" s="64" t="str">
        <f>IFERROR(__xludf.DUMMYFUNCTION("IF($A505="""","""",IFERROR(INDEX(FILTER(Candidates!$T$2:$T$2000,Candidates!$A$2:$A$2000=$A505),COUNTIF(Candidates!$A$2:$A$2000,$A505)),""""))"),"")</f>
        <v/>
      </c>
      <c r="X505" s="64"/>
      <c r="Y505" s="64"/>
      <c r="Z505" s="65"/>
      <c r="AA505" s="65"/>
      <c r="AB505" s="65"/>
      <c r="AC505" s="65"/>
    </row>
    <row r="506">
      <c r="A506" s="64"/>
      <c r="B506" s="64"/>
      <c r="C506" s="64"/>
      <c r="D506" s="64"/>
      <c r="E506" s="64"/>
      <c r="F506" s="64"/>
      <c r="G506" s="64"/>
      <c r="H506" s="63"/>
      <c r="I506" s="64"/>
      <c r="J506" s="64"/>
      <c r="K506" s="64"/>
      <c r="L506" s="64"/>
      <c r="M506" s="64"/>
      <c r="N506" s="64"/>
      <c r="O506" s="64"/>
      <c r="P506" s="64"/>
      <c r="Q506" s="64"/>
      <c r="R506" s="65" t="str">
        <f>IF($A506="","",IFERROR(MINIFS(Candidates!$K$2:$K$2000,Candidates!$A$2:$A$2000,$A506),""))</f>
        <v/>
      </c>
      <c r="S506" s="65" t="str">
        <f>IF($A506="","",IFERROR(MAXIFS(Candidates!$AA$2:$AA$2000,Candidates!$A$2:$A$2000,$A506),""))</f>
        <v/>
      </c>
      <c r="T506" s="64" t="str">
        <f>IFERROR(__xludf.DUMMYFUNCTION("IF($A506="""","""",IFERROR(TEXTJOIN("", "",TRUE,UNIQUE(FILTER(Candidates!$B$2:$B$2000,Candidates!$A$2:$A$2000=$A506))),""""))"),"")</f>
        <v/>
      </c>
      <c r="U506" s="66" t="str">
        <f>IF($A506="","",COUNTIF(Candidates!$A$2:$A$2000,$A506))</f>
        <v/>
      </c>
      <c r="V506" s="64" t="str">
        <f>IFERROR(__xludf.DUMMYFUNCTION("IF($A506="""","""",IFERROR(INDEX(FILTER(Candidates!$S$2:$S$2000,Candidates!$A$2:$A$2000=$A506),COUNTIF(Candidates!$A$2:$A$2000,$A506)),""""))"),"")</f>
        <v/>
      </c>
      <c r="W506" s="64" t="str">
        <f>IFERROR(__xludf.DUMMYFUNCTION("IF($A506="""","""",IFERROR(INDEX(FILTER(Candidates!$T$2:$T$2000,Candidates!$A$2:$A$2000=$A506),COUNTIF(Candidates!$A$2:$A$2000,$A506)),""""))"),"")</f>
        <v/>
      </c>
      <c r="X506" s="64"/>
      <c r="Y506" s="64"/>
      <c r="Z506" s="65"/>
      <c r="AA506" s="65"/>
      <c r="AB506" s="65"/>
      <c r="AC506" s="65"/>
    </row>
    <row r="507">
      <c r="A507" s="64"/>
      <c r="B507" s="64"/>
      <c r="C507" s="64"/>
      <c r="D507" s="64"/>
      <c r="E507" s="64"/>
      <c r="F507" s="64"/>
      <c r="G507" s="64"/>
      <c r="H507" s="63"/>
      <c r="I507" s="64"/>
      <c r="J507" s="64"/>
      <c r="K507" s="64"/>
      <c r="L507" s="64"/>
      <c r="M507" s="64"/>
      <c r="N507" s="64"/>
      <c r="O507" s="64"/>
      <c r="P507" s="64"/>
      <c r="Q507" s="64"/>
      <c r="R507" s="65" t="str">
        <f>IF($A507="","",IFERROR(MINIFS(Candidates!$K$2:$K$2000,Candidates!$A$2:$A$2000,$A507),""))</f>
        <v/>
      </c>
      <c r="S507" s="65" t="str">
        <f>IF($A507="","",IFERROR(MAXIFS(Candidates!$AA$2:$AA$2000,Candidates!$A$2:$A$2000,$A507),""))</f>
        <v/>
      </c>
      <c r="T507" s="64" t="str">
        <f>IFERROR(__xludf.DUMMYFUNCTION("IF($A507="""","""",IFERROR(TEXTJOIN("", "",TRUE,UNIQUE(FILTER(Candidates!$B$2:$B$2000,Candidates!$A$2:$A$2000=$A507))),""""))"),"")</f>
        <v/>
      </c>
      <c r="U507" s="66" t="str">
        <f>IF($A507="","",COUNTIF(Candidates!$A$2:$A$2000,$A507))</f>
        <v/>
      </c>
      <c r="V507" s="64" t="str">
        <f>IFERROR(__xludf.DUMMYFUNCTION("IF($A507="""","""",IFERROR(INDEX(FILTER(Candidates!$S$2:$S$2000,Candidates!$A$2:$A$2000=$A507),COUNTIF(Candidates!$A$2:$A$2000,$A507)),""""))"),"")</f>
        <v/>
      </c>
      <c r="W507" s="64" t="str">
        <f>IFERROR(__xludf.DUMMYFUNCTION("IF($A507="""","""",IFERROR(INDEX(FILTER(Candidates!$T$2:$T$2000,Candidates!$A$2:$A$2000=$A507),COUNTIF(Candidates!$A$2:$A$2000,$A507)),""""))"),"")</f>
        <v/>
      </c>
      <c r="X507" s="64"/>
      <c r="Y507" s="64"/>
      <c r="Z507" s="65"/>
      <c r="AA507" s="65"/>
      <c r="AB507" s="65"/>
      <c r="AC507" s="65"/>
    </row>
    <row r="508">
      <c r="A508" s="64"/>
      <c r="B508" s="64"/>
      <c r="C508" s="64"/>
      <c r="D508" s="64"/>
      <c r="E508" s="64"/>
      <c r="F508" s="64"/>
      <c r="G508" s="64"/>
      <c r="H508" s="63"/>
      <c r="I508" s="64"/>
      <c r="J508" s="64"/>
      <c r="K508" s="64"/>
      <c r="L508" s="64"/>
      <c r="M508" s="64"/>
      <c r="N508" s="64"/>
      <c r="O508" s="64"/>
      <c r="P508" s="64"/>
      <c r="Q508" s="64"/>
      <c r="R508" s="65" t="str">
        <f>IF($A508="","",IFERROR(MINIFS(Candidates!$K$2:$K$2000,Candidates!$A$2:$A$2000,$A508),""))</f>
        <v/>
      </c>
      <c r="S508" s="65" t="str">
        <f>IF($A508="","",IFERROR(MAXIFS(Candidates!$AA$2:$AA$2000,Candidates!$A$2:$A$2000,$A508),""))</f>
        <v/>
      </c>
      <c r="T508" s="64" t="str">
        <f>IFERROR(__xludf.DUMMYFUNCTION("IF($A508="""","""",IFERROR(TEXTJOIN("", "",TRUE,UNIQUE(FILTER(Candidates!$B$2:$B$2000,Candidates!$A$2:$A$2000=$A508))),""""))"),"")</f>
        <v/>
      </c>
      <c r="U508" s="66" t="str">
        <f>IF($A508="","",COUNTIF(Candidates!$A$2:$A$2000,$A508))</f>
        <v/>
      </c>
      <c r="V508" s="64" t="str">
        <f>IFERROR(__xludf.DUMMYFUNCTION("IF($A508="""","""",IFERROR(INDEX(FILTER(Candidates!$S$2:$S$2000,Candidates!$A$2:$A$2000=$A508),COUNTIF(Candidates!$A$2:$A$2000,$A508)),""""))"),"")</f>
        <v/>
      </c>
      <c r="W508" s="64" t="str">
        <f>IFERROR(__xludf.DUMMYFUNCTION("IF($A508="""","""",IFERROR(INDEX(FILTER(Candidates!$T$2:$T$2000,Candidates!$A$2:$A$2000=$A508),COUNTIF(Candidates!$A$2:$A$2000,$A508)),""""))"),"")</f>
        <v/>
      </c>
      <c r="X508" s="64"/>
      <c r="Y508" s="64"/>
      <c r="Z508" s="65"/>
      <c r="AA508" s="65"/>
      <c r="AB508" s="65"/>
      <c r="AC508" s="65"/>
    </row>
    <row r="509">
      <c r="A509" s="64"/>
      <c r="B509" s="64"/>
      <c r="C509" s="64"/>
      <c r="D509" s="64"/>
      <c r="E509" s="64"/>
      <c r="F509" s="64"/>
      <c r="G509" s="64"/>
      <c r="H509" s="63"/>
      <c r="I509" s="64"/>
      <c r="J509" s="64"/>
      <c r="K509" s="64"/>
      <c r="L509" s="64"/>
      <c r="M509" s="64"/>
      <c r="N509" s="64"/>
      <c r="O509" s="64"/>
      <c r="P509" s="64"/>
      <c r="Q509" s="64"/>
      <c r="R509" s="65" t="str">
        <f>IF($A509="","",IFERROR(MINIFS(Candidates!$K$2:$K$2000,Candidates!$A$2:$A$2000,$A509),""))</f>
        <v/>
      </c>
      <c r="S509" s="65" t="str">
        <f>IF($A509="","",IFERROR(MAXIFS(Candidates!$AA$2:$AA$2000,Candidates!$A$2:$A$2000,$A509),""))</f>
        <v/>
      </c>
      <c r="T509" s="64" t="str">
        <f>IFERROR(__xludf.DUMMYFUNCTION("IF($A509="""","""",IFERROR(TEXTJOIN("", "",TRUE,UNIQUE(FILTER(Candidates!$B$2:$B$2000,Candidates!$A$2:$A$2000=$A509))),""""))"),"")</f>
        <v/>
      </c>
      <c r="U509" s="66" t="str">
        <f>IF($A509="","",COUNTIF(Candidates!$A$2:$A$2000,$A509))</f>
        <v/>
      </c>
      <c r="V509" s="64" t="str">
        <f>IFERROR(__xludf.DUMMYFUNCTION("IF($A509="""","""",IFERROR(INDEX(FILTER(Candidates!$S$2:$S$2000,Candidates!$A$2:$A$2000=$A509),COUNTIF(Candidates!$A$2:$A$2000,$A509)),""""))"),"")</f>
        <v/>
      </c>
      <c r="W509" s="64" t="str">
        <f>IFERROR(__xludf.DUMMYFUNCTION("IF($A509="""","""",IFERROR(INDEX(FILTER(Candidates!$T$2:$T$2000,Candidates!$A$2:$A$2000=$A509),COUNTIF(Candidates!$A$2:$A$2000,$A509)),""""))"),"")</f>
        <v/>
      </c>
      <c r="X509" s="64"/>
      <c r="Y509" s="64"/>
      <c r="Z509" s="65"/>
      <c r="AA509" s="65"/>
      <c r="AB509" s="65"/>
      <c r="AC509" s="65"/>
    </row>
    <row r="510">
      <c r="A510" s="64"/>
      <c r="B510" s="64"/>
      <c r="C510" s="64"/>
      <c r="D510" s="64"/>
      <c r="E510" s="64"/>
      <c r="F510" s="64"/>
      <c r="G510" s="64"/>
      <c r="H510" s="63"/>
      <c r="I510" s="64"/>
      <c r="J510" s="64"/>
      <c r="K510" s="64"/>
      <c r="L510" s="64"/>
      <c r="M510" s="64"/>
      <c r="N510" s="64"/>
      <c r="O510" s="64"/>
      <c r="P510" s="64"/>
      <c r="Q510" s="64"/>
      <c r="R510" s="65" t="str">
        <f>IF($A510="","",IFERROR(MINIFS(Candidates!$K$2:$K$2000,Candidates!$A$2:$A$2000,$A510),""))</f>
        <v/>
      </c>
      <c r="S510" s="65" t="str">
        <f>IF($A510="","",IFERROR(MAXIFS(Candidates!$AA$2:$AA$2000,Candidates!$A$2:$A$2000,$A510),""))</f>
        <v/>
      </c>
      <c r="T510" s="64" t="str">
        <f>IFERROR(__xludf.DUMMYFUNCTION("IF($A510="""","""",IFERROR(TEXTJOIN("", "",TRUE,UNIQUE(FILTER(Candidates!$B$2:$B$2000,Candidates!$A$2:$A$2000=$A510))),""""))"),"")</f>
        <v/>
      </c>
      <c r="U510" s="66" t="str">
        <f>IF($A510="","",COUNTIF(Candidates!$A$2:$A$2000,$A510))</f>
        <v/>
      </c>
      <c r="V510" s="64" t="str">
        <f>IFERROR(__xludf.DUMMYFUNCTION("IF($A510="""","""",IFERROR(INDEX(FILTER(Candidates!$S$2:$S$2000,Candidates!$A$2:$A$2000=$A510),COUNTIF(Candidates!$A$2:$A$2000,$A510)),""""))"),"")</f>
        <v/>
      </c>
      <c r="W510" s="64" t="str">
        <f>IFERROR(__xludf.DUMMYFUNCTION("IF($A510="""","""",IFERROR(INDEX(FILTER(Candidates!$T$2:$T$2000,Candidates!$A$2:$A$2000=$A510),COUNTIF(Candidates!$A$2:$A$2000,$A510)),""""))"),"")</f>
        <v/>
      </c>
      <c r="X510" s="64"/>
      <c r="Y510" s="64"/>
      <c r="Z510" s="65"/>
      <c r="AA510" s="65"/>
      <c r="AB510" s="65"/>
      <c r="AC510" s="65"/>
    </row>
    <row r="511">
      <c r="A511" s="64"/>
      <c r="B511" s="64"/>
      <c r="C511" s="64"/>
      <c r="D511" s="64"/>
      <c r="E511" s="64"/>
      <c r="F511" s="64"/>
      <c r="G511" s="64"/>
      <c r="H511" s="63"/>
      <c r="I511" s="64"/>
      <c r="J511" s="64"/>
      <c r="K511" s="64"/>
      <c r="L511" s="64"/>
      <c r="M511" s="64"/>
      <c r="N511" s="64"/>
      <c r="O511" s="64"/>
      <c r="P511" s="64"/>
      <c r="Q511" s="64"/>
      <c r="R511" s="65" t="str">
        <f>IF($A511="","",IFERROR(MINIFS(Candidates!$K$2:$K$2000,Candidates!$A$2:$A$2000,$A511),""))</f>
        <v/>
      </c>
      <c r="S511" s="65" t="str">
        <f>IF($A511="","",IFERROR(MAXIFS(Candidates!$AA$2:$AA$2000,Candidates!$A$2:$A$2000,$A511),""))</f>
        <v/>
      </c>
      <c r="T511" s="64" t="str">
        <f>IFERROR(__xludf.DUMMYFUNCTION("IF($A511="""","""",IFERROR(TEXTJOIN("", "",TRUE,UNIQUE(FILTER(Candidates!$B$2:$B$2000,Candidates!$A$2:$A$2000=$A511))),""""))"),"")</f>
        <v/>
      </c>
      <c r="U511" s="66" t="str">
        <f>IF($A511="","",COUNTIF(Candidates!$A$2:$A$2000,$A511))</f>
        <v/>
      </c>
      <c r="V511" s="64" t="str">
        <f>IFERROR(__xludf.DUMMYFUNCTION("IF($A511="""","""",IFERROR(INDEX(FILTER(Candidates!$S$2:$S$2000,Candidates!$A$2:$A$2000=$A511),COUNTIF(Candidates!$A$2:$A$2000,$A511)),""""))"),"")</f>
        <v/>
      </c>
      <c r="W511" s="64" t="str">
        <f>IFERROR(__xludf.DUMMYFUNCTION("IF($A511="""","""",IFERROR(INDEX(FILTER(Candidates!$T$2:$T$2000,Candidates!$A$2:$A$2000=$A511),COUNTIF(Candidates!$A$2:$A$2000,$A511)),""""))"),"")</f>
        <v/>
      </c>
      <c r="X511" s="64"/>
      <c r="Y511" s="64"/>
      <c r="Z511" s="65"/>
      <c r="AA511" s="65"/>
      <c r="AB511" s="65"/>
      <c r="AC511" s="65"/>
    </row>
    <row r="512">
      <c r="A512" s="64"/>
      <c r="B512" s="64"/>
      <c r="C512" s="64"/>
      <c r="D512" s="64"/>
      <c r="E512" s="64"/>
      <c r="F512" s="64"/>
      <c r="G512" s="64"/>
      <c r="H512" s="63"/>
      <c r="I512" s="64"/>
      <c r="J512" s="64"/>
      <c r="K512" s="64"/>
      <c r="L512" s="64"/>
      <c r="M512" s="64"/>
      <c r="N512" s="64"/>
      <c r="O512" s="64"/>
      <c r="P512" s="64"/>
      <c r="Q512" s="64"/>
      <c r="R512" s="65" t="str">
        <f>IF($A512="","",IFERROR(MINIFS(Candidates!$K$2:$K$2000,Candidates!$A$2:$A$2000,$A512),""))</f>
        <v/>
      </c>
      <c r="S512" s="65" t="str">
        <f>IF($A512="","",IFERROR(MAXIFS(Candidates!$AA$2:$AA$2000,Candidates!$A$2:$A$2000,$A512),""))</f>
        <v/>
      </c>
      <c r="T512" s="64" t="str">
        <f>IFERROR(__xludf.DUMMYFUNCTION("IF($A512="""","""",IFERROR(TEXTJOIN("", "",TRUE,UNIQUE(FILTER(Candidates!$B$2:$B$2000,Candidates!$A$2:$A$2000=$A512))),""""))"),"")</f>
        <v/>
      </c>
      <c r="U512" s="66" t="str">
        <f>IF($A512="","",COUNTIF(Candidates!$A$2:$A$2000,$A512))</f>
        <v/>
      </c>
      <c r="V512" s="64" t="str">
        <f>IFERROR(__xludf.DUMMYFUNCTION("IF($A512="""","""",IFERROR(INDEX(FILTER(Candidates!$S$2:$S$2000,Candidates!$A$2:$A$2000=$A512),COUNTIF(Candidates!$A$2:$A$2000,$A512)),""""))"),"")</f>
        <v/>
      </c>
      <c r="W512" s="64" t="str">
        <f>IFERROR(__xludf.DUMMYFUNCTION("IF($A512="""","""",IFERROR(INDEX(FILTER(Candidates!$T$2:$T$2000,Candidates!$A$2:$A$2000=$A512),COUNTIF(Candidates!$A$2:$A$2000,$A512)),""""))"),"")</f>
        <v/>
      </c>
      <c r="X512" s="64"/>
      <c r="Y512" s="64"/>
      <c r="Z512" s="65"/>
      <c r="AA512" s="65"/>
      <c r="AB512" s="65"/>
      <c r="AC512" s="65"/>
    </row>
    <row r="513">
      <c r="A513" s="64"/>
      <c r="B513" s="64"/>
      <c r="C513" s="64"/>
      <c r="D513" s="64"/>
      <c r="E513" s="64"/>
      <c r="F513" s="64"/>
      <c r="G513" s="64"/>
      <c r="H513" s="63"/>
      <c r="I513" s="64"/>
      <c r="J513" s="64"/>
      <c r="K513" s="64"/>
      <c r="L513" s="64"/>
      <c r="M513" s="64"/>
      <c r="N513" s="64"/>
      <c r="O513" s="64"/>
      <c r="P513" s="64"/>
      <c r="Q513" s="64"/>
      <c r="R513" s="65" t="str">
        <f>IF($A513="","",IFERROR(MINIFS(Candidates!$K$2:$K$2000,Candidates!$A$2:$A$2000,$A513),""))</f>
        <v/>
      </c>
      <c r="S513" s="65" t="str">
        <f>IF($A513="","",IFERROR(MAXIFS(Candidates!$AA$2:$AA$2000,Candidates!$A$2:$A$2000,$A513),""))</f>
        <v/>
      </c>
      <c r="T513" s="64" t="str">
        <f>IFERROR(__xludf.DUMMYFUNCTION("IF($A513="""","""",IFERROR(TEXTJOIN("", "",TRUE,UNIQUE(FILTER(Candidates!$B$2:$B$2000,Candidates!$A$2:$A$2000=$A513))),""""))"),"")</f>
        <v/>
      </c>
      <c r="U513" s="66" t="str">
        <f>IF($A513="","",COUNTIF(Candidates!$A$2:$A$2000,$A513))</f>
        <v/>
      </c>
      <c r="V513" s="64" t="str">
        <f>IFERROR(__xludf.DUMMYFUNCTION("IF($A513="""","""",IFERROR(INDEX(FILTER(Candidates!$S$2:$S$2000,Candidates!$A$2:$A$2000=$A513),COUNTIF(Candidates!$A$2:$A$2000,$A513)),""""))"),"")</f>
        <v/>
      </c>
      <c r="W513" s="64" t="str">
        <f>IFERROR(__xludf.DUMMYFUNCTION("IF($A513="""","""",IFERROR(INDEX(FILTER(Candidates!$T$2:$T$2000,Candidates!$A$2:$A$2000=$A513),COUNTIF(Candidates!$A$2:$A$2000,$A513)),""""))"),"")</f>
        <v/>
      </c>
      <c r="X513" s="64"/>
      <c r="Y513" s="64"/>
      <c r="Z513" s="65"/>
      <c r="AA513" s="65"/>
      <c r="AB513" s="65"/>
      <c r="AC513" s="65"/>
    </row>
    <row r="514">
      <c r="A514" s="64"/>
      <c r="B514" s="64"/>
      <c r="C514" s="64"/>
      <c r="D514" s="64"/>
      <c r="E514" s="64"/>
      <c r="F514" s="64"/>
      <c r="G514" s="64"/>
      <c r="H514" s="63"/>
      <c r="I514" s="64"/>
      <c r="J514" s="64"/>
      <c r="K514" s="64"/>
      <c r="L514" s="64"/>
      <c r="M514" s="64"/>
      <c r="N514" s="64"/>
      <c r="O514" s="64"/>
      <c r="P514" s="64"/>
      <c r="Q514" s="64"/>
      <c r="R514" s="65" t="str">
        <f>IF($A514="","",IFERROR(MINIFS(Candidates!$K$2:$K$2000,Candidates!$A$2:$A$2000,$A514),""))</f>
        <v/>
      </c>
      <c r="S514" s="65" t="str">
        <f>IF($A514="","",IFERROR(MAXIFS(Candidates!$AA$2:$AA$2000,Candidates!$A$2:$A$2000,$A514),""))</f>
        <v/>
      </c>
      <c r="T514" s="64" t="str">
        <f>IFERROR(__xludf.DUMMYFUNCTION("IF($A514="""","""",IFERROR(TEXTJOIN("", "",TRUE,UNIQUE(FILTER(Candidates!$B$2:$B$2000,Candidates!$A$2:$A$2000=$A514))),""""))"),"")</f>
        <v/>
      </c>
      <c r="U514" s="66" t="str">
        <f>IF($A514="","",COUNTIF(Candidates!$A$2:$A$2000,$A514))</f>
        <v/>
      </c>
      <c r="V514" s="64" t="str">
        <f>IFERROR(__xludf.DUMMYFUNCTION("IF($A514="""","""",IFERROR(INDEX(FILTER(Candidates!$S$2:$S$2000,Candidates!$A$2:$A$2000=$A514),COUNTIF(Candidates!$A$2:$A$2000,$A514)),""""))"),"")</f>
        <v/>
      </c>
      <c r="W514" s="64" t="str">
        <f>IFERROR(__xludf.DUMMYFUNCTION("IF($A514="""","""",IFERROR(INDEX(FILTER(Candidates!$T$2:$T$2000,Candidates!$A$2:$A$2000=$A514),COUNTIF(Candidates!$A$2:$A$2000,$A514)),""""))"),"")</f>
        <v/>
      </c>
      <c r="X514" s="64"/>
      <c r="Y514" s="64"/>
      <c r="Z514" s="65"/>
      <c r="AA514" s="65"/>
      <c r="AB514" s="65"/>
      <c r="AC514" s="65"/>
    </row>
    <row r="515">
      <c r="A515" s="64"/>
      <c r="B515" s="64"/>
      <c r="C515" s="64"/>
      <c r="D515" s="64"/>
      <c r="E515" s="64"/>
      <c r="F515" s="64"/>
      <c r="G515" s="64"/>
      <c r="H515" s="63"/>
      <c r="I515" s="64"/>
      <c r="J515" s="64"/>
      <c r="K515" s="64"/>
      <c r="L515" s="64"/>
      <c r="M515" s="64"/>
      <c r="N515" s="64"/>
      <c r="O515" s="64"/>
      <c r="P515" s="64"/>
      <c r="Q515" s="64"/>
      <c r="R515" s="65" t="str">
        <f>IF($A515="","",IFERROR(MINIFS(Candidates!$K$2:$K$2000,Candidates!$A$2:$A$2000,$A515),""))</f>
        <v/>
      </c>
      <c r="S515" s="65" t="str">
        <f>IF($A515="","",IFERROR(MAXIFS(Candidates!$AA$2:$AA$2000,Candidates!$A$2:$A$2000,$A515),""))</f>
        <v/>
      </c>
      <c r="T515" s="64" t="str">
        <f>IFERROR(__xludf.DUMMYFUNCTION("IF($A515="""","""",IFERROR(TEXTJOIN("", "",TRUE,UNIQUE(FILTER(Candidates!$B$2:$B$2000,Candidates!$A$2:$A$2000=$A515))),""""))"),"")</f>
        <v/>
      </c>
      <c r="U515" s="66" t="str">
        <f>IF($A515="","",COUNTIF(Candidates!$A$2:$A$2000,$A515))</f>
        <v/>
      </c>
      <c r="V515" s="64" t="str">
        <f>IFERROR(__xludf.DUMMYFUNCTION("IF($A515="""","""",IFERROR(INDEX(FILTER(Candidates!$S$2:$S$2000,Candidates!$A$2:$A$2000=$A515),COUNTIF(Candidates!$A$2:$A$2000,$A515)),""""))"),"")</f>
        <v/>
      </c>
      <c r="W515" s="64" t="str">
        <f>IFERROR(__xludf.DUMMYFUNCTION("IF($A515="""","""",IFERROR(INDEX(FILTER(Candidates!$T$2:$T$2000,Candidates!$A$2:$A$2000=$A515),COUNTIF(Candidates!$A$2:$A$2000,$A515)),""""))"),"")</f>
        <v/>
      </c>
      <c r="X515" s="64"/>
      <c r="Y515" s="64"/>
      <c r="Z515" s="65"/>
      <c r="AA515" s="65"/>
      <c r="AB515" s="65"/>
      <c r="AC515" s="65"/>
    </row>
    <row r="516">
      <c r="A516" s="64"/>
      <c r="B516" s="64"/>
      <c r="C516" s="64"/>
      <c r="D516" s="64"/>
      <c r="E516" s="64"/>
      <c r="F516" s="64"/>
      <c r="G516" s="64"/>
      <c r="H516" s="63"/>
      <c r="I516" s="64"/>
      <c r="J516" s="64"/>
      <c r="K516" s="64"/>
      <c r="L516" s="64"/>
      <c r="M516" s="64"/>
      <c r="N516" s="64"/>
      <c r="O516" s="64"/>
      <c r="P516" s="64"/>
      <c r="Q516" s="64"/>
      <c r="R516" s="65" t="str">
        <f>IF($A516="","",IFERROR(MINIFS(Candidates!$K$2:$K$2000,Candidates!$A$2:$A$2000,$A516),""))</f>
        <v/>
      </c>
      <c r="S516" s="65" t="str">
        <f>IF($A516="","",IFERROR(MAXIFS(Candidates!$AA$2:$AA$2000,Candidates!$A$2:$A$2000,$A516),""))</f>
        <v/>
      </c>
      <c r="T516" s="64" t="str">
        <f>IFERROR(__xludf.DUMMYFUNCTION("IF($A516="""","""",IFERROR(TEXTJOIN("", "",TRUE,UNIQUE(FILTER(Candidates!$B$2:$B$2000,Candidates!$A$2:$A$2000=$A516))),""""))"),"")</f>
        <v/>
      </c>
      <c r="U516" s="66" t="str">
        <f>IF($A516="","",COUNTIF(Candidates!$A$2:$A$2000,$A516))</f>
        <v/>
      </c>
      <c r="V516" s="64" t="str">
        <f>IFERROR(__xludf.DUMMYFUNCTION("IF($A516="""","""",IFERROR(INDEX(FILTER(Candidates!$S$2:$S$2000,Candidates!$A$2:$A$2000=$A516),COUNTIF(Candidates!$A$2:$A$2000,$A516)),""""))"),"")</f>
        <v/>
      </c>
      <c r="W516" s="64" t="str">
        <f>IFERROR(__xludf.DUMMYFUNCTION("IF($A516="""","""",IFERROR(INDEX(FILTER(Candidates!$T$2:$T$2000,Candidates!$A$2:$A$2000=$A516),COUNTIF(Candidates!$A$2:$A$2000,$A516)),""""))"),"")</f>
        <v/>
      </c>
      <c r="X516" s="64"/>
      <c r="Y516" s="64"/>
      <c r="Z516" s="65"/>
      <c r="AA516" s="65"/>
      <c r="AB516" s="65"/>
      <c r="AC516" s="65"/>
    </row>
    <row r="517">
      <c r="A517" s="64"/>
      <c r="B517" s="64"/>
      <c r="C517" s="64"/>
      <c r="D517" s="64"/>
      <c r="E517" s="64"/>
      <c r="F517" s="64"/>
      <c r="G517" s="64"/>
      <c r="H517" s="63"/>
      <c r="I517" s="64"/>
      <c r="J517" s="64"/>
      <c r="K517" s="64"/>
      <c r="L517" s="64"/>
      <c r="M517" s="64"/>
      <c r="N517" s="64"/>
      <c r="O517" s="64"/>
      <c r="P517" s="64"/>
      <c r="Q517" s="64"/>
      <c r="R517" s="65" t="str">
        <f>IF($A517="","",IFERROR(MINIFS(Candidates!$K$2:$K$2000,Candidates!$A$2:$A$2000,$A517),""))</f>
        <v/>
      </c>
      <c r="S517" s="65" t="str">
        <f>IF($A517="","",IFERROR(MAXIFS(Candidates!$AA$2:$AA$2000,Candidates!$A$2:$A$2000,$A517),""))</f>
        <v/>
      </c>
      <c r="T517" s="64" t="str">
        <f>IFERROR(__xludf.DUMMYFUNCTION("IF($A517="""","""",IFERROR(TEXTJOIN("", "",TRUE,UNIQUE(FILTER(Candidates!$B$2:$B$2000,Candidates!$A$2:$A$2000=$A517))),""""))"),"")</f>
        <v/>
      </c>
      <c r="U517" s="66" t="str">
        <f>IF($A517="","",COUNTIF(Candidates!$A$2:$A$2000,$A517))</f>
        <v/>
      </c>
      <c r="V517" s="64" t="str">
        <f>IFERROR(__xludf.DUMMYFUNCTION("IF($A517="""","""",IFERROR(INDEX(FILTER(Candidates!$S$2:$S$2000,Candidates!$A$2:$A$2000=$A517),COUNTIF(Candidates!$A$2:$A$2000,$A517)),""""))"),"")</f>
        <v/>
      </c>
      <c r="W517" s="64" t="str">
        <f>IFERROR(__xludf.DUMMYFUNCTION("IF($A517="""","""",IFERROR(INDEX(FILTER(Candidates!$T$2:$T$2000,Candidates!$A$2:$A$2000=$A517),COUNTIF(Candidates!$A$2:$A$2000,$A517)),""""))"),"")</f>
        <v/>
      </c>
      <c r="X517" s="64"/>
      <c r="Y517" s="64"/>
      <c r="Z517" s="65"/>
      <c r="AA517" s="65"/>
      <c r="AB517" s="65"/>
      <c r="AC517" s="65"/>
    </row>
    <row r="518">
      <c r="A518" s="64"/>
      <c r="B518" s="64"/>
      <c r="C518" s="64"/>
      <c r="D518" s="64"/>
      <c r="E518" s="64"/>
      <c r="F518" s="64"/>
      <c r="G518" s="64"/>
      <c r="H518" s="63"/>
      <c r="I518" s="64"/>
      <c r="J518" s="64"/>
      <c r="K518" s="64"/>
      <c r="L518" s="64"/>
      <c r="M518" s="64"/>
      <c r="N518" s="64"/>
      <c r="O518" s="64"/>
      <c r="P518" s="64"/>
      <c r="Q518" s="64"/>
      <c r="R518" s="65" t="str">
        <f>IF($A518="","",IFERROR(MINIFS(Candidates!$K$2:$K$2000,Candidates!$A$2:$A$2000,$A518),""))</f>
        <v/>
      </c>
      <c r="S518" s="65" t="str">
        <f>IF($A518="","",IFERROR(MAXIFS(Candidates!$AA$2:$AA$2000,Candidates!$A$2:$A$2000,$A518),""))</f>
        <v/>
      </c>
      <c r="T518" s="64" t="str">
        <f>IFERROR(__xludf.DUMMYFUNCTION("IF($A518="""","""",IFERROR(TEXTJOIN("", "",TRUE,UNIQUE(FILTER(Candidates!$B$2:$B$2000,Candidates!$A$2:$A$2000=$A518))),""""))"),"")</f>
        <v/>
      </c>
      <c r="U518" s="66" t="str">
        <f>IF($A518="","",COUNTIF(Candidates!$A$2:$A$2000,$A518))</f>
        <v/>
      </c>
      <c r="V518" s="64" t="str">
        <f>IFERROR(__xludf.DUMMYFUNCTION("IF($A518="""","""",IFERROR(INDEX(FILTER(Candidates!$S$2:$S$2000,Candidates!$A$2:$A$2000=$A518),COUNTIF(Candidates!$A$2:$A$2000,$A518)),""""))"),"")</f>
        <v/>
      </c>
      <c r="W518" s="64" t="str">
        <f>IFERROR(__xludf.DUMMYFUNCTION("IF($A518="""","""",IFERROR(INDEX(FILTER(Candidates!$T$2:$T$2000,Candidates!$A$2:$A$2000=$A518),COUNTIF(Candidates!$A$2:$A$2000,$A518)),""""))"),"")</f>
        <v/>
      </c>
      <c r="X518" s="64"/>
      <c r="Y518" s="64"/>
      <c r="Z518" s="65"/>
      <c r="AA518" s="65"/>
      <c r="AB518" s="65"/>
      <c r="AC518" s="65"/>
    </row>
    <row r="519">
      <c r="A519" s="64"/>
      <c r="B519" s="64"/>
      <c r="C519" s="64"/>
      <c r="D519" s="64"/>
      <c r="E519" s="64"/>
      <c r="F519" s="64"/>
      <c r="G519" s="64"/>
      <c r="H519" s="63"/>
      <c r="I519" s="64"/>
      <c r="J519" s="64"/>
      <c r="K519" s="64"/>
      <c r="L519" s="64"/>
      <c r="M519" s="64"/>
      <c r="N519" s="64"/>
      <c r="O519" s="64"/>
      <c r="P519" s="64"/>
      <c r="Q519" s="64"/>
      <c r="R519" s="65" t="str">
        <f>IF($A519="","",IFERROR(MINIFS(Candidates!$K$2:$K$2000,Candidates!$A$2:$A$2000,$A519),""))</f>
        <v/>
      </c>
      <c r="S519" s="65" t="str">
        <f>IF($A519="","",IFERROR(MAXIFS(Candidates!$AA$2:$AA$2000,Candidates!$A$2:$A$2000,$A519),""))</f>
        <v/>
      </c>
      <c r="T519" s="64" t="str">
        <f>IFERROR(__xludf.DUMMYFUNCTION("IF($A519="""","""",IFERROR(TEXTJOIN("", "",TRUE,UNIQUE(FILTER(Candidates!$B$2:$B$2000,Candidates!$A$2:$A$2000=$A519))),""""))"),"")</f>
        <v/>
      </c>
      <c r="U519" s="66" t="str">
        <f>IF($A519="","",COUNTIF(Candidates!$A$2:$A$2000,$A519))</f>
        <v/>
      </c>
      <c r="V519" s="64" t="str">
        <f>IFERROR(__xludf.DUMMYFUNCTION("IF($A519="""","""",IFERROR(INDEX(FILTER(Candidates!$S$2:$S$2000,Candidates!$A$2:$A$2000=$A519),COUNTIF(Candidates!$A$2:$A$2000,$A519)),""""))"),"")</f>
        <v/>
      </c>
      <c r="W519" s="64" t="str">
        <f>IFERROR(__xludf.DUMMYFUNCTION("IF($A519="""","""",IFERROR(INDEX(FILTER(Candidates!$T$2:$T$2000,Candidates!$A$2:$A$2000=$A519),COUNTIF(Candidates!$A$2:$A$2000,$A519)),""""))"),"")</f>
        <v/>
      </c>
      <c r="X519" s="64"/>
      <c r="Y519" s="64"/>
      <c r="Z519" s="65"/>
      <c r="AA519" s="65"/>
      <c r="AB519" s="65"/>
      <c r="AC519" s="65"/>
    </row>
    <row r="520">
      <c r="A520" s="64"/>
      <c r="B520" s="64"/>
      <c r="C520" s="64"/>
      <c r="D520" s="64"/>
      <c r="E520" s="64"/>
      <c r="F520" s="64"/>
      <c r="G520" s="64"/>
      <c r="H520" s="63"/>
      <c r="I520" s="64"/>
      <c r="J520" s="64"/>
      <c r="K520" s="64"/>
      <c r="L520" s="64"/>
      <c r="M520" s="64"/>
      <c r="N520" s="64"/>
      <c r="O520" s="64"/>
      <c r="P520" s="64"/>
      <c r="Q520" s="64"/>
      <c r="R520" s="65" t="str">
        <f>IF($A520="","",IFERROR(MINIFS(Candidates!$K$2:$K$2000,Candidates!$A$2:$A$2000,$A520),""))</f>
        <v/>
      </c>
      <c r="S520" s="65" t="str">
        <f>IF($A520="","",IFERROR(MAXIFS(Candidates!$AA$2:$AA$2000,Candidates!$A$2:$A$2000,$A520),""))</f>
        <v/>
      </c>
      <c r="T520" s="64" t="str">
        <f>IFERROR(__xludf.DUMMYFUNCTION("IF($A520="""","""",IFERROR(TEXTJOIN("", "",TRUE,UNIQUE(FILTER(Candidates!$B$2:$B$2000,Candidates!$A$2:$A$2000=$A520))),""""))"),"")</f>
        <v/>
      </c>
      <c r="U520" s="66" t="str">
        <f>IF($A520="","",COUNTIF(Candidates!$A$2:$A$2000,$A520))</f>
        <v/>
      </c>
      <c r="V520" s="64" t="str">
        <f>IFERROR(__xludf.DUMMYFUNCTION("IF($A520="""","""",IFERROR(INDEX(FILTER(Candidates!$S$2:$S$2000,Candidates!$A$2:$A$2000=$A520),COUNTIF(Candidates!$A$2:$A$2000,$A520)),""""))"),"")</f>
        <v/>
      </c>
      <c r="W520" s="64" t="str">
        <f>IFERROR(__xludf.DUMMYFUNCTION("IF($A520="""","""",IFERROR(INDEX(FILTER(Candidates!$T$2:$T$2000,Candidates!$A$2:$A$2000=$A520),COUNTIF(Candidates!$A$2:$A$2000,$A520)),""""))"),"")</f>
        <v/>
      </c>
      <c r="X520" s="64"/>
      <c r="Y520" s="64"/>
      <c r="Z520" s="65"/>
      <c r="AA520" s="65"/>
      <c r="AB520" s="65"/>
      <c r="AC520" s="65"/>
    </row>
    <row r="521">
      <c r="A521" s="64"/>
      <c r="B521" s="64"/>
      <c r="C521" s="64"/>
      <c r="D521" s="64"/>
      <c r="E521" s="64"/>
      <c r="F521" s="64"/>
      <c r="G521" s="64"/>
      <c r="H521" s="63"/>
      <c r="I521" s="64"/>
      <c r="J521" s="64"/>
      <c r="K521" s="64"/>
      <c r="L521" s="64"/>
      <c r="M521" s="64"/>
      <c r="N521" s="64"/>
      <c r="O521" s="64"/>
      <c r="P521" s="64"/>
      <c r="Q521" s="64"/>
      <c r="R521" s="65" t="str">
        <f>IF($A521="","",IFERROR(MINIFS(Candidates!$K$2:$K$2000,Candidates!$A$2:$A$2000,$A521),""))</f>
        <v/>
      </c>
      <c r="S521" s="65" t="str">
        <f>IF($A521="","",IFERROR(MAXIFS(Candidates!$AA$2:$AA$2000,Candidates!$A$2:$A$2000,$A521),""))</f>
        <v/>
      </c>
      <c r="T521" s="64" t="str">
        <f>IFERROR(__xludf.DUMMYFUNCTION("IF($A521="""","""",IFERROR(TEXTJOIN("", "",TRUE,UNIQUE(FILTER(Candidates!$B$2:$B$2000,Candidates!$A$2:$A$2000=$A521))),""""))"),"")</f>
        <v/>
      </c>
      <c r="U521" s="66" t="str">
        <f>IF($A521="","",COUNTIF(Candidates!$A$2:$A$2000,$A521))</f>
        <v/>
      </c>
      <c r="V521" s="64" t="str">
        <f>IFERROR(__xludf.DUMMYFUNCTION("IF($A521="""","""",IFERROR(INDEX(FILTER(Candidates!$S$2:$S$2000,Candidates!$A$2:$A$2000=$A521),COUNTIF(Candidates!$A$2:$A$2000,$A521)),""""))"),"")</f>
        <v/>
      </c>
      <c r="W521" s="64" t="str">
        <f>IFERROR(__xludf.DUMMYFUNCTION("IF($A521="""","""",IFERROR(INDEX(FILTER(Candidates!$T$2:$T$2000,Candidates!$A$2:$A$2000=$A521),COUNTIF(Candidates!$A$2:$A$2000,$A521)),""""))"),"")</f>
        <v/>
      </c>
      <c r="X521" s="64"/>
      <c r="Y521" s="64"/>
      <c r="Z521" s="65"/>
      <c r="AA521" s="65"/>
      <c r="AB521" s="65"/>
      <c r="AC521" s="65"/>
    </row>
    <row r="522">
      <c r="A522" s="64"/>
      <c r="B522" s="64"/>
      <c r="C522" s="64"/>
      <c r="D522" s="64"/>
      <c r="E522" s="64"/>
      <c r="F522" s="64"/>
      <c r="G522" s="64"/>
      <c r="H522" s="63"/>
      <c r="I522" s="64"/>
      <c r="J522" s="64"/>
      <c r="K522" s="64"/>
      <c r="L522" s="64"/>
      <c r="M522" s="64"/>
      <c r="N522" s="64"/>
      <c r="O522" s="64"/>
      <c r="P522" s="64"/>
      <c r="Q522" s="64"/>
      <c r="R522" s="65" t="str">
        <f>IF($A522="","",IFERROR(MINIFS(Candidates!$K$2:$K$2000,Candidates!$A$2:$A$2000,$A522),""))</f>
        <v/>
      </c>
      <c r="S522" s="65" t="str">
        <f>IF($A522="","",IFERROR(MAXIFS(Candidates!$AA$2:$AA$2000,Candidates!$A$2:$A$2000,$A522),""))</f>
        <v/>
      </c>
      <c r="T522" s="64" t="str">
        <f>IFERROR(__xludf.DUMMYFUNCTION("IF($A522="""","""",IFERROR(TEXTJOIN("", "",TRUE,UNIQUE(FILTER(Candidates!$B$2:$B$2000,Candidates!$A$2:$A$2000=$A522))),""""))"),"")</f>
        <v/>
      </c>
      <c r="U522" s="66" t="str">
        <f>IF($A522="","",COUNTIF(Candidates!$A$2:$A$2000,$A522))</f>
        <v/>
      </c>
      <c r="V522" s="64" t="str">
        <f>IFERROR(__xludf.DUMMYFUNCTION("IF($A522="""","""",IFERROR(INDEX(FILTER(Candidates!$S$2:$S$2000,Candidates!$A$2:$A$2000=$A522),COUNTIF(Candidates!$A$2:$A$2000,$A522)),""""))"),"")</f>
        <v/>
      </c>
      <c r="W522" s="64" t="str">
        <f>IFERROR(__xludf.DUMMYFUNCTION("IF($A522="""","""",IFERROR(INDEX(FILTER(Candidates!$T$2:$T$2000,Candidates!$A$2:$A$2000=$A522),COUNTIF(Candidates!$A$2:$A$2000,$A522)),""""))"),"")</f>
        <v/>
      </c>
      <c r="X522" s="64"/>
      <c r="Y522" s="64"/>
      <c r="Z522" s="65"/>
      <c r="AA522" s="65"/>
      <c r="AB522" s="65"/>
      <c r="AC522" s="65"/>
    </row>
    <row r="523">
      <c r="A523" s="64"/>
      <c r="B523" s="64"/>
      <c r="C523" s="64"/>
      <c r="D523" s="64"/>
      <c r="E523" s="64"/>
      <c r="F523" s="64"/>
      <c r="G523" s="64"/>
      <c r="H523" s="63"/>
      <c r="I523" s="64"/>
      <c r="J523" s="64"/>
      <c r="K523" s="64"/>
      <c r="L523" s="64"/>
      <c r="M523" s="64"/>
      <c r="N523" s="64"/>
      <c r="O523" s="64"/>
      <c r="P523" s="64"/>
      <c r="Q523" s="64"/>
      <c r="R523" s="65" t="str">
        <f>IF($A523="","",IFERROR(MINIFS(Candidates!$K$2:$K$2000,Candidates!$A$2:$A$2000,$A523),""))</f>
        <v/>
      </c>
      <c r="S523" s="65" t="str">
        <f>IF($A523="","",IFERROR(MAXIFS(Candidates!$AA$2:$AA$2000,Candidates!$A$2:$A$2000,$A523),""))</f>
        <v/>
      </c>
      <c r="T523" s="64" t="str">
        <f>IFERROR(__xludf.DUMMYFUNCTION("IF($A523="""","""",IFERROR(TEXTJOIN("", "",TRUE,UNIQUE(FILTER(Candidates!$B$2:$B$2000,Candidates!$A$2:$A$2000=$A523))),""""))"),"")</f>
        <v/>
      </c>
      <c r="U523" s="66" t="str">
        <f>IF($A523="","",COUNTIF(Candidates!$A$2:$A$2000,$A523))</f>
        <v/>
      </c>
      <c r="V523" s="64" t="str">
        <f>IFERROR(__xludf.DUMMYFUNCTION("IF($A523="""","""",IFERROR(INDEX(FILTER(Candidates!$S$2:$S$2000,Candidates!$A$2:$A$2000=$A523),COUNTIF(Candidates!$A$2:$A$2000,$A523)),""""))"),"")</f>
        <v/>
      </c>
      <c r="W523" s="64" t="str">
        <f>IFERROR(__xludf.DUMMYFUNCTION("IF($A523="""","""",IFERROR(INDEX(FILTER(Candidates!$T$2:$T$2000,Candidates!$A$2:$A$2000=$A523),COUNTIF(Candidates!$A$2:$A$2000,$A523)),""""))"),"")</f>
        <v/>
      </c>
      <c r="X523" s="64"/>
      <c r="Y523" s="64"/>
      <c r="Z523" s="65"/>
      <c r="AA523" s="65"/>
      <c r="AB523" s="65"/>
      <c r="AC523" s="65"/>
    </row>
    <row r="524">
      <c r="A524" s="64"/>
      <c r="B524" s="64"/>
      <c r="C524" s="64"/>
      <c r="D524" s="64"/>
      <c r="E524" s="64"/>
      <c r="F524" s="64"/>
      <c r="G524" s="64"/>
      <c r="H524" s="63"/>
      <c r="I524" s="64"/>
      <c r="J524" s="64"/>
      <c r="K524" s="64"/>
      <c r="L524" s="64"/>
      <c r="M524" s="64"/>
      <c r="N524" s="64"/>
      <c r="O524" s="64"/>
      <c r="P524" s="64"/>
      <c r="Q524" s="64"/>
      <c r="R524" s="65" t="str">
        <f>IF($A524="","",IFERROR(MINIFS(Candidates!$K$2:$K$2000,Candidates!$A$2:$A$2000,$A524),""))</f>
        <v/>
      </c>
      <c r="S524" s="65" t="str">
        <f>IF($A524="","",IFERROR(MAXIFS(Candidates!$AA$2:$AA$2000,Candidates!$A$2:$A$2000,$A524),""))</f>
        <v/>
      </c>
      <c r="T524" s="64" t="str">
        <f>IFERROR(__xludf.DUMMYFUNCTION("IF($A524="""","""",IFERROR(TEXTJOIN("", "",TRUE,UNIQUE(FILTER(Candidates!$B$2:$B$2000,Candidates!$A$2:$A$2000=$A524))),""""))"),"")</f>
        <v/>
      </c>
      <c r="U524" s="66" t="str">
        <f>IF($A524="","",COUNTIF(Candidates!$A$2:$A$2000,$A524))</f>
        <v/>
      </c>
      <c r="V524" s="64" t="str">
        <f>IFERROR(__xludf.DUMMYFUNCTION("IF($A524="""","""",IFERROR(INDEX(FILTER(Candidates!$S$2:$S$2000,Candidates!$A$2:$A$2000=$A524),COUNTIF(Candidates!$A$2:$A$2000,$A524)),""""))"),"")</f>
        <v/>
      </c>
      <c r="W524" s="64" t="str">
        <f>IFERROR(__xludf.DUMMYFUNCTION("IF($A524="""","""",IFERROR(INDEX(FILTER(Candidates!$T$2:$T$2000,Candidates!$A$2:$A$2000=$A524),COUNTIF(Candidates!$A$2:$A$2000,$A524)),""""))"),"")</f>
        <v/>
      </c>
      <c r="X524" s="64"/>
      <c r="Y524" s="64"/>
      <c r="Z524" s="65"/>
      <c r="AA524" s="65"/>
      <c r="AB524" s="65"/>
      <c r="AC524" s="65"/>
    </row>
    <row r="525">
      <c r="A525" s="64"/>
      <c r="B525" s="64"/>
      <c r="C525" s="64"/>
      <c r="D525" s="64"/>
      <c r="E525" s="64"/>
      <c r="F525" s="64"/>
      <c r="G525" s="64"/>
      <c r="H525" s="63"/>
      <c r="I525" s="64"/>
      <c r="J525" s="64"/>
      <c r="K525" s="64"/>
      <c r="L525" s="64"/>
      <c r="M525" s="64"/>
      <c r="N525" s="64"/>
      <c r="O525" s="64"/>
      <c r="P525" s="64"/>
      <c r="Q525" s="64"/>
      <c r="R525" s="65" t="str">
        <f>IF($A525="","",IFERROR(MINIFS(Candidates!$K$2:$K$2000,Candidates!$A$2:$A$2000,$A525),""))</f>
        <v/>
      </c>
      <c r="S525" s="65" t="str">
        <f>IF($A525="","",IFERROR(MAXIFS(Candidates!$AA$2:$AA$2000,Candidates!$A$2:$A$2000,$A525),""))</f>
        <v/>
      </c>
      <c r="T525" s="64" t="str">
        <f>IFERROR(__xludf.DUMMYFUNCTION("IF($A525="""","""",IFERROR(TEXTJOIN("", "",TRUE,UNIQUE(FILTER(Candidates!$B$2:$B$2000,Candidates!$A$2:$A$2000=$A525))),""""))"),"")</f>
        <v/>
      </c>
      <c r="U525" s="66" t="str">
        <f>IF($A525="","",COUNTIF(Candidates!$A$2:$A$2000,$A525))</f>
        <v/>
      </c>
      <c r="V525" s="64" t="str">
        <f>IFERROR(__xludf.DUMMYFUNCTION("IF($A525="""","""",IFERROR(INDEX(FILTER(Candidates!$S$2:$S$2000,Candidates!$A$2:$A$2000=$A525),COUNTIF(Candidates!$A$2:$A$2000,$A525)),""""))"),"")</f>
        <v/>
      </c>
      <c r="W525" s="64" t="str">
        <f>IFERROR(__xludf.DUMMYFUNCTION("IF($A525="""","""",IFERROR(INDEX(FILTER(Candidates!$T$2:$T$2000,Candidates!$A$2:$A$2000=$A525),COUNTIF(Candidates!$A$2:$A$2000,$A525)),""""))"),"")</f>
        <v/>
      </c>
      <c r="X525" s="64"/>
      <c r="Y525" s="64"/>
      <c r="Z525" s="65"/>
      <c r="AA525" s="65"/>
      <c r="AB525" s="65"/>
      <c r="AC525" s="65"/>
    </row>
    <row r="526">
      <c r="A526" s="64"/>
      <c r="B526" s="64"/>
      <c r="C526" s="64"/>
      <c r="D526" s="64"/>
      <c r="E526" s="64"/>
      <c r="F526" s="64"/>
      <c r="G526" s="64"/>
      <c r="H526" s="63"/>
      <c r="I526" s="64"/>
      <c r="J526" s="64"/>
      <c r="K526" s="64"/>
      <c r="L526" s="64"/>
      <c r="M526" s="64"/>
      <c r="N526" s="64"/>
      <c r="O526" s="64"/>
      <c r="P526" s="64"/>
      <c r="Q526" s="64"/>
      <c r="R526" s="65" t="str">
        <f>IF($A526="","",IFERROR(MINIFS(Candidates!$K$2:$K$2000,Candidates!$A$2:$A$2000,$A526),""))</f>
        <v/>
      </c>
      <c r="S526" s="65" t="str">
        <f>IF($A526="","",IFERROR(MAXIFS(Candidates!$AA$2:$AA$2000,Candidates!$A$2:$A$2000,$A526),""))</f>
        <v/>
      </c>
      <c r="T526" s="64" t="str">
        <f>IFERROR(__xludf.DUMMYFUNCTION("IF($A526="""","""",IFERROR(TEXTJOIN("", "",TRUE,UNIQUE(FILTER(Candidates!$B$2:$B$2000,Candidates!$A$2:$A$2000=$A526))),""""))"),"")</f>
        <v/>
      </c>
      <c r="U526" s="66" t="str">
        <f>IF($A526="","",COUNTIF(Candidates!$A$2:$A$2000,$A526))</f>
        <v/>
      </c>
      <c r="V526" s="64" t="str">
        <f>IFERROR(__xludf.DUMMYFUNCTION("IF($A526="""","""",IFERROR(INDEX(FILTER(Candidates!$S$2:$S$2000,Candidates!$A$2:$A$2000=$A526),COUNTIF(Candidates!$A$2:$A$2000,$A526)),""""))"),"")</f>
        <v/>
      </c>
      <c r="W526" s="64" t="str">
        <f>IFERROR(__xludf.DUMMYFUNCTION("IF($A526="""","""",IFERROR(INDEX(FILTER(Candidates!$T$2:$T$2000,Candidates!$A$2:$A$2000=$A526),COUNTIF(Candidates!$A$2:$A$2000,$A526)),""""))"),"")</f>
        <v/>
      </c>
      <c r="X526" s="64"/>
      <c r="Y526" s="64"/>
      <c r="Z526" s="65"/>
      <c r="AA526" s="65"/>
      <c r="AB526" s="65"/>
      <c r="AC526" s="65"/>
    </row>
    <row r="527">
      <c r="A527" s="64"/>
      <c r="B527" s="64"/>
      <c r="C527" s="64"/>
      <c r="D527" s="64"/>
      <c r="E527" s="64"/>
      <c r="F527" s="64"/>
      <c r="G527" s="64"/>
      <c r="H527" s="63"/>
      <c r="I527" s="64"/>
      <c r="J527" s="64"/>
      <c r="K527" s="64"/>
      <c r="L527" s="64"/>
      <c r="M527" s="64"/>
      <c r="N527" s="64"/>
      <c r="O527" s="64"/>
      <c r="P527" s="64"/>
      <c r="Q527" s="64"/>
      <c r="R527" s="65" t="str">
        <f>IF($A527="","",IFERROR(MINIFS(Candidates!$K$2:$K$2000,Candidates!$A$2:$A$2000,$A527),""))</f>
        <v/>
      </c>
      <c r="S527" s="65" t="str">
        <f>IF($A527="","",IFERROR(MAXIFS(Candidates!$AA$2:$AA$2000,Candidates!$A$2:$A$2000,$A527),""))</f>
        <v/>
      </c>
      <c r="T527" s="64" t="str">
        <f>IFERROR(__xludf.DUMMYFUNCTION("IF($A527="""","""",IFERROR(TEXTJOIN("", "",TRUE,UNIQUE(FILTER(Candidates!$B$2:$B$2000,Candidates!$A$2:$A$2000=$A527))),""""))"),"")</f>
        <v/>
      </c>
      <c r="U527" s="66" t="str">
        <f>IF($A527="","",COUNTIF(Candidates!$A$2:$A$2000,$A527))</f>
        <v/>
      </c>
      <c r="V527" s="64" t="str">
        <f>IFERROR(__xludf.DUMMYFUNCTION("IF($A527="""","""",IFERROR(INDEX(FILTER(Candidates!$S$2:$S$2000,Candidates!$A$2:$A$2000=$A527),COUNTIF(Candidates!$A$2:$A$2000,$A527)),""""))"),"")</f>
        <v/>
      </c>
      <c r="W527" s="64" t="str">
        <f>IFERROR(__xludf.DUMMYFUNCTION("IF($A527="""","""",IFERROR(INDEX(FILTER(Candidates!$T$2:$T$2000,Candidates!$A$2:$A$2000=$A527),COUNTIF(Candidates!$A$2:$A$2000,$A527)),""""))"),"")</f>
        <v/>
      </c>
      <c r="X527" s="64"/>
      <c r="Y527" s="64"/>
      <c r="Z527" s="65"/>
      <c r="AA527" s="65"/>
      <c r="AB527" s="65"/>
      <c r="AC527" s="65"/>
    </row>
    <row r="528">
      <c r="A528" s="64"/>
      <c r="B528" s="64"/>
      <c r="C528" s="64"/>
      <c r="D528" s="64"/>
      <c r="E528" s="64"/>
      <c r="F528" s="64"/>
      <c r="G528" s="64"/>
      <c r="H528" s="63"/>
      <c r="I528" s="64"/>
      <c r="J528" s="64"/>
      <c r="K528" s="64"/>
      <c r="L528" s="64"/>
      <c r="M528" s="64"/>
      <c r="N528" s="64"/>
      <c r="O528" s="64"/>
      <c r="P528" s="64"/>
      <c r="Q528" s="64"/>
      <c r="R528" s="65" t="str">
        <f>IF($A528="","",IFERROR(MINIFS(Candidates!$K$2:$K$2000,Candidates!$A$2:$A$2000,$A528),""))</f>
        <v/>
      </c>
      <c r="S528" s="65" t="str">
        <f>IF($A528="","",IFERROR(MAXIFS(Candidates!$AA$2:$AA$2000,Candidates!$A$2:$A$2000,$A528),""))</f>
        <v/>
      </c>
      <c r="T528" s="64" t="str">
        <f>IFERROR(__xludf.DUMMYFUNCTION("IF($A528="""","""",IFERROR(TEXTJOIN("", "",TRUE,UNIQUE(FILTER(Candidates!$B$2:$B$2000,Candidates!$A$2:$A$2000=$A528))),""""))"),"")</f>
        <v/>
      </c>
      <c r="U528" s="66" t="str">
        <f>IF($A528="","",COUNTIF(Candidates!$A$2:$A$2000,$A528))</f>
        <v/>
      </c>
      <c r="V528" s="64" t="str">
        <f>IFERROR(__xludf.DUMMYFUNCTION("IF($A528="""","""",IFERROR(INDEX(FILTER(Candidates!$S$2:$S$2000,Candidates!$A$2:$A$2000=$A528),COUNTIF(Candidates!$A$2:$A$2000,$A528)),""""))"),"")</f>
        <v/>
      </c>
      <c r="W528" s="64" t="str">
        <f>IFERROR(__xludf.DUMMYFUNCTION("IF($A528="""","""",IFERROR(INDEX(FILTER(Candidates!$T$2:$T$2000,Candidates!$A$2:$A$2000=$A528),COUNTIF(Candidates!$A$2:$A$2000,$A528)),""""))"),"")</f>
        <v/>
      </c>
      <c r="X528" s="64"/>
      <c r="Y528" s="64"/>
      <c r="Z528" s="65"/>
      <c r="AA528" s="65"/>
      <c r="AB528" s="65"/>
      <c r="AC528" s="65"/>
    </row>
    <row r="529">
      <c r="A529" s="64"/>
      <c r="B529" s="64"/>
      <c r="C529" s="64"/>
      <c r="D529" s="64"/>
      <c r="E529" s="64"/>
      <c r="F529" s="64"/>
      <c r="G529" s="64"/>
      <c r="H529" s="63"/>
      <c r="I529" s="64"/>
      <c r="J529" s="64"/>
      <c r="K529" s="64"/>
      <c r="L529" s="64"/>
      <c r="M529" s="64"/>
      <c r="N529" s="64"/>
      <c r="O529" s="64"/>
      <c r="P529" s="64"/>
      <c r="Q529" s="64"/>
      <c r="R529" s="65" t="str">
        <f>IF($A529="","",IFERROR(MINIFS(Candidates!$K$2:$K$2000,Candidates!$A$2:$A$2000,$A529),""))</f>
        <v/>
      </c>
      <c r="S529" s="65" t="str">
        <f>IF($A529="","",IFERROR(MAXIFS(Candidates!$AA$2:$AA$2000,Candidates!$A$2:$A$2000,$A529),""))</f>
        <v/>
      </c>
      <c r="T529" s="64" t="str">
        <f>IFERROR(__xludf.DUMMYFUNCTION("IF($A529="""","""",IFERROR(TEXTJOIN("", "",TRUE,UNIQUE(FILTER(Candidates!$B$2:$B$2000,Candidates!$A$2:$A$2000=$A529))),""""))"),"")</f>
        <v/>
      </c>
      <c r="U529" s="66" t="str">
        <f>IF($A529="","",COUNTIF(Candidates!$A$2:$A$2000,$A529))</f>
        <v/>
      </c>
      <c r="V529" s="64" t="str">
        <f>IFERROR(__xludf.DUMMYFUNCTION("IF($A529="""","""",IFERROR(INDEX(FILTER(Candidates!$S$2:$S$2000,Candidates!$A$2:$A$2000=$A529),COUNTIF(Candidates!$A$2:$A$2000,$A529)),""""))"),"")</f>
        <v/>
      </c>
      <c r="W529" s="64" t="str">
        <f>IFERROR(__xludf.DUMMYFUNCTION("IF($A529="""","""",IFERROR(INDEX(FILTER(Candidates!$T$2:$T$2000,Candidates!$A$2:$A$2000=$A529),COUNTIF(Candidates!$A$2:$A$2000,$A529)),""""))"),"")</f>
        <v/>
      </c>
      <c r="X529" s="64"/>
      <c r="Y529" s="64"/>
      <c r="Z529" s="65"/>
      <c r="AA529" s="65"/>
      <c r="AB529" s="65"/>
      <c r="AC529" s="65"/>
    </row>
    <row r="530">
      <c r="A530" s="64"/>
      <c r="B530" s="64"/>
      <c r="C530" s="64"/>
      <c r="D530" s="64"/>
      <c r="E530" s="64"/>
      <c r="F530" s="64"/>
      <c r="G530" s="64"/>
      <c r="H530" s="63"/>
      <c r="I530" s="64"/>
      <c r="J530" s="64"/>
      <c r="K530" s="64"/>
      <c r="L530" s="64"/>
      <c r="M530" s="64"/>
      <c r="N530" s="64"/>
      <c r="O530" s="64"/>
      <c r="P530" s="64"/>
      <c r="Q530" s="64"/>
      <c r="R530" s="65" t="str">
        <f>IF($A530="","",IFERROR(MINIFS(Candidates!$K$2:$K$2000,Candidates!$A$2:$A$2000,$A530),""))</f>
        <v/>
      </c>
      <c r="S530" s="65" t="str">
        <f>IF($A530="","",IFERROR(MAXIFS(Candidates!$AA$2:$AA$2000,Candidates!$A$2:$A$2000,$A530),""))</f>
        <v/>
      </c>
      <c r="T530" s="64" t="str">
        <f>IFERROR(__xludf.DUMMYFUNCTION("IF($A530="""","""",IFERROR(TEXTJOIN("", "",TRUE,UNIQUE(FILTER(Candidates!$B$2:$B$2000,Candidates!$A$2:$A$2000=$A530))),""""))"),"")</f>
        <v/>
      </c>
      <c r="U530" s="66" t="str">
        <f>IF($A530="","",COUNTIF(Candidates!$A$2:$A$2000,$A530))</f>
        <v/>
      </c>
      <c r="V530" s="64" t="str">
        <f>IFERROR(__xludf.DUMMYFUNCTION("IF($A530="""","""",IFERROR(INDEX(FILTER(Candidates!$S$2:$S$2000,Candidates!$A$2:$A$2000=$A530),COUNTIF(Candidates!$A$2:$A$2000,$A530)),""""))"),"")</f>
        <v/>
      </c>
      <c r="W530" s="64" t="str">
        <f>IFERROR(__xludf.DUMMYFUNCTION("IF($A530="""","""",IFERROR(INDEX(FILTER(Candidates!$T$2:$T$2000,Candidates!$A$2:$A$2000=$A530),COUNTIF(Candidates!$A$2:$A$2000,$A530)),""""))"),"")</f>
        <v/>
      </c>
      <c r="X530" s="64"/>
      <c r="Y530" s="64"/>
      <c r="Z530" s="65"/>
      <c r="AA530" s="65"/>
      <c r="AB530" s="65"/>
      <c r="AC530" s="65"/>
    </row>
    <row r="531">
      <c r="A531" s="64"/>
      <c r="B531" s="64"/>
      <c r="C531" s="64"/>
      <c r="D531" s="64"/>
      <c r="E531" s="64"/>
      <c r="F531" s="64"/>
      <c r="G531" s="64"/>
      <c r="H531" s="63"/>
      <c r="I531" s="64"/>
      <c r="J531" s="64"/>
      <c r="K531" s="64"/>
      <c r="L531" s="64"/>
      <c r="M531" s="64"/>
      <c r="N531" s="64"/>
      <c r="O531" s="64"/>
      <c r="P531" s="64"/>
      <c r="Q531" s="64"/>
      <c r="R531" s="65" t="str">
        <f>IF($A531="","",IFERROR(MINIFS(Candidates!$K$2:$K$2000,Candidates!$A$2:$A$2000,$A531),""))</f>
        <v/>
      </c>
      <c r="S531" s="65" t="str">
        <f>IF($A531="","",IFERROR(MAXIFS(Candidates!$AA$2:$AA$2000,Candidates!$A$2:$A$2000,$A531),""))</f>
        <v/>
      </c>
      <c r="T531" s="64" t="str">
        <f>IFERROR(__xludf.DUMMYFUNCTION("IF($A531="""","""",IFERROR(TEXTJOIN("", "",TRUE,UNIQUE(FILTER(Candidates!$B$2:$B$2000,Candidates!$A$2:$A$2000=$A531))),""""))"),"")</f>
        <v/>
      </c>
      <c r="U531" s="66" t="str">
        <f>IF($A531="","",COUNTIF(Candidates!$A$2:$A$2000,$A531))</f>
        <v/>
      </c>
      <c r="V531" s="64" t="str">
        <f>IFERROR(__xludf.DUMMYFUNCTION("IF($A531="""","""",IFERROR(INDEX(FILTER(Candidates!$S$2:$S$2000,Candidates!$A$2:$A$2000=$A531),COUNTIF(Candidates!$A$2:$A$2000,$A531)),""""))"),"")</f>
        <v/>
      </c>
      <c r="W531" s="64" t="str">
        <f>IFERROR(__xludf.DUMMYFUNCTION("IF($A531="""","""",IFERROR(INDEX(FILTER(Candidates!$T$2:$T$2000,Candidates!$A$2:$A$2000=$A531),COUNTIF(Candidates!$A$2:$A$2000,$A531)),""""))"),"")</f>
        <v/>
      </c>
      <c r="X531" s="64"/>
      <c r="Y531" s="64"/>
      <c r="Z531" s="65"/>
      <c r="AA531" s="65"/>
      <c r="AB531" s="65"/>
      <c r="AC531" s="65"/>
    </row>
    <row r="532">
      <c r="A532" s="64"/>
      <c r="B532" s="64"/>
      <c r="C532" s="64"/>
      <c r="D532" s="64"/>
      <c r="E532" s="64"/>
      <c r="F532" s="64"/>
      <c r="G532" s="64"/>
      <c r="H532" s="63"/>
      <c r="I532" s="64"/>
      <c r="J532" s="64"/>
      <c r="K532" s="64"/>
      <c r="L532" s="64"/>
      <c r="M532" s="64"/>
      <c r="N532" s="64"/>
      <c r="O532" s="64"/>
      <c r="P532" s="64"/>
      <c r="Q532" s="64"/>
      <c r="R532" s="65" t="str">
        <f>IF($A532="","",IFERROR(MINIFS(Candidates!$K$2:$K$2000,Candidates!$A$2:$A$2000,$A532),""))</f>
        <v/>
      </c>
      <c r="S532" s="65" t="str">
        <f>IF($A532="","",IFERROR(MAXIFS(Candidates!$AA$2:$AA$2000,Candidates!$A$2:$A$2000,$A532),""))</f>
        <v/>
      </c>
      <c r="T532" s="64" t="str">
        <f>IFERROR(__xludf.DUMMYFUNCTION("IF($A532="""","""",IFERROR(TEXTJOIN("", "",TRUE,UNIQUE(FILTER(Candidates!$B$2:$B$2000,Candidates!$A$2:$A$2000=$A532))),""""))"),"")</f>
        <v/>
      </c>
      <c r="U532" s="66" t="str">
        <f>IF($A532="","",COUNTIF(Candidates!$A$2:$A$2000,$A532))</f>
        <v/>
      </c>
      <c r="V532" s="64" t="str">
        <f>IFERROR(__xludf.DUMMYFUNCTION("IF($A532="""","""",IFERROR(INDEX(FILTER(Candidates!$S$2:$S$2000,Candidates!$A$2:$A$2000=$A532),COUNTIF(Candidates!$A$2:$A$2000,$A532)),""""))"),"")</f>
        <v/>
      </c>
      <c r="W532" s="64" t="str">
        <f>IFERROR(__xludf.DUMMYFUNCTION("IF($A532="""","""",IFERROR(INDEX(FILTER(Candidates!$T$2:$T$2000,Candidates!$A$2:$A$2000=$A532),COUNTIF(Candidates!$A$2:$A$2000,$A532)),""""))"),"")</f>
        <v/>
      </c>
      <c r="X532" s="64"/>
      <c r="Y532" s="64"/>
      <c r="Z532" s="65"/>
      <c r="AA532" s="65"/>
      <c r="AB532" s="65"/>
      <c r="AC532" s="65"/>
    </row>
    <row r="533">
      <c r="A533" s="64"/>
      <c r="B533" s="64"/>
      <c r="C533" s="64"/>
      <c r="D533" s="64"/>
      <c r="E533" s="64"/>
      <c r="F533" s="64"/>
      <c r="G533" s="64"/>
      <c r="H533" s="63"/>
      <c r="I533" s="64"/>
      <c r="J533" s="64"/>
      <c r="K533" s="64"/>
      <c r="L533" s="64"/>
      <c r="M533" s="64"/>
      <c r="N533" s="64"/>
      <c r="O533" s="64"/>
      <c r="P533" s="64"/>
      <c r="Q533" s="64"/>
      <c r="R533" s="65" t="str">
        <f>IF($A533="","",IFERROR(MINIFS(Candidates!$K$2:$K$2000,Candidates!$A$2:$A$2000,$A533),""))</f>
        <v/>
      </c>
      <c r="S533" s="65" t="str">
        <f>IF($A533="","",IFERROR(MAXIFS(Candidates!$AA$2:$AA$2000,Candidates!$A$2:$A$2000,$A533),""))</f>
        <v/>
      </c>
      <c r="T533" s="64" t="str">
        <f>IFERROR(__xludf.DUMMYFUNCTION("IF($A533="""","""",IFERROR(TEXTJOIN("", "",TRUE,UNIQUE(FILTER(Candidates!$B$2:$B$2000,Candidates!$A$2:$A$2000=$A533))),""""))"),"")</f>
        <v/>
      </c>
      <c r="U533" s="66" t="str">
        <f>IF($A533="","",COUNTIF(Candidates!$A$2:$A$2000,$A533))</f>
        <v/>
      </c>
      <c r="V533" s="64" t="str">
        <f>IFERROR(__xludf.DUMMYFUNCTION("IF($A533="""","""",IFERROR(INDEX(FILTER(Candidates!$S$2:$S$2000,Candidates!$A$2:$A$2000=$A533),COUNTIF(Candidates!$A$2:$A$2000,$A533)),""""))"),"")</f>
        <v/>
      </c>
      <c r="W533" s="64" t="str">
        <f>IFERROR(__xludf.DUMMYFUNCTION("IF($A533="""","""",IFERROR(INDEX(FILTER(Candidates!$T$2:$T$2000,Candidates!$A$2:$A$2000=$A533),COUNTIF(Candidates!$A$2:$A$2000,$A533)),""""))"),"")</f>
        <v/>
      </c>
      <c r="X533" s="64"/>
      <c r="Y533" s="64"/>
      <c r="Z533" s="65"/>
      <c r="AA533" s="65"/>
      <c r="AB533" s="65"/>
      <c r="AC533" s="65"/>
    </row>
    <row r="534">
      <c r="A534" s="64"/>
      <c r="B534" s="64"/>
      <c r="C534" s="64"/>
      <c r="D534" s="64"/>
      <c r="E534" s="64"/>
      <c r="F534" s="64"/>
      <c r="G534" s="64"/>
      <c r="H534" s="63"/>
      <c r="I534" s="64"/>
      <c r="J534" s="64"/>
      <c r="K534" s="64"/>
      <c r="L534" s="64"/>
      <c r="M534" s="64"/>
      <c r="N534" s="64"/>
      <c r="O534" s="64"/>
      <c r="P534" s="64"/>
      <c r="Q534" s="64"/>
      <c r="R534" s="65" t="str">
        <f>IF($A534="","",IFERROR(MINIFS(Candidates!$K$2:$K$2000,Candidates!$A$2:$A$2000,$A534),""))</f>
        <v/>
      </c>
      <c r="S534" s="65" t="str">
        <f>IF($A534="","",IFERROR(MAXIFS(Candidates!$AA$2:$AA$2000,Candidates!$A$2:$A$2000,$A534),""))</f>
        <v/>
      </c>
      <c r="T534" s="64" t="str">
        <f>IFERROR(__xludf.DUMMYFUNCTION("IF($A534="""","""",IFERROR(TEXTJOIN("", "",TRUE,UNIQUE(FILTER(Candidates!$B$2:$B$2000,Candidates!$A$2:$A$2000=$A534))),""""))"),"")</f>
        <v/>
      </c>
      <c r="U534" s="66" t="str">
        <f>IF($A534="","",COUNTIF(Candidates!$A$2:$A$2000,$A534))</f>
        <v/>
      </c>
      <c r="V534" s="64" t="str">
        <f>IFERROR(__xludf.DUMMYFUNCTION("IF($A534="""","""",IFERROR(INDEX(FILTER(Candidates!$S$2:$S$2000,Candidates!$A$2:$A$2000=$A534),COUNTIF(Candidates!$A$2:$A$2000,$A534)),""""))"),"")</f>
        <v/>
      </c>
      <c r="W534" s="64" t="str">
        <f>IFERROR(__xludf.DUMMYFUNCTION("IF($A534="""","""",IFERROR(INDEX(FILTER(Candidates!$T$2:$T$2000,Candidates!$A$2:$A$2000=$A534),COUNTIF(Candidates!$A$2:$A$2000,$A534)),""""))"),"")</f>
        <v/>
      </c>
      <c r="X534" s="64"/>
      <c r="Y534" s="64"/>
      <c r="Z534" s="65"/>
      <c r="AA534" s="65"/>
      <c r="AB534" s="65"/>
      <c r="AC534" s="65"/>
    </row>
    <row r="535">
      <c r="A535" s="64"/>
      <c r="B535" s="64"/>
      <c r="C535" s="64"/>
      <c r="D535" s="64"/>
      <c r="E535" s="64"/>
      <c r="F535" s="64"/>
      <c r="G535" s="64"/>
      <c r="H535" s="63"/>
      <c r="I535" s="64"/>
      <c r="J535" s="64"/>
      <c r="K535" s="64"/>
      <c r="L535" s="64"/>
      <c r="M535" s="64"/>
      <c r="N535" s="64"/>
      <c r="O535" s="64"/>
      <c r="P535" s="64"/>
      <c r="Q535" s="64"/>
      <c r="R535" s="65" t="str">
        <f>IF($A535="","",IFERROR(MINIFS(Candidates!$K$2:$K$2000,Candidates!$A$2:$A$2000,$A535),""))</f>
        <v/>
      </c>
      <c r="S535" s="65" t="str">
        <f>IF($A535="","",IFERROR(MAXIFS(Candidates!$AA$2:$AA$2000,Candidates!$A$2:$A$2000,$A535),""))</f>
        <v/>
      </c>
      <c r="T535" s="64" t="str">
        <f>IFERROR(__xludf.DUMMYFUNCTION("IF($A535="""","""",IFERROR(TEXTJOIN("", "",TRUE,UNIQUE(FILTER(Candidates!$B$2:$B$2000,Candidates!$A$2:$A$2000=$A535))),""""))"),"")</f>
        <v/>
      </c>
      <c r="U535" s="66" t="str">
        <f>IF($A535="","",COUNTIF(Candidates!$A$2:$A$2000,$A535))</f>
        <v/>
      </c>
      <c r="V535" s="64" t="str">
        <f>IFERROR(__xludf.DUMMYFUNCTION("IF($A535="""","""",IFERROR(INDEX(FILTER(Candidates!$S$2:$S$2000,Candidates!$A$2:$A$2000=$A535),COUNTIF(Candidates!$A$2:$A$2000,$A535)),""""))"),"")</f>
        <v/>
      </c>
      <c r="W535" s="64" t="str">
        <f>IFERROR(__xludf.DUMMYFUNCTION("IF($A535="""","""",IFERROR(INDEX(FILTER(Candidates!$T$2:$T$2000,Candidates!$A$2:$A$2000=$A535),COUNTIF(Candidates!$A$2:$A$2000,$A535)),""""))"),"")</f>
        <v/>
      </c>
      <c r="X535" s="64"/>
      <c r="Y535" s="64"/>
      <c r="Z535" s="65"/>
      <c r="AA535" s="65"/>
      <c r="AB535" s="65"/>
      <c r="AC535" s="65"/>
    </row>
    <row r="536">
      <c r="A536" s="64"/>
      <c r="B536" s="64"/>
      <c r="C536" s="64"/>
      <c r="D536" s="64"/>
      <c r="E536" s="64"/>
      <c r="F536" s="64"/>
      <c r="G536" s="64"/>
      <c r="H536" s="63"/>
      <c r="I536" s="64"/>
      <c r="J536" s="64"/>
      <c r="K536" s="64"/>
      <c r="L536" s="64"/>
      <c r="M536" s="64"/>
      <c r="N536" s="64"/>
      <c r="O536" s="64"/>
      <c r="P536" s="64"/>
      <c r="Q536" s="64"/>
      <c r="R536" s="65" t="str">
        <f>IF($A536="","",IFERROR(MINIFS(Candidates!$K$2:$K$2000,Candidates!$A$2:$A$2000,$A536),""))</f>
        <v/>
      </c>
      <c r="S536" s="65" t="str">
        <f>IF($A536="","",IFERROR(MAXIFS(Candidates!$AA$2:$AA$2000,Candidates!$A$2:$A$2000,$A536),""))</f>
        <v/>
      </c>
      <c r="T536" s="64" t="str">
        <f>IFERROR(__xludf.DUMMYFUNCTION("IF($A536="""","""",IFERROR(TEXTJOIN("", "",TRUE,UNIQUE(FILTER(Candidates!$B$2:$B$2000,Candidates!$A$2:$A$2000=$A536))),""""))"),"")</f>
        <v/>
      </c>
      <c r="U536" s="66" t="str">
        <f>IF($A536="","",COUNTIF(Candidates!$A$2:$A$2000,$A536))</f>
        <v/>
      </c>
      <c r="V536" s="64" t="str">
        <f>IFERROR(__xludf.DUMMYFUNCTION("IF($A536="""","""",IFERROR(INDEX(FILTER(Candidates!$S$2:$S$2000,Candidates!$A$2:$A$2000=$A536),COUNTIF(Candidates!$A$2:$A$2000,$A536)),""""))"),"")</f>
        <v/>
      </c>
      <c r="W536" s="64" t="str">
        <f>IFERROR(__xludf.DUMMYFUNCTION("IF($A536="""","""",IFERROR(INDEX(FILTER(Candidates!$T$2:$T$2000,Candidates!$A$2:$A$2000=$A536),COUNTIF(Candidates!$A$2:$A$2000,$A536)),""""))"),"")</f>
        <v/>
      </c>
      <c r="X536" s="64"/>
      <c r="Y536" s="64"/>
      <c r="Z536" s="65"/>
      <c r="AA536" s="65"/>
      <c r="AB536" s="65"/>
      <c r="AC536" s="65"/>
    </row>
    <row r="537">
      <c r="A537" s="64"/>
      <c r="B537" s="64"/>
      <c r="C537" s="64"/>
      <c r="D537" s="64"/>
      <c r="E537" s="64"/>
      <c r="F537" s="64"/>
      <c r="G537" s="64"/>
      <c r="H537" s="63"/>
      <c r="I537" s="64"/>
      <c r="J537" s="64"/>
      <c r="K537" s="64"/>
      <c r="L537" s="64"/>
      <c r="M537" s="64"/>
      <c r="N537" s="64"/>
      <c r="O537" s="64"/>
      <c r="P537" s="64"/>
      <c r="Q537" s="64"/>
      <c r="R537" s="65" t="str">
        <f>IF($A537="","",IFERROR(MINIFS(Candidates!$K$2:$K$2000,Candidates!$A$2:$A$2000,$A537),""))</f>
        <v/>
      </c>
      <c r="S537" s="65" t="str">
        <f>IF($A537="","",IFERROR(MAXIFS(Candidates!$AA$2:$AA$2000,Candidates!$A$2:$A$2000,$A537),""))</f>
        <v/>
      </c>
      <c r="T537" s="64" t="str">
        <f>IFERROR(__xludf.DUMMYFUNCTION("IF($A537="""","""",IFERROR(TEXTJOIN("", "",TRUE,UNIQUE(FILTER(Candidates!$B$2:$B$2000,Candidates!$A$2:$A$2000=$A537))),""""))"),"")</f>
        <v/>
      </c>
      <c r="U537" s="66" t="str">
        <f>IF($A537="","",COUNTIF(Candidates!$A$2:$A$2000,$A537))</f>
        <v/>
      </c>
      <c r="V537" s="64" t="str">
        <f>IFERROR(__xludf.DUMMYFUNCTION("IF($A537="""","""",IFERROR(INDEX(FILTER(Candidates!$S$2:$S$2000,Candidates!$A$2:$A$2000=$A537),COUNTIF(Candidates!$A$2:$A$2000,$A537)),""""))"),"")</f>
        <v/>
      </c>
      <c r="W537" s="64" t="str">
        <f>IFERROR(__xludf.DUMMYFUNCTION("IF($A537="""","""",IFERROR(INDEX(FILTER(Candidates!$T$2:$T$2000,Candidates!$A$2:$A$2000=$A537),COUNTIF(Candidates!$A$2:$A$2000,$A537)),""""))"),"")</f>
        <v/>
      </c>
      <c r="X537" s="64"/>
      <c r="Y537" s="64"/>
      <c r="Z537" s="65"/>
      <c r="AA537" s="65"/>
      <c r="AB537" s="65"/>
      <c r="AC537" s="65"/>
    </row>
    <row r="538">
      <c r="A538" s="64"/>
      <c r="B538" s="64"/>
      <c r="C538" s="64"/>
      <c r="D538" s="64"/>
      <c r="E538" s="64"/>
      <c r="F538" s="64"/>
      <c r="G538" s="64"/>
      <c r="H538" s="63"/>
      <c r="I538" s="64"/>
      <c r="J538" s="64"/>
      <c r="K538" s="64"/>
      <c r="L538" s="64"/>
      <c r="M538" s="64"/>
      <c r="N538" s="64"/>
      <c r="O538" s="64"/>
      <c r="P538" s="64"/>
      <c r="Q538" s="64"/>
      <c r="R538" s="65" t="str">
        <f>IF($A538="","",IFERROR(MINIFS(Candidates!$K$2:$K$2000,Candidates!$A$2:$A$2000,$A538),""))</f>
        <v/>
      </c>
      <c r="S538" s="65" t="str">
        <f>IF($A538="","",IFERROR(MAXIFS(Candidates!$AA$2:$AA$2000,Candidates!$A$2:$A$2000,$A538),""))</f>
        <v/>
      </c>
      <c r="T538" s="64" t="str">
        <f>IFERROR(__xludf.DUMMYFUNCTION("IF($A538="""","""",IFERROR(TEXTJOIN("", "",TRUE,UNIQUE(FILTER(Candidates!$B$2:$B$2000,Candidates!$A$2:$A$2000=$A538))),""""))"),"")</f>
        <v/>
      </c>
      <c r="U538" s="66" t="str">
        <f>IF($A538="","",COUNTIF(Candidates!$A$2:$A$2000,$A538))</f>
        <v/>
      </c>
      <c r="V538" s="64" t="str">
        <f>IFERROR(__xludf.DUMMYFUNCTION("IF($A538="""","""",IFERROR(INDEX(FILTER(Candidates!$S$2:$S$2000,Candidates!$A$2:$A$2000=$A538),COUNTIF(Candidates!$A$2:$A$2000,$A538)),""""))"),"")</f>
        <v/>
      </c>
      <c r="W538" s="64" t="str">
        <f>IFERROR(__xludf.DUMMYFUNCTION("IF($A538="""","""",IFERROR(INDEX(FILTER(Candidates!$T$2:$T$2000,Candidates!$A$2:$A$2000=$A538),COUNTIF(Candidates!$A$2:$A$2000,$A538)),""""))"),"")</f>
        <v/>
      </c>
      <c r="X538" s="64"/>
      <c r="Y538" s="64"/>
      <c r="Z538" s="65"/>
      <c r="AA538" s="65"/>
      <c r="AB538" s="65"/>
      <c r="AC538" s="65"/>
    </row>
    <row r="539">
      <c r="A539" s="64"/>
      <c r="B539" s="64"/>
      <c r="C539" s="64"/>
      <c r="D539" s="64"/>
      <c r="E539" s="64"/>
      <c r="F539" s="64"/>
      <c r="G539" s="64"/>
      <c r="H539" s="63"/>
      <c r="I539" s="64"/>
      <c r="J539" s="64"/>
      <c r="K539" s="64"/>
      <c r="L539" s="64"/>
      <c r="M539" s="64"/>
      <c r="N539" s="64"/>
      <c r="O539" s="64"/>
      <c r="P539" s="64"/>
      <c r="Q539" s="64"/>
      <c r="R539" s="65" t="str">
        <f>IF($A539="","",IFERROR(MINIFS(Candidates!$K$2:$K$2000,Candidates!$A$2:$A$2000,$A539),""))</f>
        <v/>
      </c>
      <c r="S539" s="65" t="str">
        <f>IF($A539="","",IFERROR(MAXIFS(Candidates!$AA$2:$AA$2000,Candidates!$A$2:$A$2000,$A539),""))</f>
        <v/>
      </c>
      <c r="T539" s="64" t="str">
        <f>IFERROR(__xludf.DUMMYFUNCTION("IF($A539="""","""",IFERROR(TEXTJOIN("", "",TRUE,UNIQUE(FILTER(Candidates!$B$2:$B$2000,Candidates!$A$2:$A$2000=$A539))),""""))"),"")</f>
        <v/>
      </c>
      <c r="U539" s="66" t="str">
        <f>IF($A539="","",COUNTIF(Candidates!$A$2:$A$2000,$A539))</f>
        <v/>
      </c>
      <c r="V539" s="64" t="str">
        <f>IFERROR(__xludf.DUMMYFUNCTION("IF($A539="""","""",IFERROR(INDEX(FILTER(Candidates!$S$2:$S$2000,Candidates!$A$2:$A$2000=$A539),COUNTIF(Candidates!$A$2:$A$2000,$A539)),""""))"),"")</f>
        <v/>
      </c>
      <c r="W539" s="64" t="str">
        <f>IFERROR(__xludf.DUMMYFUNCTION("IF($A539="""","""",IFERROR(INDEX(FILTER(Candidates!$T$2:$T$2000,Candidates!$A$2:$A$2000=$A539),COUNTIF(Candidates!$A$2:$A$2000,$A539)),""""))"),"")</f>
        <v/>
      </c>
      <c r="X539" s="64"/>
      <c r="Y539" s="64"/>
      <c r="Z539" s="65"/>
      <c r="AA539" s="65"/>
      <c r="AB539" s="65"/>
      <c r="AC539" s="65"/>
    </row>
    <row r="540">
      <c r="A540" s="64"/>
      <c r="B540" s="64"/>
      <c r="C540" s="64"/>
      <c r="D540" s="64"/>
      <c r="E540" s="64"/>
      <c r="F540" s="64"/>
      <c r="G540" s="64"/>
      <c r="H540" s="63"/>
      <c r="I540" s="64"/>
      <c r="J540" s="64"/>
      <c r="K540" s="64"/>
      <c r="L540" s="64"/>
      <c r="M540" s="64"/>
      <c r="N540" s="64"/>
      <c r="O540" s="64"/>
      <c r="P540" s="64"/>
      <c r="Q540" s="64"/>
      <c r="R540" s="65" t="str">
        <f>IF($A540="","",IFERROR(MINIFS(Candidates!$K$2:$K$2000,Candidates!$A$2:$A$2000,$A540),""))</f>
        <v/>
      </c>
      <c r="S540" s="65" t="str">
        <f>IF($A540="","",IFERROR(MAXIFS(Candidates!$AA$2:$AA$2000,Candidates!$A$2:$A$2000,$A540),""))</f>
        <v/>
      </c>
      <c r="T540" s="64" t="str">
        <f>IFERROR(__xludf.DUMMYFUNCTION("IF($A540="""","""",IFERROR(TEXTJOIN("", "",TRUE,UNIQUE(FILTER(Candidates!$B$2:$B$2000,Candidates!$A$2:$A$2000=$A540))),""""))"),"")</f>
        <v/>
      </c>
      <c r="U540" s="66" t="str">
        <f>IF($A540="","",COUNTIF(Candidates!$A$2:$A$2000,$A540))</f>
        <v/>
      </c>
      <c r="V540" s="64" t="str">
        <f>IFERROR(__xludf.DUMMYFUNCTION("IF($A540="""","""",IFERROR(INDEX(FILTER(Candidates!$S$2:$S$2000,Candidates!$A$2:$A$2000=$A540),COUNTIF(Candidates!$A$2:$A$2000,$A540)),""""))"),"")</f>
        <v/>
      </c>
      <c r="W540" s="64" t="str">
        <f>IFERROR(__xludf.DUMMYFUNCTION("IF($A540="""","""",IFERROR(INDEX(FILTER(Candidates!$T$2:$T$2000,Candidates!$A$2:$A$2000=$A540),COUNTIF(Candidates!$A$2:$A$2000,$A540)),""""))"),"")</f>
        <v/>
      </c>
      <c r="X540" s="64"/>
      <c r="Y540" s="64"/>
      <c r="Z540" s="65"/>
      <c r="AA540" s="65"/>
      <c r="AB540" s="65"/>
      <c r="AC540" s="65"/>
    </row>
    <row r="541">
      <c r="A541" s="64"/>
      <c r="B541" s="64"/>
      <c r="C541" s="64"/>
      <c r="D541" s="64"/>
      <c r="E541" s="64"/>
      <c r="F541" s="64"/>
      <c r="G541" s="64"/>
      <c r="H541" s="63"/>
      <c r="I541" s="64"/>
      <c r="J541" s="64"/>
      <c r="K541" s="64"/>
      <c r="L541" s="64"/>
      <c r="M541" s="64"/>
      <c r="N541" s="64"/>
      <c r="O541" s="64"/>
      <c r="P541" s="64"/>
      <c r="Q541" s="64"/>
      <c r="R541" s="65" t="str">
        <f>IF($A541="","",IFERROR(MINIFS(Candidates!$K$2:$K$2000,Candidates!$A$2:$A$2000,$A541),""))</f>
        <v/>
      </c>
      <c r="S541" s="65" t="str">
        <f>IF($A541="","",IFERROR(MAXIFS(Candidates!$AA$2:$AA$2000,Candidates!$A$2:$A$2000,$A541),""))</f>
        <v/>
      </c>
      <c r="T541" s="64" t="str">
        <f>IFERROR(__xludf.DUMMYFUNCTION("IF($A541="""","""",IFERROR(TEXTJOIN("", "",TRUE,UNIQUE(FILTER(Candidates!$B$2:$B$2000,Candidates!$A$2:$A$2000=$A541))),""""))"),"")</f>
        <v/>
      </c>
      <c r="U541" s="66" t="str">
        <f>IF($A541="","",COUNTIF(Candidates!$A$2:$A$2000,$A541))</f>
        <v/>
      </c>
      <c r="V541" s="64" t="str">
        <f>IFERROR(__xludf.DUMMYFUNCTION("IF($A541="""","""",IFERROR(INDEX(FILTER(Candidates!$S$2:$S$2000,Candidates!$A$2:$A$2000=$A541),COUNTIF(Candidates!$A$2:$A$2000,$A541)),""""))"),"")</f>
        <v/>
      </c>
      <c r="W541" s="64" t="str">
        <f>IFERROR(__xludf.DUMMYFUNCTION("IF($A541="""","""",IFERROR(INDEX(FILTER(Candidates!$T$2:$T$2000,Candidates!$A$2:$A$2000=$A541),COUNTIF(Candidates!$A$2:$A$2000,$A541)),""""))"),"")</f>
        <v/>
      </c>
      <c r="X541" s="64"/>
      <c r="Y541" s="64"/>
      <c r="Z541" s="65"/>
      <c r="AA541" s="65"/>
      <c r="AB541" s="65"/>
      <c r="AC541" s="65"/>
    </row>
    <row r="542">
      <c r="A542" s="64"/>
      <c r="B542" s="64"/>
      <c r="C542" s="64"/>
      <c r="D542" s="64"/>
      <c r="E542" s="64"/>
      <c r="F542" s="64"/>
      <c r="G542" s="64"/>
      <c r="H542" s="63"/>
      <c r="I542" s="64"/>
      <c r="J542" s="64"/>
      <c r="K542" s="64"/>
      <c r="L542" s="64"/>
      <c r="M542" s="64"/>
      <c r="N542" s="64"/>
      <c r="O542" s="64"/>
      <c r="P542" s="64"/>
      <c r="Q542" s="64"/>
      <c r="R542" s="65" t="str">
        <f>IF($A542="","",IFERROR(MINIFS(Candidates!$K$2:$K$2000,Candidates!$A$2:$A$2000,$A542),""))</f>
        <v/>
      </c>
      <c r="S542" s="65" t="str">
        <f>IF($A542="","",IFERROR(MAXIFS(Candidates!$AA$2:$AA$2000,Candidates!$A$2:$A$2000,$A542),""))</f>
        <v/>
      </c>
      <c r="T542" s="64" t="str">
        <f>IFERROR(__xludf.DUMMYFUNCTION("IF($A542="""","""",IFERROR(TEXTJOIN("", "",TRUE,UNIQUE(FILTER(Candidates!$B$2:$B$2000,Candidates!$A$2:$A$2000=$A542))),""""))"),"")</f>
        <v/>
      </c>
      <c r="U542" s="66" t="str">
        <f>IF($A542="","",COUNTIF(Candidates!$A$2:$A$2000,$A542))</f>
        <v/>
      </c>
      <c r="V542" s="64" t="str">
        <f>IFERROR(__xludf.DUMMYFUNCTION("IF($A542="""","""",IFERROR(INDEX(FILTER(Candidates!$S$2:$S$2000,Candidates!$A$2:$A$2000=$A542),COUNTIF(Candidates!$A$2:$A$2000,$A542)),""""))"),"")</f>
        <v/>
      </c>
      <c r="W542" s="64" t="str">
        <f>IFERROR(__xludf.DUMMYFUNCTION("IF($A542="""","""",IFERROR(INDEX(FILTER(Candidates!$T$2:$T$2000,Candidates!$A$2:$A$2000=$A542),COUNTIF(Candidates!$A$2:$A$2000,$A542)),""""))"),"")</f>
        <v/>
      </c>
      <c r="X542" s="64"/>
      <c r="Y542" s="64"/>
      <c r="Z542" s="65"/>
      <c r="AA542" s="65"/>
      <c r="AB542" s="65"/>
      <c r="AC542" s="65"/>
    </row>
    <row r="543">
      <c r="A543" s="64"/>
      <c r="B543" s="64"/>
      <c r="C543" s="64"/>
      <c r="D543" s="64"/>
      <c r="E543" s="64"/>
      <c r="F543" s="64"/>
      <c r="G543" s="64"/>
      <c r="H543" s="63"/>
      <c r="I543" s="64"/>
      <c r="J543" s="64"/>
      <c r="K543" s="64"/>
      <c r="L543" s="64"/>
      <c r="M543" s="64"/>
      <c r="N543" s="64"/>
      <c r="O543" s="64"/>
      <c r="P543" s="64"/>
      <c r="Q543" s="64"/>
      <c r="R543" s="65" t="str">
        <f>IF($A543="","",IFERROR(MINIFS(Candidates!$K$2:$K$2000,Candidates!$A$2:$A$2000,$A543),""))</f>
        <v/>
      </c>
      <c r="S543" s="65" t="str">
        <f>IF($A543="","",IFERROR(MAXIFS(Candidates!$AA$2:$AA$2000,Candidates!$A$2:$A$2000,$A543),""))</f>
        <v/>
      </c>
      <c r="T543" s="64" t="str">
        <f>IFERROR(__xludf.DUMMYFUNCTION("IF($A543="""","""",IFERROR(TEXTJOIN("", "",TRUE,UNIQUE(FILTER(Candidates!$B$2:$B$2000,Candidates!$A$2:$A$2000=$A543))),""""))"),"")</f>
        <v/>
      </c>
      <c r="U543" s="66" t="str">
        <f>IF($A543="","",COUNTIF(Candidates!$A$2:$A$2000,$A543))</f>
        <v/>
      </c>
      <c r="V543" s="64" t="str">
        <f>IFERROR(__xludf.DUMMYFUNCTION("IF($A543="""","""",IFERROR(INDEX(FILTER(Candidates!$S$2:$S$2000,Candidates!$A$2:$A$2000=$A543),COUNTIF(Candidates!$A$2:$A$2000,$A543)),""""))"),"")</f>
        <v/>
      </c>
      <c r="W543" s="64" t="str">
        <f>IFERROR(__xludf.DUMMYFUNCTION("IF($A543="""","""",IFERROR(INDEX(FILTER(Candidates!$T$2:$T$2000,Candidates!$A$2:$A$2000=$A543),COUNTIF(Candidates!$A$2:$A$2000,$A543)),""""))"),"")</f>
        <v/>
      </c>
      <c r="X543" s="64"/>
      <c r="Y543" s="64"/>
      <c r="Z543" s="65"/>
      <c r="AA543" s="65"/>
      <c r="AB543" s="65"/>
      <c r="AC543" s="65"/>
    </row>
    <row r="544">
      <c r="A544" s="64"/>
      <c r="B544" s="64"/>
      <c r="C544" s="64"/>
      <c r="D544" s="64"/>
      <c r="E544" s="64"/>
      <c r="F544" s="64"/>
      <c r="G544" s="64"/>
      <c r="H544" s="63"/>
      <c r="I544" s="64"/>
      <c r="J544" s="64"/>
      <c r="K544" s="64"/>
      <c r="L544" s="64"/>
      <c r="M544" s="64"/>
      <c r="N544" s="64"/>
      <c r="O544" s="64"/>
      <c r="P544" s="64"/>
      <c r="Q544" s="64"/>
      <c r="R544" s="65" t="str">
        <f>IF($A544="","",IFERROR(MINIFS(Candidates!$K$2:$K$2000,Candidates!$A$2:$A$2000,$A544),""))</f>
        <v/>
      </c>
      <c r="S544" s="65" t="str">
        <f>IF($A544="","",IFERROR(MAXIFS(Candidates!$AA$2:$AA$2000,Candidates!$A$2:$A$2000,$A544),""))</f>
        <v/>
      </c>
      <c r="T544" s="64" t="str">
        <f>IFERROR(__xludf.DUMMYFUNCTION("IF($A544="""","""",IFERROR(TEXTJOIN("", "",TRUE,UNIQUE(FILTER(Candidates!$B$2:$B$2000,Candidates!$A$2:$A$2000=$A544))),""""))"),"")</f>
        <v/>
      </c>
      <c r="U544" s="66" t="str">
        <f>IF($A544="","",COUNTIF(Candidates!$A$2:$A$2000,$A544))</f>
        <v/>
      </c>
      <c r="V544" s="64" t="str">
        <f>IFERROR(__xludf.DUMMYFUNCTION("IF($A544="""","""",IFERROR(INDEX(FILTER(Candidates!$S$2:$S$2000,Candidates!$A$2:$A$2000=$A544),COUNTIF(Candidates!$A$2:$A$2000,$A544)),""""))"),"")</f>
        <v/>
      </c>
      <c r="W544" s="64" t="str">
        <f>IFERROR(__xludf.DUMMYFUNCTION("IF($A544="""","""",IFERROR(INDEX(FILTER(Candidates!$T$2:$T$2000,Candidates!$A$2:$A$2000=$A544),COUNTIF(Candidates!$A$2:$A$2000,$A544)),""""))"),"")</f>
        <v/>
      </c>
      <c r="X544" s="64"/>
      <c r="Y544" s="64"/>
      <c r="Z544" s="65"/>
      <c r="AA544" s="65"/>
      <c r="AB544" s="65"/>
      <c r="AC544" s="65"/>
    </row>
    <row r="545">
      <c r="A545" s="64"/>
      <c r="B545" s="64"/>
      <c r="C545" s="64"/>
      <c r="D545" s="64"/>
      <c r="E545" s="64"/>
      <c r="F545" s="64"/>
      <c r="G545" s="64"/>
      <c r="H545" s="63"/>
      <c r="I545" s="64"/>
      <c r="J545" s="64"/>
      <c r="K545" s="64"/>
      <c r="L545" s="64"/>
      <c r="M545" s="64"/>
      <c r="N545" s="64"/>
      <c r="O545" s="64"/>
      <c r="P545" s="64"/>
      <c r="Q545" s="64"/>
      <c r="R545" s="65" t="str">
        <f>IF($A545="","",IFERROR(MINIFS(Candidates!$K$2:$K$2000,Candidates!$A$2:$A$2000,$A545),""))</f>
        <v/>
      </c>
      <c r="S545" s="65" t="str">
        <f>IF($A545="","",IFERROR(MAXIFS(Candidates!$AA$2:$AA$2000,Candidates!$A$2:$A$2000,$A545),""))</f>
        <v/>
      </c>
      <c r="T545" s="64" t="str">
        <f>IFERROR(__xludf.DUMMYFUNCTION("IF($A545="""","""",IFERROR(TEXTJOIN("", "",TRUE,UNIQUE(FILTER(Candidates!$B$2:$B$2000,Candidates!$A$2:$A$2000=$A545))),""""))"),"")</f>
        <v/>
      </c>
      <c r="U545" s="66" t="str">
        <f>IF($A545="","",COUNTIF(Candidates!$A$2:$A$2000,$A545))</f>
        <v/>
      </c>
      <c r="V545" s="64" t="str">
        <f>IFERROR(__xludf.DUMMYFUNCTION("IF($A545="""","""",IFERROR(INDEX(FILTER(Candidates!$S$2:$S$2000,Candidates!$A$2:$A$2000=$A545),COUNTIF(Candidates!$A$2:$A$2000,$A545)),""""))"),"")</f>
        <v/>
      </c>
      <c r="W545" s="64" t="str">
        <f>IFERROR(__xludf.DUMMYFUNCTION("IF($A545="""","""",IFERROR(INDEX(FILTER(Candidates!$T$2:$T$2000,Candidates!$A$2:$A$2000=$A545),COUNTIF(Candidates!$A$2:$A$2000,$A545)),""""))"),"")</f>
        <v/>
      </c>
      <c r="X545" s="64"/>
      <c r="Y545" s="64"/>
      <c r="Z545" s="65"/>
      <c r="AA545" s="65"/>
      <c r="AB545" s="65"/>
      <c r="AC545" s="65"/>
    </row>
    <row r="546">
      <c r="A546" s="64"/>
      <c r="B546" s="64"/>
      <c r="C546" s="64"/>
      <c r="D546" s="64"/>
      <c r="E546" s="64"/>
      <c r="F546" s="64"/>
      <c r="G546" s="64"/>
      <c r="H546" s="63"/>
      <c r="I546" s="64"/>
      <c r="J546" s="64"/>
      <c r="K546" s="64"/>
      <c r="L546" s="64"/>
      <c r="M546" s="64"/>
      <c r="N546" s="64"/>
      <c r="O546" s="64"/>
      <c r="P546" s="64"/>
      <c r="Q546" s="64"/>
      <c r="R546" s="65" t="str">
        <f>IF($A546="","",IFERROR(MINIFS(Candidates!$K$2:$K$2000,Candidates!$A$2:$A$2000,$A546),""))</f>
        <v/>
      </c>
      <c r="S546" s="65" t="str">
        <f>IF($A546="","",IFERROR(MAXIFS(Candidates!$AA$2:$AA$2000,Candidates!$A$2:$A$2000,$A546),""))</f>
        <v/>
      </c>
      <c r="T546" s="64" t="str">
        <f>IFERROR(__xludf.DUMMYFUNCTION("IF($A546="""","""",IFERROR(TEXTJOIN("", "",TRUE,UNIQUE(FILTER(Candidates!$B$2:$B$2000,Candidates!$A$2:$A$2000=$A546))),""""))"),"")</f>
        <v/>
      </c>
      <c r="U546" s="66" t="str">
        <f>IF($A546="","",COUNTIF(Candidates!$A$2:$A$2000,$A546))</f>
        <v/>
      </c>
      <c r="V546" s="64" t="str">
        <f>IFERROR(__xludf.DUMMYFUNCTION("IF($A546="""","""",IFERROR(INDEX(FILTER(Candidates!$S$2:$S$2000,Candidates!$A$2:$A$2000=$A546),COUNTIF(Candidates!$A$2:$A$2000,$A546)),""""))"),"")</f>
        <v/>
      </c>
      <c r="W546" s="64" t="str">
        <f>IFERROR(__xludf.DUMMYFUNCTION("IF($A546="""","""",IFERROR(INDEX(FILTER(Candidates!$T$2:$T$2000,Candidates!$A$2:$A$2000=$A546),COUNTIF(Candidates!$A$2:$A$2000,$A546)),""""))"),"")</f>
        <v/>
      </c>
      <c r="X546" s="64"/>
      <c r="Y546" s="64"/>
      <c r="Z546" s="65"/>
      <c r="AA546" s="65"/>
      <c r="AB546" s="65"/>
      <c r="AC546" s="65"/>
    </row>
    <row r="547">
      <c r="A547" s="64"/>
      <c r="B547" s="64"/>
      <c r="C547" s="64"/>
      <c r="D547" s="64"/>
      <c r="E547" s="64"/>
      <c r="F547" s="64"/>
      <c r="G547" s="64"/>
      <c r="H547" s="63"/>
      <c r="I547" s="64"/>
      <c r="J547" s="64"/>
      <c r="K547" s="64"/>
      <c r="L547" s="64"/>
      <c r="M547" s="64"/>
      <c r="N547" s="64"/>
      <c r="O547" s="64"/>
      <c r="P547" s="64"/>
      <c r="Q547" s="64"/>
      <c r="R547" s="65" t="str">
        <f>IF($A547="","",IFERROR(MINIFS(Candidates!$K$2:$K$2000,Candidates!$A$2:$A$2000,$A547),""))</f>
        <v/>
      </c>
      <c r="S547" s="65" t="str">
        <f>IF($A547="","",IFERROR(MAXIFS(Candidates!$AA$2:$AA$2000,Candidates!$A$2:$A$2000,$A547),""))</f>
        <v/>
      </c>
      <c r="T547" s="64" t="str">
        <f>IFERROR(__xludf.DUMMYFUNCTION("IF($A547="""","""",IFERROR(TEXTJOIN("", "",TRUE,UNIQUE(FILTER(Candidates!$B$2:$B$2000,Candidates!$A$2:$A$2000=$A547))),""""))"),"")</f>
        <v/>
      </c>
      <c r="U547" s="66" t="str">
        <f>IF($A547="","",COUNTIF(Candidates!$A$2:$A$2000,$A547))</f>
        <v/>
      </c>
      <c r="V547" s="64" t="str">
        <f>IFERROR(__xludf.DUMMYFUNCTION("IF($A547="""","""",IFERROR(INDEX(FILTER(Candidates!$S$2:$S$2000,Candidates!$A$2:$A$2000=$A547),COUNTIF(Candidates!$A$2:$A$2000,$A547)),""""))"),"")</f>
        <v/>
      </c>
      <c r="W547" s="64" t="str">
        <f>IFERROR(__xludf.DUMMYFUNCTION("IF($A547="""","""",IFERROR(INDEX(FILTER(Candidates!$T$2:$T$2000,Candidates!$A$2:$A$2000=$A547),COUNTIF(Candidates!$A$2:$A$2000,$A547)),""""))"),"")</f>
        <v/>
      </c>
      <c r="X547" s="64"/>
      <c r="Y547" s="64"/>
      <c r="Z547" s="65"/>
      <c r="AA547" s="65"/>
      <c r="AB547" s="65"/>
      <c r="AC547" s="65"/>
    </row>
    <row r="548">
      <c r="A548" s="64"/>
      <c r="B548" s="64"/>
      <c r="C548" s="64"/>
      <c r="D548" s="64"/>
      <c r="E548" s="64"/>
      <c r="F548" s="64"/>
      <c r="G548" s="64"/>
      <c r="H548" s="63"/>
      <c r="I548" s="64"/>
      <c r="J548" s="64"/>
      <c r="K548" s="64"/>
      <c r="L548" s="64"/>
      <c r="M548" s="64"/>
      <c r="N548" s="64"/>
      <c r="O548" s="64"/>
      <c r="P548" s="64"/>
      <c r="Q548" s="64"/>
      <c r="R548" s="65" t="str">
        <f>IF($A548="","",IFERROR(MINIFS(Candidates!$K$2:$K$2000,Candidates!$A$2:$A$2000,$A548),""))</f>
        <v/>
      </c>
      <c r="S548" s="65" t="str">
        <f>IF($A548="","",IFERROR(MAXIFS(Candidates!$AA$2:$AA$2000,Candidates!$A$2:$A$2000,$A548),""))</f>
        <v/>
      </c>
      <c r="T548" s="64" t="str">
        <f>IFERROR(__xludf.DUMMYFUNCTION("IF($A548="""","""",IFERROR(TEXTJOIN("", "",TRUE,UNIQUE(FILTER(Candidates!$B$2:$B$2000,Candidates!$A$2:$A$2000=$A548))),""""))"),"")</f>
        <v/>
      </c>
      <c r="U548" s="66" t="str">
        <f>IF($A548="","",COUNTIF(Candidates!$A$2:$A$2000,$A548))</f>
        <v/>
      </c>
      <c r="V548" s="64" t="str">
        <f>IFERROR(__xludf.DUMMYFUNCTION("IF($A548="""","""",IFERROR(INDEX(FILTER(Candidates!$S$2:$S$2000,Candidates!$A$2:$A$2000=$A548),COUNTIF(Candidates!$A$2:$A$2000,$A548)),""""))"),"")</f>
        <v/>
      </c>
      <c r="W548" s="64" t="str">
        <f>IFERROR(__xludf.DUMMYFUNCTION("IF($A548="""","""",IFERROR(INDEX(FILTER(Candidates!$T$2:$T$2000,Candidates!$A$2:$A$2000=$A548),COUNTIF(Candidates!$A$2:$A$2000,$A548)),""""))"),"")</f>
        <v/>
      </c>
      <c r="X548" s="64"/>
      <c r="Y548" s="64"/>
      <c r="Z548" s="65"/>
      <c r="AA548" s="65"/>
      <c r="AB548" s="65"/>
      <c r="AC548" s="65"/>
    </row>
    <row r="549">
      <c r="A549" s="64"/>
      <c r="B549" s="64"/>
      <c r="C549" s="64"/>
      <c r="D549" s="64"/>
      <c r="E549" s="64"/>
      <c r="F549" s="64"/>
      <c r="G549" s="64"/>
      <c r="H549" s="63"/>
      <c r="I549" s="64"/>
      <c r="J549" s="64"/>
      <c r="K549" s="64"/>
      <c r="L549" s="64"/>
      <c r="M549" s="64"/>
      <c r="N549" s="64"/>
      <c r="O549" s="64"/>
      <c r="P549" s="64"/>
      <c r="Q549" s="64"/>
      <c r="R549" s="65" t="str">
        <f>IF($A549="","",IFERROR(MINIFS(Candidates!$K$2:$K$2000,Candidates!$A$2:$A$2000,$A549),""))</f>
        <v/>
      </c>
      <c r="S549" s="65" t="str">
        <f>IF($A549="","",IFERROR(MAXIFS(Candidates!$AA$2:$AA$2000,Candidates!$A$2:$A$2000,$A549),""))</f>
        <v/>
      </c>
      <c r="T549" s="64" t="str">
        <f>IFERROR(__xludf.DUMMYFUNCTION("IF($A549="""","""",IFERROR(TEXTJOIN("", "",TRUE,UNIQUE(FILTER(Candidates!$B$2:$B$2000,Candidates!$A$2:$A$2000=$A549))),""""))"),"")</f>
        <v/>
      </c>
      <c r="U549" s="66" t="str">
        <f>IF($A549="","",COUNTIF(Candidates!$A$2:$A$2000,$A549))</f>
        <v/>
      </c>
      <c r="V549" s="64" t="str">
        <f>IFERROR(__xludf.DUMMYFUNCTION("IF($A549="""","""",IFERROR(INDEX(FILTER(Candidates!$S$2:$S$2000,Candidates!$A$2:$A$2000=$A549),COUNTIF(Candidates!$A$2:$A$2000,$A549)),""""))"),"")</f>
        <v/>
      </c>
      <c r="W549" s="64" t="str">
        <f>IFERROR(__xludf.DUMMYFUNCTION("IF($A549="""","""",IFERROR(INDEX(FILTER(Candidates!$T$2:$T$2000,Candidates!$A$2:$A$2000=$A549),COUNTIF(Candidates!$A$2:$A$2000,$A549)),""""))"),"")</f>
        <v/>
      </c>
      <c r="X549" s="64"/>
      <c r="Y549" s="64"/>
      <c r="Z549" s="65"/>
      <c r="AA549" s="65"/>
      <c r="AB549" s="65"/>
      <c r="AC549" s="65"/>
    </row>
    <row r="550">
      <c r="A550" s="64"/>
      <c r="B550" s="64"/>
      <c r="C550" s="64"/>
      <c r="D550" s="64"/>
      <c r="E550" s="64"/>
      <c r="F550" s="64"/>
      <c r="G550" s="64"/>
      <c r="H550" s="63"/>
      <c r="I550" s="64"/>
      <c r="J550" s="64"/>
      <c r="K550" s="64"/>
      <c r="L550" s="64"/>
      <c r="M550" s="64"/>
      <c r="N550" s="64"/>
      <c r="O550" s="64"/>
      <c r="P550" s="64"/>
      <c r="Q550" s="64"/>
      <c r="R550" s="65" t="str">
        <f>IF($A550="","",IFERROR(MINIFS(Candidates!$K$2:$K$2000,Candidates!$A$2:$A$2000,$A550),""))</f>
        <v/>
      </c>
      <c r="S550" s="65" t="str">
        <f>IF($A550="","",IFERROR(MAXIFS(Candidates!$AA$2:$AA$2000,Candidates!$A$2:$A$2000,$A550),""))</f>
        <v/>
      </c>
      <c r="T550" s="64" t="str">
        <f>IFERROR(__xludf.DUMMYFUNCTION("IF($A550="""","""",IFERROR(TEXTJOIN("", "",TRUE,UNIQUE(FILTER(Candidates!$B$2:$B$2000,Candidates!$A$2:$A$2000=$A550))),""""))"),"")</f>
        <v/>
      </c>
      <c r="U550" s="66" t="str">
        <f>IF($A550="","",COUNTIF(Candidates!$A$2:$A$2000,$A550))</f>
        <v/>
      </c>
      <c r="V550" s="64" t="str">
        <f>IFERROR(__xludf.DUMMYFUNCTION("IF($A550="""","""",IFERROR(INDEX(FILTER(Candidates!$S$2:$S$2000,Candidates!$A$2:$A$2000=$A550),COUNTIF(Candidates!$A$2:$A$2000,$A550)),""""))"),"")</f>
        <v/>
      </c>
      <c r="W550" s="64" t="str">
        <f>IFERROR(__xludf.DUMMYFUNCTION("IF($A550="""","""",IFERROR(INDEX(FILTER(Candidates!$T$2:$T$2000,Candidates!$A$2:$A$2000=$A550),COUNTIF(Candidates!$A$2:$A$2000,$A550)),""""))"),"")</f>
        <v/>
      </c>
      <c r="X550" s="64"/>
      <c r="Y550" s="64"/>
      <c r="Z550" s="65"/>
      <c r="AA550" s="65"/>
      <c r="AB550" s="65"/>
      <c r="AC550" s="65"/>
    </row>
    <row r="551">
      <c r="A551" s="64"/>
      <c r="B551" s="64"/>
      <c r="C551" s="64"/>
      <c r="D551" s="64"/>
      <c r="E551" s="64"/>
      <c r="F551" s="64"/>
      <c r="G551" s="64"/>
      <c r="H551" s="63"/>
      <c r="I551" s="64"/>
      <c r="J551" s="64"/>
      <c r="K551" s="64"/>
      <c r="L551" s="64"/>
      <c r="M551" s="64"/>
      <c r="N551" s="64"/>
      <c r="O551" s="64"/>
      <c r="P551" s="64"/>
      <c r="Q551" s="64"/>
      <c r="R551" s="65" t="str">
        <f>IF($A551="","",IFERROR(MINIFS(Candidates!$K$2:$K$2000,Candidates!$A$2:$A$2000,$A551),""))</f>
        <v/>
      </c>
      <c r="S551" s="65" t="str">
        <f>IF($A551="","",IFERROR(MAXIFS(Candidates!$AA$2:$AA$2000,Candidates!$A$2:$A$2000,$A551),""))</f>
        <v/>
      </c>
      <c r="T551" s="64" t="str">
        <f>IFERROR(__xludf.DUMMYFUNCTION("IF($A551="""","""",IFERROR(TEXTJOIN("", "",TRUE,UNIQUE(FILTER(Candidates!$B$2:$B$2000,Candidates!$A$2:$A$2000=$A551))),""""))"),"")</f>
        <v/>
      </c>
      <c r="U551" s="66" t="str">
        <f>IF($A551="","",COUNTIF(Candidates!$A$2:$A$2000,$A551))</f>
        <v/>
      </c>
      <c r="V551" s="64" t="str">
        <f>IFERROR(__xludf.DUMMYFUNCTION("IF($A551="""","""",IFERROR(INDEX(FILTER(Candidates!$S$2:$S$2000,Candidates!$A$2:$A$2000=$A551),COUNTIF(Candidates!$A$2:$A$2000,$A551)),""""))"),"")</f>
        <v/>
      </c>
      <c r="W551" s="64" t="str">
        <f>IFERROR(__xludf.DUMMYFUNCTION("IF($A551="""","""",IFERROR(INDEX(FILTER(Candidates!$T$2:$T$2000,Candidates!$A$2:$A$2000=$A551),COUNTIF(Candidates!$A$2:$A$2000,$A551)),""""))"),"")</f>
        <v/>
      </c>
      <c r="X551" s="64"/>
      <c r="Y551" s="64"/>
      <c r="Z551" s="65"/>
      <c r="AA551" s="65"/>
      <c r="AB551" s="65"/>
      <c r="AC551" s="65"/>
    </row>
    <row r="552">
      <c r="A552" s="64"/>
      <c r="B552" s="64"/>
      <c r="C552" s="64"/>
      <c r="D552" s="64"/>
      <c r="E552" s="64"/>
      <c r="F552" s="64"/>
      <c r="G552" s="64"/>
      <c r="H552" s="63"/>
      <c r="I552" s="64"/>
      <c r="J552" s="64"/>
      <c r="K552" s="64"/>
      <c r="L552" s="64"/>
      <c r="M552" s="64"/>
      <c r="N552" s="64"/>
      <c r="O552" s="64"/>
      <c r="P552" s="64"/>
      <c r="Q552" s="64"/>
      <c r="R552" s="65" t="str">
        <f>IF($A552="","",IFERROR(MINIFS(Candidates!$K$2:$K$2000,Candidates!$A$2:$A$2000,$A552),""))</f>
        <v/>
      </c>
      <c r="S552" s="65" t="str">
        <f>IF($A552="","",IFERROR(MAXIFS(Candidates!$AA$2:$AA$2000,Candidates!$A$2:$A$2000,$A552),""))</f>
        <v/>
      </c>
      <c r="T552" s="64" t="str">
        <f>IFERROR(__xludf.DUMMYFUNCTION("IF($A552="""","""",IFERROR(TEXTJOIN("", "",TRUE,UNIQUE(FILTER(Candidates!$B$2:$B$2000,Candidates!$A$2:$A$2000=$A552))),""""))"),"")</f>
        <v/>
      </c>
      <c r="U552" s="66" t="str">
        <f>IF($A552="","",COUNTIF(Candidates!$A$2:$A$2000,$A552))</f>
        <v/>
      </c>
      <c r="V552" s="64" t="str">
        <f>IFERROR(__xludf.DUMMYFUNCTION("IF($A552="""","""",IFERROR(INDEX(FILTER(Candidates!$S$2:$S$2000,Candidates!$A$2:$A$2000=$A552),COUNTIF(Candidates!$A$2:$A$2000,$A552)),""""))"),"")</f>
        <v/>
      </c>
      <c r="W552" s="64" t="str">
        <f>IFERROR(__xludf.DUMMYFUNCTION("IF($A552="""","""",IFERROR(INDEX(FILTER(Candidates!$T$2:$T$2000,Candidates!$A$2:$A$2000=$A552),COUNTIF(Candidates!$A$2:$A$2000,$A552)),""""))"),"")</f>
        <v/>
      </c>
      <c r="X552" s="64"/>
      <c r="Y552" s="64"/>
      <c r="Z552" s="65"/>
      <c r="AA552" s="65"/>
      <c r="AB552" s="65"/>
      <c r="AC552" s="65"/>
    </row>
    <row r="553">
      <c r="A553" s="64"/>
      <c r="B553" s="64"/>
      <c r="C553" s="64"/>
      <c r="D553" s="64"/>
      <c r="E553" s="64"/>
      <c r="F553" s="64"/>
      <c r="G553" s="64"/>
      <c r="H553" s="63"/>
      <c r="I553" s="64"/>
      <c r="J553" s="64"/>
      <c r="K553" s="64"/>
      <c r="L553" s="64"/>
      <c r="M553" s="64"/>
      <c r="N553" s="64"/>
      <c r="O553" s="64"/>
      <c r="P553" s="64"/>
      <c r="Q553" s="64"/>
      <c r="R553" s="65" t="str">
        <f>IF($A553="","",IFERROR(MINIFS(Candidates!$K$2:$K$2000,Candidates!$A$2:$A$2000,$A553),""))</f>
        <v/>
      </c>
      <c r="S553" s="65" t="str">
        <f>IF($A553="","",IFERROR(MAXIFS(Candidates!$AA$2:$AA$2000,Candidates!$A$2:$A$2000,$A553),""))</f>
        <v/>
      </c>
      <c r="T553" s="64" t="str">
        <f>IFERROR(__xludf.DUMMYFUNCTION("IF($A553="""","""",IFERROR(TEXTJOIN("", "",TRUE,UNIQUE(FILTER(Candidates!$B$2:$B$2000,Candidates!$A$2:$A$2000=$A553))),""""))"),"")</f>
        <v/>
      </c>
      <c r="U553" s="66" t="str">
        <f>IF($A553="","",COUNTIF(Candidates!$A$2:$A$2000,$A553))</f>
        <v/>
      </c>
      <c r="V553" s="64" t="str">
        <f>IFERROR(__xludf.DUMMYFUNCTION("IF($A553="""","""",IFERROR(INDEX(FILTER(Candidates!$S$2:$S$2000,Candidates!$A$2:$A$2000=$A553),COUNTIF(Candidates!$A$2:$A$2000,$A553)),""""))"),"")</f>
        <v/>
      </c>
      <c r="W553" s="64" t="str">
        <f>IFERROR(__xludf.DUMMYFUNCTION("IF($A553="""","""",IFERROR(INDEX(FILTER(Candidates!$T$2:$T$2000,Candidates!$A$2:$A$2000=$A553),COUNTIF(Candidates!$A$2:$A$2000,$A553)),""""))"),"")</f>
        <v/>
      </c>
      <c r="X553" s="64"/>
      <c r="Y553" s="64"/>
      <c r="Z553" s="65"/>
      <c r="AA553" s="65"/>
      <c r="AB553" s="65"/>
      <c r="AC553" s="65"/>
    </row>
    <row r="554">
      <c r="A554" s="64"/>
      <c r="B554" s="64"/>
      <c r="C554" s="64"/>
      <c r="D554" s="64"/>
      <c r="E554" s="64"/>
      <c r="F554" s="64"/>
      <c r="G554" s="64"/>
      <c r="H554" s="63"/>
      <c r="I554" s="64"/>
      <c r="J554" s="64"/>
      <c r="K554" s="64"/>
      <c r="L554" s="64"/>
      <c r="M554" s="64"/>
      <c r="N554" s="64"/>
      <c r="O554" s="64"/>
      <c r="P554" s="64"/>
      <c r="Q554" s="64"/>
      <c r="R554" s="65" t="str">
        <f>IF($A554="","",IFERROR(MINIFS(Candidates!$K$2:$K$2000,Candidates!$A$2:$A$2000,$A554),""))</f>
        <v/>
      </c>
      <c r="S554" s="65" t="str">
        <f>IF($A554="","",IFERROR(MAXIFS(Candidates!$AA$2:$AA$2000,Candidates!$A$2:$A$2000,$A554),""))</f>
        <v/>
      </c>
      <c r="T554" s="64" t="str">
        <f>IFERROR(__xludf.DUMMYFUNCTION("IF($A554="""","""",IFERROR(TEXTJOIN("", "",TRUE,UNIQUE(FILTER(Candidates!$B$2:$B$2000,Candidates!$A$2:$A$2000=$A554))),""""))"),"")</f>
        <v/>
      </c>
      <c r="U554" s="66" t="str">
        <f>IF($A554="","",COUNTIF(Candidates!$A$2:$A$2000,$A554))</f>
        <v/>
      </c>
      <c r="V554" s="64" t="str">
        <f>IFERROR(__xludf.DUMMYFUNCTION("IF($A554="""","""",IFERROR(INDEX(FILTER(Candidates!$S$2:$S$2000,Candidates!$A$2:$A$2000=$A554),COUNTIF(Candidates!$A$2:$A$2000,$A554)),""""))"),"")</f>
        <v/>
      </c>
      <c r="W554" s="64" t="str">
        <f>IFERROR(__xludf.DUMMYFUNCTION("IF($A554="""","""",IFERROR(INDEX(FILTER(Candidates!$T$2:$T$2000,Candidates!$A$2:$A$2000=$A554),COUNTIF(Candidates!$A$2:$A$2000,$A554)),""""))"),"")</f>
        <v/>
      </c>
      <c r="X554" s="64"/>
      <c r="Y554" s="64"/>
      <c r="Z554" s="65"/>
      <c r="AA554" s="65"/>
      <c r="AB554" s="65"/>
      <c r="AC554" s="65"/>
    </row>
    <row r="555">
      <c r="A555" s="64"/>
      <c r="B555" s="64"/>
      <c r="C555" s="64"/>
      <c r="D555" s="64"/>
      <c r="E555" s="64"/>
      <c r="F555" s="64"/>
      <c r="G555" s="64"/>
      <c r="H555" s="63"/>
      <c r="I555" s="64"/>
      <c r="J555" s="64"/>
      <c r="K555" s="64"/>
      <c r="L555" s="64"/>
      <c r="M555" s="64"/>
      <c r="N555" s="64"/>
      <c r="O555" s="64"/>
      <c r="P555" s="64"/>
      <c r="Q555" s="64"/>
      <c r="R555" s="65" t="str">
        <f>IF($A555="","",IFERROR(MINIFS(Candidates!$K$2:$K$2000,Candidates!$A$2:$A$2000,$A555),""))</f>
        <v/>
      </c>
      <c r="S555" s="65" t="str">
        <f>IF($A555="","",IFERROR(MAXIFS(Candidates!$AA$2:$AA$2000,Candidates!$A$2:$A$2000,$A555),""))</f>
        <v/>
      </c>
      <c r="T555" s="64" t="str">
        <f>IFERROR(__xludf.DUMMYFUNCTION("IF($A555="""","""",IFERROR(TEXTJOIN("", "",TRUE,UNIQUE(FILTER(Candidates!$B$2:$B$2000,Candidates!$A$2:$A$2000=$A555))),""""))"),"")</f>
        <v/>
      </c>
      <c r="U555" s="66" t="str">
        <f>IF($A555="","",COUNTIF(Candidates!$A$2:$A$2000,$A555))</f>
        <v/>
      </c>
      <c r="V555" s="64" t="str">
        <f>IFERROR(__xludf.DUMMYFUNCTION("IF($A555="""","""",IFERROR(INDEX(FILTER(Candidates!$S$2:$S$2000,Candidates!$A$2:$A$2000=$A555),COUNTIF(Candidates!$A$2:$A$2000,$A555)),""""))"),"")</f>
        <v/>
      </c>
      <c r="W555" s="64" t="str">
        <f>IFERROR(__xludf.DUMMYFUNCTION("IF($A555="""","""",IFERROR(INDEX(FILTER(Candidates!$T$2:$T$2000,Candidates!$A$2:$A$2000=$A555),COUNTIF(Candidates!$A$2:$A$2000,$A555)),""""))"),"")</f>
        <v/>
      </c>
      <c r="X555" s="64"/>
      <c r="Y555" s="64"/>
      <c r="Z555" s="65"/>
      <c r="AA555" s="65"/>
      <c r="AB555" s="65"/>
      <c r="AC555" s="65"/>
    </row>
    <row r="556">
      <c r="A556" s="64"/>
      <c r="B556" s="64"/>
      <c r="C556" s="64"/>
      <c r="D556" s="64"/>
      <c r="E556" s="64"/>
      <c r="F556" s="64"/>
      <c r="G556" s="64"/>
      <c r="H556" s="63"/>
      <c r="I556" s="64"/>
      <c r="J556" s="64"/>
      <c r="K556" s="64"/>
      <c r="L556" s="64"/>
      <c r="M556" s="64"/>
      <c r="N556" s="64"/>
      <c r="O556" s="64"/>
      <c r="P556" s="64"/>
      <c r="Q556" s="64"/>
      <c r="R556" s="65" t="str">
        <f>IF($A556="","",IFERROR(MINIFS(Candidates!$K$2:$K$2000,Candidates!$A$2:$A$2000,$A556),""))</f>
        <v/>
      </c>
      <c r="S556" s="65" t="str">
        <f>IF($A556="","",IFERROR(MAXIFS(Candidates!$AA$2:$AA$2000,Candidates!$A$2:$A$2000,$A556),""))</f>
        <v/>
      </c>
      <c r="T556" s="64" t="str">
        <f>IFERROR(__xludf.DUMMYFUNCTION("IF($A556="""","""",IFERROR(TEXTJOIN("", "",TRUE,UNIQUE(FILTER(Candidates!$B$2:$B$2000,Candidates!$A$2:$A$2000=$A556))),""""))"),"")</f>
        <v/>
      </c>
      <c r="U556" s="66" t="str">
        <f>IF($A556="","",COUNTIF(Candidates!$A$2:$A$2000,$A556))</f>
        <v/>
      </c>
      <c r="V556" s="64" t="str">
        <f>IFERROR(__xludf.DUMMYFUNCTION("IF($A556="""","""",IFERROR(INDEX(FILTER(Candidates!$S$2:$S$2000,Candidates!$A$2:$A$2000=$A556),COUNTIF(Candidates!$A$2:$A$2000,$A556)),""""))"),"")</f>
        <v/>
      </c>
      <c r="W556" s="64" t="str">
        <f>IFERROR(__xludf.DUMMYFUNCTION("IF($A556="""","""",IFERROR(INDEX(FILTER(Candidates!$T$2:$T$2000,Candidates!$A$2:$A$2000=$A556),COUNTIF(Candidates!$A$2:$A$2000,$A556)),""""))"),"")</f>
        <v/>
      </c>
      <c r="X556" s="64"/>
      <c r="Y556" s="64"/>
      <c r="Z556" s="65"/>
      <c r="AA556" s="65"/>
      <c r="AB556" s="65"/>
      <c r="AC556" s="65"/>
    </row>
    <row r="557">
      <c r="A557" s="64"/>
      <c r="B557" s="64"/>
      <c r="C557" s="64"/>
      <c r="D557" s="64"/>
      <c r="E557" s="64"/>
      <c r="F557" s="64"/>
      <c r="G557" s="64"/>
      <c r="H557" s="63"/>
      <c r="I557" s="64"/>
      <c r="J557" s="64"/>
      <c r="K557" s="64"/>
      <c r="L557" s="64"/>
      <c r="M557" s="64"/>
      <c r="N557" s="64"/>
      <c r="O557" s="64"/>
      <c r="P557" s="64"/>
      <c r="Q557" s="64"/>
      <c r="R557" s="65" t="str">
        <f>IF($A557="","",IFERROR(MINIFS(Candidates!$K$2:$K$2000,Candidates!$A$2:$A$2000,$A557),""))</f>
        <v/>
      </c>
      <c r="S557" s="65" t="str">
        <f>IF($A557="","",IFERROR(MAXIFS(Candidates!$AA$2:$AA$2000,Candidates!$A$2:$A$2000,$A557),""))</f>
        <v/>
      </c>
      <c r="T557" s="64" t="str">
        <f>IFERROR(__xludf.DUMMYFUNCTION("IF($A557="""","""",IFERROR(TEXTJOIN("", "",TRUE,UNIQUE(FILTER(Candidates!$B$2:$B$2000,Candidates!$A$2:$A$2000=$A557))),""""))"),"")</f>
        <v/>
      </c>
      <c r="U557" s="66" t="str">
        <f>IF($A557="","",COUNTIF(Candidates!$A$2:$A$2000,$A557))</f>
        <v/>
      </c>
      <c r="V557" s="64" t="str">
        <f>IFERROR(__xludf.DUMMYFUNCTION("IF($A557="""","""",IFERROR(INDEX(FILTER(Candidates!$S$2:$S$2000,Candidates!$A$2:$A$2000=$A557),COUNTIF(Candidates!$A$2:$A$2000,$A557)),""""))"),"")</f>
        <v/>
      </c>
      <c r="W557" s="64" t="str">
        <f>IFERROR(__xludf.DUMMYFUNCTION("IF($A557="""","""",IFERROR(INDEX(FILTER(Candidates!$T$2:$T$2000,Candidates!$A$2:$A$2000=$A557),COUNTIF(Candidates!$A$2:$A$2000,$A557)),""""))"),"")</f>
        <v/>
      </c>
      <c r="X557" s="64"/>
      <c r="Y557" s="64"/>
      <c r="Z557" s="65"/>
      <c r="AA557" s="65"/>
      <c r="AB557" s="65"/>
      <c r="AC557" s="65"/>
    </row>
    <row r="558">
      <c r="A558" s="64"/>
      <c r="B558" s="64"/>
      <c r="C558" s="64"/>
      <c r="D558" s="64"/>
      <c r="E558" s="64"/>
      <c r="F558" s="64"/>
      <c r="G558" s="64"/>
      <c r="H558" s="63"/>
      <c r="I558" s="64"/>
      <c r="J558" s="64"/>
      <c r="K558" s="64"/>
      <c r="L558" s="64"/>
      <c r="M558" s="64"/>
      <c r="N558" s="64"/>
      <c r="O558" s="64"/>
      <c r="P558" s="64"/>
      <c r="Q558" s="64"/>
      <c r="R558" s="65" t="str">
        <f>IF($A558="","",IFERROR(MINIFS(Candidates!$K$2:$K$2000,Candidates!$A$2:$A$2000,$A558),""))</f>
        <v/>
      </c>
      <c r="S558" s="65" t="str">
        <f>IF($A558="","",IFERROR(MAXIFS(Candidates!$AA$2:$AA$2000,Candidates!$A$2:$A$2000,$A558),""))</f>
        <v/>
      </c>
      <c r="T558" s="64" t="str">
        <f>IFERROR(__xludf.DUMMYFUNCTION("IF($A558="""","""",IFERROR(TEXTJOIN("", "",TRUE,UNIQUE(FILTER(Candidates!$B$2:$B$2000,Candidates!$A$2:$A$2000=$A558))),""""))"),"")</f>
        <v/>
      </c>
      <c r="U558" s="66" t="str">
        <f>IF($A558="","",COUNTIF(Candidates!$A$2:$A$2000,$A558))</f>
        <v/>
      </c>
      <c r="V558" s="64" t="str">
        <f>IFERROR(__xludf.DUMMYFUNCTION("IF($A558="""","""",IFERROR(INDEX(FILTER(Candidates!$S$2:$S$2000,Candidates!$A$2:$A$2000=$A558),COUNTIF(Candidates!$A$2:$A$2000,$A558)),""""))"),"")</f>
        <v/>
      </c>
      <c r="W558" s="64" t="str">
        <f>IFERROR(__xludf.DUMMYFUNCTION("IF($A558="""","""",IFERROR(INDEX(FILTER(Candidates!$T$2:$T$2000,Candidates!$A$2:$A$2000=$A558),COUNTIF(Candidates!$A$2:$A$2000,$A558)),""""))"),"")</f>
        <v/>
      </c>
      <c r="X558" s="64"/>
      <c r="Y558" s="64"/>
      <c r="Z558" s="65"/>
      <c r="AA558" s="65"/>
      <c r="AB558" s="65"/>
      <c r="AC558" s="65"/>
    </row>
    <row r="559">
      <c r="A559" s="64"/>
      <c r="B559" s="64"/>
      <c r="C559" s="64"/>
      <c r="D559" s="64"/>
      <c r="E559" s="64"/>
      <c r="F559" s="64"/>
      <c r="G559" s="64"/>
      <c r="H559" s="63"/>
      <c r="I559" s="64"/>
      <c r="J559" s="64"/>
      <c r="K559" s="64"/>
      <c r="L559" s="64"/>
      <c r="M559" s="64"/>
      <c r="N559" s="64"/>
      <c r="O559" s="64"/>
      <c r="P559" s="64"/>
      <c r="Q559" s="64"/>
      <c r="R559" s="65" t="str">
        <f>IF($A559="","",IFERROR(MINIFS(Candidates!$K$2:$K$2000,Candidates!$A$2:$A$2000,$A559),""))</f>
        <v/>
      </c>
      <c r="S559" s="65" t="str">
        <f>IF($A559="","",IFERROR(MAXIFS(Candidates!$AA$2:$AA$2000,Candidates!$A$2:$A$2000,$A559),""))</f>
        <v/>
      </c>
      <c r="T559" s="64" t="str">
        <f>IFERROR(__xludf.DUMMYFUNCTION("IF($A559="""","""",IFERROR(TEXTJOIN("", "",TRUE,UNIQUE(FILTER(Candidates!$B$2:$B$2000,Candidates!$A$2:$A$2000=$A559))),""""))"),"")</f>
        <v/>
      </c>
      <c r="U559" s="66" t="str">
        <f>IF($A559="","",COUNTIF(Candidates!$A$2:$A$2000,$A559))</f>
        <v/>
      </c>
      <c r="V559" s="64" t="str">
        <f>IFERROR(__xludf.DUMMYFUNCTION("IF($A559="""","""",IFERROR(INDEX(FILTER(Candidates!$S$2:$S$2000,Candidates!$A$2:$A$2000=$A559),COUNTIF(Candidates!$A$2:$A$2000,$A559)),""""))"),"")</f>
        <v/>
      </c>
      <c r="W559" s="64" t="str">
        <f>IFERROR(__xludf.DUMMYFUNCTION("IF($A559="""","""",IFERROR(INDEX(FILTER(Candidates!$T$2:$T$2000,Candidates!$A$2:$A$2000=$A559),COUNTIF(Candidates!$A$2:$A$2000,$A559)),""""))"),"")</f>
        <v/>
      </c>
      <c r="X559" s="64"/>
      <c r="Y559" s="64"/>
      <c r="Z559" s="65"/>
      <c r="AA559" s="65"/>
      <c r="AB559" s="65"/>
      <c r="AC559" s="65"/>
    </row>
    <row r="560">
      <c r="A560" s="64"/>
      <c r="B560" s="64"/>
      <c r="C560" s="64"/>
      <c r="D560" s="64"/>
      <c r="E560" s="64"/>
      <c r="F560" s="64"/>
      <c r="G560" s="64"/>
      <c r="H560" s="63"/>
      <c r="I560" s="64"/>
      <c r="J560" s="64"/>
      <c r="K560" s="64"/>
      <c r="L560" s="64"/>
      <c r="M560" s="64"/>
      <c r="N560" s="64"/>
      <c r="O560" s="64"/>
      <c r="P560" s="64"/>
      <c r="Q560" s="64"/>
      <c r="R560" s="65" t="str">
        <f>IF($A560="","",IFERROR(MINIFS(Candidates!$K$2:$K$2000,Candidates!$A$2:$A$2000,$A560),""))</f>
        <v/>
      </c>
      <c r="S560" s="65" t="str">
        <f>IF($A560="","",IFERROR(MAXIFS(Candidates!$AA$2:$AA$2000,Candidates!$A$2:$A$2000,$A560),""))</f>
        <v/>
      </c>
      <c r="T560" s="64" t="str">
        <f>IFERROR(__xludf.DUMMYFUNCTION("IF($A560="""","""",IFERROR(TEXTJOIN("", "",TRUE,UNIQUE(FILTER(Candidates!$B$2:$B$2000,Candidates!$A$2:$A$2000=$A560))),""""))"),"")</f>
        <v/>
      </c>
      <c r="U560" s="66" t="str">
        <f>IF($A560="","",COUNTIF(Candidates!$A$2:$A$2000,$A560))</f>
        <v/>
      </c>
      <c r="V560" s="64" t="str">
        <f>IFERROR(__xludf.DUMMYFUNCTION("IF($A560="""","""",IFERROR(INDEX(FILTER(Candidates!$S$2:$S$2000,Candidates!$A$2:$A$2000=$A560),COUNTIF(Candidates!$A$2:$A$2000,$A560)),""""))"),"")</f>
        <v/>
      </c>
      <c r="W560" s="64" t="str">
        <f>IFERROR(__xludf.DUMMYFUNCTION("IF($A560="""","""",IFERROR(INDEX(FILTER(Candidates!$T$2:$T$2000,Candidates!$A$2:$A$2000=$A560),COUNTIF(Candidates!$A$2:$A$2000,$A560)),""""))"),"")</f>
        <v/>
      </c>
      <c r="X560" s="64"/>
      <c r="Y560" s="64"/>
      <c r="Z560" s="65"/>
      <c r="AA560" s="65"/>
      <c r="AB560" s="65"/>
      <c r="AC560" s="65"/>
    </row>
    <row r="561">
      <c r="A561" s="64"/>
      <c r="B561" s="64"/>
      <c r="C561" s="64"/>
      <c r="D561" s="64"/>
      <c r="E561" s="64"/>
      <c r="F561" s="64"/>
      <c r="G561" s="64"/>
      <c r="H561" s="63"/>
      <c r="I561" s="64"/>
      <c r="J561" s="64"/>
      <c r="K561" s="64"/>
      <c r="L561" s="64"/>
      <c r="M561" s="64"/>
      <c r="N561" s="64"/>
      <c r="O561" s="64"/>
      <c r="P561" s="64"/>
      <c r="Q561" s="64"/>
      <c r="R561" s="65" t="str">
        <f>IF($A561="","",IFERROR(MINIFS(Candidates!$K$2:$K$2000,Candidates!$A$2:$A$2000,$A561),""))</f>
        <v/>
      </c>
      <c r="S561" s="65" t="str">
        <f>IF($A561="","",IFERROR(MAXIFS(Candidates!$AA$2:$AA$2000,Candidates!$A$2:$A$2000,$A561),""))</f>
        <v/>
      </c>
      <c r="T561" s="64" t="str">
        <f>IFERROR(__xludf.DUMMYFUNCTION("IF($A561="""","""",IFERROR(TEXTJOIN("", "",TRUE,UNIQUE(FILTER(Candidates!$B$2:$B$2000,Candidates!$A$2:$A$2000=$A561))),""""))"),"")</f>
        <v/>
      </c>
      <c r="U561" s="66" t="str">
        <f>IF($A561="","",COUNTIF(Candidates!$A$2:$A$2000,$A561))</f>
        <v/>
      </c>
      <c r="V561" s="64" t="str">
        <f>IFERROR(__xludf.DUMMYFUNCTION("IF($A561="""","""",IFERROR(INDEX(FILTER(Candidates!$S$2:$S$2000,Candidates!$A$2:$A$2000=$A561),COUNTIF(Candidates!$A$2:$A$2000,$A561)),""""))"),"")</f>
        <v/>
      </c>
      <c r="W561" s="64" t="str">
        <f>IFERROR(__xludf.DUMMYFUNCTION("IF($A561="""","""",IFERROR(INDEX(FILTER(Candidates!$T$2:$T$2000,Candidates!$A$2:$A$2000=$A561),COUNTIF(Candidates!$A$2:$A$2000,$A561)),""""))"),"")</f>
        <v/>
      </c>
      <c r="X561" s="64"/>
      <c r="Y561" s="64"/>
      <c r="Z561" s="65"/>
      <c r="AA561" s="65"/>
      <c r="AB561" s="65"/>
      <c r="AC561" s="65"/>
    </row>
    <row r="562">
      <c r="A562" s="64"/>
      <c r="B562" s="64"/>
      <c r="C562" s="64"/>
      <c r="D562" s="64"/>
      <c r="E562" s="64"/>
      <c r="F562" s="64"/>
      <c r="G562" s="64"/>
      <c r="H562" s="63"/>
      <c r="I562" s="64"/>
      <c r="J562" s="64"/>
      <c r="K562" s="64"/>
      <c r="L562" s="64"/>
      <c r="M562" s="64"/>
      <c r="N562" s="64"/>
      <c r="O562" s="64"/>
      <c r="P562" s="64"/>
      <c r="Q562" s="64"/>
      <c r="R562" s="65" t="str">
        <f>IF($A562="","",IFERROR(MINIFS(Candidates!$K$2:$K$2000,Candidates!$A$2:$A$2000,$A562),""))</f>
        <v/>
      </c>
      <c r="S562" s="65" t="str">
        <f>IF($A562="","",IFERROR(MAXIFS(Candidates!$AA$2:$AA$2000,Candidates!$A$2:$A$2000,$A562),""))</f>
        <v/>
      </c>
      <c r="T562" s="64" t="str">
        <f>IFERROR(__xludf.DUMMYFUNCTION("IF($A562="""","""",IFERROR(TEXTJOIN("", "",TRUE,UNIQUE(FILTER(Candidates!$B$2:$B$2000,Candidates!$A$2:$A$2000=$A562))),""""))"),"")</f>
        <v/>
      </c>
      <c r="U562" s="66" t="str">
        <f>IF($A562="","",COUNTIF(Candidates!$A$2:$A$2000,$A562))</f>
        <v/>
      </c>
      <c r="V562" s="64" t="str">
        <f>IFERROR(__xludf.DUMMYFUNCTION("IF($A562="""","""",IFERROR(INDEX(FILTER(Candidates!$S$2:$S$2000,Candidates!$A$2:$A$2000=$A562),COUNTIF(Candidates!$A$2:$A$2000,$A562)),""""))"),"")</f>
        <v/>
      </c>
      <c r="W562" s="64" t="str">
        <f>IFERROR(__xludf.DUMMYFUNCTION("IF($A562="""","""",IFERROR(INDEX(FILTER(Candidates!$T$2:$T$2000,Candidates!$A$2:$A$2000=$A562),COUNTIF(Candidates!$A$2:$A$2000,$A562)),""""))"),"")</f>
        <v/>
      </c>
      <c r="X562" s="64"/>
      <c r="Y562" s="64"/>
      <c r="Z562" s="65"/>
      <c r="AA562" s="65"/>
      <c r="AB562" s="65"/>
      <c r="AC562" s="65"/>
    </row>
    <row r="563">
      <c r="A563" s="64"/>
      <c r="B563" s="64"/>
      <c r="C563" s="64"/>
      <c r="D563" s="64"/>
      <c r="E563" s="64"/>
      <c r="F563" s="64"/>
      <c r="G563" s="64"/>
      <c r="H563" s="63"/>
      <c r="I563" s="64"/>
      <c r="J563" s="64"/>
      <c r="K563" s="64"/>
      <c r="L563" s="64"/>
      <c r="M563" s="64"/>
      <c r="N563" s="64"/>
      <c r="O563" s="64"/>
      <c r="P563" s="64"/>
      <c r="Q563" s="64"/>
      <c r="R563" s="65" t="str">
        <f>IF($A563="","",IFERROR(MINIFS(Candidates!$K$2:$K$2000,Candidates!$A$2:$A$2000,$A563),""))</f>
        <v/>
      </c>
      <c r="S563" s="65" t="str">
        <f>IF($A563="","",IFERROR(MAXIFS(Candidates!$AA$2:$AA$2000,Candidates!$A$2:$A$2000,$A563),""))</f>
        <v/>
      </c>
      <c r="T563" s="64" t="str">
        <f>IFERROR(__xludf.DUMMYFUNCTION("IF($A563="""","""",IFERROR(TEXTJOIN("", "",TRUE,UNIQUE(FILTER(Candidates!$B$2:$B$2000,Candidates!$A$2:$A$2000=$A563))),""""))"),"")</f>
        <v/>
      </c>
      <c r="U563" s="66" t="str">
        <f>IF($A563="","",COUNTIF(Candidates!$A$2:$A$2000,$A563))</f>
        <v/>
      </c>
      <c r="V563" s="64" t="str">
        <f>IFERROR(__xludf.DUMMYFUNCTION("IF($A563="""","""",IFERROR(INDEX(FILTER(Candidates!$S$2:$S$2000,Candidates!$A$2:$A$2000=$A563),COUNTIF(Candidates!$A$2:$A$2000,$A563)),""""))"),"")</f>
        <v/>
      </c>
      <c r="W563" s="64" t="str">
        <f>IFERROR(__xludf.DUMMYFUNCTION("IF($A563="""","""",IFERROR(INDEX(FILTER(Candidates!$T$2:$T$2000,Candidates!$A$2:$A$2000=$A563),COUNTIF(Candidates!$A$2:$A$2000,$A563)),""""))"),"")</f>
        <v/>
      </c>
      <c r="X563" s="64"/>
      <c r="Y563" s="64"/>
      <c r="Z563" s="65"/>
      <c r="AA563" s="65"/>
      <c r="AB563" s="65"/>
      <c r="AC563" s="65"/>
    </row>
    <row r="564">
      <c r="A564" s="64"/>
      <c r="B564" s="64"/>
      <c r="C564" s="64"/>
      <c r="D564" s="64"/>
      <c r="E564" s="64"/>
      <c r="F564" s="64"/>
      <c r="G564" s="64"/>
      <c r="H564" s="63"/>
      <c r="I564" s="64"/>
      <c r="J564" s="64"/>
      <c r="K564" s="64"/>
      <c r="L564" s="64"/>
      <c r="M564" s="64"/>
      <c r="N564" s="64"/>
      <c r="O564" s="64"/>
      <c r="P564" s="64"/>
      <c r="Q564" s="64"/>
      <c r="R564" s="65" t="str">
        <f>IF($A564="","",IFERROR(MINIFS(Candidates!$K$2:$K$2000,Candidates!$A$2:$A$2000,$A564),""))</f>
        <v/>
      </c>
      <c r="S564" s="65" t="str">
        <f>IF($A564="","",IFERROR(MAXIFS(Candidates!$AA$2:$AA$2000,Candidates!$A$2:$A$2000,$A564),""))</f>
        <v/>
      </c>
      <c r="T564" s="64" t="str">
        <f>IFERROR(__xludf.DUMMYFUNCTION("IF($A564="""","""",IFERROR(TEXTJOIN("", "",TRUE,UNIQUE(FILTER(Candidates!$B$2:$B$2000,Candidates!$A$2:$A$2000=$A564))),""""))"),"")</f>
        <v/>
      </c>
      <c r="U564" s="66" t="str">
        <f>IF($A564="","",COUNTIF(Candidates!$A$2:$A$2000,$A564))</f>
        <v/>
      </c>
      <c r="V564" s="64" t="str">
        <f>IFERROR(__xludf.DUMMYFUNCTION("IF($A564="""","""",IFERROR(INDEX(FILTER(Candidates!$S$2:$S$2000,Candidates!$A$2:$A$2000=$A564),COUNTIF(Candidates!$A$2:$A$2000,$A564)),""""))"),"")</f>
        <v/>
      </c>
      <c r="W564" s="64" t="str">
        <f>IFERROR(__xludf.DUMMYFUNCTION("IF($A564="""","""",IFERROR(INDEX(FILTER(Candidates!$T$2:$T$2000,Candidates!$A$2:$A$2000=$A564),COUNTIF(Candidates!$A$2:$A$2000,$A564)),""""))"),"")</f>
        <v/>
      </c>
      <c r="X564" s="64"/>
      <c r="Y564" s="64"/>
      <c r="Z564" s="65"/>
      <c r="AA564" s="65"/>
      <c r="AB564" s="65"/>
      <c r="AC564" s="65"/>
    </row>
    <row r="565">
      <c r="A565" s="64"/>
      <c r="B565" s="64"/>
      <c r="C565" s="64"/>
      <c r="D565" s="64"/>
      <c r="E565" s="64"/>
      <c r="F565" s="64"/>
      <c r="G565" s="64"/>
      <c r="H565" s="63"/>
      <c r="I565" s="64"/>
      <c r="J565" s="64"/>
      <c r="K565" s="64"/>
      <c r="L565" s="64"/>
      <c r="M565" s="64"/>
      <c r="N565" s="64"/>
      <c r="O565" s="64"/>
      <c r="P565" s="64"/>
      <c r="Q565" s="64"/>
      <c r="R565" s="65" t="str">
        <f>IF($A565="","",IFERROR(MINIFS(Candidates!$K$2:$K$2000,Candidates!$A$2:$A$2000,$A565),""))</f>
        <v/>
      </c>
      <c r="S565" s="65" t="str">
        <f>IF($A565="","",IFERROR(MAXIFS(Candidates!$AA$2:$AA$2000,Candidates!$A$2:$A$2000,$A565),""))</f>
        <v/>
      </c>
      <c r="T565" s="64" t="str">
        <f>IFERROR(__xludf.DUMMYFUNCTION("IF($A565="""","""",IFERROR(TEXTJOIN("", "",TRUE,UNIQUE(FILTER(Candidates!$B$2:$B$2000,Candidates!$A$2:$A$2000=$A565))),""""))"),"")</f>
        <v/>
      </c>
      <c r="U565" s="66" t="str">
        <f>IF($A565="","",COUNTIF(Candidates!$A$2:$A$2000,$A565))</f>
        <v/>
      </c>
      <c r="V565" s="64" t="str">
        <f>IFERROR(__xludf.DUMMYFUNCTION("IF($A565="""","""",IFERROR(INDEX(FILTER(Candidates!$S$2:$S$2000,Candidates!$A$2:$A$2000=$A565),COUNTIF(Candidates!$A$2:$A$2000,$A565)),""""))"),"")</f>
        <v/>
      </c>
      <c r="W565" s="64" t="str">
        <f>IFERROR(__xludf.DUMMYFUNCTION("IF($A565="""","""",IFERROR(INDEX(FILTER(Candidates!$T$2:$T$2000,Candidates!$A$2:$A$2000=$A565),COUNTIF(Candidates!$A$2:$A$2000,$A565)),""""))"),"")</f>
        <v/>
      </c>
      <c r="X565" s="64"/>
      <c r="Y565" s="64"/>
      <c r="Z565" s="65"/>
      <c r="AA565" s="65"/>
      <c r="AB565" s="65"/>
      <c r="AC565" s="65"/>
    </row>
    <row r="566">
      <c r="A566" s="64"/>
      <c r="B566" s="64"/>
      <c r="C566" s="64"/>
      <c r="D566" s="64"/>
      <c r="E566" s="64"/>
      <c r="F566" s="64"/>
      <c r="G566" s="64"/>
      <c r="H566" s="63"/>
      <c r="I566" s="64"/>
      <c r="J566" s="64"/>
      <c r="K566" s="64"/>
      <c r="L566" s="64"/>
      <c r="M566" s="64"/>
      <c r="N566" s="64"/>
      <c r="O566" s="64"/>
      <c r="P566" s="64"/>
      <c r="Q566" s="64"/>
      <c r="R566" s="65" t="str">
        <f>IF($A566="","",IFERROR(MINIFS(Candidates!$K$2:$K$2000,Candidates!$A$2:$A$2000,$A566),""))</f>
        <v/>
      </c>
      <c r="S566" s="65" t="str">
        <f>IF($A566="","",IFERROR(MAXIFS(Candidates!$AA$2:$AA$2000,Candidates!$A$2:$A$2000,$A566),""))</f>
        <v/>
      </c>
      <c r="T566" s="64" t="str">
        <f>IFERROR(__xludf.DUMMYFUNCTION("IF($A566="""","""",IFERROR(TEXTJOIN("", "",TRUE,UNIQUE(FILTER(Candidates!$B$2:$B$2000,Candidates!$A$2:$A$2000=$A566))),""""))"),"")</f>
        <v/>
      </c>
      <c r="U566" s="66" t="str">
        <f>IF($A566="","",COUNTIF(Candidates!$A$2:$A$2000,$A566))</f>
        <v/>
      </c>
      <c r="V566" s="64" t="str">
        <f>IFERROR(__xludf.DUMMYFUNCTION("IF($A566="""","""",IFERROR(INDEX(FILTER(Candidates!$S$2:$S$2000,Candidates!$A$2:$A$2000=$A566),COUNTIF(Candidates!$A$2:$A$2000,$A566)),""""))"),"")</f>
        <v/>
      </c>
      <c r="W566" s="64" t="str">
        <f>IFERROR(__xludf.DUMMYFUNCTION("IF($A566="""","""",IFERROR(INDEX(FILTER(Candidates!$T$2:$T$2000,Candidates!$A$2:$A$2000=$A566),COUNTIF(Candidates!$A$2:$A$2000,$A566)),""""))"),"")</f>
        <v/>
      </c>
      <c r="X566" s="64"/>
      <c r="Y566" s="64"/>
      <c r="Z566" s="65"/>
      <c r="AA566" s="65"/>
      <c r="AB566" s="65"/>
      <c r="AC566" s="65"/>
    </row>
    <row r="567">
      <c r="A567" s="64"/>
      <c r="B567" s="64"/>
      <c r="C567" s="64"/>
      <c r="D567" s="64"/>
      <c r="E567" s="64"/>
      <c r="F567" s="64"/>
      <c r="G567" s="64"/>
      <c r="H567" s="63"/>
      <c r="I567" s="64"/>
      <c r="J567" s="64"/>
      <c r="K567" s="64"/>
      <c r="L567" s="64"/>
      <c r="M567" s="64"/>
      <c r="N567" s="64"/>
      <c r="O567" s="64"/>
      <c r="P567" s="64"/>
      <c r="Q567" s="64"/>
      <c r="R567" s="65" t="str">
        <f>IF($A567="","",IFERROR(MINIFS(Candidates!$K$2:$K$2000,Candidates!$A$2:$A$2000,$A567),""))</f>
        <v/>
      </c>
      <c r="S567" s="65" t="str">
        <f>IF($A567="","",IFERROR(MAXIFS(Candidates!$AA$2:$AA$2000,Candidates!$A$2:$A$2000,$A567),""))</f>
        <v/>
      </c>
      <c r="T567" s="64" t="str">
        <f>IFERROR(__xludf.DUMMYFUNCTION("IF($A567="""","""",IFERROR(TEXTJOIN("", "",TRUE,UNIQUE(FILTER(Candidates!$B$2:$B$2000,Candidates!$A$2:$A$2000=$A567))),""""))"),"")</f>
        <v/>
      </c>
      <c r="U567" s="66" t="str">
        <f>IF($A567="","",COUNTIF(Candidates!$A$2:$A$2000,$A567))</f>
        <v/>
      </c>
      <c r="V567" s="64" t="str">
        <f>IFERROR(__xludf.DUMMYFUNCTION("IF($A567="""","""",IFERROR(INDEX(FILTER(Candidates!$S$2:$S$2000,Candidates!$A$2:$A$2000=$A567),COUNTIF(Candidates!$A$2:$A$2000,$A567)),""""))"),"")</f>
        <v/>
      </c>
      <c r="W567" s="64" t="str">
        <f>IFERROR(__xludf.DUMMYFUNCTION("IF($A567="""","""",IFERROR(INDEX(FILTER(Candidates!$T$2:$T$2000,Candidates!$A$2:$A$2000=$A567),COUNTIF(Candidates!$A$2:$A$2000,$A567)),""""))"),"")</f>
        <v/>
      </c>
      <c r="X567" s="64"/>
      <c r="Y567" s="64"/>
      <c r="Z567" s="65"/>
      <c r="AA567" s="65"/>
      <c r="AB567" s="65"/>
      <c r="AC567" s="65"/>
    </row>
    <row r="568">
      <c r="A568" s="64"/>
      <c r="B568" s="64"/>
      <c r="C568" s="64"/>
      <c r="D568" s="64"/>
      <c r="E568" s="64"/>
      <c r="F568" s="64"/>
      <c r="G568" s="64"/>
      <c r="H568" s="63"/>
      <c r="I568" s="64"/>
      <c r="J568" s="64"/>
      <c r="K568" s="64"/>
      <c r="L568" s="64"/>
      <c r="M568" s="64"/>
      <c r="N568" s="64"/>
      <c r="O568" s="64"/>
      <c r="P568" s="64"/>
      <c r="Q568" s="64"/>
      <c r="R568" s="65" t="str">
        <f>IF($A568="","",IFERROR(MINIFS(Candidates!$K$2:$K$2000,Candidates!$A$2:$A$2000,$A568),""))</f>
        <v/>
      </c>
      <c r="S568" s="65" t="str">
        <f>IF($A568="","",IFERROR(MAXIFS(Candidates!$AA$2:$AA$2000,Candidates!$A$2:$A$2000,$A568),""))</f>
        <v/>
      </c>
      <c r="T568" s="64" t="str">
        <f>IFERROR(__xludf.DUMMYFUNCTION("IF($A568="""","""",IFERROR(TEXTJOIN("", "",TRUE,UNIQUE(FILTER(Candidates!$B$2:$B$2000,Candidates!$A$2:$A$2000=$A568))),""""))"),"")</f>
        <v/>
      </c>
      <c r="U568" s="66" t="str">
        <f>IF($A568="","",COUNTIF(Candidates!$A$2:$A$2000,$A568))</f>
        <v/>
      </c>
      <c r="V568" s="64" t="str">
        <f>IFERROR(__xludf.DUMMYFUNCTION("IF($A568="""","""",IFERROR(INDEX(FILTER(Candidates!$S$2:$S$2000,Candidates!$A$2:$A$2000=$A568),COUNTIF(Candidates!$A$2:$A$2000,$A568)),""""))"),"")</f>
        <v/>
      </c>
      <c r="W568" s="64" t="str">
        <f>IFERROR(__xludf.DUMMYFUNCTION("IF($A568="""","""",IFERROR(INDEX(FILTER(Candidates!$T$2:$T$2000,Candidates!$A$2:$A$2000=$A568),COUNTIF(Candidates!$A$2:$A$2000,$A568)),""""))"),"")</f>
        <v/>
      </c>
      <c r="X568" s="64"/>
      <c r="Y568" s="64"/>
      <c r="Z568" s="65"/>
      <c r="AA568" s="65"/>
      <c r="AB568" s="65"/>
      <c r="AC568" s="65"/>
    </row>
    <row r="569">
      <c r="A569" s="64"/>
      <c r="B569" s="64"/>
      <c r="C569" s="64"/>
      <c r="D569" s="64"/>
      <c r="E569" s="64"/>
      <c r="F569" s="64"/>
      <c r="G569" s="64"/>
      <c r="H569" s="63"/>
      <c r="I569" s="64"/>
      <c r="J569" s="64"/>
      <c r="K569" s="64"/>
      <c r="L569" s="64"/>
      <c r="M569" s="64"/>
      <c r="N569" s="64"/>
      <c r="O569" s="64"/>
      <c r="P569" s="64"/>
      <c r="Q569" s="64"/>
      <c r="R569" s="65" t="str">
        <f>IF($A569="","",IFERROR(MINIFS(Candidates!$K$2:$K$2000,Candidates!$A$2:$A$2000,$A569),""))</f>
        <v/>
      </c>
      <c r="S569" s="65" t="str">
        <f>IF($A569="","",IFERROR(MAXIFS(Candidates!$AA$2:$AA$2000,Candidates!$A$2:$A$2000,$A569),""))</f>
        <v/>
      </c>
      <c r="T569" s="64" t="str">
        <f>IFERROR(__xludf.DUMMYFUNCTION("IF($A569="""","""",IFERROR(TEXTJOIN("", "",TRUE,UNIQUE(FILTER(Candidates!$B$2:$B$2000,Candidates!$A$2:$A$2000=$A569))),""""))"),"")</f>
        <v/>
      </c>
      <c r="U569" s="66" t="str">
        <f>IF($A569="","",COUNTIF(Candidates!$A$2:$A$2000,$A569))</f>
        <v/>
      </c>
      <c r="V569" s="64" t="str">
        <f>IFERROR(__xludf.DUMMYFUNCTION("IF($A569="""","""",IFERROR(INDEX(FILTER(Candidates!$S$2:$S$2000,Candidates!$A$2:$A$2000=$A569),COUNTIF(Candidates!$A$2:$A$2000,$A569)),""""))"),"")</f>
        <v/>
      </c>
      <c r="W569" s="64" t="str">
        <f>IFERROR(__xludf.DUMMYFUNCTION("IF($A569="""","""",IFERROR(INDEX(FILTER(Candidates!$T$2:$T$2000,Candidates!$A$2:$A$2000=$A569),COUNTIF(Candidates!$A$2:$A$2000,$A569)),""""))"),"")</f>
        <v/>
      </c>
      <c r="X569" s="64"/>
      <c r="Y569" s="64"/>
      <c r="Z569" s="65"/>
      <c r="AA569" s="65"/>
      <c r="AB569" s="65"/>
      <c r="AC569" s="65"/>
    </row>
    <row r="570">
      <c r="A570" s="64"/>
      <c r="B570" s="64"/>
      <c r="C570" s="64"/>
      <c r="D570" s="64"/>
      <c r="E570" s="64"/>
      <c r="F570" s="64"/>
      <c r="G570" s="64"/>
      <c r="H570" s="63"/>
      <c r="I570" s="64"/>
      <c r="J570" s="64"/>
      <c r="K570" s="64"/>
      <c r="L570" s="64"/>
      <c r="M570" s="64"/>
      <c r="N570" s="64"/>
      <c r="O570" s="64"/>
      <c r="P570" s="64"/>
      <c r="Q570" s="64"/>
      <c r="R570" s="65" t="str">
        <f>IF($A570="","",IFERROR(MINIFS(Candidates!$K$2:$K$2000,Candidates!$A$2:$A$2000,$A570),""))</f>
        <v/>
      </c>
      <c r="S570" s="65" t="str">
        <f>IF($A570="","",IFERROR(MAXIFS(Candidates!$AA$2:$AA$2000,Candidates!$A$2:$A$2000,$A570),""))</f>
        <v/>
      </c>
      <c r="T570" s="64" t="str">
        <f>IFERROR(__xludf.DUMMYFUNCTION("IF($A570="""","""",IFERROR(TEXTJOIN("", "",TRUE,UNIQUE(FILTER(Candidates!$B$2:$B$2000,Candidates!$A$2:$A$2000=$A570))),""""))"),"")</f>
        <v/>
      </c>
      <c r="U570" s="66" t="str">
        <f>IF($A570="","",COUNTIF(Candidates!$A$2:$A$2000,$A570))</f>
        <v/>
      </c>
      <c r="V570" s="64" t="str">
        <f>IFERROR(__xludf.DUMMYFUNCTION("IF($A570="""","""",IFERROR(INDEX(FILTER(Candidates!$S$2:$S$2000,Candidates!$A$2:$A$2000=$A570),COUNTIF(Candidates!$A$2:$A$2000,$A570)),""""))"),"")</f>
        <v/>
      </c>
      <c r="W570" s="64" t="str">
        <f>IFERROR(__xludf.DUMMYFUNCTION("IF($A570="""","""",IFERROR(INDEX(FILTER(Candidates!$T$2:$T$2000,Candidates!$A$2:$A$2000=$A570),COUNTIF(Candidates!$A$2:$A$2000,$A570)),""""))"),"")</f>
        <v/>
      </c>
      <c r="X570" s="64"/>
      <c r="Y570" s="64"/>
      <c r="Z570" s="65"/>
      <c r="AA570" s="65"/>
      <c r="AB570" s="65"/>
      <c r="AC570" s="65"/>
    </row>
    <row r="571">
      <c r="A571" s="64"/>
      <c r="B571" s="64"/>
      <c r="C571" s="64"/>
      <c r="D571" s="64"/>
      <c r="E571" s="64"/>
      <c r="F571" s="64"/>
      <c r="G571" s="64"/>
      <c r="H571" s="63"/>
      <c r="I571" s="64"/>
      <c r="J571" s="64"/>
      <c r="K571" s="64"/>
      <c r="L571" s="64"/>
      <c r="M571" s="64"/>
      <c r="N571" s="64"/>
      <c r="O571" s="64"/>
      <c r="P571" s="64"/>
      <c r="Q571" s="64"/>
      <c r="R571" s="65" t="str">
        <f>IF($A571="","",IFERROR(MINIFS(Candidates!$K$2:$K$2000,Candidates!$A$2:$A$2000,$A571),""))</f>
        <v/>
      </c>
      <c r="S571" s="65" t="str">
        <f>IF($A571="","",IFERROR(MAXIFS(Candidates!$AA$2:$AA$2000,Candidates!$A$2:$A$2000,$A571),""))</f>
        <v/>
      </c>
      <c r="T571" s="64" t="str">
        <f>IFERROR(__xludf.DUMMYFUNCTION("IF($A571="""","""",IFERROR(TEXTJOIN("", "",TRUE,UNIQUE(FILTER(Candidates!$B$2:$B$2000,Candidates!$A$2:$A$2000=$A571))),""""))"),"")</f>
        <v/>
      </c>
      <c r="U571" s="66" t="str">
        <f>IF($A571="","",COUNTIF(Candidates!$A$2:$A$2000,$A571))</f>
        <v/>
      </c>
      <c r="V571" s="64" t="str">
        <f>IFERROR(__xludf.DUMMYFUNCTION("IF($A571="""","""",IFERROR(INDEX(FILTER(Candidates!$S$2:$S$2000,Candidates!$A$2:$A$2000=$A571),COUNTIF(Candidates!$A$2:$A$2000,$A571)),""""))"),"")</f>
        <v/>
      </c>
      <c r="W571" s="64" t="str">
        <f>IFERROR(__xludf.DUMMYFUNCTION("IF($A571="""","""",IFERROR(INDEX(FILTER(Candidates!$T$2:$T$2000,Candidates!$A$2:$A$2000=$A571),COUNTIF(Candidates!$A$2:$A$2000,$A571)),""""))"),"")</f>
        <v/>
      </c>
      <c r="X571" s="64"/>
      <c r="Y571" s="64"/>
      <c r="Z571" s="65"/>
      <c r="AA571" s="65"/>
      <c r="AB571" s="65"/>
      <c r="AC571" s="65"/>
    </row>
    <row r="572">
      <c r="A572" s="64"/>
      <c r="B572" s="64"/>
      <c r="C572" s="64"/>
      <c r="D572" s="64"/>
      <c r="E572" s="64"/>
      <c r="F572" s="64"/>
      <c r="G572" s="64"/>
      <c r="H572" s="63"/>
      <c r="I572" s="64"/>
      <c r="J572" s="64"/>
      <c r="K572" s="64"/>
      <c r="L572" s="64"/>
      <c r="M572" s="64"/>
      <c r="N572" s="64"/>
      <c r="O572" s="64"/>
      <c r="P572" s="64"/>
      <c r="Q572" s="64"/>
      <c r="R572" s="65" t="str">
        <f>IF($A572="","",IFERROR(MINIFS(Candidates!$K$2:$K$2000,Candidates!$A$2:$A$2000,$A572),""))</f>
        <v/>
      </c>
      <c r="S572" s="65" t="str">
        <f>IF($A572="","",IFERROR(MAXIFS(Candidates!$AA$2:$AA$2000,Candidates!$A$2:$A$2000,$A572),""))</f>
        <v/>
      </c>
      <c r="T572" s="64" t="str">
        <f>IFERROR(__xludf.DUMMYFUNCTION("IF($A572="""","""",IFERROR(TEXTJOIN("", "",TRUE,UNIQUE(FILTER(Candidates!$B$2:$B$2000,Candidates!$A$2:$A$2000=$A572))),""""))"),"")</f>
        <v/>
      </c>
      <c r="U572" s="66" t="str">
        <f>IF($A572="","",COUNTIF(Candidates!$A$2:$A$2000,$A572))</f>
        <v/>
      </c>
      <c r="V572" s="64" t="str">
        <f>IFERROR(__xludf.DUMMYFUNCTION("IF($A572="""","""",IFERROR(INDEX(FILTER(Candidates!$S$2:$S$2000,Candidates!$A$2:$A$2000=$A572),COUNTIF(Candidates!$A$2:$A$2000,$A572)),""""))"),"")</f>
        <v/>
      </c>
      <c r="W572" s="64" t="str">
        <f>IFERROR(__xludf.DUMMYFUNCTION("IF($A572="""","""",IFERROR(INDEX(FILTER(Candidates!$T$2:$T$2000,Candidates!$A$2:$A$2000=$A572),COUNTIF(Candidates!$A$2:$A$2000,$A572)),""""))"),"")</f>
        <v/>
      </c>
      <c r="X572" s="64"/>
      <c r="Y572" s="64"/>
      <c r="Z572" s="65"/>
      <c r="AA572" s="65"/>
      <c r="AB572" s="65"/>
      <c r="AC572" s="65"/>
    </row>
    <row r="573">
      <c r="A573" s="64"/>
      <c r="B573" s="64"/>
      <c r="C573" s="64"/>
      <c r="D573" s="64"/>
      <c r="E573" s="64"/>
      <c r="F573" s="64"/>
      <c r="G573" s="64"/>
      <c r="H573" s="63"/>
      <c r="I573" s="64"/>
      <c r="J573" s="64"/>
      <c r="K573" s="64"/>
      <c r="L573" s="64"/>
      <c r="M573" s="64"/>
      <c r="N573" s="64"/>
      <c r="O573" s="64"/>
      <c r="P573" s="64"/>
      <c r="Q573" s="64"/>
      <c r="R573" s="65" t="str">
        <f>IF($A573="","",IFERROR(MINIFS(Candidates!$K$2:$K$2000,Candidates!$A$2:$A$2000,$A573),""))</f>
        <v/>
      </c>
      <c r="S573" s="65" t="str">
        <f>IF($A573="","",IFERROR(MAXIFS(Candidates!$AA$2:$AA$2000,Candidates!$A$2:$A$2000,$A573),""))</f>
        <v/>
      </c>
      <c r="T573" s="64" t="str">
        <f>IFERROR(__xludf.DUMMYFUNCTION("IF($A573="""","""",IFERROR(TEXTJOIN("", "",TRUE,UNIQUE(FILTER(Candidates!$B$2:$B$2000,Candidates!$A$2:$A$2000=$A573))),""""))"),"")</f>
        <v/>
      </c>
      <c r="U573" s="66" t="str">
        <f>IF($A573="","",COUNTIF(Candidates!$A$2:$A$2000,$A573))</f>
        <v/>
      </c>
      <c r="V573" s="64" t="str">
        <f>IFERROR(__xludf.DUMMYFUNCTION("IF($A573="""","""",IFERROR(INDEX(FILTER(Candidates!$S$2:$S$2000,Candidates!$A$2:$A$2000=$A573),COUNTIF(Candidates!$A$2:$A$2000,$A573)),""""))"),"")</f>
        <v/>
      </c>
      <c r="W573" s="64" t="str">
        <f>IFERROR(__xludf.DUMMYFUNCTION("IF($A573="""","""",IFERROR(INDEX(FILTER(Candidates!$T$2:$T$2000,Candidates!$A$2:$A$2000=$A573),COUNTIF(Candidates!$A$2:$A$2000,$A573)),""""))"),"")</f>
        <v/>
      </c>
      <c r="X573" s="64"/>
      <c r="Y573" s="64"/>
      <c r="Z573" s="65"/>
      <c r="AA573" s="65"/>
      <c r="AB573" s="65"/>
      <c r="AC573" s="65"/>
    </row>
    <row r="574">
      <c r="A574" s="64"/>
      <c r="B574" s="64"/>
      <c r="C574" s="64"/>
      <c r="D574" s="64"/>
      <c r="E574" s="64"/>
      <c r="F574" s="64"/>
      <c r="G574" s="64"/>
      <c r="H574" s="63"/>
      <c r="I574" s="64"/>
      <c r="J574" s="64"/>
      <c r="K574" s="64"/>
      <c r="L574" s="64"/>
      <c r="M574" s="64"/>
      <c r="N574" s="64"/>
      <c r="O574" s="64"/>
      <c r="P574" s="64"/>
      <c r="Q574" s="64"/>
      <c r="R574" s="65" t="str">
        <f>IF($A574="","",IFERROR(MINIFS(Candidates!$K$2:$K$2000,Candidates!$A$2:$A$2000,$A574),""))</f>
        <v/>
      </c>
      <c r="S574" s="65" t="str">
        <f>IF($A574="","",IFERROR(MAXIFS(Candidates!$AA$2:$AA$2000,Candidates!$A$2:$A$2000,$A574),""))</f>
        <v/>
      </c>
      <c r="T574" s="64" t="str">
        <f>IFERROR(__xludf.DUMMYFUNCTION("IF($A574="""","""",IFERROR(TEXTJOIN("", "",TRUE,UNIQUE(FILTER(Candidates!$B$2:$B$2000,Candidates!$A$2:$A$2000=$A574))),""""))"),"")</f>
        <v/>
      </c>
      <c r="U574" s="66" t="str">
        <f>IF($A574="","",COUNTIF(Candidates!$A$2:$A$2000,$A574))</f>
        <v/>
      </c>
      <c r="V574" s="64" t="str">
        <f>IFERROR(__xludf.DUMMYFUNCTION("IF($A574="""","""",IFERROR(INDEX(FILTER(Candidates!$S$2:$S$2000,Candidates!$A$2:$A$2000=$A574),COUNTIF(Candidates!$A$2:$A$2000,$A574)),""""))"),"")</f>
        <v/>
      </c>
      <c r="W574" s="64" t="str">
        <f>IFERROR(__xludf.DUMMYFUNCTION("IF($A574="""","""",IFERROR(INDEX(FILTER(Candidates!$T$2:$T$2000,Candidates!$A$2:$A$2000=$A574),COUNTIF(Candidates!$A$2:$A$2000,$A574)),""""))"),"")</f>
        <v/>
      </c>
      <c r="X574" s="64"/>
      <c r="Y574" s="64"/>
      <c r="Z574" s="65"/>
      <c r="AA574" s="65"/>
      <c r="AB574" s="65"/>
      <c r="AC574" s="65"/>
    </row>
    <row r="575">
      <c r="A575" s="64"/>
      <c r="B575" s="64"/>
      <c r="C575" s="64"/>
      <c r="D575" s="64"/>
      <c r="E575" s="64"/>
      <c r="F575" s="64"/>
      <c r="G575" s="64"/>
      <c r="H575" s="63"/>
      <c r="I575" s="64"/>
      <c r="J575" s="64"/>
      <c r="K575" s="64"/>
      <c r="L575" s="64"/>
      <c r="M575" s="64"/>
      <c r="N575" s="64"/>
      <c r="O575" s="64"/>
      <c r="P575" s="64"/>
      <c r="Q575" s="64"/>
      <c r="R575" s="65" t="str">
        <f>IF($A575="","",IFERROR(MINIFS(Candidates!$K$2:$K$2000,Candidates!$A$2:$A$2000,$A575),""))</f>
        <v/>
      </c>
      <c r="S575" s="65" t="str">
        <f>IF($A575="","",IFERROR(MAXIFS(Candidates!$AA$2:$AA$2000,Candidates!$A$2:$A$2000,$A575),""))</f>
        <v/>
      </c>
      <c r="T575" s="64" t="str">
        <f>IFERROR(__xludf.DUMMYFUNCTION("IF($A575="""","""",IFERROR(TEXTJOIN("", "",TRUE,UNIQUE(FILTER(Candidates!$B$2:$B$2000,Candidates!$A$2:$A$2000=$A575))),""""))"),"")</f>
        <v/>
      </c>
      <c r="U575" s="66" t="str">
        <f>IF($A575="","",COUNTIF(Candidates!$A$2:$A$2000,$A575))</f>
        <v/>
      </c>
      <c r="V575" s="64" t="str">
        <f>IFERROR(__xludf.DUMMYFUNCTION("IF($A575="""","""",IFERROR(INDEX(FILTER(Candidates!$S$2:$S$2000,Candidates!$A$2:$A$2000=$A575),COUNTIF(Candidates!$A$2:$A$2000,$A575)),""""))"),"")</f>
        <v/>
      </c>
      <c r="W575" s="64" t="str">
        <f>IFERROR(__xludf.DUMMYFUNCTION("IF($A575="""","""",IFERROR(INDEX(FILTER(Candidates!$T$2:$T$2000,Candidates!$A$2:$A$2000=$A575),COUNTIF(Candidates!$A$2:$A$2000,$A575)),""""))"),"")</f>
        <v/>
      </c>
      <c r="X575" s="64"/>
      <c r="Y575" s="64"/>
      <c r="Z575" s="65"/>
      <c r="AA575" s="65"/>
      <c r="AB575" s="65"/>
      <c r="AC575" s="65"/>
    </row>
    <row r="576">
      <c r="A576" s="64"/>
      <c r="B576" s="64"/>
      <c r="C576" s="64"/>
      <c r="D576" s="64"/>
      <c r="E576" s="64"/>
      <c r="F576" s="64"/>
      <c r="G576" s="64"/>
      <c r="H576" s="63"/>
      <c r="I576" s="64"/>
      <c r="J576" s="64"/>
      <c r="K576" s="64"/>
      <c r="L576" s="64"/>
      <c r="M576" s="64"/>
      <c r="N576" s="64"/>
      <c r="O576" s="64"/>
      <c r="P576" s="64"/>
      <c r="Q576" s="64"/>
      <c r="R576" s="65" t="str">
        <f>IF($A576="","",IFERROR(MINIFS(Candidates!$K$2:$K$2000,Candidates!$A$2:$A$2000,$A576),""))</f>
        <v/>
      </c>
      <c r="S576" s="65" t="str">
        <f>IF($A576="","",IFERROR(MAXIFS(Candidates!$AA$2:$AA$2000,Candidates!$A$2:$A$2000,$A576),""))</f>
        <v/>
      </c>
      <c r="T576" s="64" t="str">
        <f>IFERROR(__xludf.DUMMYFUNCTION("IF($A576="""","""",IFERROR(TEXTJOIN("", "",TRUE,UNIQUE(FILTER(Candidates!$B$2:$B$2000,Candidates!$A$2:$A$2000=$A576))),""""))"),"")</f>
        <v/>
      </c>
      <c r="U576" s="66" t="str">
        <f>IF($A576="","",COUNTIF(Candidates!$A$2:$A$2000,$A576))</f>
        <v/>
      </c>
      <c r="V576" s="64" t="str">
        <f>IFERROR(__xludf.DUMMYFUNCTION("IF($A576="""","""",IFERROR(INDEX(FILTER(Candidates!$S$2:$S$2000,Candidates!$A$2:$A$2000=$A576),COUNTIF(Candidates!$A$2:$A$2000,$A576)),""""))"),"")</f>
        <v/>
      </c>
      <c r="W576" s="64" t="str">
        <f>IFERROR(__xludf.DUMMYFUNCTION("IF($A576="""","""",IFERROR(INDEX(FILTER(Candidates!$T$2:$T$2000,Candidates!$A$2:$A$2000=$A576),COUNTIF(Candidates!$A$2:$A$2000,$A576)),""""))"),"")</f>
        <v/>
      </c>
      <c r="X576" s="64"/>
      <c r="Y576" s="64"/>
      <c r="Z576" s="65"/>
      <c r="AA576" s="65"/>
      <c r="AB576" s="65"/>
      <c r="AC576" s="65"/>
    </row>
    <row r="577">
      <c r="A577" s="64"/>
      <c r="B577" s="64"/>
      <c r="C577" s="64"/>
      <c r="D577" s="64"/>
      <c r="E577" s="64"/>
      <c r="F577" s="64"/>
      <c r="G577" s="64"/>
      <c r="H577" s="63"/>
      <c r="I577" s="64"/>
      <c r="J577" s="64"/>
      <c r="K577" s="64"/>
      <c r="L577" s="64"/>
      <c r="M577" s="64"/>
      <c r="N577" s="64"/>
      <c r="O577" s="64"/>
      <c r="P577" s="64"/>
      <c r="Q577" s="64"/>
      <c r="R577" s="65" t="str">
        <f>IF($A577="","",IFERROR(MINIFS(Candidates!$K$2:$K$2000,Candidates!$A$2:$A$2000,$A577),""))</f>
        <v/>
      </c>
      <c r="S577" s="65" t="str">
        <f>IF($A577="","",IFERROR(MAXIFS(Candidates!$AA$2:$AA$2000,Candidates!$A$2:$A$2000,$A577),""))</f>
        <v/>
      </c>
      <c r="T577" s="64" t="str">
        <f>IFERROR(__xludf.DUMMYFUNCTION("IF($A577="""","""",IFERROR(TEXTJOIN("", "",TRUE,UNIQUE(FILTER(Candidates!$B$2:$B$2000,Candidates!$A$2:$A$2000=$A577))),""""))"),"")</f>
        <v/>
      </c>
      <c r="U577" s="66" t="str">
        <f>IF($A577="","",COUNTIF(Candidates!$A$2:$A$2000,$A577))</f>
        <v/>
      </c>
      <c r="V577" s="64" t="str">
        <f>IFERROR(__xludf.DUMMYFUNCTION("IF($A577="""","""",IFERROR(INDEX(FILTER(Candidates!$S$2:$S$2000,Candidates!$A$2:$A$2000=$A577),COUNTIF(Candidates!$A$2:$A$2000,$A577)),""""))"),"")</f>
        <v/>
      </c>
      <c r="W577" s="64" t="str">
        <f>IFERROR(__xludf.DUMMYFUNCTION("IF($A577="""","""",IFERROR(INDEX(FILTER(Candidates!$T$2:$T$2000,Candidates!$A$2:$A$2000=$A577),COUNTIF(Candidates!$A$2:$A$2000,$A577)),""""))"),"")</f>
        <v/>
      </c>
      <c r="X577" s="64"/>
      <c r="Y577" s="64"/>
      <c r="Z577" s="65"/>
      <c r="AA577" s="65"/>
      <c r="AB577" s="65"/>
      <c r="AC577" s="65"/>
    </row>
    <row r="578">
      <c r="A578" s="64"/>
      <c r="B578" s="64"/>
      <c r="C578" s="64"/>
      <c r="D578" s="64"/>
      <c r="E578" s="64"/>
      <c r="F578" s="64"/>
      <c r="G578" s="64"/>
      <c r="H578" s="63"/>
      <c r="I578" s="64"/>
      <c r="J578" s="64"/>
      <c r="K578" s="64"/>
      <c r="L578" s="64"/>
      <c r="M578" s="64"/>
      <c r="N578" s="64"/>
      <c r="O578" s="64"/>
      <c r="P578" s="64"/>
      <c r="Q578" s="64"/>
      <c r="R578" s="65" t="str">
        <f>IF($A578="","",IFERROR(MINIFS(Candidates!$K$2:$K$2000,Candidates!$A$2:$A$2000,$A578),""))</f>
        <v/>
      </c>
      <c r="S578" s="65" t="str">
        <f>IF($A578="","",IFERROR(MAXIFS(Candidates!$AA$2:$AA$2000,Candidates!$A$2:$A$2000,$A578),""))</f>
        <v/>
      </c>
      <c r="T578" s="64" t="str">
        <f>IFERROR(__xludf.DUMMYFUNCTION("IF($A578="""","""",IFERROR(TEXTJOIN("", "",TRUE,UNIQUE(FILTER(Candidates!$B$2:$B$2000,Candidates!$A$2:$A$2000=$A578))),""""))"),"")</f>
        <v/>
      </c>
      <c r="U578" s="66" t="str">
        <f>IF($A578="","",COUNTIF(Candidates!$A$2:$A$2000,$A578))</f>
        <v/>
      </c>
      <c r="V578" s="64" t="str">
        <f>IFERROR(__xludf.DUMMYFUNCTION("IF($A578="""","""",IFERROR(INDEX(FILTER(Candidates!$S$2:$S$2000,Candidates!$A$2:$A$2000=$A578),COUNTIF(Candidates!$A$2:$A$2000,$A578)),""""))"),"")</f>
        <v/>
      </c>
      <c r="W578" s="64" t="str">
        <f>IFERROR(__xludf.DUMMYFUNCTION("IF($A578="""","""",IFERROR(INDEX(FILTER(Candidates!$T$2:$T$2000,Candidates!$A$2:$A$2000=$A578),COUNTIF(Candidates!$A$2:$A$2000,$A578)),""""))"),"")</f>
        <v/>
      </c>
      <c r="X578" s="64"/>
      <c r="Y578" s="64"/>
      <c r="Z578" s="65"/>
      <c r="AA578" s="65"/>
      <c r="AB578" s="65"/>
      <c r="AC578" s="65"/>
    </row>
    <row r="579">
      <c r="A579" s="64"/>
      <c r="B579" s="64"/>
      <c r="C579" s="64"/>
      <c r="D579" s="64"/>
      <c r="E579" s="64"/>
      <c r="F579" s="64"/>
      <c r="G579" s="64"/>
      <c r="H579" s="63"/>
      <c r="I579" s="64"/>
      <c r="J579" s="64"/>
      <c r="K579" s="64"/>
      <c r="L579" s="64"/>
      <c r="M579" s="64"/>
      <c r="N579" s="64"/>
      <c r="O579" s="64"/>
      <c r="P579" s="64"/>
      <c r="Q579" s="64"/>
      <c r="R579" s="65" t="str">
        <f>IF($A579="","",IFERROR(MINIFS(Candidates!$K$2:$K$2000,Candidates!$A$2:$A$2000,$A579),""))</f>
        <v/>
      </c>
      <c r="S579" s="65" t="str">
        <f>IF($A579="","",IFERROR(MAXIFS(Candidates!$AA$2:$AA$2000,Candidates!$A$2:$A$2000,$A579),""))</f>
        <v/>
      </c>
      <c r="T579" s="64" t="str">
        <f>IFERROR(__xludf.DUMMYFUNCTION("IF($A579="""","""",IFERROR(TEXTJOIN("", "",TRUE,UNIQUE(FILTER(Candidates!$B$2:$B$2000,Candidates!$A$2:$A$2000=$A579))),""""))"),"")</f>
        <v/>
      </c>
      <c r="U579" s="66" t="str">
        <f>IF($A579="","",COUNTIF(Candidates!$A$2:$A$2000,$A579))</f>
        <v/>
      </c>
      <c r="V579" s="64" t="str">
        <f>IFERROR(__xludf.DUMMYFUNCTION("IF($A579="""","""",IFERROR(INDEX(FILTER(Candidates!$S$2:$S$2000,Candidates!$A$2:$A$2000=$A579),COUNTIF(Candidates!$A$2:$A$2000,$A579)),""""))"),"")</f>
        <v/>
      </c>
      <c r="W579" s="64" t="str">
        <f>IFERROR(__xludf.DUMMYFUNCTION("IF($A579="""","""",IFERROR(INDEX(FILTER(Candidates!$T$2:$T$2000,Candidates!$A$2:$A$2000=$A579),COUNTIF(Candidates!$A$2:$A$2000,$A579)),""""))"),"")</f>
        <v/>
      </c>
      <c r="X579" s="64"/>
      <c r="Y579" s="64"/>
      <c r="Z579" s="65"/>
      <c r="AA579" s="65"/>
      <c r="AB579" s="65"/>
      <c r="AC579" s="65"/>
    </row>
    <row r="580">
      <c r="A580" s="64"/>
      <c r="B580" s="64"/>
      <c r="C580" s="64"/>
      <c r="D580" s="64"/>
      <c r="E580" s="64"/>
      <c r="F580" s="64"/>
      <c r="G580" s="64"/>
      <c r="H580" s="63"/>
      <c r="I580" s="64"/>
      <c r="J580" s="64"/>
      <c r="K580" s="64"/>
      <c r="L580" s="64"/>
      <c r="M580" s="64"/>
      <c r="N580" s="64"/>
      <c r="O580" s="64"/>
      <c r="P580" s="64"/>
      <c r="Q580" s="64"/>
      <c r="R580" s="65" t="str">
        <f>IF($A580="","",IFERROR(MINIFS(Candidates!$K$2:$K$2000,Candidates!$A$2:$A$2000,$A580),""))</f>
        <v/>
      </c>
      <c r="S580" s="65" t="str">
        <f>IF($A580="","",IFERROR(MAXIFS(Candidates!$AA$2:$AA$2000,Candidates!$A$2:$A$2000,$A580),""))</f>
        <v/>
      </c>
      <c r="T580" s="64" t="str">
        <f>IFERROR(__xludf.DUMMYFUNCTION("IF($A580="""","""",IFERROR(TEXTJOIN("", "",TRUE,UNIQUE(FILTER(Candidates!$B$2:$B$2000,Candidates!$A$2:$A$2000=$A580))),""""))"),"")</f>
        <v/>
      </c>
      <c r="U580" s="66" t="str">
        <f>IF($A580="","",COUNTIF(Candidates!$A$2:$A$2000,$A580))</f>
        <v/>
      </c>
      <c r="V580" s="64" t="str">
        <f>IFERROR(__xludf.DUMMYFUNCTION("IF($A580="""","""",IFERROR(INDEX(FILTER(Candidates!$S$2:$S$2000,Candidates!$A$2:$A$2000=$A580),COUNTIF(Candidates!$A$2:$A$2000,$A580)),""""))"),"")</f>
        <v/>
      </c>
      <c r="W580" s="64" t="str">
        <f>IFERROR(__xludf.DUMMYFUNCTION("IF($A580="""","""",IFERROR(INDEX(FILTER(Candidates!$T$2:$T$2000,Candidates!$A$2:$A$2000=$A580),COUNTIF(Candidates!$A$2:$A$2000,$A580)),""""))"),"")</f>
        <v/>
      </c>
      <c r="X580" s="64"/>
      <c r="Y580" s="64"/>
      <c r="Z580" s="65"/>
      <c r="AA580" s="65"/>
      <c r="AB580" s="65"/>
      <c r="AC580" s="65"/>
    </row>
    <row r="581">
      <c r="A581" s="64"/>
      <c r="B581" s="64"/>
      <c r="C581" s="64"/>
      <c r="D581" s="64"/>
      <c r="E581" s="64"/>
      <c r="F581" s="64"/>
      <c r="G581" s="64"/>
      <c r="H581" s="63"/>
      <c r="I581" s="64"/>
      <c r="J581" s="64"/>
      <c r="K581" s="64"/>
      <c r="L581" s="64"/>
      <c r="M581" s="64"/>
      <c r="N581" s="64"/>
      <c r="O581" s="64"/>
      <c r="P581" s="64"/>
      <c r="Q581" s="64"/>
      <c r="R581" s="65" t="str">
        <f>IF($A581="","",IFERROR(MINIFS(Candidates!$K$2:$K$2000,Candidates!$A$2:$A$2000,$A581),""))</f>
        <v/>
      </c>
      <c r="S581" s="65" t="str">
        <f>IF($A581="","",IFERROR(MAXIFS(Candidates!$AA$2:$AA$2000,Candidates!$A$2:$A$2000,$A581),""))</f>
        <v/>
      </c>
      <c r="T581" s="64" t="str">
        <f>IFERROR(__xludf.DUMMYFUNCTION("IF($A581="""","""",IFERROR(TEXTJOIN("", "",TRUE,UNIQUE(FILTER(Candidates!$B$2:$B$2000,Candidates!$A$2:$A$2000=$A581))),""""))"),"")</f>
        <v/>
      </c>
      <c r="U581" s="66" t="str">
        <f>IF($A581="","",COUNTIF(Candidates!$A$2:$A$2000,$A581))</f>
        <v/>
      </c>
      <c r="V581" s="64" t="str">
        <f>IFERROR(__xludf.DUMMYFUNCTION("IF($A581="""","""",IFERROR(INDEX(FILTER(Candidates!$S$2:$S$2000,Candidates!$A$2:$A$2000=$A581),COUNTIF(Candidates!$A$2:$A$2000,$A581)),""""))"),"")</f>
        <v/>
      </c>
      <c r="W581" s="64" t="str">
        <f>IFERROR(__xludf.DUMMYFUNCTION("IF($A581="""","""",IFERROR(INDEX(FILTER(Candidates!$T$2:$T$2000,Candidates!$A$2:$A$2000=$A581),COUNTIF(Candidates!$A$2:$A$2000,$A581)),""""))"),"")</f>
        <v/>
      </c>
      <c r="X581" s="64"/>
      <c r="Y581" s="64"/>
      <c r="Z581" s="65"/>
      <c r="AA581" s="65"/>
      <c r="AB581" s="65"/>
      <c r="AC581" s="65"/>
    </row>
    <row r="582">
      <c r="A582" s="64"/>
      <c r="B582" s="64"/>
      <c r="C582" s="64"/>
      <c r="D582" s="64"/>
      <c r="E582" s="64"/>
      <c r="F582" s="64"/>
      <c r="G582" s="64"/>
      <c r="H582" s="63"/>
      <c r="I582" s="64"/>
      <c r="J582" s="64"/>
      <c r="K582" s="64"/>
      <c r="L582" s="64"/>
      <c r="M582" s="64"/>
      <c r="N582" s="64"/>
      <c r="O582" s="64"/>
      <c r="P582" s="64"/>
      <c r="Q582" s="64"/>
      <c r="R582" s="65" t="str">
        <f>IF($A582="","",IFERROR(MINIFS(Candidates!$K$2:$K$2000,Candidates!$A$2:$A$2000,$A582),""))</f>
        <v/>
      </c>
      <c r="S582" s="65" t="str">
        <f>IF($A582="","",IFERROR(MAXIFS(Candidates!$AA$2:$AA$2000,Candidates!$A$2:$A$2000,$A582),""))</f>
        <v/>
      </c>
      <c r="T582" s="64" t="str">
        <f>IFERROR(__xludf.DUMMYFUNCTION("IF($A582="""","""",IFERROR(TEXTJOIN("", "",TRUE,UNIQUE(FILTER(Candidates!$B$2:$B$2000,Candidates!$A$2:$A$2000=$A582))),""""))"),"")</f>
        <v/>
      </c>
      <c r="U582" s="66" t="str">
        <f>IF($A582="","",COUNTIF(Candidates!$A$2:$A$2000,$A582))</f>
        <v/>
      </c>
      <c r="V582" s="64" t="str">
        <f>IFERROR(__xludf.DUMMYFUNCTION("IF($A582="""","""",IFERROR(INDEX(FILTER(Candidates!$S$2:$S$2000,Candidates!$A$2:$A$2000=$A582),COUNTIF(Candidates!$A$2:$A$2000,$A582)),""""))"),"")</f>
        <v/>
      </c>
      <c r="W582" s="64" t="str">
        <f>IFERROR(__xludf.DUMMYFUNCTION("IF($A582="""","""",IFERROR(INDEX(FILTER(Candidates!$T$2:$T$2000,Candidates!$A$2:$A$2000=$A582),COUNTIF(Candidates!$A$2:$A$2000,$A582)),""""))"),"")</f>
        <v/>
      </c>
      <c r="X582" s="64"/>
      <c r="Y582" s="64"/>
      <c r="Z582" s="65"/>
      <c r="AA582" s="65"/>
      <c r="AB582" s="65"/>
      <c r="AC582" s="65"/>
    </row>
    <row r="583">
      <c r="A583" s="64"/>
      <c r="B583" s="64"/>
      <c r="C583" s="64"/>
      <c r="D583" s="64"/>
      <c r="E583" s="64"/>
      <c r="F583" s="64"/>
      <c r="G583" s="64"/>
      <c r="H583" s="63"/>
      <c r="I583" s="64"/>
      <c r="J583" s="64"/>
      <c r="K583" s="64"/>
      <c r="L583" s="64"/>
      <c r="M583" s="64"/>
      <c r="N583" s="64"/>
      <c r="O583" s="64"/>
      <c r="P583" s="64"/>
      <c r="Q583" s="64"/>
      <c r="R583" s="65" t="str">
        <f>IF($A583="","",IFERROR(MINIFS(Candidates!$K$2:$K$2000,Candidates!$A$2:$A$2000,$A583),""))</f>
        <v/>
      </c>
      <c r="S583" s="65" t="str">
        <f>IF($A583="","",IFERROR(MAXIFS(Candidates!$AA$2:$AA$2000,Candidates!$A$2:$A$2000,$A583),""))</f>
        <v/>
      </c>
      <c r="T583" s="64" t="str">
        <f>IFERROR(__xludf.DUMMYFUNCTION("IF($A583="""","""",IFERROR(TEXTJOIN("", "",TRUE,UNIQUE(FILTER(Candidates!$B$2:$B$2000,Candidates!$A$2:$A$2000=$A583))),""""))"),"")</f>
        <v/>
      </c>
      <c r="U583" s="66" t="str">
        <f>IF($A583="","",COUNTIF(Candidates!$A$2:$A$2000,$A583))</f>
        <v/>
      </c>
      <c r="V583" s="64" t="str">
        <f>IFERROR(__xludf.DUMMYFUNCTION("IF($A583="""","""",IFERROR(INDEX(FILTER(Candidates!$S$2:$S$2000,Candidates!$A$2:$A$2000=$A583),COUNTIF(Candidates!$A$2:$A$2000,$A583)),""""))"),"")</f>
        <v/>
      </c>
      <c r="W583" s="64" t="str">
        <f>IFERROR(__xludf.DUMMYFUNCTION("IF($A583="""","""",IFERROR(INDEX(FILTER(Candidates!$T$2:$T$2000,Candidates!$A$2:$A$2000=$A583),COUNTIF(Candidates!$A$2:$A$2000,$A583)),""""))"),"")</f>
        <v/>
      </c>
      <c r="X583" s="64"/>
      <c r="Y583" s="64"/>
      <c r="Z583" s="65"/>
      <c r="AA583" s="65"/>
      <c r="AB583" s="65"/>
      <c r="AC583" s="65"/>
    </row>
    <row r="584">
      <c r="A584" s="64"/>
      <c r="B584" s="64"/>
      <c r="C584" s="64"/>
      <c r="D584" s="64"/>
      <c r="E584" s="64"/>
      <c r="F584" s="64"/>
      <c r="G584" s="64"/>
      <c r="H584" s="63"/>
      <c r="I584" s="64"/>
      <c r="J584" s="64"/>
      <c r="K584" s="64"/>
      <c r="L584" s="64"/>
      <c r="M584" s="64"/>
      <c r="N584" s="64"/>
      <c r="O584" s="64"/>
      <c r="P584" s="64"/>
      <c r="Q584" s="64"/>
      <c r="R584" s="65" t="str">
        <f>IF($A584="","",IFERROR(MINIFS(Candidates!$K$2:$K$2000,Candidates!$A$2:$A$2000,$A584),""))</f>
        <v/>
      </c>
      <c r="S584" s="65" t="str">
        <f>IF($A584="","",IFERROR(MAXIFS(Candidates!$AA$2:$AA$2000,Candidates!$A$2:$A$2000,$A584),""))</f>
        <v/>
      </c>
      <c r="T584" s="64" t="str">
        <f>IFERROR(__xludf.DUMMYFUNCTION("IF($A584="""","""",IFERROR(TEXTJOIN("", "",TRUE,UNIQUE(FILTER(Candidates!$B$2:$B$2000,Candidates!$A$2:$A$2000=$A584))),""""))"),"")</f>
        <v/>
      </c>
      <c r="U584" s="66" t="str">
        <f>IF($A584="","",COUNTIF(Candidates!$A$2:$A$2000,$A584))</f>
        <v/>
      </c>
      <c r="V584" s="64" t="str">
        <f>IFERROR(__xludf.DUMMYFUNCTION("IF($A584="""","""",IFERROR(INDEX(FILTER(Candidates!$S$2:$S$2000,Candidates!$A$2:$A$2000=$A584),COUNTIF(Candidates!$A$2:$A$2000,$A584)),""""))"),"")</f>
        <v/>
      </c>
      <c r="W584" s="64" t="str">
        <f>IFERROR(__xludf.DUMMYFUNCTION("IF($A584="""","""",IFERROR(INDEX(FILTER(Candidates!$T$2:$T$2000,Candidates!$A$2:$A$2000=$A584),COUNTIF(Candidates!$A$2:$A$2000,$A584)),""""))"),"")</f>
        <v/>
      </c>
      <c r="X584" s="64"/>
      <c r="Y584" s="64"/>
      <c r="Z584" s="65"/>
      <c r="AA584" s="65"/>
      <c r="AB584" s="65"/>
      <c r="AC584" s="65"/>
    </row>
    <row r="585">
      <c r="A585" s="64"/>
      <c r="B585" s="64"/>
      <c r="C585" s="64"/>
      <c r="D585" s="64"/>
      <c r="E585" s="64"/>
      <c r="F585" s="64"/>
      <c r="G585" s="64"/>
      <c r="H585" s="63"/>
      <c r="I585" s="64"/>
      <c r="J585" s="64"/>
      <c r="K585" s="64"/>
      <c r="L585" s="64"/>
      <c r="M585" s="64"/>
      <c r="N585" s="64"/>
      <c r="O585" s="64"/>
      <c r="P585" s="64"/>
      <c r="Q585" s="64"/>
      <c r="R585" s="65" t="str">
        <f>IF($A585="","",IFERROR(MINIFS(Candidates!$K$2:$K$2000,Candidates!$A$2:$A$2000,$A585),""))</f>
        <v/>
      </c>
      <c r="S585" s="65" t="str">
        <f>IF($A585="","",IFERROR(MAXIFS(Candidates!$AA$2:$AA$2000,Candidates!$A$2:$A$2000,$A585),""))</f>
        <v/>
      </c>
      <c r="T585" s="64" t="str">
        <f>IFERROR(__xludf.DUMMYFUNCTION("IF($A585="""","""",IFERROR(TEXTJOIN("", "",TRUE,UNIQUE(FILTER(Candidates!$B$2:$B$2000,Candidates!$A$2:$A$2000=$A585))),""""))"),"")</f>
        <v/>
      </c>
      <c r="U585" s="66" t="str">
        <f>IF($A585="","",COUNTIF(Candidates!$A$2:$A$2000,$A585))</f>
        <v/>
      </c>
      <c r="V585" s="64" t="str">
        <f>IFERROR(__xludf.DUMMYFUNCTION("IF($A585="""","""",IFERROR(INDEX(FILTER(Candidates!$S$2:$S$2000,Candidates!$A$2:$A$2000=$A585),COUNTIF(Candidates!$A$2:$A$2000,$A585)),""""))"),"")</f>
        <v/>
      </c>
      <c r="W585" s="64" t="str">
        <f>IFERROR(__xludf.DUMMYFUNCTION("IF($A585="""","""",IFERROR(INDEX(FILTER(Candidates!$T$2:$T$2000,Candidates!$A$2:$A$2000=$A585),COUNTIF(Candidates!$A$2:$A$2000,$A585)),""""))"),"")</f>
        <v/>
      </c>
      <c r="X585" s="64"/>
      <c r="Y585" s="64"/>
      <c r="Z585" s="65"/>
      <c r="AA585" s="65"/>
      <c r="AB585" s="65"/>
      <c r="AC585" s="65"/>
    </row>
    <row r="586">
      <c r="A586" s="64"/>
      <c r="B586" s="64"/>
      <c r="C586" s="64"/>
      <c r="D586" s="64"/>
      <c r="E586" s="64"/>
      <c r="F586" s="64"/>
      <c r="G586" s="64"/>
      <c r="H586" s="63"/>
      <c r="I586" s="64"/>
      <c r="J586" s="64"/>
      <c r="K586" s="64"/>
      <c r="L586" s="64"/>
      <c r="M586" s="64"/>
      <c r="N586" s="64"/>
      <c r="O586" s="64"/>
      <c r="P586" s="64"/>
      <c r="Q586" s="64"/>
      <c r="R586" s="65" t="str">
        <f>IF($A586="","",IFERROR(MINIFS(Candidates!$K$2:$K$2000,Candidates!$A$2:$A$2000,$A586),""))</f>
        <v/>
      </c>
      <c r="S586" s="65" t="str">
        <f>IF($A586="","",IFERROR(MAXIFS(Candidates!$AA$2:$AA$2000,Candidates!$A$2:$A$2000,$A586),""))</f>
        <v/>
      </c>
      <c r="T586" s="64" t="str">
        <f>IFERROR(__xludf.DUMMYFUNCTION("IF($A586="""","""",IFERROR(TEXTJOIN("", "",TRUE,UNIQUE(FILTER(Candidates!$B$2:$B$2000,Candidates!$A$2:$A$2000=$A586))),""""))"),"")</f>
        <v/>
      </c>
      <c r="U586" s="66" t="str">
        <f>IF($A586="","",COUNTIF(Candidates!$A$2:$A$2000,$A586))</f>
        <v/>
      </c>
      <c r="V586" s="64" t="str">
        <f>IFERROR(__xludf.DUMMYFUNCTION("IF($A586="""","""",IFERROR(INDEX(FILTER(Candidates!$S$2:$S$2000,Candidates!$A$2:$A$2000=$A586),COUNTIF(Candidates!$A$2:$A$2000,$A586)),""""))"),"")</f>
        <v/>
      </c>
      <c r="W586" s="64" t="str">
        <f>IFERROR(__xludf.DUMMYFUNCTION("IF($A586="""","""",IFERROR(INDEX(FILTER(Candidates!$T$2:$T$2000,Candidates!$A$2:$A$2000=$A586),COUNTIF(Candidates!$A$2:$A$2000,$A586)),""""))"),"")</f>
        <v/>
      </c>
      <c r="X586" s="64"/>
      <c r="Y586" s="64"/>
      <c r="Z586" s="65"/>
      <c r="AA586" s="65"/>
      <c r="AB586" s="65"/>
      <c r="AC586" s="65"/>
    </row>
    <row r="587">
      <c r="A587" s="64"/>
      <c r="B587" s="64"/>
      <c r="C587" s="64"/>
      <c r="D587" s="64"/>
      <c r="E587" s="64"/>
      <c r="F587" s="64"/>
      <c r="G587" s="64"/>
      <c r="H587" s="63"/>
      <c r="I587" s="64"/>
      <c r="J587" s="64"/>
      <c r="K587" s="64"/>
      <c r="L587" s="64"/>
      <c r="M587" s="64"/>
      <c r="N587" s="64"/>
      <c r="O587" s="64"/>
      <c r="P587" s="64"/>
      <c r="Q587" s="64"/>
      <c r="R587" s="65" t="str">
        <f>IF($A587="","",IFERROR(MINIFS(Candidates!$K$2:$K$2000,Candidates!$A$2:$A$2000,$A587),""))</f>
        <v/>
      </c>
      <c r="S587" s="65" t="str">
        <f>IF($A587="","",IFERROR(MAXIFS(Candidates!$AA$2:$AA$2000,Candidates!$A$2:$A$2000,$A587),""))</f>
        <v/>
      </c>
      <c r="T587" s="64" t="str">
        <f>IFERROR(__xludf.DUMMYFUNCTION("IF($A587="""","""",IFERROR(TEXTJOIN("", "",TRUE,UNIQUE(FILTER(Candidates!$B$2:$B$2000,Candidates!$A$2:$A$2000=$A587))),""""))"),"")</f>
        <v/>
      </c>
      <c r="U587" s="66" t="str">
        <f>IF($A587="","",COUNTIF(Candidates!$A$2:$A$2000,$A587))</f>
        <v/>
      </c>
      <c r="V587" s="64" t="str">
        <f>IFERROR(__xludf.DUMMYFUNCTION("IF($A587="""","""",IFERROR(INDEX(FILTER(Candidates!$S$2:$S$2000,Candidates!$A$2:$A$2000=$A587),COUNTIF(Candidates!$A$2:$A$2000,$A587)),""""))"),"")</f>
        <v/>
      </c>
      <c r="W587" s="64" t="str">
        <f>IFERROR(__xludf.DUMMYFUNCTION("IF($A587="""","""",IFERROR(INDEX(FILTER(Candidates!$T$2:$T$2000,Candidates!$A$2:$A$2000=$A587),COUNTIF(Candidates!$A$2:$A$2000,$A587)),""""))"),"")</f>
        <v/>
      </c>
      <c r="X587" s="64"/>
      <c r="Y587" s="64"/>
      <c r="Z587" s="65"/>
      <c r="AA587" s="65"/>
      <c r="AB587" s="65"/>
      <c r="AC587" s="65"/>
    </row>
    <row r="588">
      <c r="A588" s="64"/>
      <c r="B588" s="64"/>
      <c r="C588" s="64"/>
      <c r="D588" s="64"/>
      <c r="E588" s="64"/>
      <c r="F588" s="64"/>
      <c r="G588" s="64"/>
      <c r="H588" s="63"/>
      <c r="I588" s="64"/>
      <c r="J588" s="64"/>
      <c r="K588" s="64"/>
      <c r="L588" s="64"/>
      <c r="M588" s="64"/>
      <c r="N588" s="64"/>
      <c r="O588" s="64"/>
      <c r="P588" s="64"/>
      <c r="Q588" s="64"/>
      <c r="R588" s="65" t="str">
        <f>IF($A588="","",IFERROR(MINIFS(Candidates!$K$2:$K$2000,Candidates!$A$2:$A$2000,$A588),""))</f>
        <v/>
      </c>
      <c r="S588" s="65" t="str">
        <f>IF($A588="","",IFERROR(MAXIFS(Candidates!$AA$2:$AA$2000,Candidates!$A$2:$A$2000,$A588),""))</f>
        <v/>
      </c>
      <c r="T588" s="64" t="str">
        <f>IFERROR(__xludf.DUMMYFUNCTION("IF($A588="""","""",IFERROR(TEXTJOIN("", "",TRUE,UNIQUE(FILTER(Candidates!$B$2:$B$2000,Candidates!$A$2:$A$2000=$A588))),""""))"),"")</f>
        <v/>
      </c>
      <c r="U588" s="66" t="str">
        <f>IF($A588="","",COUNTIF(Candidates!$A$2:$A$2000,$A588))</f>
        <v/>
      </c>
      <c r="V588" s="64" t="str">
        <f>IFERROR(__xludf.DUMMYFUNCTION("IF($A588="""","""",IFERROR(INDEX(FILTER(Candidates!$S$2:$S$2000,Candidates!$A$2:$A$2000=$A588),COUNTIF(Candidates!$A$2:$A$2000,$A588)),""""))"),"")</f>
        <v/>
      </c>
      <c r="W588" s="64" t="str">
        <f>IFERROR(__xludf.DUMMYFUNCTION("IF($A588="""","""",IFERROR(INDEX(FILTER(Candidates!$T$2:$T$2000,Candidates!$A$2:$A$2000=$A588),COUNTIF(Candidates!$A$2:$A$2000,$A588)),""""))"),"")</f>
        <v/>
      </c>
      <c r="X588" s="64"/>
      <c r="Y588" s="64"/>
      <c r="Z588" s="65"/>
      <c r="AA588" s="65"/>
      <c r="AB588" s="65"/>
      <c r="AC588" s="65"/>
    </row>
    <row r="589">
      <c r="A589" s="64"/>
      <c r="B589" s="64"/>
      <c r="C589" s="64"/>
      <c r="D589" s="64"/>
      <c r="E589" s="64"/>
      <c r="F589" s="64"/>
      <c r="G589" s="64"/>
      <c r="H589" s="63"/>
      <c r="I589" s="64"/>
      <c r="J589" s="64"/>
      <c r="K589" s="64"/>
      <c r="L589" s="64"/>
      <c r="M589" s="64"/>
      <c r="N589" s="64"/>
      <c r="O589" s="64"/>
      <c r="P589" s="64"/>
      <c r="Q589" s="64"/>
      <c r="R589" s="65" t="str">
        <f>IF($A589="","",IFERROR(MINIFS(Candidates!$K$2:$K$2000,Candidates!$A$2:$A$2000,$A589),""))</f>
        <v/>
      </c>
      <c r="S589" s="65" t="str">
        <f>IF($A589="","",IFERROR(MAXIFS(Candidates!$AA$2:$AA$2000,Candidates!$A$2:$A$2000,$A589),""))</f>
        <v/>
      </c>
      <c r="T589" s="64" t="str">
        <f>IFERROR(__xludf.DUMMYFUNCTION("IF($A589="""","""",IFERROR(TEXTJOIN("", "",TRUE,UNIQUE(FILTER(Candidates!$B$2:$B$2000,Candidates!$A$2:$A$2000=$A589))),""""))"),"")</f>
        <v/>
      </c>
      <c r="U589" s="66" t="str">
        <f>IF($A589="","",COUNTIF(Candidates!$A$2:$A$2000,$A589))</f>
        <v/>
      </c>
      <c r="V589" s="64" t="str">
        <f>IFERROR(__xludf.DUMMYFUNCTION("IF($A589="""","""",IFERROR(INDEX(FILTER(Candidates!$S$2:$S$2000,Candidates!$A$2:$A$2000=$A589),COUNTIF(Candidates!$A$2:$A$2000,$A589)),""""))"),"")</f>
        <v/>
      </c>
      <c r="W589" s="64" t="str">
        <f>IFERROR(__xludf.DUMMYFUNCTION("IF($A589="""","""",IFERROR(INDEX(FILTER(Candidates!$T$2:$T$2000,Candidates!$A$2:$A$2000=$A589),COUNTIF(Candidates!$A$2:$A$2000,$A589)),""""))"),"")</f>
        <v/>
      </c>
      <c r="X589" s="64"/>
      <c r="Y589" s="64"/>
      <c r="Z589" s="65"/>
      <c r="AA589" s="65"/>
      <c r="AB589" s="65"/>
      <c r="AC589" s="65"/>
    </row>
    <row r="590">
      <c r="A590" s="64"/>
      <c r="B590" s="64"/>
      <c r="C590" s="64"/>
      <c r="D590" s="64"/>
      <c r="E590" s="64"/>
      <c r="F590" s="64"/>
      <c r="G590" s="64"/>
      <c r="H590" s="63"/>
      <c r="I590" s="64"/>
      <c r="J590" s="64"/>
      <c r="K590" s="64"/>
      <c r="L590" s="64"/>
      <c r="M590" s="64"/>
      <c r="N590" s="64"/>
      <c r="O590" s="64"/>
      <c r="P590" s="64"/>
      <c r="Q590" s="64"/>
      <c r="R590" s="65" t="str">
        <f>IF($A590="","",IFERROR(MINIFS(Candidates!$K$2:$K$2000,Candidates!$A$2:$A$2000,$A590),""))</f>
        <v/>
      </c>
      <c r="S590" s="65" t="str">
        <f>IF($A590="","",IFERROR(MAXIFS(Candidates!$AA$2:$AA$2000,Candidates!$A$2:$A$2000,$A590),""))</f>
        <v/>
      </c>
      <c r="T590" s="64" t="str">
        <f>IFERROR(__xludf.DUMMYFUNCTION("IF($A590="""","""",IFERROR(TEXTJOIN("", "",TRUE,UNIQUE(FILTER(Candidates!$B$2:$B$2000,Candidates!$A$2:$A$2000=$A590))),""""))"),"")</f>
        <v/>
      </c>
      <c r="U590" s="66" t="str">
        <f>IF($A590="","",COUNTIF(Candidates!$A$2:$A$2000,$A590))</f>
        <v/>
      </c>
      <c r="V590" s="64" t="str">
        <f>IFERROR(__xludf.DUMMYFUNCTION("IF($A590="""","""",IFERROR(INDEX(FILTER(Candidates!$S$2:$S$2000,Candidates!$A$2:$A$2000=$A590),COUNTIF(Candidates!$A$2:$A$2000,$A590)),""""))"),"")</f>
        <v/>
      </c>
      <c r="W590" s="64" t="str">
        <f>IFERROR(__xludf.DUMMYFUNCTION("IF($A590="""","""",IFERROR(INDEX(FILTER(Candidates!$T$2:$T$2000,Candidates!$A$2:$A$2000=$A590),COUNTIF(Candidates!$A$2:$A$2000,$A590)),""""))"),"")</f>
        <v/>
      </c>
      <c r="X590" s="64"/>
      <c r="Y590" s="64"/>
      <c r="Z590" s="65"/>
      <c r="AA590" s="65"/>
      <c r="AB590" s="65"/>
      <c r="AC590" s="65"/>
    </row>
    <row r="591">
      <c r="A591" s="64"/>
      <c r="B591" s="64"/>
      <c r="C591" s="64"/>
      <c r="D591" s="64"/>
      <c r="E591" s="64"/>
      <c r="F591" s="64"/>
      <c r="G591" s="64"/>
      <c r="H591" s="63"/>
      <c r="I591" s="64"/>
      <c r="J591" s="64"/>
      <c r="K591" s="64"/>
      <c r="L591" s="64"/>
      <c r="M591" s="64"/>
      <c r="N591" s="64"/>
      <c r="O591" s="64"/>
      <c r="P591" s="64"/>
      <c r="Q591" s="64"/>
      <c r="R591" s="65" t="str">
        <f>IF($A591="","",IFERROR(MINIFS(Candidates!$K$2:$K$2000,Candidates!$A$2:$A$2000,$A591),""))</f>
        <v/>
      </c>
      <c r="S591" s="65" t="str">
        <f>IF($A591="","",IFERROR(MAXIFS(Candidates!$AA$2:$AA$2000,Candidates!$A$2:$A$2000,$A591),""))</f>
        <v/>
      </c>
      <c r="T591" s="64" t="str">
        <f>IFERROR(__xludf.DUMMYFUNCTION("IF($A591="""","""",IFERROR(TEXTJOIN("", "",TRUE,UNIQUE(FILTER(Candidates!$B$2:$B$2000,Candidates!$A$2:$A$2000=$A591))),""""))"),"")</f>
        <v/>
      </c>
      <c r="U591" s="66" t="str">
        <f>IF($A591="","",COUNTIF(Candidates!$A$2:$A$2000,$A591))</f>
        <v/>
      </c>
      <c r="V591" s="64" t="str">
        <f>IFERROR(__xludf.DUMMYFUNCTION("IF($A591="""","""",IFERROR(INDEX(FILTER(Candidates!$S$2:$S$2000,Candidates!$A$2:$A$2000=$A591),COUNTIF(Candidates!$A$2:$A$2000,$A591)),""""))"),"")</f>
        <v/>
      </c>
      <c r="W591" s="64" t="str">
        <f>IFERROR(__xludf.DUMMYFUNCTION("IF($A591="""","""",IFERROR(INDEX(FILTER(Candidates!$T$2:$T$2000,Candidates!$A$2:$A$2000=$A591),COUNTIF(Candidates!$A$2:$A$2000,$A591)),""""))"),"")</f>
        <v/>
      </c>
      <c r="X591" s="64"/>
      <c r="Y591" s="64"/>
      <c r="Z591" s="65"/>
      <c r="AA591" s="65"/>
      <c r="AB591" s="65"/>
      <c r="AC591" s="65"/>
    </row>
    <row r="592">
      <c r="A592" s="64"/>
      <c r="B592" s="64"/>
      <c r="C592" s="64"/>
      <c r="D592" s="64"/>
      <c r="E592" s="64"/>
      <c r="F592" s="64"/>
      <c r="G592" s="64"/>
      <c r="H592" s="63"/>
      <c r="I592" s="64"/>
      <c r="J592" s="64"/>
      <c r="K592" s="64"/>
      <c r="L592" s="64"/>
      <c r="M592" s="64"/>
      <c r="N592" s="64"/>
      <c r="O592" s="64"/>
      <c r="P592" s="64"/>
      <c r="Q592" s="64"/>
      <c r="R592" s="65" t="str">
        <f>IF($A592="","",IFERROR(MINIFS(Candidates!$K$2:$K$2000,Candidates!$A$2:$A$2000,$A592),""))</f>
        <v/>
      </c>
      <c r="S592" s="65" t="str">
        <f>IF($A592="","",IFERROR(MAXIFS(Candidates!$AA$2:$AA$2000,Candidates!$A$2:$A$2000,$A592),""))</f>
        <v/>
      </c>
      <c r="T592" s="64" t="str">
        <f>IFERROR(__xludf.DUMMYFUNCTION("IF($A592="""","""",IFERROR(TEXTJOIN("", "",TRUE,UNIQUE(FILTER(Candidates!$B$2:$B$2000,Candidates!$A$2:$A$2000=$A592))),""""))"),"")</f>
        <v/>
      </c>
      <c r="U592" s="66" t="str">
        <f>IF($A592="","",COUNTIF(Candidates!$A$2:$A$2000,$A592))</f>
        <v/>
      </c>
      <c r="V592" s="64" t="str">
        <f>IFERROR(__xludf.DUMMYFUNCTION("IF($A592="""","""",IFERROR(INDEX(FILTER(Candidates!$S$2:$S$2000,Candidates!$A$2:$A$2000=$A592),COUNTIF(Candidates!$A$2:$A$2000,$A592)),""""))"),"")</f>
        <v/>
      </c>
      <c r="W592" s="64" t="str">
        <f>IFERROR(__xludf.DUMMYFUNCTION("IF($A592="""","""",IFERROR(INDEX(FILTER(Candidates!$T$2:$T$2000,Candidates!$A$2:$A$2000=$A592),COUNTIF(Candidates!$A$2:$A$2000,$A592)),""""))"),"")</f>
        <v/>
      </c>
      <c r="X592" s="64"/>
      <c r="Y592" s="64"/>
      <c r="Z592" s="65"/>
      <c r="AA592" s="65"/>
      <c r="AB592" s="65"/>
      <c r="AC592" s="65"/>
    </row>
    <row r="593">
      <c r="A593" s="64"/>
      <c r="B593" s="64"/>
      <c r="C593" s="64"/>
      <c r="D593" s="64"/>
      <c r="E593" s="64"/>
      <c r="F593" s="64"/>
      <c r="G593" s="64"/>
      <c r="H593" s="63"/>
      <c r="I593" s="64"/>
      <c r="J593" s="64"/>
      <c r="K593" s="64"/>
      <c r="L593" s="64"/>
      <c r="M593" s="64"/>
      <c r="N593" s="64"/>
      <c r="O593" s="64"/>
      <c r="P593" s="64"/>
      <c r="Q593" s="64"/>
      <c r="R593" s="65" t="str">
        <f>IF($A593="","",IFERROR(MINIFS(Candidates!$K$2:$K$2000,Candidates!$A$2:$A$2000,$A593),""))</f>
        <v/>
      </c>
      <c r="S593" s="65" t="str">
        <f>IF($A593="","",IFERROR(MAXIFS(Candidates!$AA$2:$AA$2000,Candidates!$A$2:$A$2000,$A593),""))</f>
        <v/>
      </c>
      <c r="T593" s="64" t="str">
        <f>IFERROR(__xludf.DUMMYFUNCTION("IF($A593="""","""",IFERROR(TEXTJOIN("", "",TRUE,UNIQUE(FILTER(Candidates!$B$2:$B$2000,Candidates!$A$2:$A$2000=$A593))),""""))"),"")</f>
        <v/>
      </c>
      <c r="U593" s="66" t="str">
        <f>IF($A593="","",COUNTIF(Candidates!$A$2:$A$2000,$A593))</f>
        <v/>
      </c>
      <c r="V593" s="64" t="str">
        <f>IFERROR(__xludf.DUMMYFUNCTION("IF($A593="""","""",IFERROR(INDEX(FILTER(Candidates!$S$2:$S$2000,Candidates!$A$2:$A$2000=$A593),COUNTIF(Candidates!$A$2:$A$2000,$A593)),""""))"),"")</f>
        <v/>
      </c>
      <c r="W593" s="64" t="str">
        <f>IFERROR(__xludf.DUMMYFUNCTION("IF($A593="""","""",IFERROR(INDEX(FILTER(Candidates!$T$2:$T$2000,Candidates!$A$2:$A$2000=$A593),COUNTIF(Candidates!$A$2:$A$2000,$A593)),""""))"),"")</f>
        <v/>
      </c>
      <c r="X593" s="64"/>
      <c r="Y593" s="64"/>
      <c r="Z593" s="65"/>
      <c r="AA593" s="65"/>
      <c r="AB593" s="65"/>
      <c r="AC593" s="65"/>
    </row>
    <row r="594">
      <c r="A594" s="64"/>
      <c r="B594" s="64"/>
      <c r="C594" s="64"/>
      <c r="D594" s="64"/>
      <c r="E594" s="64"/>
      <c r="F594" s="64"/>
      <c r="G594" s="64"/>
      <c r="H594" s="63"/>
      <c r="I594" s="64"/>
      <c r="J594" s="64"/>
      <c r="K594" s="64"/>
      <c r="L594" s="64"/>
      <c r="M594" s="64"/>
      <c r="N594" s="64"/>
      <c r="O594" s="64"/>
      <c r="P594" s="64"/>
      <c r="Q594" s="64"/>
      <c r="R594" s="65" t="str">
        <f>IF($A594="","",IFERROR(MINIFS(Candidates!$K$2:$K$2000,Candidates!$A$2:$A$2000,$A594),""))</f>
        <v/>
      </c>
      <c r="S594" s="65" t="str">
        <f>IF($A594="","",IFERROR(MAXIFS(Candidates!$AA$2:$AA$2000,Candidates!$A$2:$A$2000,$A594),""))</f>
        <v/>
      </c>
      <c r="T594" s="64" t="str">
        <f>IFERROR(__xludf.DUMMYFUNCTION("IF($A594="""","""",IFERROR(TEXTJOIN("", "",TRUE,UNIQUE(FILTER(Candidates!$B$2:$B$2000,Candidates!$A$2:$A$2000=$A594))),""""))"),"")</f>
        <v/>
      </c>
      <c r="U594" s="66" t="str">
        <f>IF($A594="","",COUNTIF(Candidates!$A$2:$A$2000,$A594))</f>
        <v/>
      </c>
      <c r="V594" s="64" t="str">
        <f>IFERROR(__xludf.DUMMYFUNCTION("IF($A594="""","""",IFERROR(INDEX(FILTER(Candidates!$S$2:$S$2000,Candidates!$A$2:$A$2000=$A594),COUNTIF(Candidates!$A$2:$A$2000,$A594)),""""))"),"")</f>
        <v/>
      </c>
      <c r="W594" s="64" t="str">
        <f>IFERROR(__xludf.DUMMYFUNCTION("IF($A594="""","""",IFERROR(INDEX(FILTER(Candidates!$T$2:$T$2000,Candidates!$A$2:$A$2000=$A594),COUNTIF(Candidates!$A$2:$A$2000,$A594)),""""))"),"")</f>
        <v/>
      </c>
      <c r="X594" s="64"/>
      <c r="Y594" s="64"/>
      <c r="Z594" s="65"/>
      <c r="AA594" s="65"/>
      <c r="AB594" s="65"/>
      <c r="AC594" s="65"/>
    </row>
    <row r="595">
      <c r="A595" s="64"/>
      <c r="B595" s="64"/>
      <c r="C595" s="64"/>
      <c r="D595" s="64"/>
      <c r="E595" s="64"/>
      <c r="F595" s="64"/>
      <c r="G595" s="64"/>
      <c r="H595" s="63"/>
      <c r="I595" s="64"/>
      <c r="J595" s="64"/>
      <c r="K595" s="64"/>
      <c r="L595" s="64"/>
      <c r="M595" s="64"/>
      <c r="N595" s="64"/>
      <c r="O595" s="64"/>
      <c r="P595" s="64"/>
      <c r="Q595" s="64"/>
      <c r="R595" s="65" t="str">
        <f>IF($A595="","",IFERROR(MINIFS(Candidates!$K$2:$K$2000,Candidates!$A$2:$A$2000,$A595),""))</f>
        <v/>
      </c>
      <c r="S595" s="65" t="str">
        <f>IF($A595="","",IFERROR(MAXIFS(Candidates!$AA$2:$AA$2000,Candidates!$A$2:$A$2000,$A595),""))</f>
        <v/>
      </c>
      <c r="T595" s="64" t="str">
        <f>IFERROR(__xludf.DUMMYFUNCTION("IF($A595="""","""",IFERROR(TEXTJOIN("", "",TRUE,UNIQUE(FILTER(Candidates!$B$2:$B$2000,Candidates!$A$2:$A$2000=$A595))),""""))"),"")</f>
        <v/>
      </c>
      <c r="U595" s="66" t="str">
        <f>IF($A595="","",COUNTIF(Candidates!$A$2:$A$2000,$A595))</f>
        <v/>
      </c>
      <c r="V595" s="64" t="str">
        <f>IFERROR(__xludf.DUMMYFUNCTION("IF($A595="""","""",IFERROR(INDEX(FILTER(Candidates!$S$2:$S$2000,Candidates!$A$2:$A$2000=$A595),COUNTIF(Candidates!$A$2:$A$2000,$A595)),""""))"),"")</f>
        <v/>
      </c>
      <c r="W595" s="64" t="str">
        <f>IFERROR(__xludf.DUMMYFUNCTION("IF($A595="""","""",IFERROR(INDEX(FILTER(Candidates!$T$2:$T$2000,Candidates!$A$2:$A$2000=$A595),COUNTIF(Candidates!$A$2:$A$2000,$A595)),""""))"),"")</f>
        <v/>
      </c>
      <c r="X595" s="64"/>
      <c r="Y595" s="64"/>
      <c r="Z595" s="65"/>
      <c r="AA595" s="65"/>
      <c r="AB595" s="65"/>
      <c r="AC595" s="65"/>
    </row>
    <row r="596">
      <c r="A596" s="64"/>
      <c r="B596" s="64"/>
      <c r="C596" s="64"/>
      <c r="D596" s="64"/>
      <c r="E596" s="64"/>
      <c r="F596" s="64"/>
      <c r="G596" s="64"/>
      <c r="H596" s="63"/>
      <c r="I596" s="64"/>
      <c r="J596" s="64"/>
      <c r="K596" s="64"/>
      <c r="L596" s="64"/>
      <c r="M596" s="64"/>
      <c r="N596" s="64"/>
      <c r="O596" s="64"/>
      <c r="P596" s="64"/>
      <c r="Q596" s="64"/>
      <c r="R596" s="65" t="str">
        <f>IF($A596="","",IFERROR(MINIFS(Candidates!$K$2:$K$2000,Candidates!$A$2:$A$2000,$A596),""))</f>
        <v/>
      </c>
      <c r="S596" s="65" t="str">
        <f>IF($A596="","",IFERROR(MAXIFS(Candidates!$AA$2:$AA$2000,Candidates!$A$2:$A$2000,$A596),""))</f>
        <v/>
      </c>
      <c r="T596" s="64" t="str">
        <f>IFERROR(__xludf.DUMMYFUNCTION("IF($A596="""","""",IFERROR(TEXTJOIN("", "",TRUE,UNIQUE(FILTER(Candidates!$B$2:$B$2000,Candidates!$A$2:$A$2000=$A596))),""""))"),"")</f>
        <v/>
      </c>
      <c r="U596" s="66" t="str">
        <f>IF($A596="","",COUNTIF(Candidates!$A$2:$A$2000,$A596))</f>
        <v/>
      </c>
      <c r="V596" s="64" t="str">
        <f>IFERROR(__xludf.DUMMYFUNCTION("IF($A596="""","""",IFERROR(INDEX(FILTER(Candidates!$S$2:$S$2000,Candidates!$A$2:$A$2000=$A596),COUNTIF(Candidates!$A$2:$A$2000,$A596)),""""))"),"")</f>
        <v/>
      </c>
      <c r="W596" s="64" t="str">
        <f>IFERROR(__xludf.DUMMYFUNCTION("IF($A596="""","""",IFERROR(INDEX(FILTER(Candidates!$T$2:$T$2000,Candidates!$A$2:$A$2000=$A596),COUNTIF(Candidates!$A$2:$A$2000,$A596)),""""))"),"")</f>
        <v/>
      </c>
      <c r="X596" s="64"/>
      <c r="Y596" s="64"/>
      <c r="Z596" s="65"/>
      <c r="AA596" s="65"/>
      <c r="AB596" s="65"/>
      <c r="AC596" s="65"/>
    </row>
    <row r="597">
      <c r="A597" s="64"/>
      <c r="B597" s="64"/>
      <c r="C597" s="64"/>
      <c r="D597" s="64"/>
      <c r="E597" s="64"/>
      <c r="F597" s="64"/>
      <c r="G597" s="64"/>
      <c r="H597" s="63"/>
      <c r="I597" s="64"/>
      <c r="J597" s="64"/>
      <c r="K597" s="64"/>
      <c r="L597" s="64"/>
      <c r="M597" s="64"/>
      <c r="N597" s="64"/>
      <c r="O597" s="64"/>
      <c r="P597" s="64"/>
      <c r="Q597" s="64"/>
      <c r="R597" s="65" t="str">
        <f>IF($A597="","",IFERROR(MINIFS(Candidates!$K$2:$K$2000,Candidates!$A$2:$A$2000,$A597),""))</f>
        <v/>
      </c>
      <c r="S597" s="65" t="str">
        <f>IF($A597="","",IFERROR(MAXIFS(Candidates!$AA$2:$AA$2000,Candidates!$A$2:$A$2000,$A597),""))</f>
        <v/>
      </c>
      <c r="T597" s="64" t="str">
        <f>IFERROR(__xludf.DUMMYFUNCTION("IF($A597="""","""",IFERROR(TEXTJOIN("", "",TRUE,UNIQUE(FILTER(Candidates!$B$2:$B$2000,Candidates!$A$2:$A$2000=$A597))),""""))"),"")</f>
        <v/>
      </c>
      <c r="U597" s="66" t="str">
        <f>IF($A597="","",COUNTIF(Candidates!$A$2:$A$2000,$A597))</f>
        <v/>
      </c>
      <c r="V597" s="64" t="str">
        <f>IFERROR(__xludf.DUMMYFUNCTION("IF($A597="""","""",IFERROR(INDEX(FILTER(Candidates!$S$2:$S$2000,Candidates!$A$2:$A$2000=$A597),COUNTIF(Candidates!$A$2:$A$2000,$A597)),""""))"),"")</f>
        <v/>
      </c>
      <c r="W597" s="64" t="str">
        <f>IFERROR(__xludf.DUMMYFUNCTION("IF($A597="""","""",IFERROR(INDEX(FILTER(Candidates!$T$2:$T$2000,Candidates!$A$2:$A$2000=$A597),COUNTIF(Candidates!$A$2:$A$2000,$A597)),""""))"),"")</f>
        <v/>
      </c>
      <c r="X597" s="64"/>
      <c r="Y597" s="64"/>
      <c r="Z597" s="65"/>
      <c r="AA597" s="65"/>
      <c r="AB597" s="65"/>
      <c r="AC597" s="65"/>
    </row>
    <row r="598">
      <c r="A598" s="64"/>
      <c r="B598" s="64"/>
      <c r="C598" s="64"/>
      <c r="D598" s="64"/>
      <c r="E598" s="64"/>
      <c r="F598" s="64"/>
      <c r="G598" s="64"/>
      <c r="H598" s="63"/>
      <c r="I598" s="64"/>
      <c r="J598" s="64"/>
      <c r="K598" s="64"/>
      <c r="L598" s="64"/>
      <c r="M598" s="64"/>
      <c r="N598" s="64"/>
      <c r="O598" s="64"/>
      <c r="P598" s="64"/>
      <c r="Q598" s="64"/>
      <c r="R598" s="65" t="str">
        <f>IF($A598="","",IFERROR(MINIFS(Candidates!$K$2:$K$2000,Candidates!$A$2:$A$2000,$A598),""))</f>
        <v/>
      </c>
      <c r="S598" s="65" t="str">
        <f>IF($A598="","",IFERROR(MAXIFS(Candidates!$AA$2:$AA$2000,Candidates!$A$2:$A$2000,$A598),""))</f>
        <v/>
      </c>
      <c r="T598" s="64" t="str">
        <f>IFERROR(__xludf.DUMMYFUNCTION("IF($A598="""","""",IFERROR(TEXTJOIN("", "",TRUE,UNIQUE(FILTER(Candidates!$B$2:$B$2000,Candidates!$A$2:$A$2000=$A598))),""""))"),"")</f>
        <v/>
      </c>
      <c r="U598" s="66" t="str">
        <f>IF($A598="","",COUNTIF(Candidates!$A$2:$A$2000,$A598))</f>
        <v/>
      </c>
      <c r="V598" s="64" t="str">
        <f>IFERROR(__xludf.DUMMYFUNCTION("IF($A598="""","""",IFERROR(INDEX(FILTER(Candidates!$S$2:$S$2000,Candidates!$A$2:$A$2000=$A598),COUNTIF(Candidates!$A$2:$A$2000,$A598)),""""))"),"")</f>
        <v/>
      </c>
      <c r="W598" s="64" t="str">
        <f>IFERROR(__xludf.DUMMYFUNCTION("IF($A598="""","""",IFERROR(INDEX(FILTER(Candidates!$T$2:$T$2000,Candidates!$A$2:$A$2000=$A598),COUNTIF(Candidates!$A$2:$A$2000,$A598)),""""))"),"")</f>
        <v/>
      </c>
      <c r="X598" s="64"/>
      <c r="Y598" s="64"/>
      <c r="Z598" s="65"/>
      <c r="AA598" s="65"/>
      <c r="AB598" s="65"/>
      <c r="AC598" s="65"/>
    </row>
    <row r="599">
      <c r="A599" s="64"/>
      <c r="B599" s="64"/>
      <c r="C599" s="64"/>
      <c r="D599" s="64"/>
      <c r="E599" s="64"/>
      <c r="F599" s="64"/>
      <c r="G599" s="64"/>
      <c r="H599" s="63"/>
      <c r="I599" s="64"/>
      <c r="J599" s="64"/>
      <c r="K599" s="64"/>
      <c r="L599" s="64"/>
      <c r="M599" s="64"/>
      <c r="N599" s="64"/>
      <c r="O599" s="64"/>
      <c r="P599" s="64"/>
      <c r="Q599" s="64"/>
      <c r="R599" s="65" t="str">
        <f>IF($A599="","",IFERROR(MINIFS(Candidates!$K$2:$K$2000,Candidates!$A$2:$A$2000,$A599),""))</f>
        <v/>
      </c>
      <c r="S599" s="65" t="str">
        <f>IF($A599="","",IFERROR(MAXIFS(Candidates!$AA$2:$AA$2000,Candidates!$A$2:$A$2000,$A599),""))</f>
        <v/>
      </c>
      <c r="T599" s="64" t="str">
        <f>IFERROR(__xludf.DUMMYFUNCTION("IF($A599="""","""",IFERROR(TEXTJOIN("", "",TRUE,UNIQUE(FILTER(Candidates!$B$2:$B$2000,Candidates!$A$2:$A$2000=$A599))),""""))"),"")</f>
        <v/>
      </c>
      <c r="U599" s="66" t="str">
        <f>IF($A599="","",COUNTIF(Candidates!$A$2:$A$2000,$A599))</f>
        <v/>
      </c>
      <c r="V599" s="64" t="str">
        <f>IFERROR(__xludf.DUMMYFUNCTION("IF($A599="""","""",IFERROR(INDEX(FILTER(Candidates!$S$2:$S$2000,Candidates!$A$2:$A$2000=$A599),COUNTIF(Candidates!$A$2:$A$2000,$A599)),""""))"),"")</f>
        <v/>
      </c>
      <c r="W599" s="64" t="str">
        <f>IFERROR(__xludf.DUMMYFUNCTION("IF($A599="""","""",IFERROR(INDEX(FILTER(Candidates!$T$2:$T$2000,Candidates!$A$2:$A$2000=$A599),COUNTIF(Candidates!$A$2:$A$2000,$A599)),""""))"),"")</f>
        <v/>
      </c>
      <c r="X599" s="64"/>
      <c r="Y599" s="64"/>
      <c r="Z599" s="65"/>
      <c r="AA599" s="65"/>
      <c r="AB599" s="65"/>
      <c r="AC599" s="65"/>
    </row>
    <row r="600">
      <c r="A600" s="64"/>
      <c r="B600" s="64"/>
      <c r="C600" s="64"/>
      <c r="D600" s="64"/>
      <c r="E600" s="64"/>
      <c r="F600" s="64"/>
      <c r="G600" s="64"/>
      <c r="H600" s="63"/>
      <c r="I600" s="64"/>
      <c r="J600" s="64"/>
      <c r="K600" s="64"/>
      <c r="L600" s="64"/>
      <c r="M600" s="64"/>
      <c r="N600" s="64"/>
      <c r="O600" s="64"/>
      <c r="P600" s="64"/>
      <c r="Q600" s="64"/>
      <c r="R600" s="65" t="str">
        <f>IF($A600="","",IFERROR(MINIFS(Candidates!$K$2:$K$2000,Candidates!$A$2:$A$2000,$A600),""))</f>
        <v/>
      </c>
      <c r="S600" s="65" t="str">
        <f>IF($A600="","",IFERROR(MAXIFS(Candidates!$AA$2:$AA$2000,Candidates!$A$2:$A$2000,$A600),""))</f>
        <v/>
      </c>
      <c r="T600" s="64" t="str">
        <f>IFERROR(__xludf.DUMMYFUNCTION("IF($A600="""","""",IFERROR(TEXTJOIN("", "",TRUE,UNIQUE(FILTER(Candidates!$B$2:$B$2000,Candidates!$A$2:$A$2000=$A600))),""""))"),"")</f>
        <v/>
      </c>
      <c r="U600" s="66" t="str">
        <f>IF($A600="","",COUNTIF(Candidates!$A$2:$A$2000,$A600))</f>
        <v/>
      </c>
      <c r="V600" s="64" t="str">
        <f>IFERROR(__xludf.DUMMYFUNCTION("IF($A600="""","""",IFERROR(INDEX(FILTER(Candidates!$S$2:$S$2000,Candidates!$A$2:$A$2000=$A600),COUNTIF(Candidates!$A$2:$A$2000,$A600)),""""))"),"")</f>
        <v/>
      </c>
      <c r="W600" s="64" t="str">
        <f>IFERROR(__xludf.DUMMYFUNCTION("IF($A600="""","""",IFERROR(INDEX(FILTER(Candidates!$T$2:$T$2000,Candidates!$A$2:$A$2000=$A600),COUNTIF(Candidates!$A$2:$A$2000,$A600)),""""))"),"")</f>
        <v/>
      </c>
      <c r="X600" s="64"/>
      <c r="Y600" s="64"/>
      <c r="Z600" s="65"/>
      <c r="AA600" s="65"/>
      <c r="AB600" s="65"/>
      <c r="AC600" s="65"/>
    </row>
    <row r="601">
      <c r="A601" s="64"/>
      <c r="B601" s="64"/>
      <c r="C601" s="64"/>
      <c r="D601" s="64"/>
      <c r="E601" s="64"/>
      <c r="F601" s="64"/>
      <c r="G601" s="64"/>
      <c r="H601" s="63"/>
      <c r="I601" s="64"/>
      <c r="J601" s="64"/>
      <c r="K601" s="64"/>
      <c r="L601" s="64"/>
      <c r="M601" s="64"/>
      <c r="N601" s="64"/>
      <c r="O601" s="64"/>
      <c r="P601" s="64"/>
      <c r="Q601" s="64"/>
      <c r="R601" s="65" t="str">
        <f>IF($A601="","",IFERROR(MINIFS(Candidates!$K$2:$K$2000,Candidates!$A$2:$A$2000,$A601),""))</f>
        <v/>
      </c>
      <c r="S601" s="65" t="str">
        <f>IF($A601="","",IFERROR(MAXIFS(Candidates!$AA$2:$AA$2000,Candidates!$A$2:$A$2000,$A601),""))</f>
        <v/>
      </c>
      <c r="T601" s="64" t="str">
        <f>IFERROR(__xludf.DUMMYFUNCTION("IF($A601="""","""",IFERROR(TEXTJOIN("", "",TRUE,UNIQUE(FILTER(Candidates!$B$2:$B$2000,Candidates!$A$2:$A$2000=$A601))),""""))"),"")</f>
        <v/>
      </c>
      <c r="U601" s="66" t="str">
        <f>IF($A601="","",COUNTIF(Candidates!$A$2:$A$2000,$A601))</f>
        <v/>
      </c>
      <c r="V601" s="64" t="str">
        <f>IFERROR(__xludf.DUMMYFUNCTION("IF($A601="""","""",IFERROR(INDEX(FILTER(Candidates!$S$2:$S$2000,Candidates!$A$2:$A$2000=$A601),COUNTIF(Candidates!$A$2:$A$2000,$A601)),""""))"),"")</f>
        <v/>
      </c>
      <c r="W601" s="64" t="str">
        <f>IFERROR(__xludf.DUMMYFUNCTION("IF($A601="""","""",IFERROR(INDEX(FILTER(Candidates!$T$2:$T$2000,Candidates!$A$2:$A$2000=$A601),COUNTIF(Candidates!$A$2:$A$2000,$A601)),""""))"),"")</f>
        <v/>
      </c>
      <c r="X601" s="64"/>
      <c r="Y601" s="64"/>
      <c r="Z601" s="65"/>
      <c r="AA601" s="65"/>
      <c r="AB601" s="65"/>
      <c r="AC601" s="65"/>
    </row>
    <row r="602">
      <c r="A602" s="64"/>
      <c r="B602" s="64"/>
      <c r="C602" s="64"/>
      <c r="D602" s="64"/>
      <c r="E602" s="64"/>
      <c r="F602" s="64"/>
      <c r="G602" s="64"/>
      <c r="H602" s="63"/>
      <c r="I602" s="64"/>
      <c r="J602" s="64"/>
      <c r="K602" s="64"/>
      <c r="L602" s="64"/>
      <c r="M602" s="64"/>
      <c r="N602" s="64"/>
      <c r="O602" s="64"/>
      <c r="P602" s="64"/>
      <c r="Q602" s="64"/>
      <c r="R602" s="65" t="str">
        <f>IF($A602="","",IFERROR(MINIFS(Candidates!$K$2:$K$2000,Candidates!$A$2:$A$2000,$A602),""))</f>
        <v/>
      </c>
      <c r="S602" s="65" t="str">
        <f>IF($A602="","",IFERROR(MAXIFS(Candidates!$AA$2:$AA$2000,Candidates!$A$2:$A$2000,$A602),""))</f>
        <v/>
      </c>
      <c r="T602" s="64" t="str">
        <f>IFERROR(__xludf.DUMMYFUNCTION("IF($A602="""","""",IFERROR(TEXTJOIN("", "",TRUE,UNIQUE(FILTER(Candidates!$B$2:$B$2000,Candidates!$A$2:$A$2000=$A602))),""""))"),"")</f>
        <v/>
      </c>
      <c r="U602" s="66" t="str">
        <f>IF($A602="","",COUNTIF(Candidates!$A$2:$A$2000,$A602))</f>
        <v/>
      </c>
      <c r="V602" s="64" t="str">
        <f>IFERROR(__xludf.DUMMYFUNCTION("IF($A602="""","""",IFERROR(INDEX(FILTER(Candidates!$S$2:$S$2000,Candidates!$A$2:$A$2000=$A602),COUNTIF(Candidates!$A$2:$A$2000,$A602)),""""))"),"")</f>
        <v/>
      </c>
      <c r="W602" s="64" t="str">
        <f>IFERROR(__xludf.DUMMYFUNCTION("IF($A602="""","""",IFERROR(INDEX(FILTER(Candidates!$T$2:$T$2000,Candidates!$A$2:$A$2000=$A602),COUNTIF(Candidates!$A$2:$A$2000,$A602)),""""))"),"")</f>
        <v/>
      </c>
      <c r="X602" s="64"/>
      <c r="Y602" s="64"/>
      <c r="Z602" s="65"/>
      <c r="AA602" s="65"/>
      <c r="AB602" s="65"/>
      <c r="AC602" s="65"/>
    </row>
    <row r="603">
      <c r="A603" s="64"/>
      <c r="B603" s="64"/>
      <c r="C603" s="64"/>
      <c r="D603" s="64"/>
      <c r="E603" s="64"/>
      <c r="F603" s="64"/>
      <c r="G603" s="64"/>
      <c r="H603" s="63"/>
      <c r="I603" s="64"/>
      <c r="J603" s="64"/>
      <c r="K603" s="64"/>
      <c r="L603" s="64"/>
      <c r="M603" s="64"/>
      <c r="N603" s="64"/>
      <c r="O603" s="64"/>
      <c r="P603" s="64"/>
      <c r="Q603" s="64"/>
      <c r="R603" s="65" t="str">
        <f>IF($A603="","",IFERROR(MINIFS(Candidates!$K$2:$K$2000,Candidates!$A$2:$A$2000,$A603),""))</f>
        <v/>
      </c>
      <c r="S603" s="65" t="str">
        <f>IF($A603="","",IFERROR(MAXIFS(Candidates!$AA$2:$AA$2000,Candidates!$A$2:$A$2000,$A603),""))</f>
        <v/>
      </c>
      <c r="T603" s="64" t="str">
        <f>IFERROR(__xludf.DUMMYFUNCTION("IF($A603="""","""",IFERROR(TEXTJOIN("", "",TRUE,UNIQUE(FILTER(Candidates!$B$2:$B$2000,Candidates!$A$2:$A$2000=$A603))),""""))"),"")</f>
        <v/>
      </c>
      <c r="U603" s="66" t="str">
        <f>IF($A603="","",COUNTIF(Candidates!$A$2:$A$2000,$A603))</f>
        <v/>
      </c>
      <c r="V603" s="64" t="str">
        <f>IFERROR(__xludf.DUMMYFUNCTION("IF($A603="""","""",IFERROR(INDEX(FILTER(Candidates!$S$2:$S$2000,Candidates!$A$2:$A$2000=$A603),COUNTIF(Candidates!$A$2:$A$2000,$A603)),""""))"),"")</f>
        <v/>
      </c>
      <c r="W603" s="64" t="str">
        <f>IFERROR(__xludf.DUMMYFUNCTION("IF($A603="""","""",IFERROR(INDEX(FILTER(Candidates!$T$2:$T$2000,Candidates!$A$2:$A$2000=$A603),COUNTIF(Candidates!$A$2:$A$2000,$A603)),""""))"),"")</f>
        <v/>
      </c>
      <c r="X603" s="64"/>
      <c r="Y603" s="64"/>
      <c r="Z603" s="65"/>
      <c r="AA603" s="65"/>
      <c r="AB603" s="65"/>
      <c r="AC603" s="65"/>
    </row>
    <row r="604">
      <c r="A604" s="64"/>
      <c r="B604" s="64"/>
      <c r="C604" s="64"/>
      <c r="D604" s="64"/>
      <c r="E604" s="64"/>
      <c r="F604" s="64"/>
      <c r="G604" s="64"/>
      <c r="H604" s="63"/>
      <c r="I604" s="64"/>
      <c r="J604" s="64"/>
      <c r="K604" s="64"/>
      <c r="L604" s="64"/>
      <c r="M604" s="64"/>
      <c r="N604" s="64"/>
      <c r="O604" s="64"/>
      <c r="P604" s="64"/>
      <c r="Q604" s="64"/>
      <c r="R604" s="65" t="str">
        <f>IF($A604="","",IFERROR(MINIFS(Candidates!$K$2:$K$2000,Candidates!$A$2:$A$2000,$A604),""))</f>
        <v/>
      </c>
      <c r="S604" s="65" t="str">
        <f>IF($A604="","",IFERROR(MAXIFS(Candidates!$AA$2:$AA$2000,Candidates!$A$2:$A$2000,$A604),""))</f>
        <v/>
      </c>
      <c r="T604" s="64" t="str">
        <f>IFERROR(__xludf.DUMMYFUNCTION("IF($A604="""","""",IFERROR(TEXTJOIN("", "",TRUE,UNIQUE(FILTER(Candidates!$B$2:$B$2000,Candidates!$A$2:$A$2000=$A604))),""""))"),"")</f>
        <v/>
      </c>
      <c r="U604" s="66" t="str">
        <f>IF($A604="","",COUNTIF(Candidates!$A$2:$A$2000,$A604))</f>
        <v/>
      </c>
      <c r="V604" s="64" t="str">
        <f>IFERROR(__xludf.DUMMYFUNCTION("IF($A604="""","""",IFERROR(INDEX(FILTER(Candidates!$S$2:$S$2000,Candidates!$A$2:$A$2000=$A604),COUNTIF(Candidates!$A$2:$A$2000,$A604)),""""))"),"")</f>
        <v/>
      </c>
      <c r="W604" s="64" t="str">
        <f>IFERROR(__xludf.DUMMYFUNCTION("IF($A604="""","""",IFERROR(INDEX(FILTER(Candidates!$T$2:$T$2000,Candidates!$A$2:$A$2000=$A604),COUNTIF(Candidates!$A$2:$A$2000,$A604)),""""))"),"")</f>
        <v/>
      </c>
      <c r="X604" s="64"/>
      <c r="Y604" s="64"/>
      <c r="Z604" s="65"/>
      <c r="AA604" s="65"/>
      <c r="AB604" s="65"/>
      <c r="AC604" s="65"/>
    </row>
    <row r="605">
      <c r="A605" s="64"/>
      <c r="B605" s="64"/>
      <c r="C605" s="64"/>
      <c r="D605" s="64"/>
      <c r="E605" s="64"/>
      <c r="F605" s="64"/>
      <c r="G605" s="64"/>
      <c r="H605" s="63"/>
      <c r="I605" s="64"/>
      <c r="J605" s="64"/>
      <c r="K605" s="64"/>
      <c r="L605" s="64"/>
      <c r="M605" s="64"/>
      <c r="N605" s="64"/>
      <c r="O605" s="64"/>
      <c r="P605" s="64"/>
      <c r="Q605" s="64"/>
      <c r="R605" s="65" t="str">
        <f>IF($A605="","",IFERROR(MINIFS(Candidates!$K$2:$K$2000,Candidates!$A$2:$A$2000,$A605),""))</f>
        <v/>
      </c>
      <c r="S605" s="65" t="str">
        <f>IF($A605="","",IFERROR(MAXIFS(Candidates!$AA$2:$AA$2000,Candidates!$A$2:$A$2000,$A605),""))</f>
        <v/>
      </c>
      <c r="T605" s="64" t="str">
        <f>IFERROR(__xludf.DUMMYFUNCTION("IF($A605="""","""",IFERROR(TEXTJOIN("", "",TRUE,UNIQUE(FILTER(Candidates!$B$2:$B$2000,Candidates!$A$2:$A$2000=$A605))),""""))"),"")</f>
        <v/>
      </c>
      <c r="U605" s="66" t="str">
        <f>IF($A605="","",COUNTIF(Candidates!$A$2:$A$2000,$A605))</f>
        <v/>
      </c>
      <c r="V605" s="64" t="str">
        <f>IFERROR(__xludf.DUMMYFUNCTION("IF($A605="""","""",IFERROR(INDEX(FILTER(Candidates!$S$2:$S$2000,Candidates!$A$2:$A$2000=$A605),COUNTIF(Candidates!$A$2:$A$2000,$A605)),""""))"),"")</f>
        <v/>
      </c>
      <c r="W605" s="64" t="str">
        <f>IFERROR(__xludf.DUMMYFUNCTION("IF($A605="""","""",IFERROR(INDEX(FILTER(Candidates!$T$2:$T$2000,Candidates!$A$2:$A$2000=$A605),COUNTIF(Candidates!$A$2:$A$2000,$A605)),""""))"),"")</f>
        <v/>
      </c>
      <c r="X605" s="64"/>
      <c r="Y605" s="64"/>
      <c r="Z605" s="65"/>
      <c r="AA605" s="65"/>
      <c r="AB605" s="65"/>
      <c r="AC605" s="65"/>
    </row>
    <row r="606">
      <c r="A606" s="64"/>
      <c r="B606" s="64"/>
      <c r="C606" s="64"/>
      <c r="D606" s="64"/>
      <c r="E606" s="64"/>
      <c r="F606" s="64"/>
      <c r="G606" s="64"/>
      <c r="H606" s="63"/>
      <c r="I606" s="64"/>
      <c r="J606" s="64"/>
      <c r="K606" s="64"/>
      <c r="L606" s="64"/>
      <c r="M606" s="64"/>
      <c r="N606" s="64"/>
      <c r="O606" s="64"/>
      <c r="P606" s="64"/>
      <c r="Q606" s="64"/>
      <c r="R606" s="65" t="str">
        <f>IF($A606="","",IFERROR(MINIFS(Candidates!$K$2:$K$2000,Candidates!$A$2:$A$2000,$A606),""))</f>
        <v/>
      </c>
      <c r="S606" s="65" t="str">
        <f>IF($A606="","",IFERROR(MAXIFS(Candidates!$AA$2:$AA$2000,Candidates!$A$2:$A$2000,$A606),""))</f>
        <v/>
      </c>
      <c r="T606" s="64" t="str">
        <f>IFERROR(__xludf.DUMMYFUNCTION("IF($A606="""","""",IFERROR(TEXTJOIN("", "",TRUE,UNIQUE(FILTER(Candidates!$B$2:$B$2000,Candidates!$A$2:$A$2000=$A606))),""""))"),"")</f>
        <v/>
      </c>
      <c r="U606" s="66" t="str">
        <f>IF($A606="","",COUNTIF(Candidates!$A$2:$A$2000,$A606))</f>
        <v/>
      </c>
      <c r="V606" s="64" t="str">
        <f>IFERROR(__xludf.DUMMYFUNCTION("IF($A606="""","""",IFERROR(INDEX(FILTER(Candidates!$S$2:$S$2000,Candidates!$A$2:$A$2000=$A606),COUNTIF(Candidates!$A$2:$A$2000,$A606)),""""))"),"")</f>
        <v/>
      </c>
      <c r="W606" s="64" t="str">
        <f>IFERROR(__xludf.DUMMYFUNCTION("IF($A606="""","""",IFERROR(INDEX(FILTER(Candidates!$T$2:$T$2000,Candidates!$A$2:$A$2000=$A606),COUNTIF(Candidates!$A$2:$A$2000,$A606)),""""))"),"")</f>
        <v/>
      </c>
      <c r="X606" s="64"/>
      <c r="Y606" s="64"/>
      <c r="Z606" s="65"/>
      <c r="AA606" s="65"/>
      <c r="AB606" s="65"/>
      <c r="AC606" s="65"/>
    </row>
    <row r="607">
      <c r="A607" s="64"/>
      <c r="B607" s="64"/>
      <c r="C607" s="64"/>
      <c r="D607" s="64"/>
      <c r="E607" s="64"/>
      <c r="F607" s="64"/>
      <c r="G607" s="64"/>
      <c r="H607" s="63"/>
      <c r="I607" s="64"/>
      <c r="J607" s="64"/>
      <c r="K607" s="64"/>
      <c r="L607" s="64"/>
      <c r="M607" s="64"/>
      <c r="N607" s="64"/>
      <c r="O607" s="64"/>
      <c r="P607" s="64"/>
      <c r="Q607" s="64"/>
      <c r="R607" s="65" t="str">
        <f>IF($A607="","",IFERROR(MINIFS(Candidates!$K$2:$K$2000,Candidates!$A$2:$A$2000,$A607),""))</f>
        <v/>
      </c>
      <c r="S607" s="65" t="str">
        <f>IF($A607="","",IFERROR(MAXIFS(Candidates!$AA$2:$AA$2000,Candidates!$A$2:$A$2000,$A607),""))</f>
        <v/>
      </c>
      <c r="T607" s="64" t="str">
        <f>IFERROR(__xludf.DUMMYFUNCTION("IF($A607="""","""",IFERROR(TEXTJOIN("", "",TRUE,UNIQUE(FILTER(Candidates!$B$2:$B$2000,Candidates!$A$2:$A$2000=$A607))),""""))"),"")</f>
        <v/>
      </c>
      <c r="U607" s="66" t="str">
        <f>IF($A607="","",COUNTIF(Candidates!$A$2:$A$2000,$A607))</f>
        <v/>
      </c>
      <c r="V607" s="64" t="str">
        <f>IFERROR(__xludf.DUMMYFUNCTION("IF($A607="""","""",IFERROR(INDEX(FILTER(Candidates!$S$2:$S$2000,Candidates!$A$2:$A$2000=$A607),COUNTIF(Candidates!$A$2:$A$2000,$A607)),""""))"),"")</f>
        <v/>
      </c>
      <c r="W607" s="64" t="str">
        <f>IFERROR(__xludf.DUMMYFUNCTION("IF($A607="""","""",IFERROR(INDEX(FILTER(Candidates!$T$2:$T$2000,Candidates!$A$2:$A$2000=$A607),COUNTIF(Candidates!$A$2:$A$2000,$A607)),""""))"),"")</f>
        <v/>
      </c>
      <c r="X607" s="64"/>
      <c r="Y607" s="64"/>
      <c r="Z607" s="65"/>
      <c r="AA607" s="65"/>
      <c r="AB607" s="65"/>
      <c r="AC607" s="65"/>
    </row>
    <row r="608">
      <c r="A608" s="64"/>
      <c r="B608" s="64"/>
      <c r="C608" s="64"/>
      <c r="D608" s="64"/>
      <c r="E608" s="64"/>
      <c r="F608" s="64"/>
      <c r="G608" s="64"/>
      <c r="H608" s="63"/>
      <c r="I608" s="64"/>
      <c r="J608" s="64"/>
      <c r="K608" s="64"/>
      <c r="L608" s="64"/>
      <c r="M608" s="64"/>
      <c r="N608" s="64"/>
      <c r="O608" s="64"/>
      <c r="P608" s="64"/>
      <c r="Q608" s="64"/>
      <c r="R608" s="65" t="str">
        <f>IF($A608="","",IFERROR(MINIFS(Candidates!$K$2:$K$2000,Candidates!$A$2:$A$2000,$A608),""))</f>
        <v/>
      </c>
      <c r="S608" s="65" t="str">
        <f>IF($A608="","",IFERROR(MAXIFS(Candidates!$AA$2:$AA$2000,Candidates!$A$2:$A$2000,$A608),""))</f>
        <v/>
      </c>
      <c r="T608" s="64" t="str">
        <f>IFERROR(__xludf.DUMMYFUNCTION("IF($A608="""","""",IFERROR(TEXTJOIN("", "",TRUE,UNIQUE(FILTER(Candidates!$B$2:$B$2000,Candidates!$A$2:$A$2000=$A608))),""""))"),"")</f>
        <v/>
      </c>
      <c r="U608" s="66" t="str">
        <f>IF($A608="","",COUNTIF(Candidates!$A$2:$A$2000,$A608))</f>
        <v/>
      </c>
      <c r="V608" s="64" t="str">
        <f>IFERROR(__xludf.DUMMYFUNCTION("IF($A608="""","""",IFERROR(INDEX(FILTER(Candidates!$S$2:$S$2000,Candidates!$A$2:$A$2000=$A608),COUNTIF(Candidates!$A$2:$A$2000,$A608)),""""))"),"")</f>
        <v/>
      </c>
      <c r="W608" s="64" t="str">
        <f>IFERROR(__xludf.DUMMYFUNCTION("IF($A608="""","""",IFERROR(INDEX(FILTER(Candidates!$T$2:$T$2000,Candidates!$A$2:$A$2000=$A608),COUNTIF(Candidates!$A$2:$A$2000,$A608)),""""))"),"")</f>
        <v/>
      </c>
      <c r="X608" s="64"/>
      <c r="Y608" s="64"/>
      <c r="Z608" s="65"/>
      <c r="AA608" s="65"/>
      <c r="AB608" s="65"/>
      <c r="AC608" s="65"/>
    </row>
    <row r="609">
      <c r="A609" s="64"/>
      <c r="B609" s="64"/>
      <c r="C609" s="64"/>
      <c r="D609" s="64"/>
      <c r="E609" s="64"/>
      <c r="F609" s="64"/>
      <c r="G609" s="64"/>
      <c r="H609" s="63"/>
      <c r="I609" s="64"/>
      <c r="J609" s="64"/>
      <c r="K609" s="64"/>
      <c r="L609" s="64"/>
      <c r="M609" s="64"/>
      <c r="N609" s="64"/>
      <c r="O609" s="64"/>
      <c r="P609" s="64"/>
      <c r="Q609" s="64"/>
      <c r="R609" s="65" t="str">
        <f>IF($A609="","",IFERROR(MINIFS(Candidates!$K$2:$K$2000,Candidates!$A$2:$A$2000,$A609),""))</f>
        <v/>
      </c>
      <c r="S609" s="65" t="str">
        <f>IF($A609="","",IFERROR(MAXIFS(Candidates!$AA$2:$AA$2000,Candidates!$A$2:$A$2000,$A609),""))</f>
        <v/>
      </c>
      <c r="T609" s="64" t="str">
        <f>IFERROR(__xludf.DUMMYFUNCTION("IF($A609="""","""",IFERROR(TEXTJOIN("", "",TRUE,UNIQUE(FILTER(Candidates!$B$2:$B$2000,Candidates!$A$2:$A$2000=$A609))),""""))"),"")</f>
        <v/>
      </c>
      <c r="U609" s="66" t="str">
        <f>IF($A609="","",COUNTIF(Candidates!$A$2:$A$2000,$A609))</f>
        <v/>
      </c>
      <c r="V609" s="64" t="str">
        <f>IFERROR(__xludf.DUMMYFUNCTION("IF($A609="""","""",IFERROR(INDEX(FILTER(Candidates!$S$2:$S$2000,Candidates!$A$2:$A$2000=$A609),COUNTIF(Candidates!$A$2:$A$2000,$A609)),""""))"),"")</f>
        <v/>
      </c>
      <c r="W609" s="64" t="str">
        <f>IFERROR(__xludf.DUMMYFUNCTION("IF($A609="""","""",IFERROR(INDEX(FILTER(Candidates!$T$2:$T$2000,Candidates!$A$2:$A$2000=$A609),COUNTIF(Candidates!$A$2:$A$2000,$A609)),""""))"),"")</f>
        <v/>
      </c>
      <c r="X609" s="64"/>
      <c r="Y609" s="64"/>
      <c r="Z609" s="65"/>
      <c r="AA609" s="65"/>
      <c r="AB609" s="65"/>
      <c r="AC609" s="65"/>
    </row>
    <row r="610">
      <c r="A610" s="64"/>
      <c r="B610" s="64"/>
      <c r="C610" s="64"/>
      <c r="D610" s="64"/>
      <c r="E610" s="64"/>
      <c r="F610" s="64"/>
      <c r="G610" s="64"/>
      <c r="H610" s="63"/>
      <c r="I610" s="64"/>
      <c r="J610" s="64"/>
      <c r="K610" s="64"/>
      <c r="L610" s="64"/>
      <c r="M610" s="64"/>
      <c r="N610" s="64"/>
      <c r="O610" s="64"/>
      <c r="P610" s="64"/>
      <c r="Q610" s="64"/>
      <c r="R610" s="65" t="str">
        <f>IF($A610="","",IFERROR(MINIFS(Candidates!$K$2:$K$2000,Candidates!$A$2:$A$2000,$A610),""))</f>
        <v/>
      </c>
      <c r="S610" s="65" t="str">
        <f>IF($A610="","",IFERROR(MAXIFS(Candidates!$AA$2:$AA$2000,Candidates!$A$2:$A$2000,$A610),""))</f>
        <v/>
      </c>
      <c r="T610" s="64" t="str">
        <f>IFERROR(__xludf.DUMMYFUNCTION("IF($A610="""","""",IFERROR(TEXTJOIN("", "",TRUE,UNIQUE(FILTER(Candidates!$B$2:$B$2000,Candidates!$A$2:$A$2000=$A610))),""""))"),"")</f>
        <v/>
      </c>
      <c r="U610" s="66" t="str">
        <f>IF($A610="","",COUNTIF(Candidates!$A$2:$A$2000,$A610))</f>
        <v/>
      </c>
      <c r="V610" s="64" t="str">
        <f>IFERROR(__xludf.DUMMYFUNCTION("IF($A610="""","""",IFERROR(INDEX(FILTER(Candidates!$S$2:$S$2000,Candidates!$A$2:$A$2000=$A610),COUNTIF(Candidates!$A$2:$A$2000,$A610)),""""))"),"")</f>
        <v/>
      </c>
      <c r="W610" s="64" t="str">
        <f>IFERROR(__xludf.DUMMYFUNCTION("IF($A610="""","""",IFERROR(INDEX(FILTER(Candidates!$T$2:$T$2000,Candidates!$A$2:$A$2000=$A610),COUNTIF(Candidates!$A$2:$A$2000,$A610)),""""))"),"")</f>
        <v/>
      </c>
      <c r="X610" s="64"/>
      <c r="Y610" s="64"/>
      <c r="Z610" s="65"/>
      <c r="AA610" s="65"/>
      <c r="AB610" s="65"/>
      <c r="AC610" s="65"/>
    </row>
    <row r="611">
      <c r="A611" s="64"/>
      <c r="B611" s="64"/>
      <c r="C611" s="64"/>
      <c r="D611" s="64"/>
      <c r="E611" s="64"/>
      <c r="F611" s="64"/>
      <c r="G611" s="64"/>
      <c r="H611" s="63"/>
      <c r="I611" s="64"/>
      <c r="J611" s="64"/>
      <c r="K611" s="64"/>
      <c r="L611" s="64"/>
      <c r="M611" s="64"/>
      <c r="N611" s="64"/>
      <c r="O611" s="64"/>
      <c r="P611" s="64"/>
      <c r="Q611" s="64"/>
      <c r="R611" s="65" t="str">
        <f>IF($A611="","",IFERROR(MINIFS(Candidates!$K$2:$K$2000,Candidates!$A$2:$A$2000,$A611),""))</f>
        <v/>
      </c>
      <c r="S611" s="65" t="str">
        <f>IF($A611="","",IFERROR(MAXIFS(Candidates!$AA$2:$AA$2000,Candidates!$A$2:$A$2000,$A611),""))</f>
        <v/>
      </c>
      <c r="T611" s="64" t="str">
        <f>IFERROR(__xludf.DUMMYFUNCTION("IF($A611="""","""",IFERROR(TEXTJOIN("", "",TRUE,UNIQUE(FILTER(Candidates!$B$2:$B$2000,Candidates!$A$2:$A$2000=$A611))),""""))"),"")</f>
        <v/>
      </c>
      <c r="U611" s="66" t="str">
        <f>IF($A611="","",COUNTIF(Candidates!$A$2:$A$2000,$A611))</f>
        <v/>
      </c>
      <c r="V611" s="64" t="str">
        <f>IFERROR(__xludf.DUMMYFUNCTION("IF($A611="""","""",IFERROR(INDEX(FILTER(Candidates!$S$2:$S$2000,Candidates!$A$2:$A$2000=$A611),COUNTIF(Candidates!$A$2:$A$2000,$A611)),""""))"),"")</f>
        <v/>
      </c>
      <c r="W611" s="64" t="str">
        <f>IFERROR(__xludf.DUMMYFUNCTION("IF($A611="""","""",IFERROR(INDEX(FILTER(Candidates!$T$2:$T$2000,Candidates!$A$2:$A$2000=$A611),COUNTIF(Candidates!$A$2:$A$2000,$A611)),""""))"),"")</f>
        <v/>
      </c>
      <c r="X611" s="64"/>
      <c r="Y611" s="64"/>
      <c r="Z611" s="65"/>
      <c r="AA611" s="65"/>
      <c r="AB611" s="65"/>
      <c r="AC611" s="65"/>
    </row>
    <row r="612">
      <c r="A612" s="64"/>
      <c r="B612" s="64"/>
      <c r="C612" s="64"/>
      <c r="D612" s="64"/>
      <c r="E612" s="64"/>
      <c r="F612" s="64"/>
      <c r="G612" s="64"/>
      <c r="H612" s="63"/>
      <c r="I612" s="64"/>
      <c r="J612" s="64"/>
      <c r="K612" s="64"/>
      <c r="L612" s="64"/>
      <c r="M612" s="64"/>
      <c r="N612" s="64"/>
      <c r="O612" s="64"/>
      <c r="P612" s="64"/>
      <c r="Q612" s="64"/>
      <c r="R612" s="65" t="str">
        <f>IF($A612="","",IFERROR(MINIFS(Candidates!$K$2:$K$2000,Candidates!$A$2:$A$2000,$A612),""))</f>
        <v/>
      </c>
      <c r="S612" s="65" t="str">
        <f>IF($A612="","",IFERROR(MAXIFS(Candidates!$AA$2:$AA$2000,Candidates!$A$2:$A$2000,$A612),""))</f>
        <v/>
      </c>
      <c r="T612" s="64" t="str">
        <f>IFERROR(__xludf.DUMMYFUNCTION("IF($A612="""","""",IFERROR(TEXTJOIN("", "",TRUE,UNIQUE(FILTER(Candidates!$B$2:$B$2000,Candidates!$A$2:$A$2000=$A612))),""""))"),"")</f>
        <v/>
      </c>
      <c r="U612" s="66" t="str">
        <f>IF($A612="","",COUNTIF(Candidates!$A$2:$A$2000,$A612))</f>
        <v/>
      </c>
      <c r="V612" s="64" t="str">
        <f>IFERROR(__xludf.DUMMYFUNCTION("IF($A612="""","""",IFERROR(INDEX(FILTER(Candidates!$S$2:$S$2000,Candidates!$A$2:$A$2000=$A612),COUNTIF(Candidates!$A$2:$A$2000,$A612)),""""))"),"")</f>
        <v/>
      </c>
      <c r="W612" s="64" t="str">
        <f>IFERROR(__xludf.DUMMYFUNCTION("IF($A612="""","""",IFERROR(INDEX(FILTER(Candidates!$T$2:$T$2000,Candidates!$A$2:$A$2000=$A612),COUNTIF(Candidates!$A$2:$A$2000,$A612)),""""))"),"")</f>
        <v/>
      </c>
      <c r="X612" s="64"/>
      <c r="Y612" s="64"/>
      <c r="Z612" s="65"/>
      <c r="AA612" s="65"/>
      <c r="AB612" s="65"/>
      <c r="AC612" s="65"/>
    </row>
    <row r="613">
      <c r="A613" s="64"/>
      <c r="B613" s="64"/>
      <c r="C613" s="64"/>
      <c r="D613" s="64"/>
      <c r="E613" s="64"/>
      <c r="F613" s="64"/>
      <c r="G613" s="64"/>
      <c r="H613" s="63"/>
      <c r="I613" s="64"/>
      <c r="J613" s="64"/>
      <c r="K613" s="64"/>
      <c r="L613" s="64"/>
      <c r="M613" s="64"/>
      <c r="N613" s="64"/>
      <c r="O613" s="64"/>
      <c r="P613" s="64"/>
      <c r="Q613" s="64"/>
      <c r="R613" s="65" t="str">
        <f>IF($A613="","",IFERROR(MINIFS(Candidates!$K$2:$K$2000,Candidates!$A$2:$A$2000,$A613),""))</f>
        <v/>
      </c>
      <c r="S613" s="65" t="str">
        <f>IF($A613="","",IFERROR(MAXIFS(Candidates!$AA$2:$AA$2000,Candidates!$A$2:$A$2000,$A613),""))</f>
        <v/>
      </c>
      <c r="T613" s="64" t="str">
        <f>IFERROR(__xludf.DUMMYFUNCTION("IF($A613="""","""",IFERROR(TEXTJOIN("", "",TRUE,UNIQUE(FILTER(Candidates!$B$2:$B$2000,Candidates!$A$2:$A$2000=$A613))),""""))"),"")</f>
        <v/>
      </c>
      <c r="U613" s="66" t="str">
        <f>IF($A613="","",COUNTIF(Candidates!$A$2:$A$2000,$A613))</f>
        <v/>
      </c>
      <c r="V613" s="64" t="str">
        <f>IFERROR(__xludf.DUMMYFUNCTION("IF($A613="""","""",IFERROR(INDEX(FILTER(Candidates!$S$2:$S$2000,Candidates!$A$2:$A$2000=$A613),COUNTIF(Candidates!$A$2:$A$2000,$A613)),""""))"),"")</f>
        <v/>
      </c>
      <c r="W613" s="64" t="str">
        <f>IFERROR(__xludf.DUMMYFUNCTION("IF($A613="""","""",IFERROR(INDEX(FILTER(Candidates!$T$2:$T$2000,Candidates!$A$2:$A$2000=$A613),COUNTIF(Candidates!$A$2:$A$2000,$A613)),""""))"),"")</f>
        <v/>
      </c>
      <c r="X613" s="64"/>
      <c r="Y613" s="64"/>
      <c r="Z613" s="65"/>
      <c r="AA613" s="65"/>
      <c r="AB613" s="65"/>
      <c r="AC613" s="65"/>
    </row>
    <row r="614">
      <c r="A614" s="64"/>
      <c r="B614" s="64"/>
      <c r="C614" s="64"/>
      <c r="D614" s="64"/>
      <c r="E614" s="64"/>
      <c r="F614" s="64"/>
      <c r="G614" s="64"/>
      <c r="H614" s="63"/>
      <c r="I614" s="64"/>
      <c r="J614" s="64"/>
      <c r="K614" s="64"/>
      <c r="L614" s="64"/>
      <c r="M614" s="64"/>
      <c r="N614" s="64"/>
      <c r="O614" s="64"/>
      <c r="P614" s="64"/>
      <c r="Q614" s="64"/>
      <c r="R614" s="65" t="str">
        <f>IF($A614="","",IFERROR(MINIFS(Candidates!$K$2:$K$2000,Candidates!$A$2:$A$2000,$A614),""))</f>
        <v/>
      </c>
      <c r="S614" s="65" t="str">
        <f>IF($A614="","",IFERROR(MAXIFS(Candidates!$AA$2:$AA$2000,Candidates!$A$2:$A$2000,$A614),""))</f>
        <v/>
      </c>
      <c r="T614" s="64" t="str">
        <f>IFERROR(__xludf.DUMMYFUNCTION("IF($A614="""","""",IFERROR(TEXTJOIN("", "",TRUE,UNIQUE(FILTER(Candidates!$B$2:$B$2000,Candidates!$A$2:$A$2000=$A614))),""""))"),"")</f>
        <v/>
      </c>
      <c r="U614" s="66" t="str">
        <f>IF($A614="","",COUNTIF(Candidates!$A$2:$A$2000,$A614))</f>
        <v/>
      </c>
      <c r="V614" s="64" t="str">
        <f>IFERROR(__xludf.DUMMYFUNCTION("IF($A614="""","""",IFERROR(INDEX(FILTER(Candidates!$S$2:$S$2000,Candidates!$A$2:$A$2000=$A614),COUNTIF(Candidates!$A$2:$A$2000,$A614)),""""))"),"")</f>
        <v/>
      </c>
      <c r="W614" s="64" t="str">
        <f>IFERROR(__xludf.DUMMYFUNCTION("IF($A614="""","""",IFERROR(INDEX(FILTER(Candidates!$T$2:$T$2000,Candidates!$A$2:$A$2000=$A614),COUNTIF(Candidates!$A$2:$A$2000,$A614)),""""))"),"")</f>
        <v/>
      </c>
      <c r="X614" s="64"/>
      <c r="Y614" s="64"/>
      <c r="Z614" s="65"/>
      <c r="AA614" s="65"/>
      <c r="AB614" s="65"/>
      <c r="AC614" s="65"/>
    </row>
    <row r="615">
      <c r="A615" s="64"/>
      <c r="B615" s="64"/>
      <c r="C615" s="64"/>
      <c r="D615" s="64"/>
      <c r="E615" s="64"/>
      <c r="F615" s="64"/>
      <c r="G615" s="64"/>
      <c r="H615" s="63"/>
      <c r="I615" s="64"/>
      <c r="J615" s="64"/>
      <c r="K615" s="64"/>
      <c r="L615" s="64"/>
      <c r="M615" s="64"/>
      <c r="N615" s="64"/>
      <c r="O615" s="64"/>
      <c r="P615" s="64"/>
      <c r="Q615" s="64"/>
      <c r="R615" s="65" t="str">
        <f>IF($A615="","",IFERROR(MINIFS(Candidates!$K$2:$K$2000,Candidates!$A$2:$A$2000,$A615),""))</f>
        <v/>
      </c>
      <c r="S615" s="65" t="str">
        <f>IF($A615="","",IFERROR(MAXIFS(Candidates!$AA$2:$AA$2000,Candidates!$A$2:$A$2000,$A615),""))</f>
        <v/>
      </c>
      <c r="T615" s="64" t="str">
        <f>IFERROR(__xludf.DUMMYFUNCTION("IF($A615="""","""",IFERROR(TEXTJOIN("", "",TRUE,UNIQUE(FILTER(Candidates!$B$2:$B$2000,Candidates!$A$2:$A$2000=$A615))),""""))"),"")</f>
        <v/>
      </c>
      <c r="U615" s="66" t="str">
        <f>IF($A615="","",COUNTIF(Candidates!$A$2:$A$2000,$A615))</f>
        <v/>
      </c>
      <c r="V615" s="64" t="str">
        <f>IFERROR(__xludf.DUMMYFUNCTION("IF($A615="""","""",IFERROR(INDEX(FILTER(Candidates!$S$2:$S$2000,Candidates!$A$2:$A$2000=$A615),COUNTIF(Candidates!$A$2:$A$2000,$A615)),""""))"),"")</f>
        <v/>
      </c>
      <c r="W615" s="64" t="str">
        <f>IFERROR(__xludf.DUMMYFUNCTION("IF($A615="""","""",IFERROR(INDEX(FILTER(Candidates!$T$2:$T$2000,Candidates!$A$2:$A$2000=$A615),COUNTIF(Candidates!$A$2:$A$2000,$A615)),""""))"),"")</f>
        <v/>
      </c>
      <c r="X615" s="64"/>
      <c r="Y615" s="64"/>
      <c r="Z615" s="65"/>
      <c r="AA615" s="65"/>
      <c r="AB615" s="65"/>
      <c r="AC615" s="65"/>
    </row>
    <row r="616">
      <c r="A616" s="64"/>
      <c r="B616" s="64"/>
      <c r="C616" s="64"/>
      <c r="D616" s="64"/>
      <c r="E616" s="64"/>
      <c r="F616" s="64"/>
      <c r="G616" s="64"/>
      <c r="H616" s="63"/>
      <c r="I616" s="64"/>
      <c r="J616" s="64"/>
      <c r="K616" s="64"/>
      <c r="L616" s="64"/>
      <c r="M616" s="64"/>
      <c r="N616" s="64"/>
      <c r="O616" s="64"/>
      <c r="P616" s="64"/>
      <c r="Q616" s="64"/>
      <c r="R616" s="65" t="str">
        <f>IF($A616="","",IFERROR(MINIFS(Candidates!$K$2:$K$2000,Candidates!$A$2:$A$2000,$A616),""))</f>
        <v/>
      </c>
      <c r="S616" s="65" t="str">
        <f>IF($A616="","",IFERROR(MAXIFS(Candidates!$AA$2:$AA$2000,Candidates!$A$2:$A$2000,$A616),""))</f>
        <v/>
      </c>
      <c r="T616" s="64" t="str">
        <f>IFERROR(__xludf.DUMMYFUNCTION("IF($A616="""","""",IFERROR(TEXTJOIN("", "",TRUE,UNIQUE(FILTER(Candidates!$B$2:$B$2000,Candidates!$A$2:$A$2000=$A616))),""""))"),"")</f>
        <v/>
      </c>
      <c r="U616" s="66" t="str">
        <f>IF($A616="","",COUNTIF(Candidates!$A$2:$A$2000,$A616))</f>
        <v/>
      </c>
      <c r="V616" s="64" t="str">
        <f>IFERROR(__xludf.DUMMYFUNCTION("IF($A616="""","""",IFERROR(INDEX(FILTER(Candidates!$S$2:$S$2000,Candidates!$A$2:$A$2000=$A616),COUNTIF(Candidates!$A$2:$A$2000,$A616)),""""))"),"")</f>
        <v/>
      </c>
      <c r="W616" s="64" t="str">
        <f>IFERROR(__xludf.DUMMYFUNCTION("IF($A616="""","""",IFERROR(INDEX(FILTER(Candidates!$T$2:$T$2000,Candidates!$A$2:$A$2000=$A616),COUNTIF(Candidates!$A$2:$A$2000,$A616)),""""))"),"")</f>
        <v/>
      </c>
      <c r="X616" s="64"/>
      <c r="Y616" s="64"/>
      <c r="Z616" s="65"/>
      <c r="AA616" s="65"/>
      <c r="AB616" s="65"/>
      <c r="AC616" s="65"/>
    </row>
    <row r="617">
      <c r="A617" s="64"/>
      <c r="B617" s="64"/>
      <c r="C617" s="64"/>
      <c r="D617" s="64"/>
      <c r="E617" s="64"/>
      <c r="F617" s="64"/>
      <c r="G617" s="64"/>
      <c r="H617" s="63"/>
      <c r="I617" s="64"/>
      <c r="J617" s="64"/>
      <c r="K617" s="64"/>
      <c r="L617" s="64"/>
      <c r="M617" s="64"/>
      <c r="N617" s="64"/>
      <c r="O617" s="64"/>
      <c r="P617" s="64"/>
      <c r="Q617" s="64"/>
      <c r="R617" s="65" t="str">
        <f>IF($A617="","",IFERROR(MINIFS(Candidates!$K$2:$K$2000,Candidates!$A$2:$A$2000,$A617),""))</f>
        <v/>
      </c>
      <c r="S617" s="65" t="str">
        <f>IF($A617="","",IFERROR(MAXIFS(Candidates!$AA$2:$AA$2000,Candidates!$A$2:$A$2000,$A617),""))</f>
        <v/>
      </c>
      <c r="T617" s="64" t="str">
        <f>IFERROR(__xludf.DUMMYFUNCTION("IF($A617="""","""",IFERROR(TEXTJOIN("", "",TRUE,UNIQUE(FILTER(Candidates!$B$2:$B$2000,Candidates!$A$2:$A$2000=$A617))),""""))"),"")</f>
        <v/>
      </c>
      <c r="U617" s="66" t="str">
        <f>IF($A617="","",COUNTIF(Candidates!$A$2:$A$2000,$A617))</f>
        <v/>
      </c>
      <c r="V617" s="64" t="str">
        <f>IFERROR(__xludf.DUMMYFUNCTION("IF($A617="""","""",IFERROR(INDEX(FILTER(Candidates!$S$2:$S$2000,Candidates!$A$2:$A$2000=$A617),COUNTIF(Candidates!$A$2:$A$2000,$A617)),""""))"),"")</f>
        <v/>
      </c>
      <c r="W617" s="64" t="str">
        <f>IFERROR(__xludf.DUMMYFUNCTION("IF($A617="""","""",IFERROR(INDEX(FILTER(Candidates!$T$2:$T$2000,Candidates!$A$2:$A$2000=$A617),COUNTIF(Candidates!$A$2:$A$2000,$A617)),""""))"),"")</f>
        <v/>
      </c>
      <c r="X617" s="64"/>
      <c r="Y617" s="64"/>
      <c r="Z617" s="65"/>
      <c r="AA617" s="65"/>
      <c r="AB617" s="65"/>
      <c r="AC617" s="65"/>
    </row>
    <row r="618">
      <c r="A618" s="64"/>
      <c r="B618" s="64"/>
      <c r="C618" s="64"/>
      <c r="D618" s="64"/>
      <c r="E618" s="64"/>
      <c r="F618" s="64"/>
      <c r="G618" s="64"/>
      <c r="H618" s="63"/>
      <c r="I618" s="64"/>
      <c r="J618" s="64"/>
      <c r="K618" s="64"/>
      <c r="L618" s="64"/>
      <c r="M618" s="64"/>
      <c r="N618" s="64"/>
      <c r="O618" s="64"/>
      <c r="P618" s="64"/>
      <c r="Q618" s="64"/>
      <c r="R618" s="65" t="str">
        <f>IF($A618="","",IFERROR(MINIFS(Candidates!$K$2:$K$2000,Candidates!$A$2:$A$2000,$A618),""))</f>
        <v/>
      </c>
      <c r="S618" s="65" t="str">
        <f>IF($A618="","",IFERROR(MAXIFS(Candidates!$AA$2:$AA$2000,Candidates!$A$2:$A$2000,$A618),""))</f>
        <v/>
      </c>
      <c r="T618" s="64" t="str">
        <f>IFERROR(__xludf.DUMMYFUNCTION("IF($A618="""","""",IFERROR(TEXTJOIN("", "",TRUE,UNIQUE(FILTER(Candidates!$B$2:$B$2000,Candidates!$A$2:$A$2000=$A618))),""""))"),"")</f>
        <v/>
      </c>
      <c r="U618" s="66" t="str">
        <f>IF($A618="","",COUNTIF(Candidates!$A$2:$A$2000,$A618))</f>
        <v/>
      </c>
      <c r="V618" s="64" t="str">
        <f>IFERROR(__xludf.DUMMYFUNCTION("IF($A618="""","""",IFERROR(INDEX(FILTER(Candidates!$S$2:$S$2000,Candidates!$A$2:$A$2000=$A618),COUNTIF(Candidates!$A$2:$A$2000,$A618)),""""))"),"")</f>
        <v/>
      </c>
      <c r="W618" s="64" t="str">
        <f>IFERROR(__xludf.DUMMYFUNCTION("IF($A618="""","""",IFERROR(INDEX(FILTER(Candidates!$T$2:$T$2000,Candidates!$A$2:$A$2000=$A618),COUNTIF(Candidates!$A$2:$A$2000,$A618)),""""))"),"")</f>
        <v/>
      </c>
      <c r="X618" s="64"/>
      <c r="Y618" s="64"/>
      <c r="Z618" s="65"/>
      <c r="AA618" s="65"/>
      <c r="AB618" s="65"/>
      <c r="AC618" s="65"/>
    </row>
    <row r="619">
      <c r="A619" s="64"/>
      <c r="B619" s="64"/>
      <c r="C619" s="64"/>
      <c r="D619" s="64"/>
      <c r="E619" s="64"/>
      <c r="F619" s="64"/>
      <c r="G619" s="64"/>
      <c r="H619" s="63"/>
      <c r="I619" s="64"/>
      <c r="J619" s="64"/>
      <c r="K619" s="64"/>
      <c r="L619" s="64"/>
      <c r="M619" s="64"/>
      <c r="N619" s="64"/>
      <c r="O619" s="64"/>
      <c r="P619" s="64"/>
      <c r="Q619" s="64"/>
      <c r="R619" s="65" t="str">
        <f>IF($A619="","",IFERROR(MINIFS(Candidates!$K$2:$K$2000,Candidates!$A$2:$A$2000,$A619),""))</f>
        <v/>
      </c>
      <c r="S619" s="65" t="str">
        <f>IF($A619="","",IFERROR(MAXIFS(Candidates!$AA$2:$AA$2000,Candidates!$A$2:$A$2000,$A619),""))</f>
        <v/>
      </c>
      <c r="T619" s="64" t="str">
        <f>IFERROR(__xludf.DUMMYFUNCTION("IF($A619="""","""",IFERROR(TEXTJOIN("", "",TRUE,UNIQUE(FILTER(Candidates!$B$2:$B$2000,Candidates!$A$2:$A$2000=$A619))),""""))"),"")</f>
        <v/>
      </c>
      <c r="U619" s="66" t="str">
        <f>IF($A619="","",COUNTIF(Candidates!$A$2:$A$2000,$A619))</f>
        <v/>
      </c>
      <c r="V619" s="64" t="str">
        <f>IFERROR(__xludf.DUMMYFUNCTION("IF($A619="""","""",IFERROR(INDEX(FILTER(Candidates!$S$2:$S$2000,Candidates!$A$2:$A$2000=$A619),COUNTIF(Candidates!$A$2:$A$2000,$A619)),""""))"),"")</f>
        <v/>
      </c>
      <c r="W619" s="64" t="str">
        <f>IFERROR(__xludf.DUMMYFUNCTION("IF($A619="""","""",IFERROR(INDEX(FILTER(Candidates!$T$2:$T$2000,Candidates!$A$2:$A$2000=$A619),COUNTIF(Candidates!$A$2:$A$2000,$A619)),""""))"),"")</f>
        <v/>
      </c>
      <c r="X619" s="64"/>
      <c r="Y619" s="64"/>
      <c r="Z619" s="65"/>
      <c r="AA619" s="65"/>
      <c r="AB619" s="65"/>
      <c r="AC619" s="65"/>
    </row>
    <row r="620">
      <c r="A620" s="64"/>
      <c r="B620" s="64"/>
      <c r="C620" s="64"/>
      <c r="D620" s="64"/>
      <c r="E620" s="64"/>
      <c r="F620" s="64"/>
      <c r="G620" s="64"/>
      <c r="H620" s="63"/>
      <c r="I620" s="64"/>
      <c r="J620" s="64"/>
      <c r="K620" s="64"/>
      <c r="L620" s="64"/>
      <c r="M620" s="64"/>
      <c r="N620" s="64"/>
      <c r="O620" s="64"/>
      <c r="P620" s="64"/>
      <c r="Q620" s="64"/>
      <c r="R620" s="65" t="str">
        <f>IF($A620="","",IFERROR(MINIFS(Candidates!$K$2:$K$2000,Candidates!$A$2:$A$2000,$A620),""))</f>
        <v/>
      </c>
      <c r="S620" s="65" t="str">
        <f>IF($A620="","",IFERROR(MAXIFS(Candidates!$AA$2:$AA$2000,Candidates!$A$2:$A$2000,$A620),""))</f>
        <v/>
      </c>
      <c r="T620" s="64" t="str">
        <f>IFERROR(__xludf.DUMMYFUNCTION("IF($A620="""","""",IFERROR(TEXTJOIN("", "",TRUE,UNIQUE(FILTER(Candidates!$B$2:$B$2000,Candidates!$A$2:$A$2000=$A620))),""""))"),"")</f>
        <v/>
      </c>
      <c r="U620" s="66" t="str">
        <f>IF($A620="","",COUNTIF(Candidates!$A$2:$A$2000,$A620))</f>
        <v/>
      </c>
      <c r="V620" s="64" t="str">
        <f>IFERROR(__xludf.DUMMYFUNCTION("IF($A620="""","""",IFERROR(INDEX(FILTER(Candidates!$S$2:$S$2000,Candidates!$A$2:$A$2000=$A620),COUNTIF(Candidates!$A$2:$A$2000,$A620)),""""))"),"")</f>
        <v/>
      </c>
      <c r="W620" s="64" t="str">
        <f>IFERROR(__xludf.DUMMYFUNCTION("IF($A620="""","""",IFERROR(INDEX(FILTER(Candidates!$T$2:$T$2000,Candidates!$A$2:$A$2000=$A620),COUNTIF(Candidates!$A$2:$A$2000,$A620)),""""))"),"")</f>
        <v/>
      </c>
      <c r="X620" s="64"/>
      <c r="Y620" s="64"/>
      <c r="Z620" s="65"/>
      <c r="AA620" s="65"/>
      <c r="AB620" s="65"/>
      <c r="AC620" s="65"/>
    </row>
    <row r="621">
      <c r="A621" s="64"/>
      <c r="B621" s="64"/>
      <c r="C621" s="64"/>
      <c r="D621" s="64"/>
      <c r="E621" s="64"/>
      <c r="F621" s="64"/>
      <c r="G621" s="64"/>
      <c r="H621" s="63"/>
      <c r="I621" s="64"/>
      <c r="J621" s="64"/>
      <c r="K621" s="64"/>
      <c r="L621" s="64"/>
      <c r="M621" s="64"/>
      <c r="N621" s="64"/>
      <c r="O621" s="64"/>
      <c r="P621" s="64"/>
      <c r="Q621" s="64"/>
      <c r="R621" s="65" t="str">
        <f>IF($A621="","",IFERROR(MINIFS(Candidates!$K$2:$K$2000,Candidates!$A$2:$A$2000,$A621),""))</f>
        <v/>
      </c>
      <c r="S621" s="65" t="str">
        <f>IF($A621="","",IFERROR(MAXIFS(Candidates!$AA$2:$AA$2000,Candidates!$A$2:$A$2000,$A621),""))</f>
        <v/>
      </c>
      <c r="T621" s="64" t="str">
        <f>IFERROR(__xludf.DUMMYFUNCTION("IF($A621="""","""",IFERROR(TEXTJOIN("", "",TRUE,UNIQUE(FILTER(Candidates!$B$2:$B$2000,Candidates!$A$2:$A$2000=$A621))),""""))"),"")</f>
        <v/>
      </c>
      <c r="U621" s="66" t="str">
        <f>IF($A621="","",COUNTIF(Candidates!$A$2:$A$2000,$A621))</f>
        <v/>
      </c>
      <c r="V621" s="64" t="str">
        <f>IFERROR(__xludf.DUMMYFUNCTION("IF($A621="""","""",IFERROR(INDEX(FILTER(Candidates!$S$2:$S$2000,Candidates!$A$2:$A$2000=$A621),COUNTIF(Candidates!$A$2:$A$2000,$A621)),""""))"),"")</f>
        <v/>
      </c>
      <c r="W621" s="64" t="str">
        <f>IFERROR(__xludf.DUMMYFUNCTION("IF($A621="""","""",IFERROR(INDEX(FILTER(Candidates!$T$2:$T$2000,Candidates!$A$2:$A$2000=$A621),COUNTIF(Candidates!$A$2:$A$2000,$A621)),""""))"),"")</f>
        <v/>
      </c>
      <c r="X621" s="64"/>
      <c r="Y621" s="64"/>
      <c r="Z621" s="65"/>
      <c r="AA621" s="65"/>
      <c r="AB621" s="65"/>
      <c r="AC621" s="65"/>
    </row>
    <row r="622">
      <c r="A622" s="64"/>
      <c r="B622" s="64"/>
      <c r="C622" s="64"/>
      <c r="D622" s="64"/>
      <c r="E622" s="64"/>
      <c r="F622" s="64"/>
      <c r="G622" s="64"/>
      <c r="H622" s="63"/>
      <c r="I622" s="64"/>
      <c r="J622" s="64"/>
      <c r="K622" s="64"/>
      <c r="L622" s="64"/>
      <c r="M622" s="64"/>
      <c r="N622" s="64"/>
      <c r="O622" s="64"/>
      <c r="P622" s="64"/>
      <c r="Q622" s="64"/>
      <c r="R622" s="65" t="str">
        <f>IF($A622="","",IFERROR(MINIFS(Candidates!$K$2:$K$2000,Candidates!$A$2:$A$2000,$A622),""))</f>
        <v/>
      </c>
      <c r="S622" s="65" t="str">
        <f>IF($A622="","",IFERROR(MAXIFS(Candidates!$AA$2:$AA$2000,Candidates!$A$2:$A$2000,$A622),""))</f>
        <v/>
      </c>
      <c r="T622" s="64" t="str">
        <f>IFERROR(__xludf.DUMMYFUNCTION("IF($A622="""","""",IFERROR(TEXTJOIN("", "",TRUE,UNIQUE(FILTER(Candidates!$B$2:$B$2000,Candidates!$A$2:$A$2000=$A622))),""""))"),"")</f>
        <v/>
      </c>
      <c r="U622" s="66" t="str">
        <f>IF($A622="","",COUNTIF(Candidates!$A$2:$A$2000,$A622))</f>
        <v/>
      </c>
      <c r="V622" s="64" t="str">
        <f>IFERROR(__xludf.DUMMYFUNCTION("IF($A622="""","""",IFERROR(INDEX(FILTER(Candidates!$S$2:$S$2000,Candidates!$A$2:$A$2000=$A622),COUNTIF(Candidates!$A$2:$A$2000,$A622)),""""))"),"")</f>
        <v/>
      </c>
      <c r="W622" s="64" t="str">
        <f>IFERROR(__xludf.DUMMYFUNCTION("IF($A622="""","""",IFERROR(INDEX(FILTER(Candidates!$T$2:$T$2000,Candidates!$A$2:$A$2000=$A622),COUNTIF(Candidates!$A$2:$A$2000,$A622)),""""))"),"")</f>
        <v/>
      </c>
      <c r="X622" s="64"/>
      <c r="Y622" s="64"/>
      <c r="Z622" s="65"/>
      <c r="AA622" s="65"/>
      <c r="AB622" s="65"/>
      <c r="AC622" s="65"/>
    </row>
    <row r="623">
      <c r="A623" s="64"/>
      <c r="B623" s="64"/>
      <c r="C623" s="64"/>
      <c r="D623" s="64"/>
      <c r="E623" s="64"/>
      <c r="F623" s="64"/>
      <c r="G623" s="64"/>
      <c r="H623" s="63"/>
      <c r="I623" s="64"/>
      <c r="J623" s="64"/>
      <c r="K623" s="64"/>
      <c r="L623" s="64"/>
      <c r="M623" s="64"/>
      <c r="N623" s="64"/>
      <c r="O623" s="64"/>
      <c r="P623" s="64"/>
      <c r="Q623" s="64"/>
      <c r="R623" s="65" t="str">
        <f>IF($A623="","",IFERROR(MINIFS(Candidates!$K$2:$K$2000,Candidates!$A$2:$A$2000,$A623),""))</f>
        <v/>
      </c>
      <c r="S623" s="65" t="str">
        <f>IF($A623="","",IFERROR(MAXIFS(Candidates!$AA$2:$AA$2000,Candidates!$A$2:$A$2000,$A623),""))</f>
        <v/>
      </c>
      <c r="T623" s="64" t="str">
        <f>IFERROR(__xludf.DUMMYFUNCTION("IF($A623="""","""",IFERROR(TEXTJOIN("", "",TRUE,UNIQUE(FILTER(Candidates!$B$2:$B$2000,Candidates!$A$2:$A$2000=$A623))),""""))"),"")</f>
        <v/>
      </c>
      <c r="U623" s="66" t="str">
        <f>IF($A623="","",COUNTIF(Candidates!$A$2:$A$2000,$A623))</f>
        <v/>
      </c>
      <c r="V623" s="64" t="str">
        <f>IFERROR(__xludf.DUMMYFUNCTION("IF($A623="""","""",IFERROR(INDEX(FILTER(Candidates!$S$2:$S$2000,Candidates!$A$2:$A$2000=$A623),COUNTIF(Candidates!$A$2:$A$2000,$A623)),""""))"),"")</f>
        <v/>
      </c>
      <c r="W623" s="64" t="str">
        <f>IFERROR(__xludf.DUMMYFUNCTION("IF($A623="""","""",IFERROR(INDEX(FILTER(Candidates!$T$2:$T$2000,Candidates!$A$2:$A$2000=$A623),COUNTIF(Candidates!$A$2:$A$2000,$A623)),""""))"),"")</f>
        <v/>
      </c>
      <c r="X623" s="64"/>
      <c r="Y623" s="64"/>
      <c r="Z623" s="65"/>
      <c r="AA623" s="65"/>
      <c r="AB623" s="65"/>
      <c r="AC623" s="65"/>
    </row>
    <row r="624">
      <c r="A624" s="64"/>
      <c r="B624" s="64"/>
      <c r="C624" s="64"/>
      <c r="D624" s="64"/>
      <c r="E624" s="64"/>
      <c r="F624" s="64"/>
      <c r="G624" s="64"/>
      <c r="H624" s="63"/>
      <c r="I624" s="64"/>
      <c r="J624" s="64"/>
      <c r="K624" s="64"/>
      <c r="L624" s="64"/>
      <c r="M624" s="64"/>
      <c r="N624" s="64"/>
      <c r="O624" s="64"/>
      <c r="P624" s="64"/>
      <c r="Q624" s="64"/>
      <c r="R624" s="65" t="str">
        <f>IF($A624="","",IFERROR(MINIFS(Candidates!$K$2:$K$2000,Candidates!$A$2:$A$2000,$A624),""))</f>
        <v/>
      </c>
      <c r="S624" s="65" t="str">
        <f>IF($A624="","",IFERROR(MAXIFS(Candidates!$AA$2:$AA$2000,Candidates!$A$2:$A$2000,$A624),""))</f>
        <v/>
      </c>
      <c r="T624" s="64" t="str">
        <f>IFERROR(__xludf.DUMMYFUNCTION("IF($A624="""","""",IFERROR(TEXTJOIN("", "",TRUE,UNIQUE(FILTER(Candidates!$B$2:$B$2000,Candidates!$A$2:$A$2000=$A624))),""""))"),"")</f>
        <v/>
      </c>
      <c r="U624" s="66" t="str">
        <f>IF($A624="","",COUNTIF(Candidates!$A$2:$A$2000,$A624))</f>
        <v/>
      </c>
      <c r="V624" s="64" t="str">
        <f>IFERROR(__xludf.DUMMYFUNCTION("IF($A624="""","""",IFERROR(INDEX(FILTER(Candidates!$S$2:$S$2000,Candidates!$A$2:$A$2000=$A624),COUNTIF(Candidates!$A$2:$A$2000,$A624)),""""))"),"")</f>
        <v/>
      </c>
      <c r="W624" s="64" t="str">
        <f>IFERROR(__xludf.DUMMYFUNCTION("IF($A624="""","""",IFERROR(INDEX(FILTER(Candidates!$T$2:$T$2000,Candidates!$A$2:$A$2000=$A624),COUNTIF(Candidates!$A$2:$A$2000,$A624)),""""))"),"")</f>
        <v/>
      </c>
      <c r="X624" s="64"/>
      <c r="Y624" s="64"/>
      <c r="Z624" s="65"/>
      <c r="AA624" s="65"/>
      <c r="AB624" s="65"/>
      <c r="AC624" s="65"/>
    </row>
    <row r="625">
      <c r="A625" s="64"/>
      <c r="B625" s="64"/>
      <c r="C625" s="64"/>
      <c r="D625" s="64"/>
      <c r="E625" s="64"/>
      <c r="F625" s="64"/>
      <c r="G625" s="64"/>
      <c r="H625" s="63"/>
      <c r="I625" s="64"/>
      <c r="J625" s="64"/>
      <c r="K625" s="64"/>
      <c r="L625" s="64"/>
      <c r="M625" s="64"/>
      <c r="N625" s="64"/>
      <c r="O625" s="64"/>
      <c r="P625" s="64"/>
      <c r="Q625" s="64"/>
      <c r="R625" s="65" t="str">
        <f>IF($A625="","",IFERROR(MINIFS(Candidates!$K$2:$K$2000,Candidates!$A$2:$A$2000,$A625),""))</f>
        <v/>
      </c>
      <c r="S625" s="65" t="str">
        <f>IF($A625="","",IFERROR(MAXIFS(Candidates!$AA$2:$AA$2000,Candidates!$A$2:$A$2000,$A625),""))</f>
        <v/>
      </c>
      <c r="T625" s="64" t="str">
        <f>IFERROR(__xludf.DUMMYFUNCTION("IF($A625="""","""",IFERROR(TEXTJOIN("", "",TRUE,UNIQUE(FILTER(Candidates!$B$2:$B$2000,Candidates!$A$2:$A$2000=$A625))),""""))"),"")</f>
        <v/>
      </c>
      <c r="U625" s="66" t="str">
        <f>IF($A625="","",COUNTIF(Candidates!$A$2:$A$2000,$A625))</f>
        <v/>
      </c>
      <c r="V625" s="64" t="str">
        <f>IFERROR(__xludf.DUMMYFUNCTION("IF($A625="""","""",IFERROR(INDEX(FILTER(Candidates!$S$2:$S$2000,Candidates!$A$2:$A$2000=$A625),COUNTIF(Candidates!$A$2:$A$2000,$A625)),""""))"),"")</f>
        <v/>
      </c>
      <c r="W625" s="64" t="str">
        <f>IFERROR(__xludf.DUMMYFUNCTION("IF($A625="""","""",IFERROR(INDEX(FILTER(Candidates!$T$2:$T$2000,Candidates!$A$2:$A$2000=$A625),COUNTIF(Candidates!$A$2:$A$2000,$A625)),""""))"),"")</f>
        <v/>
      </c>
      <c r="X625" s="64"/>
      <c r="Y625" s="64"/>
      <c r="Z625" s="65"/>
      <c r="AA625" s="65"/>
      <c r="AB625" s="65"/>
      <c r="AC625" s="65"/>
    </row>
    <row r="626">
      <c r="A626" s="64"/>
      <c r="B626" s="64"/>
      <c r="C626" s="64"/>
      <c r="D626" s="64"/>
      <c r="E626" s="64"/>
      <c r="F626" s="64"/>
      <c r="G626" s="64"/>
      <c r="H626" s="63"/>
      <c r="I626" s="64"/>
      <c r="J626" s="64"/>
      <c r="K626" s="64"/>
      <c r="L626" s="64"/>
      <c r="M626" s="64"/>
      <c r="N626" s="64"/>
      <c r="O626" s="64"/>
      <c r="P626" s="64"/>
      <c r="Q626" s="64"/>
      <c r="R626" s="65" t="str">
        <f>IF($A626="","",IFERROR(MINIFS(Candidates!$K$2:$K$2000,Candidates!$A$2:$A$2000,$A626),""))</f>
        <v/>
      </c>
      <c r="S626" s="65" t="str">
        <f>IF($A626="","",IFERROR(MAXIFS(Candidates!$AA$2:$AA$2000,Candidates!$A$2:$A$2000,$A626),""))</f>
        <v/>
      </c>
      <c r="T626" s="64" t="str">
        <f>IFERROR(__xludf.DUMMYFUNCTION("IF($A626="""","""",IFERROR(TEXTJOIN("", "",TRUE,UNIQUE(FILTER(Candidates!$B$2:$B$2000,Candidates!$A$2:$A$2000=$A626))),""""))"),"")</f>
        <v/>
      </c>
      <c r="U626" s="66" t="str">
        <f>IF($A626="","",COUNTIF(Candidates!$A$2:$A$2000,$A626))</f>
        <v/>
      </c>
      <c r="V626" s="64" t="str">
        <f>IFERROR(__xludf.DUMMYFUNCTION("IF($A626="""","""",IFERROR(INDEX(FILTER(Candidates!$S$2:$S$2000,Candidates!$A$2:$A$2000=$A626),COUNTIF(Candidates!$A$2:$A$2000,$A626)),""""))"),"")</f>
        <v/>
      </c>
      <c r="W626" s="64" t="str">
        <f>IFERROR(__xludf.DUMMYFUNCTION("IF($A626="""","""",IFERROR(INDEX(FILTER(Candidates!$T$2:$T$2000,Candidates!$A$2:$A$2000=$A626),COUNTIF(Candidates!$A$2:$A$2000,$A626)),""""))"),"")</f>
        <v/>
      </c>
      <c r="X626" s="64"/>
      <c r="Y626" s="64"/>
      <c r="Z626" s="65"/>
      <c r="AA626" s="65"/>
      <c r="AB626" s="65"/>
      <c r="AC626" s="65"/>
    </row>
    <row r="627">
      <c r="A627" s="64"/>
      <c r="B627" s="64"/>
      <c r="C627" s="64"/>
      <c r="D627" s="64"/>
      <c r="E627" s="64"/>
      <c r="F627" s="64"/>
      <c r="G627" s="64"/>
      <c r="H627" s="63"/>
      <c r="I627" s="64"/>
      <c r="J627" s="64"/>
      <c r="K627" s="64"/>
      <c r="L627" s="64"/>
      <c r="M627" s="64"/>
      <c r="N627" s="64"/>
      <c r="O627" s="64"/>
      <c r="P627" s="64"/>
      <c r="Q627" s="64"/>
      <c r="R627" s="65" t="str">
        <f>IF($A627="","",IFERROR(MINIFS(Candidates!$K$2:$K$2000,Candidates!$A$2:$A$2000,$A627),""))</f>
        <v/>
      </c>
      <c r="S627" s="65" t="str">
        <f>IF($A627="","",IFERROR(MAXIFS(Candidates!$AA$2:$AA$2000,Candidates!$A$2:$A$2000,$A627),""))</f>
        <v/>
      </c>
      <c r="T627" s="64" t="str">
        <f>IFERROR(__xludf.DUMMYFUNCTION("IF($A627="""","""",IFERROR(TEXTJOIN("", "",TRUE,UNIQUE(FILTER(Candidates!$B$2:$B$2000,Candidates!$A$2:$A$2000=$A627))),""""))"),"")</f>
        <v/>
      </c>
      <c r="U627" s="66" t="str">
        <f>IF($A627="","",COUNTIF(Candidates!$A$2:$A$2000,$A627))</f>
        <v/>
      </c>
      <c r="V627" s="64" t="str">
        <f>IFERROR(__xludf.DUMMYFUNCTION("IF($A627="""","""",IFERROR(INDEX(FILTER(Candidates!$S$2:$S$2000,Candidates!$A$2:$A$2000=$A627),COUNTIF(Candidates!$A$2:$A$2000,$A627)),""""))"),"")</f>
        <v/>
      </c>
      <c r="W627" s="64" t="str">
        <f>IFERROR(__xludf.DUMMYFUNCTION("IF($A627="""","""",IFERROR(INDEX(FILTER(Candidates!$T$2:$T$2000,Candidates!$A$2:$A$2000=$A627),COUNTIF(Candidates!$A$2:$A$2000,$A627)),""""))"),"")</f>
        <v/>
      </c>
      <c r="X627" s="64"/>
      <c r="Y627" s="64"/>
      <c r="Z627" s="65"/>
      <c r="AA627" s="65"/>
      <c r="AB627" s="65"/>
      <c r="AC627" s="65"/>
    </row>
    <row r="628">
      <c r="A628" s="64"/>
      <c r="B628" s="64"/>
      <c r="C628" s="64"/>
      <c r="D628" s="64"/>
      <c r="E628" s="64"/>
      <c r="F628" s="64"/>
      <c r="G628" s="64"/>
      <c r="H628" s="63"/>
      <c r="I628" s="64"/>
      <c r="J628" s="64"/>
      <c r="K628" s="64"/>
      <c r="L628" s="64"/>
      <c r="M628" s="64"/>
      <c r="N628" s="64"/>
      <c r="O628" s="64"/>
      <c r="P628" s="64"/>
      <c r="Q628" s="64"/>
      <c r="R628" s="65" t="str">
        <f>IF($A628="","",IFERROR(MINIFS(Candidates!$K$2:$K$2000,Candidates!$A$2:$A$2000,$A628),""))</f>
        <v/>
      </c>
      <c r="S628" s="65" t="str">
        <f>IF($A628="","",IFERROR(MAXIFS(Candidates!$AA$2:$AA$2000,Candidates!$A$2:$A$2000,$A628),""))</f>
        <v/>
      </c>
      <c r="T628" s="64" t="str">
        <f>IFERROR(__xludf.DUMMYFUNCTION("IF($A628="""","""",IFERROR(TEXTJOIN("", "",TRUE,UNIQUE(FILTER(Candidates!$B$2:$B$2000,Candidates!$A$2:$A$2000=$A628))),""""))"),"")</f>
        <v/>
      </c>
      <c r="U628" s="66" t="str">
        <f>IF($A628="","",COUNTIF(Candidates!$A$2:$A$2000,$A628))</f>
        <v/>
      </c>
      <c r="V628" s="64" t="str">
        <f>IFERROR(__xludf.DUMMYFUNCTION("IF($A628="""","""",IFERROR(INDEX(FILTER(Candidates!$S$2:$S$2000,Candidates!$A$2:$A$2000=$A628),COUNTIF(Candidates!$A$2:$A$2000,$A628)),""""))"),"")</f>
        <v/>
      </c>
      <c r="W628" s="64" t="str">
        <f>IFERROR(__xludf.DUMMYFUNCTION("IF($A628="""","""",IFERROR(INDEX(FILTER(Candidates!$T$2:$T$2000,Candidates!$A$2:$A$2000=$A628),COUNTIF(Candidates!$A$2:$A$2000,$A628)),""""))"),"")</f>
        <v/>
      </c>
      <c r="X628" s="64"/>
      <c r="Y628" s="64"/>
      <c r="Z628" s="65"/>
      <c r="AA628" s="65"/>
      <c r="AB628" s="65"/>
      <c r="AC628" s="65"/>
    </row>
    <row r="629">
      <c r="A629" s="64"/>
      <c r="B629" s="64"/>
      <c r="C629" s="64"/>
      <c r="D629" s="64"/>
      <c r="E629" s="64"/>
      <c r="F629" s="64"/>
      <c r="G629" s="64"/>
      <c r="H629" s="63"/>
      <c r="I629" s="64"/>
      <c r="J629" s="64"/>
      <c r="K629" s="64"/>
      <c r="L629" s="64"/>
      <c r="M629" s="64"/>
      <c r="N629" s="64"/>
      <c r="O629" s="64"/>
      <c r="P629" s="64"/>
      <c r="Q629" s="64"/>
      <c r="R629" s="65" t="str">
        <f>IF($A629="","",IFERROR(MINIFS(Candidates!$K$2:$K$2000,Candidates!$A$2:$A$2000,$A629),""))</f>
        <v/>
      </c>
      <c r="S629" s="65" t="str">
        <f>IF($A629="","",IFERROR(MAXIFS(Candidates!$AA$2:$AA$2000,Candidates!$A$2:$A$2000,$A629),""))</f>
        <v/>
      </c>
      <c r="T629" s="64" t="str">
        <f>IFERROR(__xludf.DUMMYFUNCTION("IF($A629="""","""",IFERROR(TEXTJOIN("", "",TRUE,UNIQUE(FILTER(Candidates!$B$2:$B$2000,Candidates!$A$2:$A$2000=$A629))),""""))"),"")</f>
        <v/>
      </c>
      <c r="U629" s="66" t="str">
        <f>IF($A629="","",COUNTIF(Candidates!$A$2:$A$2000,$A629))</f>
        <v/>
      </c>
      <c r="V629" s="64" t="str">
        <f>IFERROR(__xludf.DUMMYFUNCTION("IF($A629="""","""",IFERROR(INDEX(FILTER(Candidates!$S$2:$S$2000,Candidates!$A$2:$A$2000=$A629),COUNTIF(Candidates!$A$2:$A$2000,$A629)),""""))"),"")</f>
        <v/>
      </c>
      <c r="W629" s="64" t="str">
        <f>IFERROR(__xludf.DUMMYFUNCTION("IF($A629="""","""",IFERROR(INDEX(FILTER(Candidates!$T$2:$T$2000,Candidates!$A$2:$A$2000=$A629),COUNTIF(Candidates!$A$2:$A$2000,$A629)),""""))"),"")</f>
        <v/>
      </c>
      <c r="X629" s="64"/>
      <c r="Y629" s="64"/>
      <c r="Z629" s="65"/>
      <c r="AA629" s="65"/>
      <c r="AB629" s="65"/>
      <c r="AC629" s="65"/>
    </row>
    <row r="630">
      <c r="A630" s="64"/>
      <c r="B630" s="64"/>
      <c r="C630" s="64"/>
      <c r="D630" s="64"/>
      <c r="E630" s="64"/>
      <c r="F630" s="64"/>
      <c r="G630" s="64"/>
      <c r="H630" s="63"/>
      <c r="I630" s="64"/>
      <c r="J630" s="64"/>
      <c r="K630" s="64"/>
      <c r="L630" s="64"/>
      <c r="M630" s="64"/>
      <c r="N630" s="64"/>
      <c r="O630" s="64"/>
      <c r="P630" s="64"/>
      <c r="Q630" s="64"/>
      <c r="R630" s="65" t="str">
        <f>IF($A630="","",IFERROR(MINIFS(Candidates!$K$2:$K$2000,Candidates!$A$2:$A$2000,$A630),""))</f>
        <v/>
      </c>
      <c r="S630" s="65" t="str">
        <f>IF($A630="","",IFERROR(MAXIFS(Candidates!$AA$2:$AA$2000,Candidates!$A$2:$A$2000,$A630),""))</f>
        <v/>
      </c>
      <c r="T630" s="64" t="str">
        <f>IFERROR(__xludf.DUMMYFUNCTION("IF($A630="""","""",IFERROR(TEXTJOIN("", "",TRUE,UNIQUE(FILTER(Candidates!$B$2:$B$2000,Candidates!$A$2:$A$2000=$A630))),""""))"),"")</f>
        <v/>
      </c>
      <c r="U630" s="66" t="str">
        <f>IF($A630="","",COUNTIF(Candidates!$A$2:$A$2000,$A630))</f>
        <v/>
      </c>
      <c r="V630" s="64" t="str">
        <f>IFERROR(__xludf.DUMMYFUNCTION("IF($A630="""","""",IFERROR(INDEX(FILTER(Candidates!$S$2:$S$2000,Candidates!$A$2:$A$2000=$A630),COUNTIF(Candidates!$A$2:$A$2000,$A630)),""""))"),"")</f>
        <v/>
      </c>
      <c r="W630" s="64" t="str">
        <f>IFERROR(__xludf.DUMMYFUNCTION("IF($A630="""","""",IFERROR(INDEX(FILTER(Candidates!$T$2:$T$2000,Candidates!$A$2:$A$2000=$A630),COUNTIF(Candidates!$A$2:$A$2000,$A630)),""""))"),"")</f>
        <v/>
      </c>
      <c r="X630" s="64"/>
      <c r="Y630" s="64"/>
      <c r="Z630" s="65"/>
      <c r="AA630" s="65"/>
      <c r="AB630" s="65"/>
      <c r="AC630" s="65"/>
    </row>
    <row r="631">
      <c r="A631" s="64"/>
      <c r="B631" s="64"/>
      <c r="C631" s="64"/>
      <c r="D631" s="64"/>
      <c r="E631" s="64"/>
      <c r="F631" s="64"/>
      <c r="G631" s="64"/>
      <c r="H631" s="63"/>
      <c r="I631" s="64"/>
      <c r="J631" s="64"/>
      <c r="K631" s="64"/>
      <c r="L631" s="64"/>
      <c r="M631" s="64"/>
      <c r="N631" s="64"/>
      <c r="O631" s="64"/>
      <c r="P631" s="64"/>
      <c r="Q631" s="64"/>
      <c r="R631" s="65" t="str">
        <f>IF($A631="","",IFERROR(MINIFS(Candidates!$K$2:$K$2000,Candidates!$A$2:$A$2000,$A631),""))</f>
        <v/>
      </c>
      <c r="S631" s="65" t="str">
        <f>IF($A631="","",IFERROR(MAXIFS(Candidates!$AA$2:$AA$2000,Candidates!$A$2:$A$2000,$A631),""))</f>
        <v/>
      </c>
      <c r="T631" s="64" t="str">
        <f>IFERROR(__xludf.DUMMYFUNCTION("IF($A631="""","""",IFERROR(TEXTJOIN("", "",TRUE,UNIQUE(FILTER(Candidates!$B$2:$B$2000,Candidates!$A$2:$A$2000=$A631))),""""))"),"")</f>
        <v/>
      </c>
      <c r="U631" s="66" t="str">
        <f>IF($A631="","",COUNTIF(Candidates!$A$2:$A$2000,$A631))</f>
        <v/>
      </c>
      <c r="V631" s="64" t="str">
        <f>IFERROR(__xludf.DUMMYFUNCTION("IF($A631="""","""",IFERROR(INDEX(FILTER(Candidates!$S$2:$S$2000,Candidates!$A$2:$A$2000=$A631),COUNTIF(Candidates!$A$2:$A$2000,$A631)),""""))"),"")</f>
        <v/>
      </c>
      <c r="W631" s="64" t="str">
        <f>IFERROR(__xludf.DUMMYFUNCTION("IF($A631="""","""",IFERROR(INDEX(FILTER(Candidates!$T$2:$T$2000,Candidates!$A$2:$A$2000=$A631),COUNTIF(Candidates!$A$2:$A$2000,$A631)),""""))"),"")</f>
        <v/>
      </c>
      <c r="X631" s="64"/>
      <c r="Y631" s="64"/>
      <c r="Z631" s="65"/>
      <c r="AA631" s="65"/>
      <c r="AB631" s="65"/>
      <c r="AC631" s="65"/>
    </row>
    <row r="632">
      <c r="A632" s="64"/>
      <c r="B632" s="64"/>
      <c r="C632" s="64"/>
      <c r="D632" s="64"/>
      <c r="E632" s="64"/>
      <c r="F632" s="64"/>
      <c r="G632" s="64"/>
      <c r="H632" s="63"/>
      <c r="I632" s="64"/>
      <c r="J632" s="64"/>
      <c r="K632" s="64"/>
      <c r="L632" s="64"/>
      <c r="M632" s="64"/>
      <c r="N632" s="64"/>
      <c r="O632" s="64"/>
      <c r="P632" s="64"/>
      <c r="Q632" s="64"/>
      <c r="R632" s="65" t="str">
        <f>IF($A632="","",IFERROR(MINIFS(Candidates!$K$2:$K$2000,Candidates!$A$2:$A$2000,$A632),""))</f>
        <v/>
      </c>
      <c r="S632" s="65" t="str">
        <f>IF($A632="","",IFERROR(MAXIFS(Candidates!$AA$2:$AA$2000,Candidates!$A$2:$A$2000,$A632),""))</f>
        <v/>
      </c>
      <c r="T632" s="64" t="str">
        <f>IFERROR(__xludf.DUMMYFUNCTION("IF($A632="""","""",IFERROR(TEXTJOIN("", "",TRUE,UNIQUE(FILTER(Candidates!$B$2:$B$2000,Candidates!$A$2:$A$2000=$A632))),""""))"),"")</f>
        <v/>
      </c>
      <c r="U632" s="66" t="str">
        <f>IF($A632="","",COUNTIF(Candidates!$A$2:$A$2000,$A632))</f>
        <v/>
      </c>
      <c r="V632" s="64" t="str">
        <f>IFERROR(__xludf.DUMMYFUNCTION("IF($A632="""","""",IFERROR(INDEX(FILTER(Candidates!$S$2:$S$2000,Candidates!$A$2:$A$2000=$A632),COUNTIF(Candidates!$A$2:$A$2000,$A632)),""""))"),"")</f>
        <v/>
      </c>
      <c r="W632" s="64" t="str">
        <f>IFERROR(__xludf.DUMMYFUNCTION("IF($A632="""","""",IFERROR(INDEX(FILTER(Candidates!$T$2:$T$2000,Candidates!$A$2:$A$2000=$A632),COUNTIF(Candidates!$A$2:$A$2000,$A632)),""""))"),"")</f>
        <v/>
      </c>
      <c r="X632" s="64"/>
      <c r="Y632" s="64"/>
      <c r="Z632" s="65"/>
      <c r="AA632" s="65"/>
      <c r="AB632" s="65"/>
      <c r="AC632" s="65"/>
    </row>
    <row r="633">
      <c r="A633" s="64"/>
      <c r="B633" s="64"/>
      <c r="C633" s="64"/>
      <c r="D633" s="64"/>
      <c r="E633" s="64"/>
      <c r="F633" s="64"/>
      <c r="G633" s="64"/>
      <c r="H633" s="63"/>
      <c r="I633" s="64"/>
      <c r="J633" s="64"/>
      <c r="K633" s="64"/>
      <c r="L633" s="64"/>
      <c r="M633" s="64"/>
      <c r="N633" s="64"/>
      <c r="O633" s="64"/>
      <c r="P633" s="64"/>
      <c r="Q633" s="64"/>
      <c r="R633" s="65" t="str">
        <f>IF($A633="","",IFERROR(MINIFS(Candidates!$K$2:$K$2000,Candidates!$A$2:$A$2000,$A633),""))</f>
        <v/>
      </c>
      <c r="S633" s="65" t="str">
        <f>IF($A633="","",IFERROR(MAXIFS(Candidates!$AA$2:$AA$2000,Candidates!$A$2:$A$2000,$A633),""))</f>
        <v/>
      </c>
      <c r="T633" s="64" t="str">
        <f>IFERROR(__xludf.DUMMYFUNCTION("IF($A633="""","""",IFERROR(TEXTJOIN("", "",TRUE,UNIQUE(FILTER(Candidates!$B$2:$B$2000,Candidates!$A$2:$A$2000=$A633))),""""))"),"")</f>
        <v/>
      </c>
      <c r="U633" s="66" t="str">
        <f>IF($A633="","",COUNTIF(Candidates!$A$2:$A$2000,$A633))</f>
        <v/>
      </c>
      <c r="V633" s="64" t="str">
        <f>IFERROR(__xludf.DUMMYFUNCTION("IF($A633="""","""",IFERROR(INDEX(FILTER(Candidates!$S$2:$S$2000,Candidates!$A$2:$A$2000=$A633),COUNTIF(Candidates!$A$2:$A$2000,$A633)),""""))"),"")</f>
        <v/>
      </c>
      <c r="W633" s="64" t="str">
        <f>IFERROR(__xludf.DUMMYFUNCTION("IF($A633="""","""",IFERROR(INDEX(FILTER(Candidates!$T$2:$T$2000,Candidates!$A$2:$A$2000=$A633),COUNTIF(Candidates!$A$2:$A$2000,$A633)),""""))"),"")</f>
        <v/>
      </c>
      <c r="X633" s="64"/>
      <c r="Y633" s="64"/>
      <c r="Z633" s="65"/>
      <c r="AA633" s="65"/>
      <c r="AB633" s="65"/>
      <c r="AC633" s="65"/>
    </row>
    <row r="634">
      <c r="A634" s="64"/>
      <c r="B634" s="64"/>
      <c r="C634" s="64"/>
      <c r="D634" s="64"/>
      <c r="E634" s="64"/>
      <c r="F634" s="64"/>
      <c r="G634" s="64"/>
      <c r="H634" s="63"/>
      <c r="I634" s="64"/>
      <c r="J634" s="64"/>
      <c r="K634" s="64"/>
      <c r="L634" s="64"/>
      <c r="M634" s="64"/>
      <c r="N634" s="64"/>
      <c r="O634" s="64"/>
      <c r="P634" s="64"/>
      <c r="Q634" s="64"/>
      <c r="R634" s="65" t="str">
        <f>IF($A634="","",IFERROR(MINIFS(Candidates!$K$2:$K$2000,Candidates!$A$2:$A$2000,$A634),""))</f>
        <v/>
      </c>
      <c r="S634" s="65" t="str">
        <f>IF($A634="","",IFERROR(MAXIFS(Candidates!$AA$2:$AA$2000,Candidates!$A$2:$A$2000,$A634),""))</f>
        <v/>
      </c>
      <c r="T634" s="64" t="str">
        <f>IFERROR(__xludf.DUMMYFUNCTION("IF($A634="""","""",IFERROR(TEXTJOIN("", "",TRUE,UNIQUE(FILTER(Candidates!$B$2:$B$2000,Candidates!$A$2:$A$2000=$A634))),""""))"),"")</f>
        <v/>
      </c>
      <c r="U634" s="66" t="str">
        <f>IF($A634="","",COUNTIF(Candidates!$A$2:$A$2000,$A634))</f>
        <v/>
      </c>
      <c r="V634" s="64" t="str">
        <f>IFERROR(__xludf.DUMMYFUNCTION("IF($A634="""","""",IFERROR(INDEX(FILTER(Candidates!$S$2:$S$2000,Candidates!$A$2:$A$2000=$A634),COUNTIF(Candidates!$A$2:$A$2000,$A634)),""""))"),"")</f>
        <v/>
      </c>
      <c r="W634" s="64" t="str">
        <f>IFERROR(__xludf.DUMMYFUNCTION("IF($A634="""","""",IFERROR(INDEX(FILTER(Candidates!$T$2:$T$2000,Candidates!$A$2:$A$2000=$A634),COUNTIF(Candidates!$A$2:$A$2000,$A634)),""""))"),"")</f>
        <v/>
      </c>
      <c r="X634" s="64"/>
      <c r="Y634" s="64"/>
      <c r="Z634" s="65"/>
      <c r="AA634" s="65"/>
      <c r="AB634" s="65"/>
      <c r="AC634" s="65"/>
    </row>
    <row r="635">
      <c r="A635" s="64"/>
      <c r="B635" s="64"/>
      <c r="C635" s="64"/>
      <c r="D635" s="64"/>
      <c r="E635" s="64"/>
      <c r="F635" s="64"/>
      <c r="G635" s="64"/>
      <c r="H635" s="63"/>
      <c r="I635" s="64"/>
      <c r="J635" s="64"/>
      <c r="K635" s="64"/>
      <c r="L635" s="64"/>
      <c r="M635" s="64"/>
      <c r="N635" s="64"/>
      <c r="O635" s="64"/>
      <c r="P635" s="64"/>
      <c r="Q635" s="64"/>
      <c r="R635" s="65" t="str">
        <f>IF($A635="","",IFERROR(MINIFS(Candidates!$K$2:$K$2000,Candidates!$A$2:$A$2000,$A635),""))</f>
        <v/>
      </c>
      <c r="S635" s="65" t="str">
        <f>IF($A635="","",IFERROR(MAXIFS(Candidates!$AA$2:$AA$2000,Candidates!$A$2:$A$2000,$A635),""))</f>
        <v/>
      </c>
      <c r="T635" s="64" t="str">
        <f>IFERROR(__xludf.DUMMYFUNCTION("IF($A635="""","""",IFERROR(TEXTJOIN("", "",TRUE,UNIQUE(FILTER(Candidates!$B$2:$B$2000,Candidates!$A$2:$A$2000=$A635))),""""))"),"")</f>
        <v/>
      </c>
      <c r="U635" s="66" t="str">
        <f>IF($A635="","",COUNTIF(Candidates!$A$2:$A$2000,$A635))</f>
        <v/>
      </c>
      <c r="V635" s="64" t="str">
        <f>IFERROR(__xludf.DUMMYFUNCTION("IF($A635="""","""",IFERROR(INDEX(FILTER(Candidates!$S$2:$S$2000,Candidates!$A$2:$A$2000=$A635),COUNTIF(Candidates!$A$2:$A$2000,$A635)),""""))"),"")</f>
        <v/>
      </c>
      <c r="W635" s="64" t="str">
        <f>IFERROR(__xludf.DUMMYFUNCTION("IF($A635="""","""",IFERROR(INDEX(FILTER(Candidates!$T$2:$T$2000,Candidates!$A$2:$A$2000=$A635),COUNTIF(Candidates!$A$2:$A$2000,$A635)),""""))"),"")</f>
        <v/>
      </c>
      <c r="X635" s="64"/>
      <c r="Y635" s="64"/>
      <c r="Z635" s="65"/>
      <c r="AA635" s="65"/>
      <c r="AB635" s="65"/>
      <c r="AC635" s="65"/>
    </row>
    <row r="636">
      <c r="A636" s="64"/>
      <c r="B636" s="64"/>
      <c r="C636" s="64"/>
      <c r="D636" s="64"/>
      <c r="E636" s="64"/>
      <c r="F636" s="64"/>
      <c r="G636" s="64"/>
      <c r="H636" s="63"/>
      <c r="I636" s="64"/>
      <c r="J636" s="64"/>
      <c r="K636" s="64"/>
      <c r="L636" s="64"/>
      <c r="M636" s="64"/>
      <c r="N636" s="64"/>
      <c r="O636" s="64"/>
      <c r="P636" s="64"/>
      <c r="Q636" s="64"/>
      <c r="R636" s="65" t="str">
        <f>IF($A636="","",IFERROR(MINIFS(Candidates!$K$2:$K$2000,Candidates!$A$2:$A$2000,$A636),""))</f>
        <v/>
      </c>
      <c r="S636" s="65" t="str">
        <f>IF($A636="","",IFERROR(MAXIFS(Candidates!$AA$2:$AA$2000,Candidates!$A$2:$A$2000,$A636),""))</f>
        <v/>
      </c>
      <c r="T636" s="64" t="str">
        <f>IFERROR(__xludf.DUMMYFUNCTION("IF($A636="""","""",IFERROR(TEXTJOIN("", "",TRUE,UNIQUE(FILTER(Candidates!$B$2:$B$2000,Candidates!$A$2:$A$2000=$A636))),""""))"),"")</f>
        <v/>
      </c>
      <c r="U636" s="66" t="str">
        <f>IF($A636="","",COUNTIF(Candidates!$A$2:$A$2000,$A636))</f>
        <v/>
      </c>
      <c r="V636" s="64" t="str">
        <f>IFERROR(__xludf.DUMMYFUNCTION("IF($A636="""","""",IFERROR(INDEX(FILTER(Candidates!$S$2:$S$2000,Candidates!$A$2:$A$2000=$A636),COUNTIF(Candidates!$A$2:$A$2000,$A636)),""""))"),"")</f>
        <v/>
      </c>
      <c r="W636" s="64" t="str">
        <f>IFERROR(__xludf.DUMMYFUNCTION("IF($A636="""","""",IFERROR(INDEX(FILTER(Candidates!$T$2:$T$2000,Candidates!$A$2:$A$2000=$A636),COUNTIF(Candidates!$A$2:$A$2000,$A636)),""""))"),"")</f>
        <v/>
      </c>
      <c r="X636" s="64"/>
      <c r="Y636" s="64"/>
      <c r="Z636" s="65"/>
      <c r="AA636" s="65"/>
      <c r="AB636" s="65"/>
      <c r="AC636" s="65"/>
    </row>
    <row r="637">
      <c r="A637" s="64"/>
      <c r="B637" s="64"/>
      <c r="C637" s="64"/>
      <c r="D637" s="64"/>
      <c r="E637" s="64"/>
      <c r="F637" s="64"/>
      <c r="G637" s="64"/>
      <c r="H637" s="63"/>
      <c r="I637" s="64"/>
      <c r="J637" s="64"/>
      <c r="K637" s="64"/>
      <c r="L637" s="64"/>
      <c r="M637" s="64"/>
      <c r="N637" s="64"/>
      <c r="O637" s="64"/>
      <c r="P637" s="64"/>
      <c r="Q637" s="64"/>
      <c r="R637" s="65" t="str">
        <f>IF($A637="","",IFERROR(MINIFS(Candidates!$K$2:$K$2000,Candidates!$A$2:$A$2000,$A637),""))</f>
        <v/>
      </c>
      <c r="S637" s="65" t="str">
        <f>IF($A637="","",IFERROR(MAXIFS(Candidates!$AA$2:$AA$2000,Candidates!$A$2:$A$2000,$A637),""))</f>
        <v/>
      </c>
      <c r="T637" s="64" t="str">
        <f>IFERROR(__xludf.DUMMYFUNCTION("IF($A637="""","""",IFERROR(TEXTJOIN("", "",TRUE,UNIQUE(FILTER(Candidates!$B$2:$B$2000,Candidates!$A$2:$A$2000=$A637))),""""))"),"")</f>
        <v/>
      </c>
      <c r="U637" s="66" t="str">
        <f>IF($A637="","",COUNTIF(Candidates!$A$2:$A$2000,$A637))</f>
        <v/>
      </c>
      <c r="V637" s="64" t="str">
        <f>IFERROR(__xludf.DUMMYFUNCTION("IF($A637="""","""",IFERROR(INDEX(FILTER(Candidates!$S$2:$S$2000,Candidates!$A$2:$A$2000=$A637),COUNTIF(Candidates!$A$2:$A$2000,$A637)),""""))"),"")</f>
        <v/>
      </c>
      <c r="W637" s="64" t="str">
        <f>IFERROR(__xludf.DUMMYFUNCTION("IF($A637="""","""",IFERROR(INDEX(FILTER(Candidates!$T$2:$T$2000,Candidates!$A$2:$A$2000=$A637),COUNTIF(Candidates!$A$2:$A$2000,$A637)),""""))"),"")</f>
        <v/>
      </c>
      <c r="X637" s="64"/>
      <c r="Y637" s="64"/>
      <c r="Z637" s="65"/>
      <c r="AA637" s="65"/>
      <c r="AB637" s="65"/>
      <c r="AC637" s="65"/>
    </row>
    <row r="638">
      <c r="A638" s="64"/>
      <c r="B638" s="64"/>
      <c r="C638" s="64"/>
      <c r="D638" s="64"/>
      <c r="E638" s="64"/>
      <c r="F638" s="64"/>
      <c r="G638" s="64"/>
      <c r="H638" s="63"/>
      <c r="I638" s="64"/>
      <c r="J638" s="64"/>
      <c r="K638" s="64"/>
      <c r="L638" s="64"/>
      <c r="M638" s="64"/>
      <c r="N638" s="64"/>
      <c r="O638" s="64"/>
      <c r="P638" s="64"/>
      <c r="Q638" s="64"/>
      <c r="R638" s="65" t="str">
        <f>IF($A638="","",IFERROR(MINIFS(Candidates!$K$2:$K$2000,Candidates!$A$2:$A$2000,$A638),""))</f>
        <v/>
      </c>
      <c r="S638" s="65" t="str">
        <f>IF($A638="","",IFERROR(MAXIFS(Candidates!$AA$2:$AA$2000,Candidates!$A$2:$A$2000,$A638),""))</f>
        <v/>
      </c>
      <c r="T638" s="64" t="str">
        <f>IFERROR(__xludf.DUMMYFUNCTION("IF($A638="""","""",IFERROR(TEXTJOIN("", "",TRUE,UNIQUE(FILTER(Candidates!$B$2:$B$2000,Candidates!$A$2:$A$2000=$A638))),""""))"),"")</f>
        <v/>
      </c>
      <c r="U638" s="66" t="str">
        <f>IF($A638="","",COUNTIF(Candidates!$A$2:$A$2000,$A638))</f>
        <v/>
      </c>
      <c r="V638" s="64" t="str">
        <f>IFERROR(__xludf.DUMMYFUNCTION("IF($A638="""","""",IFERROR(INDEX(FILTER(Candidates!$S$2:$S$2000,Candidates!$A$2:$A$2000=$A638),COUNTIF(Candidates!$A$2:$A$2000,$A638)),""""))"),"")</f>
        <v/>
      </c>
      <c r="W638" s="64" t="str">
        <f>IFERROR(__xludf.DUMMYFUNCTION("IF($A638="""","""",IFERROR(INDEX(FILTER(Candidates!$T$2:$T$2000,Candidates!$A$2:$A$2000=$A638),COUNTIF(Candidates!$A$2:$A$2000,$A638)),""""))"),"")</f>
        <v/>
      </c>
      <c r="X638" s="64"/>
      <c r="Y638" s="64"/>
      <c r="Z638" s="65"/>
      <c r="AA638" s="65"/>
      <c r="AB638" s="65"/>
      <c r="AC638" s="65"/>
    </row>
    <row r="639">
      <c r="A639" s="64"/>
      <c r="B639" s="64"/>
      <c r="C639" s="64"/>
      <c r="D639" s="64"/>
      <c r="E639" s="64"/>
      <c r="F639" s="64"/>
      <c r="G639" s="64"/>
      <c r="H639" s="63"/>
      <c r="I639" s="64"/>
      <c r="J639" s="64"/>
      <c r="K639" s="64"/>
      <c r="L639" s="64"/>
      <c r="M639" s="64"/>
      <c r="N639" s="64"/>
      <c r="O639" s="64"/>
      <c r="P639" s="64"/>
      <c r="Q639" s="64"/>
      <c r="R639" s="65" t="str">
        <f>IF($A639="","",IFERROR(MINIFS(Candidates!$K$2:$K$2000,Candidates!$A$2:$A$2000,$A639),""))</f>
        <v/>
      </c>
      <c r="S639" s="65" t="str">
        <f>IF($A639="","",IFERROR(MAXIFS(Candidates!$AA$2:$AA$2000,Candidates!$A$2:$A$2000,$A639),""))</f>
        <v/>
      </c>
      <c r="T639" s="64" t="str">
        <f>IFERROR(__xludf.DUMMYFUNCTION("IF($A639="""","""",IFERROR(TEXTJOIN("", "",TRUE,UNIQUE(FILTER(Candidates!$B$2:$B$2000,Candidates!$A$2:$A$2000=$A639))),""""))"),"")</f>
        <v/>
      </c>
      <c r="U639" s="66" t="str">
        <f>IF($A639="","",COUNTIF(Candidates!$A$2:$A$2000,$A639))</f>
        <v/>
      </c>
      <c r="V639" s="64" t="str">
        <f>IFERROR(__xludf.DUMMYFUNCTION("IF($A639="""","""",IFERROR(INDEX(FILTER(Candidates!$S$2:$S$2000,Candidates!$A$2:$A$2000=$A639),COUNTIF(Candidates!$A$2:$A$2000,$A639)),""""))"),"")</f>
        <v/>
      </c>
      <c r="W639" s="64" t="str">
        <f>IFERROR(__xludf.DUMMYFUNCTION("IF($A639="""","""",IFERROR(INDEX(FILTER(Candidates!$T$2:$T$2000,Candidates!$A$2:$A$2000=$A639),COUNTIF(Candidates!$A$2:$A$2000,$A639)),""""))"),"")</f>
        <v/>
      </c>
      <c r="X639" s="64"/>
      <c r="Y639" s="64"/>
      <c r="Z639" s="65"/>
      <c r="AA639" s="65"/>
      <c r="AB639" s="65"/>
      <c r="AC639" s="65"/>
    </row>
    <row r="640">
      <c r="A640" s="64"/>
      <c r="B640" s="64"/>
      <c r="C640" s="64"/>
      <c r="D640" s="64"/>
      <c r="E640" s="64"/>
      <c r="F640" s="64"/>
      <c r="G640" s="64"/>
      <c r="H640" s="63"/>
      <c r="I640" s="64"/>
      <c r="J640" s="64"/>
      <c r="K640" s="64"/>
      <c r="L640" s="64"/>
      <c r="M640" s="64"/>
      <c r="N640" s="64"/>
      <c r="O640" s="64"/>
      <c r="P640" s="64"/>
      <c r="Q640" s="64"/>
      <c r="R640" s="65" t="str">
        <f>IF($A640="","",IFERROR(MINIFS(Candidates!$K$2:$K$2000,Candidates!$A$2:$A$2000,$A640),""))</f>
        <v/>
      </c>
      <c r="S640" s="65" t="str">
        <f>IF($A640="","",IFERROR(MAXIFS(Candidates!$AA$2:$AA$2000,Candidates!$A$2:$A$2000,$A640),""))</f>
        <v/>
      </c>
      <c r="T640" s="64" t="str">
        <f>IFERROR(__xludf.DUMMYFUNCTION("IF($A640="""","""",IFERROR(TEXTJOIN("", "",TRUE,UNIQUE(FILTER(Candidates!$B$2:$B$2000,Candidates!$A$2:$A$2000=$A640))),""""))"),"")</f>
        <v/>
      </c>
      <c r="U640" s="66" t="str">
        <f>IF($A640="","",COUNTIF(Candidates!$A$2:$A$2000,$A640))</f>
        <v/>
      </c>
      <c r="V640" s="64" t="str">
        <f>IFERROR(__xludf.DUMMYFUNCTION("IF($A640="""","""",IFERROR(INDEX(FILTER(Candidates!$S$2:$S$2000,Candidates!$A$2:$A$2000=$A640),COUNTIF(Candidates!$A$2:$A$2000,$A640)),""""))"),"")</f>
        <v/>
      </c>
      <c r="W640" s="64" t="str">
        <f>IFERROR(__xludf.DUMMYFUNCTION("IF($A640="""","""",IFERROR(INDEX(FILTER(Candidates!$T$2:$T$2000,Candidates!$A$2:$A$2000=$A640),COUNTIF(Candidates!$A$2:$A$2000,$A640)),""""))"),"")</f>
        <v/>
      </c>
      <c r="X640" s="64"/>
      <c r="Y640" s="64"/>
      <c r="Z640" s="65"/>
      <c r="AA640" s="65"/>
      <c r="AB640" s="65"/>
      <c r="AC640" s="65"/>
    </row>
    <row r="641">
      <c r="A641" s="64"/>
      <c r="B641" s="64"/>
      <c r="C641" s="64"/>
      <c r="D641" s="64"/>
      <c r="E641" s="64"/>
      <c r="F641" s="64"/>
      <c r="G641" s="64"/>
      <c r="H641" s="63"/>
      <c r="I641" s="64"/>
      <c r="J641" s="64"/>
      <c r="K641" s="64"/>
      <c r="L641" s="64"/>
      <c r="M641" s="64"/>
      <c r="N641" s="64"/>
      <c r="O641" s="64"/>
      <c r="P641" s="64"/>
      <c r="Q641" s="64"/>
      <c r="R641" s="65" t="str">
        <f>IF($A641="","",IFERROR(MINIFS(Candidates!$K$2:$K$2000,Candidates!$A$2:$A$2000,$A641),""))</f>
        <v/>
      </c>
      <c r="S641" s="65" t="str">
        <f>IF($A641="","",IFERROR(MAXIFS(Candidates!$AA$2:$AA$2000,Candidates!$A$2:$A$2000,$A641),""))</f>
        <v/>
      </c>
      <c r="T641" s="64" t="str">
        <f>IFERROR(__xludf.DUMMYFUNCTION("IF($A641="""","""",IFERROR(TEXTJOIN("", "",TRUE,UNIQUE(FILTER(Candidates!$B$2:$B$2000,Candidates!$A$2:$A$2000=$A641))),""""))"),"")</f>
        <v/>
      </c>
      <c r="U641" s="66" t="str">
        <f>IF($A641="","",COUNTIF(Candidates!$A$2:$A$2000,$A641))</f>
        <v/>
      </c>
      <c r="V641" s="64" t="str">
        <f>IFERROR(__xludf.DUMMYFUNCTION("IF($A641="""","""",IFERROR(INDEX(FILTER(Candidates!$S$2:$S$2000,Candidates!$A$2:$A$2000=$A641),COUNTIF(Candidates!$A$2:$A$2000,$A641)),""""))"),"")</f>
        <v/>
      </c>
      <c r="W641" s="64" t="str">
        <f>IFERROR(__xludf.DUMMYFUNCTION("IF($A641="""","""",IFERROR(INDEX(FILTER(Candidates!$T$2:$T$2000,Candidates!$A$2:$A$2000=$A641),COUNTIF(Candidates!$A$2:$A$2000,$A641)),""""))"),"")</f>
        <v/>
      </c>
      <c r="X641" s="64"/>
      <c r="Y641" s="64"/>
      <c r="Z641" s="65"/>
      <c r="AA641" s="65"/>
      <c r="AB641" s="65"/>
      <c r="AC641" s="65"/>
    </row>
    <row r="642">
      <c r="A642" s="64"/>
      <c r="B642" s="64"/>
      <c r="C642" s="64"/>
      <c r="D642" s="64"/>
      <c r="E642" s="64"/>
      <c r="F642" s="64"/>
      <c r="G642" s="64"/>
      <c r="H642" s="63"/>
      <c r="I642" s="64"/>
      <c r="J642" s="64"/>
      <c r="K642" s="64"/>
      <c r="L642" s="64"/>
      <c r="M642" s="64"/>
      <c r="N642" s="64"/>
      <c r="O642" s="64"/>
      <c r="P642" s="64"/>
      <c r="Q642" s="64"/>
      <c r="R642" s="65" t="str">
        <f>IF($A642="","",IFERROR(MINIFS(Candidates!$K$2:$K$2000,Candidates!$A$2:$A$2000,$A642),""))</f>
        <v/>
      </c>
      <c r="S642" s="65" t="str">
        <f>IF($A642="","",IFERROR(MAXIFS(Candidates!$AA$2:$AA$2000,Candidates!$A$2:$A$2000,$A642),""))</f>
        <v/>
      </c>
      <c r="T642" s="64" t="str">
        <f>IFERROR(__xludf.DUMMYFUNCTION("IF($A642="""","""",IFERROR(TEXTJOIN("", "",TRUE,UNIQUE(FILTER(Candidates!$B$2:$B$2000,Candidates!$A$2:$A$2000=$A642))),""""))"),"")</f>
        <v/>
      </c>
      <c r="U642" s="66" t="str">
        <f>IF($A642="","",COUNTIF(Candidates!$A$2:$A$2000,$A642))</f>
        <v/>
      </c>
      <c r="V642" s="64" t="str">
        <f>IFERROR(__xludf.DUMMYFUNCTION("IF($A642="""","""",IFERROR(INDEX(FILTER(Candidates!$S$2:$S$2000,Candidates!$A$2:$A$2000=$A642),COUNTIF(Candidates!$A$2:$A$2000,$A642)),""""))"),"")</f>
        <v/>
      </c>
      <c r="W642" s="64" t="str">
        <f>IFERROR(__xludf.DUMMYFUNCTION("IF($A642="""","""",IFERROR(INDEX(FILTER(Candidates!$T$2:$T$2000,Candidates!$A$2:$A$2000=$A642),COUNTIF(Candidates!$A$2:$A$2000,$A642)),""""))"),"")</f>
        <v/>
      </c>
      <c r="X642" s="64"/>
      <c r="Y642" s="64"/>
      <c r="Z642" s="65"/>
      <c r="AA642" s="65"/>
      <c r="AB642" s="65"/>
      <c r="AC642" s="65"/>
    </row>
    <row r="643">
      <c r="A643" s="64"/>
      <c r="B643" s="64"/>
      <c r="C643" s="64"/>
      <c r="D643" s="64"/>
      <c r="E643" s="64"/>
      <c r="F643" s="64"/>
      <c r="G643" s="64"/>
      <c r="H643" s="63"/>
      <c r="I643" s="64"/>
      <c r="J643" s="64"/>
      <c r="K643" s="64"/>
      <c r="L643" s="64"/>
      <c r="M643" s="64"/>
      <c r="N643" s="64"/>
      <c r="O643" s="64"/>
      <c r="P643" s="64"/>
      <c r="Q643" s="64"/>
      <c r="R643" s="65" t="str">
        <f>IF($A643="","",IFERROR(MINIFS(Candidates!$K$2:$K$2000,Candidates!$A$2:$A$2000,$A643),""))</f>
        <v/>
      </c>
      <c r="S643" s="65" t="str">
        <f>IF($A643="","",IFERROR(MAXIFS(Candidates!$AA$2:$AA$2000,Candidates!$A$2:$A$2000,$A643),""))</f>
        <v/>
      </c>
      <c r="T643" s="64" t="str">
        <f>IFERROR(__xludf.DUMMYFUNCTION("IF($A643="""","""",IFERROR(TEXTJOIN("", "",TRUE,UNIQUE(FILTER(Candidates!$B$2:$B$2000,Candidates!$A$2:$A$2000=$A643))),""""))"),"")</f>
        <v/>
      </c>
      <c r="U643" s="66" t="str">
        <f>IF($A643="","",COUNTIF(Candidates!$A$2:$A$2000,$A643))</f>
        <v/>
      </c>
      <c r="V643" s="64" t="str">
        <f>IFERROR(__xludf.DUMMYFUNCTION("IF($A643="""","""",IFERROR(INDEX(FILTER(Candidates!$S$2:$S$2000,Candidates!$A$2:$A$2000=$A643),COUNTIF(Candidates!$A$2:$A$2000,$A643)),""""))"),"")</f>
        <v/>
      </c>
      <c r="W643" s="64" t="str">
        <f>IFERROR(__xludf.DUMMYFUNCTION("IF($A643="""","""",IFERROR(INDEX(FILTER(Candidates!$T$2:$T$2000,Candidates!$A$2:$A$2000=$A643),COUNTIF(Candidates!$A$2:$A$2000,$A643)),""""))"),"")</f>
        <v/>
      </c>
      <c r="X643" s="64"/>
      <c r="Y643" s="64"/>
      <c r="Z643" s="65"/>
      <c r="AA643" s="65"/>
      <c r="AB643" s="65"/>
      <c r="AC643" s="65"/>
    </row>
    <row r="644">
      <c r="A644" s="64"/>
      <c r="B644" s="64"/>
      <c r="C644" s="64"/>
      <c r="D644" s="64"/>
      <c r="E644" s="64"/>
      <c r="F644" s="64"/>
      <c r="G644" s="64"/>
      <c r="H644" s="63"/>
      <c r="I644" s="64"/>
      <c r="J644" s="64"/>
      <c r="K644" s="64"/>
      <c r="L644" s="64"/>
      <c r="M644" s="64"/>
      <c r="N644" s="64"/>
      <c r="O644" s="64"/>
      <c r="P644" s="64"/>
      <c r="Q644" s="64"/>
      <c r="R644" s="65" t="str">
        <f>IF($A644="","",IFERROR(MINIFS(Candidates!$K$2:$K$2000,Candidates!$A$2:$A$2000,$A644),""))</f>
        <v/>
      </c>
      <c r="S644" s="65" t="str">
        <f>IF($A644="","",IFERROR(MAXIFS(Candidates!$AA$2:$AA$2000,Candidates!$A$2:$A$2000,$A644),""))</f>
        <v/>
      </c>
      <c r="T644" s="64" t="str">
        <f>IFERROR(__xludf.DUMMYFUNCTION("IF($A644="""","""",IFERROR(TEXTJOIN("", "",TRUE,UNIQUE(FILTER(Candidates!$B$2:$B$2000,Candidates!$A$2:$A$2000=$A644))),""""))"),"")</f>
        <v/>
      </c>
      <c r="U644" s="66" t="str">
        <f>IF($A644="","",COUNTIF(Candidates!$A$2:$A$2000,$A644))</f>
        <v/>
      </c>
      <c r="V644" s="64" t="str">
        <f>IFERROR(__xludf.DUMMYFUNCTION("IF($A644="""","""",IFERROR(INDEX(FILTER(Candidates!$S$2:$S$2000,Candidates!$A$2:$A$2000=$A644),COUNTIF(Candidates!$A$2:$A$2000,$A644)),""""))"),"")</f>
        <v/>
      </c>
      <c r="W644" s="64" t="str">
        <f>IFERROR(__xludf.DUMMYFUNCTION("IF($A644="""","""",IFERROR(INDEX(FILTER(Candidates!$T$2:$T$2000,Candidates!$A$2:$A$2000=$A644),COUNTIF(Candidates!$A$2:$A$2000,$A644)),""""))"),"")</f>
        <v/>
      </c>
      <c r="X644" s="64"/>
      <c r="Y644" s="64"/>
      <c r="Z644" s="65"/>
      <c r="AA644" s="65"/>
      <c r="AB644" s="65"/>
      <c r="AC644" s="65"/>
    </row>
    <row r="645">
      <c r="A645" s="64"/>
      <c r="B645" s="64"/>
      <c r="C645" s="64"/>
      <c r="D645" s="64"/>
      <c r="E645" s="64"/>
      <c r="F645" s="64"/>
      <c r="G645" s="64"/>
      <c r="H645" s="63"/>
      <c r="I645" s="64"/>
      <c r="J645" s="64"/>
      <c r="K645" s="64"/>
      <c r="L645" s="64"/>
      <c r="M645" s="64"/>
      <c r="N645" s="64"/>
      <c r="O645" s="64"/>
      <c r="P645" s="64"/>
      <c r="Q645" s="64"/>
      <c r="R645" s="65" t="str">
        <f>IF($A645="","",IFERROR(MINIFS(Candidates!$K$2:$K$2000,Candidates!$A$2:$A$2000,$A645),""))</f>
        <v/>
      </c>
      <c r="S645" s="65" t="str">
        <f>IF($A645="","",IFERROR(MAXIFS(Candidates!$AA$2:$AA$2000,Candidates!$A$2:$A$2000,$A645),""))</f>
        <v/>
      </c>
      <c r="T645" s="64" t="str">
        <f>IFERROR(__xludf.DUMMYFUNCTION("IF($A645="""","""",IFERROR(TEXTJOIN("", "",TRUE,UNIQUE(FILTER(Candidates!$B$2:$B$2000,Candidates!$A$2:$A$2000=$A645))),""""))"),"")</f>
        <v/>
      </c>
      <c r="U645" s="66" t="str">
        <f>IF($A645="","",COUNTIF(Candidates!$A$2:$A$2000,$A645))</f>
        <v/>
      </c>
      <c r="V645" s="64" t="str">
        <f>IFERROR(__xludf.DUMMYFUNCTION("IF($A645="""","""",IFERROR(INDEX(FILTER(Candidates!$S$2:$S$2000,Candidates!$A$2:$A$2000=$A645),COUNTIF(Candidates!$A$2:$A$2000,$A645)),""""))"),"")</f>
        <v/>
      </c>
      <c r="W645" s="64" t="str">
        <f>IFERROR(__xludf.DUMMYFUNCTION("IF($A645="""","""",IFERROR(INDEX(FILTER(Candidates!$T$2:$T$2000,Candidates!$A$2:$A$2000=$A645),COUNTIF(Candidates!$A$2:$A$2000,$A645)),""""))"),"")</f>
        <v/>
      </c>
      <c r="X645" s="64"/>
      <c r="Y645" s="64"/>
      <c r="Z645" s="65"/>
      <c r="AA645" s="65"/>
      <c r="AB645" s="65"/>
      <c r="AC645" s="65"/>
    </row>
    <row r="646">
      <c r="A646" s="64"/>
      <c r="B646" s="64"/>
      <c r="C646" s="64"/>
      <c r="D646" s="64"/>
      <c r="E646" s="64"/>
      <c r="F646" s="64"/>
      <c r="G646" s="64"/>
      <c r="H646" s="63"/>
      <c r="I646" s="64"/>
      <c r="J646" s="64"/>
      <c r="K646" s="64"/>
      <c r="L646" s="64"/>
      <c r="M646" s="64"/>
      <c r="N646" s="64"/>
      <c r="O646" s="64"/>
      <c r="P646" s="64"/>
      <c r="Q646" s="64"/>
      <c r="R646" s="65" t="str">
        <f>IF($A646="","",IFERROR(MINIFS(Candidates!$K$2:$K$2000,Candidates!$A$2:$A$2000,$A646),""))</f>
        <v/>
      </c>
      <c r="S646" s="65" t="str">
        <f>IF($A646="","",IFERROR(MAXIFS(Candidates!$AA$2:$AA$2000,Candidates!$A$2:$A$2000,$A646),""))</f>
        <v/>
      </c>
      <c r="T646" s="64" t="str">
        <f>IFERROR(__xludf.DUMMYFUNCTION("IF($A646="""","""",IFERROR(TEXTJOIN("", "",TRUE,UNIQUE(FILTER(Candidates!$B$2:$B$2000,Candidates!$A$2:$A$2000=$A646))),""""))"),"")</f>
        <v/>
      </c>
      <c r="U646" s="66" t="str">
        <f>IF($A646="","",COUNTIF(Candidates!$A$2:$A$2000,$A646))</f>
        <v/>
      </c>
      <c r="V646" s="64" t="str">
        <f>IFERROR(__xludf.DUMMYFUNCTION("IF($A646="""","""",IFERROR(INDEX(FILTER(Candidates!$S$2:$S$2000,Candidates!$A$2:$A$2000=$A646),COUNTIF(Candidates!$A$2:$A$2000,$A646)),""""))"),"")</f>
        <v/>
      </c>
      <c r="W646" s="64" t="str">
        <f>IFERROR(__xludf.DUMMYFUNCTION("IF($A646="""","""",IFERROR(INDEX(FILTER(Candidates!$T$2:$T$2000,Candidates!$A$2:$A$2000=$A646),COUNTIF(Candidates!$A$2:$A$2000,$A646)),""""))"),"")</f>
        <v/>
      </c>
      <c r="X646" s="64"/>
      <c r="Y646" s="64"/>
      <c r="Z646" s="65"/>
      <c r="AA646" s="65"/>
      <c r="AB646" s="65"/>
      <c r="AC646" s="65"/>
    </row>
    <row r="647">
      <c r="A647" s="64"/>
      <c r="B647" s="64"/>
      <c r="C647" s="64"/>
      <c r="D647" s="64"/>
      <c r="E647" s="64"/>
      <c r="F647" s="64"/>
      <c r="G647" s="64"/>
      <c r="H647" s="63"/>
      <c r="I647" s="64"/>
      <c r="J647" s="64"/>
      <c r="K647" s="64"/>
      <c r="L647" s="64"/>
      <c r="M647" s="64"/>
      <c r="N647" s="64"/>
      <c r="O647" s="64"/>
      <c r="P647" s="64"/>
      <c r="Q647" s="64"/>
      <c r="R647" s="65" t="str">
        <f>IF($A647="","",IFERROR(MINIFS(Candidates!$K$2:$K$2000,Candidates!$A$2:$A$2000,$A647),""))</f>
        <v/>
      </c>
      <c r="S647" s="65" t="str">
        <f>IF($A647="","",IFERROR(MAXIFS(Candidates!$AA$2:$AA$2000,Candidates!$A$2:$A$2000,$A647),""))</f>
        <v/>
      </c>
      <c r="T647" s="64" t="str">
        <f>IFERROR(__xludf.DUMMYFUNCTION("IF($A647="""","""",IFERROR(TEXTJOIN("", "",TRUE,UNIQUE(FILTER(Candidates!$B$2:$B$2000,Candidates!$A$2:$A$2000=$A647))),""""))"),"")</f>
        <v/>
      </c>
      <c r="U647" s="66" t="str">
        <f>IF($A647="","",COUNTIF(Candidates!$A$2:$A$2000,$A647))</f>
        <v/>
      </c>
      <c r="V647" s="64" t="str">
        <f>IFERROR(__xludf.DUMMYFUNCTION("IF($A647="""","""",IFERROR(INDEX(FILTER(Candidates!$S$2:$S$2000,Candidates!$A$2:$A$2000=$A647),COUNTIF(Candidates!$A$2:$A$2000,$A647)),""""))"),"")</f>
        <v/>
      </c>
      <c r="W647" s="64" t="str">
        <f>IFERROR(__xludf.DUMMYFUNCTION("IF($A647="""","""",IFERROR(INDEX(FILTER(Candidates!$T$2:$T$2000,Candidates!$A$2:$A$2000=$A647),COUNTIF(Candidates!$A$2:$A$2000,$A647)),""""))"),"")</f>
        <v/>
      </c>
      <c r="X647" s="64"/>
      <c r="Y647" s="64"/>
      <c r="Z647" s="65"/>
      <c r="AA647" s="65"/>
      <c r="AB647" s="65"/>
      <c r="AC647" s="65"/>
    </row>
    <row r="648">
      <c r="A648" s="64"/>
      <c r="B648" s="64"/>
      <c r="C648" s="64"/>
      <c r="D648" s="64"/>
      <c r="E648" s="64"/>
      <c r="F648" s="64"/>
      <c r="G648" s="64"/>
      <c r="H648" s="63"/>
      <c r="I648" s="64"/>
      <c r="J648" s="64"/>
      <c r="K648" s="64"/>
      <c r="L648" s="64"/>
      <c r="M648" s="64"/>
      <c r="N648" s="64"/>
      <c r="O648" s="64"/>
      <c r="P648" s="64"/>
      <c r="Q648" s="64"/>
      <c r="R648" s="65" t="str">
        <f>IF($A648="","",IFERROR(MINIFS(Candidates!$K$2:$K$2000,Candidates!$A$2:$A$2000,$A648),""))</f>
        <v/>
      </c>
      <c r="S648" s="65" t="str">
        <f>IF($A648="","",IFERROR(MAXIFS(Candidates!$AA$2:$AA$2000,Candidates!$A$2:$A$2000,$A648),""))</f>
        <v/>
      </c>
      <c r="T648" s="64" t="str">
        <f>IFERROR(__xludf.DUMMYFUNCTION("IF($A648="""","""",IFERROR(TEXTJOIN("", "",TRUE,UNIQUE(FILTER(Candidates!$B$2:$B$2000,Candidates!$A$2:$A$2000=$A648))),""""))"),"")</f>
        <v/>
      </c>
      <c r="U648" s="66" t="str">
        <f>IF($A648="","",COUNTIF(Candidates!$A$2:$A$2000,$A648))</f>
        <v/>
      </c>
      <c r="V648" s="64" t="str">
        <f>IFERROR(__xludf.DUMMYFUNCTION("IF($A648="""","""",IFERROR(INDEX(FILTER(Candidates!$S$2:$S$2000,Candidates!$A$2:$A$2000=$A648),COUNTIF(Candidates!$A$2:$A$2000,$A648)),""""))"),"")</f>
        <v/>
      </c>
      <c r="W648" s="64" t="str">
        <f>IFERROR(__xludf.DUMMYFUNCTION("IF($A648="""","""",IFERROR(INDEX(FILTER(Candidates!$T$2:$T$2000,Candidates!$A$2:$A$2000=$A648),COUNTIF(Candidates!$A$2:$A$2000,$A648)),""""))"),"")</f>
        <v/>
      </c>
      <c r="X648" s="64"/>
      <c r="Y648" s="64"/>
      <c r="Z648" s="65"/>
      <c r="AA648" s="65"/>
      <c r="AB648" s="65"/>
      <c r="AC648" s="65"/>
    </row>
    <row r="649">
      <c r="A649" s="64"/>
      <c r="B649" s="64"/>
      <c r="C649" s="64"/>
      <c r="D649" s="64"/>
      <c r="E649" s="64"/>
      <c r="F649" s="64"/>
      <c r="G649" s="64"/>
      <c r="H649" s="63"/>
      <c r="I649" s="64"/>
      <c r="J649" s="64"/>
      <c r="K649" s="64"/>
      <c r="L649" s="64"/>
      <c r="M649" s="64"/>
      <c r="N649" s="64"/>
      <c r="O649" s="64"/>
      <c r="P649" s="64"/>
      <c r="Q649" s="64"/>
      <c r="R649" s="65" t="str">
        <f>IF($A649="","",IFERROR(MINIFS(Candidates!$K$2:$K$2000,Candidates!$A$2:$A$2000,$A649),""))</f>
        <v/>
      </c>
      <c r="S649" s="65" t="str">
        <f>IF($A649="","",IFERROR(MAXIFS(Candidates!$AA$2:$AA$2000,Candidates!$A$2:$A$2000,$A649),""))</f>
        <v/>
      </c>
      <c r="T649" s="64" t="str">
        <f>IFERROR(__xludf.DUMMYFUNCTION("IF($A649="""","""",IFERROR(TEXTJOIN("", "",TRUE,UNIQUE(FILTER(Candidates!$B$2:$B$2000,Candidates!$A$2:$A$2000=$A649))),""""))"),"")</f>
        <v/>
      </c>
      <c r="U649" s="66" t="str">
        <f>IF($A649="","",COUNTIF(Candidates!$A$2:$A$2000,$A649))</f>
        <v/>
      </c>
      <c r="V649" s="64" t="str">
        <f>IFERROR(__xludf.DUMMYFUNCTION("IF($A649="""","""",IFERROR(INDEX(FILTER(Candidates!$S$2:$S$2000,Candidates!$A$2:$A$2000=$A649),COUNTIF(Candidates!$A$2:$A$2000,$A649)),""""))"),"")</f>
        <v/>
      </c>
      <c r="W649" s="64" t="str">
        <f>IFERROR(__xludf.DUMMYFUNCTION("IF($A649="""","""",IFERROR(INDEX(FILTER(Candidates!$T$2:$T$2000,Candidates!$A$2:$A$2000=$A649),COUNTIF(Candidates!$A$2:$A$2000,$A649)),""""))"),"")</f>
        <v/>
      </c>
      <c r="X649" s="64"/>
      <c r="Y649" s="64"/>
      <c r="Z649" s="65"/>
      <c r="AA649" s="65"/>
      <c r="AB649" s="65"/>
      <c r="AC649" s="65"/>
    </row>
    <row r="650">
      <c r="A650" s="64"/>
      <c r="B650" s="64"/>
      <c r="C650" s="64"/>
      <c r="D650" s="64"/>
      <c r="E650" s="64"/>
      <c r="F650" s="64"/>
      <c r="G650" s="64"/>
      <c r="H650" s="63"/>
      <c r="I650" s="64"/>
      <c r="J650" s="64"/>
      <c r="K650" s="64"/>
      <c r="L650" s="64"/>
      <c r="M650" s="64"/>
      <c r="N650" s="64"/>
      <c r="O650" s="64"/>
      <c r="P650" s="64"/>
      <c r="Q650" s="64"/>
      <c r="R650" s="65" t="str">
        <f>IF($A650="","",IFERROR(MINIFS(Candidates!$K$2:$K$2000,Candidates!$A$2:$A$2000,$A650),""))</f>
        <v/>
      </c>
      <c r="S650" s="65" t="str">
        <f>IF($A650="","",IFERROR(MAXIFS(Candidates!$AA$2:$AA$2000,Candidates!$A$2:$A$2000,$A650),""))</f>
        <v/>
      </c>
      <c r="T650" s="64" t="str">
        <f>IFERROR(__xludf.DUMMYFUNCTION("IF($A650="""","""",IFERROR(TEXTJOIN("", "",TRUE,UNIQUE(FILTER(Candidates!$B$2:$B$2000,Candidates!$A$2:$A$2000=$A650))),""""))"),"")</f>
        <v/>
      </c>
      <c r="U650" s="66" t="str">
        <f>IF($A650="","",COUNTIF(Candidates!$A$2:$A$2000,$A650))</f>
        <v/>
      </c>
      <c r="V650" s="64" t="str">
        <f>IFERROR(__xludf.DUMMYFUNCTION("IF($A650="""","""",IFERROR(INDEX(FILTER(Candidates!$S$2:$S$2000,Candidates!$A$2:$A$2000=$A650),COUNTIF(Candidates!$A$2:$A$2000,$A650)),""""))"),"")</f>
        <v/>
      </c>
      <c r="W650" s="64" t="str">
        <f>IFERROR(__xludf.DUMMYFUNCTION("IF($A650="""","""",IFERROR(INDEX(FILTER(Candidates!$T$2:$T$2000,Candidates!$A$2:$A$2000=$A650),COUNTIF(Candidates!$A$2:$A$2000,$A650)),""""))"),"")</f>
        <v/>
      </c>
      <c r="X650" s="64"/>
      <c r="Y650" s="64"/>
      <c r="Z650" s="65"/>
      <c r="AA650" s="65"/>
      <c r="AB650" s="65"/>
      <c r="AC650" s="65"/>
    </row>
    <row r="651">
      <c r="A651" s="64"/>
      <c r="B651" s="64"/>
      <c r="C651" s="64"/>
      <c r="D651" s="64"/>
      <c r="E651" s="64"/>
      <c r="F651" s="64"/>
      <c r="G651" s="64"/>
      <c r="H651" s="63"/>
      <c r="I651" s="64"/>
      <c r="J651" s="64"/>
      <c r="K651" s="64"/>
      <c r="L651" s="64"/>
      <c r="M651" s="64"/>
      <c r="N651" s="64"/>
      <c r="O651" s="64"/>
      <c r="P651" s="64"/>
      <c r="Q651" s="64"/>
      <c r="R651" s="65" t="str">
        <f>IF($A651="","",IFERROR(MINIFS(Candidates!$K$2:$K$2000,Candidates!$A$2:$A$2000,$A651),""))</f>
        <v/>
      </c>
      <c r="S651" s="65" t="str">
        <f>IF($A651="","",IFERROR(MAXIFS(Candidates!$AA$2:$AA$2000,Candidates!$A$2:$A$2000,$A651),""))</f>
        <v/>
      </c>
      <c r="T651" s="64" t="str">
        <f>IFERROR(__xludf.DUMMYFUNCTION("IF($A651="""","""",IFERROR(TEXTJOIN("", "",TRUE,UNIQUE(FILTER(Candidates!$B$2:$B$2000,Candidates!$A$2:$A$2000=$A651))),""""))"),"")</f>
        <v/>
      </c>
      <c r="U651" s="66" t="str">
        <f>IF($A651="","",COUNTIF(Candidates!$A$2:$A$2000,$A651))</f>
        <v/>
      </c>
      <c r="V651" s="64" t="str">
        <f>IFERROR(__xludf.DUMMYFUNCTION("IF($A651="""","""",IFERROR(INDEX(FILTER(Candidates!$S$2:$S$2000,Candidates!$A$2:$A$2000=$A651),COUNTIF(Candidates!$A$2:$A$2000,$A651)),""""))"),"")</f>
        <v/>
      </c>
      <c r="W651" s="64" t="str">
        <f>IFERROR(__xludf.DUMMYFUNCTION("IF($A651="""","""",IFERROR(INDEX(FILTER(Candidates!$T$2:$T$2000,Candidates!$A$2:$A$2000=$A651),COUNTIF(Candidates!$A$2:$A$2000,$A651)),""""))"),"")</f>
        <v/>
      </c>
      <c r="X651" s="64"/>
      <c r="Y651" s="64"/>
      <c r="Z651" s="65"/>
      <c r="AA651" s="65"/>
      <c r="AB651" s="65"/>
      <c r="AC651" s="65"/>
    </row>
    <row r="652">
      <c r="A652" s="64"/>
      <c r="B652" s="64"/>
      <c r="C652" s="64"/>
      <c r="D652" s="64"/>
      <c r="E652" s="64"/>
      <c r="F652" s="64"/>
      <c r="G652" s="64"/>
      <c r="H652" s="63"/>
      <c r="I652" s="64"/>
      <c r="J652" s="64"/>
      <c r="K652" s="64"/>
      <c r="L652" s="64"/>
      <c r="M652" s="64"/>
      <c r="N652" s="64"/>
      <c r="O652" s="64"/>
      <c r="P652" s="64"/>
      <c r="Q652" s="64"/>
      <c r="R652" s="65" t="str">
        <f>IF($A652="","",IFERROR(MINIFS(Candidates!$K$2:$K$2000,Candidates!$A$2:$A$2000,$A652),""))</f>
        <v/>
      </c>
      <c r="S652" s="65" t="str">
        <f>IF($A652="","",IFERROR(MAXIFS(Candidates!$AA$2:$AA$2000,Candidates!$A$2:$A$2000,$A652),""))</f>
        <v/>
      </c>
      <c r="T652" s="64" t="str">
        <f>IFERROR(__xludf.DUMMYFUNCTION("IF($A652="""","""",IFERROR(TEXTJOIN("", "",TRUE,UNIQUE(FILTER(Candidates!$B$2:$B$2000,Candidates!$A$2:$A$2000=$A652))),""""))"),"")</f>
        <v/>
      </c>
      <c r="U652" s="66" t="str">
        <f>IF($A652="","",COUNTIF(Candidates!$A$2:$A$2000,$A652))</f>
        <v/>
      </c>
      <c r="V652" s="64" t="str">
        <f>IFERROR(__xludf.DUMMYFUNCTION("IF($A652="""","""",IFERROR(INDEX(FILTER(Candidates!$S$2:$S$2000,Candidates!$A$2:$A$2000=$A652),COUNTIF(Candidates!$A$2:$A$2000,$A652)),""""))"),"")</f>
        <v/>
      </c>
      <c r="W652" s="64" t="str">
        <f>IFERROR(__xludf.DUMMYFUNCTION("IF($A652="""","""",IFERROR(INDEX(FILTER(Candidates!$T$2:$T$2000,Candidates!$A$2:$A$2000=$A652),COUNTIF(Candidates!$A$2:$A$2000,$A652)),""""))"),"")</f>
        <v/>
      </c>
      <c r="X652" s="64"/>
      <c r="Y652" s="64"/>
      <c r="Z652" s="65"/>
      <c r="AA652" s="65"/>
      <c r="AB652" s="65"/>
      <c r="AC652" s="65"/>
    </row>
    <row r="653">
      <c r="A653" s="64"/>
      <c r="B653" s="64"/>
      <c r="C653" s="64"/>
      <c r="D653" s="64"/>
      <c r="E653" s="64"/>
      <c r="F653" s="64"/>
      <c r="G653" s="64"/>
      <c r="H653" s="63"/>
      <c r="I653" s="64"/>
      <c r="J653" s="64"/>
      <c r="K653" s="64"/>
      <c r="L653" s="64"/>
      <c r="M653" s="64"/>
      <c r="N653" s="64"/>
      <c r="O653" s="64"/>
      <c r="P653" s="64"/>
      <c r="Q653" s="64"/>
      <c r="R653" s="65" t="str">
        <f>IF($A653="","",IFERROR(MINIFS(Candidates!$K$2:$K$2000,Candidates!$A$2:$A$2000,$A653),""))</f>
        <v/>
      </c>
      <c r="S653" s="65" t="str">
        <f>IF($A653="","",IFERROR(MAXIFS(Candidates!$AA$2:$AA$2000,Candidates!$A$2:$A$2000,$A653),""))</f>
        <v/>
      </c>
      <c r="T653" s="64" t="str">
        <f>IFERROR(__xludf.DUMMYFUNCTION("IF($A653="""","""",IFERROR(TEXTJOIN("", "",TRUE,UNIQUE(FILTER(Candidates!$B$2:$B$2000,Candidates!$A$2:$A$2000=$A653))),""""))"),"")</f>
        <v/>
      </c>
      <c r="U653" s="66" t="str">
        <f>IF($A653="","",COUNTIF(Candidates!$A$2:$A$2000,$A653))</f>
        <v/>
      </c>
      <c r="V653" s="64" t="str">
        <f>IFERROR(__xludf.DUMMYFUNCTION("IF($A653="""","""",IFERROR(INDEX(FILTER(Candidates!$S$2:$S$2000,Candidates!$A$2:$A$2000=$A653),COUNTIF(Candidates!$A$2:$A$2000,$A653)),""""))"),"")</f>
        <v/>
      </c>
      <c r="W653" s="64" t="str">
        <f>IFERROR(__xludf.DUMMYFUNCTION("IF($A653="""","""",IFERROR(INDEX(FILTER(Candidates!$T$2:$T$2000,Candidates!$A$2:$A$2000=$A653),COUNTIF(Candidates!$A$2:$A$2000,$A653)),""""))"),"")</f>
        <v/>
      </c>
      <c r="X653" s="64"/>
      <c r="Y653" s="64"/>
      <c r="Z653" s="65"/>
      <c r="AA653" s="65"/>
      <c r="AB653" s="65"/>
      <c r="AC653" s="65"/>
    </row>
    <row r="654">
      <c r="A654" s="64"/>
      <c r="B654" s="64"/>
      <c r="C654" s="64"/>
      <c r="D654" s="64"/>
      <c r="E654" s="64"/>
      <c r="F654" s="64"/>
      <c r="G654" s="64"/>
      <c r="H654" s="63"/>
      <c r="I654" s="64"/>
      <c r="J654" s="64"/>
      <c r="K654" s="64"/>
      <c r="L654" s="64"/>
      <c r="M654" s="64"/>
      <c r="N654" s="64"/>
      <c r="O654" s="64"/>
      <c r="P654" s="64"/>
      <c r="Q654" s="64"/>
      <c r="R654" s="65" t="str">
        <f>IF($A654="","",IFERROR(MINIFS(Candidates!$K$2:$K$2000,Candidates!$A$2:$A$2000,$A654),""))</f>
        <v/>
      </c>
      <c r="S654" s="65" t="str">
        <f>IF($A654="","",IFERROR(MAXIFS(Candidates!$AA$2:$AA$2000,Candidates!$A$2:$A$2000,$A654),""))</f>
        <v/>
      </c>
      <c r="T654" s="64" t="str">
        <f>IFERROR(__xludf.DUMMYFUNCTION("IF($A654="""","""",IFERROR(TEXTJOIN("", "",TRUE,UNIQUE(FILTER(Candidates!$B$2:$B$2000,Candidates!$A$2:$A$2000=$A654))),""""))"),"")</f>
        <v/>
      </c>
      <c r="U654" s="66" t="str">
        <f>IF($A654="","",COUNTIF(Candidates!$A$2:$A$2000,$A654))</f>
        <v/>
      </c>
      <c r="V654" s="64" t="str">
        <f>IFERROR(__xludf.DUMMYFUNCTION("IF($A654="""","""",IFERROR(INDEX(FILTER(Candidates!$S$2:$S$2000,Candidates!$A$2:$A$2000=$A654),COUNTIF(Candidates!$A$2:$A$2000,$A654)),""""))"),"")</f>
        <v/>
      </c>
      <c r="W654" s="64" t="str">
        <f>IFERROR(__xludf.DUMMYFUNCTION("IF($A654="""","""",IFERROR(INDEX(FILTER(Candidates!$T$2:$T$2000,Candidates!$A$2:$A$2000=$A654),COUNTIF(Candidates!$A$2:$A$2000,$A654)),""""))"),"")</f>
        <v/>
      </c>
      <c r="X654" s="64"/>
      <c r="Y654" s="64"/>
      <c r="Z654" s="65"/>
      <c r="AA654" s="65"/>
      <c r="AB654" s="65"/>
      <c r="AC654" s="65"/>
    </row>
    <row r="655">
      <c r="A655" s="64"/>
      <c r="B655" s="64"/>
      <c r="C655" s="64"/>
      <c r="D655" s="64"/>
      <c r="E655" s="64"/>
      <c r="F655" s="64"/>
      <c r="G655" s="64"/>
      <c r="H655" s="63"/>
      <c r="I655" s="64"/>
      <c r="J655" s="64"/>
      <c r="K655" s="64"/>
      <c r="L655" s="64"/>
      <c r="M655" s="64"/>
      <c r="N655" s="64"/>
      <c r="O655" s="64"/>
      <c r="P655" s="64"/>
      <c r="Q655" s="64"/>
      <c r="R655" s="65" t="str">
        <f>IF($A655="","",IFERROR(MINIFS(Candidates!$K$2:$K$2000,Candidates!$A$2:$A$2000,$A655),""))</f>
        <v/>
      </c>
      <c r="S655" s="65" t="str">
        <f>IF($A655="","",IFERROR(MAXIFS(Candidates!$AA$2:$AA$2000,Candidates!$A$2:$A$2000,$A655),""))</f>
        <v/>
      </c>
      <c r="T655" s="64" t="str">
        <f>IFERROR(__xludf.DUMMYFUNCTION("IF($A655="""","""",IFERROR(TEXTJOIN("", "",TRUE,UNIQUE(FILTER(Candidates!$B$2:$B$2000,Candidates!$A$2:$A$2000=$A655))),""""))"),"")</f>
        <v/>
      </c>
      <c r="U655" s="66" t="str">
        <f>IF($A655="","",COUNTIF(Candidates!$A$2:$A$2000,$A655))</f>
        <v/>
      </c>
      <c r="V655" s="64" t="str">
        <f>IFERROR(__xludf.DUMMYFUNCTION("IF($A655="""","""",IFERROR(INDEX(FILTER(Candidates!$S$2:$S$2000,Candidates!$A$2:$A$2000=$A655),COUNTIF(Candidates!$A$2:$A$2000,$A655)),""""))"),"")</f>
        <v/>
      </c>
      <c r="W655" s="64" t="str">
        <f>IFERROR(__xludf.DUMMYFUNCTION("IF($A655="""","""",IFERROR(INDEX(FILTER(Candidates!$T$2:$T$2000,Candidates!$A$2:$A$2000=$A655),COUNTIF(Candidates!$A$2:$A$2000,$A655)),""""))"),"")</f>
        <v/>
      </c>
      <c r="X655" s="64"/>
      <c r="Y655" s="64"/>
      <c r="Z655" s="65"/>
      <c r="AA655" s="65"/>
      <c r="AB655" s="65"/>
      <c r="AC655" s="65"/>
    </row>
    <row r="656">
      <c r="A656" s="64"/>
      <c r="B656" s="64"/>
      <c r="C656" s="64"/>
      <c r="D656" s="64"/>
      <c r="E656" s="64"/>
      <c r="F656" s="64"/>
      <c r="G656" s="64"/>
      <c r="H656" s="63"/>
      <c r="I656" s="64"/>
      <c r="J656" s="64"/>
      <c r="K656" s="64"/>
      <c r="L656" s="64"/>
      <c r="M656" s="64"/>
      <c r="N656" s="64"/>
      <c r="O656" s="64"/>
      <c r="P656" s="64"/>
      <c r="Q656" s="64"/>
      <c r="R656" s="65" t="str">
        <f>IF($A656="","",IFERROR(MINIFS(Candidates!$K$2:$K$2000,Candidates!$A$2:$A$2000,$A656),""))</f>
        <v/>
      </c>
      <c r="S656" s="65" t="str">
        <f>IF($A656="","",IFERROR(MAXIFS(Candidates!$AA$2:$AA$2000,Candidates!$A$2:$A$2000,$A656),""))</f>
        <v/>
      </c>
      <c r="T656" s="64" t="str">
        <f>IFERROR(__xludf.DUMMYFUNCTION("IF($A656="""","""",IFERROR(TEXTJOIN("", "",TRUE,UNIQUE(FILTER(Candidates!$B$2:$B$2000,Candidates!$A$2:$A$2000=$A656))),""""))"),"")</f>
        <v/>
      </c>
      <c r="U656" s="66" t="str">
        <f>IF($A656="","",COUNTIF(Candidates!$A$2:$A$2000,$A656))</f>
        <v/>
      </c>
      <c r="V656" s="64" t="str">
        <f>IFERROR(__xludf.DUMMYFUNCTION("IF($A656="""","""",IFERROR(INDEX(FILTER(Candidates!$S$2:$S$2000,Candidates!$A$2:$A$2000=$A656),COUNTIF(Candidates!$A$2:$A$2000,$A656)),""""))"),"")</f>
        <v/>
      </c>
      <c r="W656" s="64" t="str">
        <f>IFERROR(__xludf.DUMMYFUNCTION("IF($A656="""","""",IFERROR(INDEX(FILTER(Candidates!$T$2:$T$2000,Candidates!$A$2:$A$2000=$A656),COUNTIF(Candidates!$A$2:$A$2000,$A656)),""""))"),"")</f>
        <v/>
      </c>
      <c r="X656" s="64"/>
      <c r="Y656" s="64"/>
      <c r="Z656" s="65"/>
      <c r="AA656" s="65"/>
      <c r="AB656" s="65"/>
      <c r="AC656" s="65"/>
    </row>
    <row r="657">
      <c r="A657" s="64"/>
      <c r="B657" s="64"/>
      <c r="C657" s="64"/>
      <c r="D657" s="64"/>
      <c r="E657" s="64"/>
      <c r="F657" s="64"/>
      <c r="G657" s="64"/>
      <c r="H657" s="63"/>
      <c r="I657" s="64"/>
      <c r="J657" s="64"/>
      <c r="K657" s="64"/>
      <c r="L657" s="64"/>
      <c r="M657" s="64"/>
      <c r="N657" s="64"/>
      <c r="O657" s="64"/>
      <c r="P657" s="64"/>
      <c r="Q657" s="64"/>
      <c r="R657" s="65" t="str">
        <f>IF($A657="","",IFERROR(MINIFS(Candidates!$K$2:$K$2000,Candidates!$A$2:$A$2000,$A657),""))</f>
        <v/>
      </c>
      <c r="S657" s="65" t="str">
        <f>IF($A657="","",IFERROR(MAXIFS(Candidates!$AA$2:$AA$2000,Candidates!$A$2:$A$2000,$A657),""))</f>
        <v/>
      </c>
      <c r="T657" s="64" t="str">
        <f>IFERROR(__xludf.DUMMYFUNCTION("IF($A657="""","""",IFERROR(TEXTJOIN("", "",TRUE,UNIQUE(FILTER(Candidates!$B$2:$B$2000,Candidates!$A$2:$A$2000=$A657))),""""))"),"")</f>
        <v/>
      </c>
      <c r="U657" s="66" t="str">
        <f>IF($A657="","",COUNTIF(Candidates!$A$2:$A$2000,$A657))</f>
        <v/>
      </c>
      <c r="V657" s="64" t="str">
        <f>IFERROR(__xludf.DUMMYFUNCTION("IF($A657="""","""",IFERROR(INDEX(FILTER(Candidates!$S$2:$S$2000,Candidates!$A$2:$A$2000=$A657),COUNTIF(Candidates!$A$2:$A$2000,$A657)),""""))"),"")</f>
        <v/>
      </c>
      <c r="W657" s="64" t="str">
        <f>IFERROR(__xludf.DUMMYFUNCTION("IF($A657="""","""",IFERROR(INDEX(FILTER(Candidates!$T$2:$T$2000,Candidates!$A$2:$A$2000=$A657),COUNTIF(Candidates!$A$2:$A$2000,$A657)),""""))"),"")</f>
        <v/>
      </c>
      <c r="X657" s="64"/>
      <c r="Y657" s="64"/>
      <c r="Z657" s="65"/>
      <c r="AA657" s="65"/>
      <c r="AB657" s="65"/>
      <c r="AC657" s="65"/>
    </row>
    <row r="658">
      <c r="A658" s="64"/>
      <c r="B658" s="64"/>
      <c r="C658" s="64"/>
      <c r="D658" s="64"/>
      <c r="E658" s="64"/>
      <c r="F658" s="64"/>
      <c r="G658" s="64"/>
      <c r="H658" s="63"/>
      <c r="I658" s="64"/>
      <c r="J658" s="64"/>
      <c r="K658" s="64"/>
      <c r="L658" s="64"/>
      <c r="M658" s="64"/>
      <c r="N658" s="64"/>
      <c r="O658" s="64"/>
      <c r="P658" s="64"/>
      <c r="Q658" s="64"/>
      <c r="R658" s="65" t="str">
        <f>IF($A658="","",IFERROR(MINIFS(Candidates!$K$2:$K$2000,Candidates!$A$2:$A$2000,$A658),""))</f>
        <v/>
      </c>
      <c r="S658" s="65" t="str">
        <f>IF($A658="","",IFERROR(MAXIFS(Candidates!$AA$2:$AA$2000,Candidates!$A$2:$A$2000,$A658),""))</f>
        <v/>
      </c>
      <c r="T658" s="64" t="str">
        <f>IFERROR(__xludf.DUMMYFUNCTION("IF($A658="""","""",IFERROR(TEXTJOIN("", "",TRUE,UNIQUE(FILTER(Candidates!$B$2:$B$2000,Candidates!$A$2:$A$2000=$A658))),""""))"),"")</f>
        <v/>
      </c>
      <c r="U658" s="66" t="str">
        <f>IF($A658="","",COUNTIF(Candidates!$A$2:$A$2000,$A658))</f>
        <v/>
      </c>
      <c r="V658" s="64" t="str">
        <f>IFERROR(__xludf.DUMMYFUNCTION("IF($A658="""","""",IFERROR(INDEX(FILTER(Candidates!$S$2:$S$2000,Candidates!$A$2:$A$2000=$A658),COUNTIF(Candidates!$A$2:$A$2000,$A658)),""""))"),"")</f>
        <v/>
      </c>
      <c r="W658" s="64" t="str">
        <f>IFERROR(__xludf.DUMMYFUNCTION("IF($A658="""","""",IFERROR(INDEX(FILTER(Candidates!$T$2:$T$2000,Candidates!$A$2:$A$2000=$A658),COUNTIF(Candidates!$A$2:$A$2000,$A658)),""""))"),"")</f>
        <v/>
      </c>
      <c r="X658" s="64"/>
      <c r="Y658" s="64"/>
      <c r="Z658" s="65"/>
      <c r="AA658" s="65"/>
      <c r="AB658" s="65"/>
      <c r="AC658" s="65"/>
    </row>
    <row r="659">
      <c r="A659" s="64"/>
      <c r="B659" s="64"/>
      <c r="C659" s="64"/>
      <c r="D659" s="64"/>
      <c r="E659" s="64"/>
      <c r="F659" s="64"/>
      <c r="G659" s="64"/>
      <c r="H659" s="63"/>
      <c r="I659" s="64"/>
      <c r="J659" s="64"/>
      <c r="K659" s="64"/>
      <c r="L659" s="64"/>
      <c r="M659" s="64"/>
      <c r="N659" s="64"/>
      <c r="O659" s="64"/>
      <c r="P659" s="64"/>
      <c r="Q659" s="64"/>
      <c r="R659" s="65" t="str">
        <f>IF($A659="","",IFERROR(MINIFS(Candidates!$K$2:$K$2000,Candidates!$A$2:$A$2000,$A659),""))</f>
        <v/>
      </c>
      <c r="S659" s="65" t="str">
        <f>IF($A659="","",IFERROR(MAXIFS(Candidates!$AA$2:$AA$2000,Candidates!$A$2:$A$2000,$A659),""))</f>
        <v/>
      </c>
      <c r="T659" s="64" t="str">
        <f>IFERROR(__xludf.DUMMYFUNCTION("IF($A659="""","""",IFERROR(TEXTJOIN("", "",TRUE,UNIQUE(FILTER(Candidates!$B$2:$B$2000,Candidates!$A$2:$A$2000=$A659))),""""))"),"")</f>
        <v/>
      </c>
      <c r="U659" s="66" t="str">
        <f>IF($A659="","",COUNTIF(Candidates!$A$2:$A$2000,$A659))</f>
        <v/>
      </c>
      <c r="V659" s="64" t="str">
        <f>IFERROR(__xludf.DUMMYFUNCTION("IF($A659="""","""",IFERROR(INDEX(FILTER(Candidates!$S$2:$S$2000,Candidates!$A$2:$A$2000=$A659),COUNTIF(Candidates!$A$2:$A$2000,$A659)),""""))"),"")</f>
        <v/>
      </c>
      <c r="W659" s="64" t="str">
        <f>IFERROR(__xludf.DUMMYFUNCTION("IF($A659="""","""",IFERROR(INDEX(FILTER(Candidates!$T$2:$T$2000,Candidates!$A$2:$A$2000=$A659),COUNTIF(Candidates!$A$2:$A$2000,$A659)),""""))"),"")</f>
        <v/>
      </c>
      <c r="X659" s="64"/>
      <c r="Y659" s="64"/>
      <c r="Z659" s="65"/>
      <c r="AA659" s="65"/>
      <c r="AB659" s="65"/>
      <c r="AC659" s="65"/>
    </row>
    <row r="660">
      <c r="A660" s="64"/>
      <c r="B660" s="64"/>
      <c r="C660" s="64"/>
      <c r="D660" s="64"/>
      <c r="E660" s="64"/>
      <c r="F660" s="64"/>
      <c r="G660" s="64"/>
      <c r="H660" s="63"/>
      <c r="I660" s="64"/>
      <c r="J660" s="64"/>
      <c r="K660" s="64"/>
      <c r="L660" s="64"/>
      <c r="M660" s="64"/>
      <c r="N660" s="64"/>
      <c r="O660" s="64"/>
      <c r="P660" s="64"/>
      <c r="Q660" s="64"/>
      <c r="R660" s="65" t="str">
        <f>IF($A660="","",IFERROR(MINIFS(Candidates!$K$2:$K$2000,Candidates!$A$2:$A$2000,$A660),""))</f>
        <v/>
      </c>
      <c r="S660" s="65" t="str">
        <f>IF($A660="","",IFERROR(MAXIFS(Candidates!$AA$2:$AA$2000,Candidates!$A$2:$A$2000,$A660),""))</f>
        <v/>
      </c>
      <c r="T660" s="64" t="str">
        <f>IFERROR(__xludf.DUMMYFUNCTION("IF($A660="""","""",IFERROR(TEXTJOIN("", "",TRUE,UNIQUE(FILTER(Candidates!$B$2:$B$2000,Candidates!$A$2:$A$2000=$A660))),""""))"),"")</f>
        <v/>
      </c>
      <c r="U660" s="66" t="str">
        <f>IF($A660="","",COUNTIF(Candidates!$A$2:$A$2000,$A660))</f>
        <v/>
      </c>
      <c r="V660" s="64" t="str">
        <f>IFERROR(__xludf.DUMMYFUNCTION("IF($A660="""","""",IFERROR(INDEX(FILTER(Candidates!$S$2:$S$2000,Candidates!$A$2:$A$2000=$A660),COUNTIF(Candidates!$A$2:$A$2000,$A660)),""""))"),"")</f>
        <v/>
      </c>
      <c r="W660" s="64" t="str">
        <f>IFERROR(__xludf.DUMMYFUNCTION("IF($A660="""","""",IFERROR(INDEX(FILTER(Candidates!$T$2:$T$2000,Candidates!$A$2:$A$2000=$A660),COUNTIF(Candidates!$A$2:$A$2000,$A660)),""""))"),"")</f>
        <v/>
      </c>
      <c r="X660" s="64"/>
      <c r="Y660" s="64"/>
      <c r="Z660" s="65"/>
      <c r="AA660" s="65"/>
      <c r="AB660" s="65"/>
      <c r="AC660" s="65"/>
    </row>
    <row r="661">
      <c r="A661" s="64"/>
      <c r="B661" s="64"/>
      <c r="C661" s="64"/>
      <c r="D661" s="64"/>
      <c r="E661" s="64"/>
      <c r="F661" s="64"/>
      <c r="G661" s="64"/>
      <c r="H661" s="63"/>
      <c r="I661" s="64"/>
      <c r="J661" s="64"/>
      <c r="K661" s="64"/>
      <c r="L661" s="64"/>
      <c r="M661" s="64"/>
      <c r="N661" s="64"/>
      <c r="O661" s="64"/>
      <c r="P661" s="64"/>
      <c r="Q661" s="64"/>
      <c r="R661" s="65" t="str">
        <f>IF($A661="","",IFERROR(MINIFS(Candidates!$K$2:$K$2000,Candidates!$A$2:$A$2000,$A661),""))</f>
        <v/>
      </c>
      <c r="S661" s="65" t="str">
        <f>IF($A661="","",IFERROR(MAXIFS(Candidates!$AA$2:$AA$2000,Candidates!$A$2:$A$2000,$A661),""))</f>
        <v/>
      </c>
      <c r="T661" s="64" t="str">
        <f>IFERROR(__xludf.DUMMYFUNCTION("IF($A661="""","""",IFERROR(TEXTJOIN("", "",TRUE,UNIQUE(FILTER(Candidates!$B$2:$B$2000,Candidates!$A$2:$A$2000=$A661))),""""))"),"")</f>
        <v/>
      </c>
      <c r="U661" s="66" t="str">
        <f>IF($A661="","",COUNTIF(Candidates!$A$2:$A$2000,$A661))</f>
        <v/>
      </c>
      <c r="V661" s="64" t="str">
        <f>IFERROR(__xludf.DUMMYFUNCTION("IF($A661="""","""",IFERROR(INDEX(FILTER(Candidates!$S$2:$S$2000,Candidates!$A$2:$A$2000=$A661),COUNTIF(Candidates!$A$2:$A$2000,$A661)),""""))"),"")</f>
        <v/>
      </c>
      <c r="W661" s="64" t="str">
        <f>IFERROR(__xludf.DUMMYFUNCTION("IF($A661="""","""",IFERROR(INDEX(FILTER(Candidates!$T$2:$T$2000,Candidates!$A$2:$A$2000=$A661),COUNTIF(Candidates!$A$2:$A$2000,$A661)),""""))"),"")</f>
        <v/>
      </c>
      <c r="X661" s="64"/>
      <c r="Y661" s="64"/>
      <c r="Z661" s="65"/>
      <c r="AA661" s="65"/>
      <c r="AB661" s="65"/>
      <c r="AC661" s="65"/>
    </row>
    <row r="662">
      <c r="A662" s="64"/>
      <c r="B662" s="64"/>
      <c r="C662" s="64"/>
      <c r="D662" s="64"/>
      <c r="E662" s="64"/>
      <c r="F662" s="64"/>
      <c r="G662" s="64"/>
      <c r="H662" s="63"/>
      <c r="I662" s="64"/>
      <c r="J662" s="64"/>
      <c r="K662" s="64"/>
      <c r="L662" s="64"/>
      <c r="M662" s="64"/>
      <c r="N662" s="64"/>
      <c r="O662" s="64"/>
      <c r="P662" s="64"/>
      <c r="Q662" s="64"/>
      <c r="R662" s="65" t="str">
        <f>IF($A662="","",IFERROR(MINIFS(Candidates!$K$2:$K$2000,Candidates!$A$2:$A$2000,$A662),""))</f>
        <v/>
      </c>
      <c r="S662" s="65" t="str">
        <f>IF($A662="","",IFERROR(MAXIFS(Candidates!$AA$2:$AA$2000,Candidates!$A$2:$A$2000,$A662),""))</f>
        <v/>
      </c>
      <c r="T662" s="64" t="str">
        <f>IFERROR(__xludf.DUMMYFUNCTION("IF($A662="""","""",IFERROR(TEXTJOIN("", "",TRUE,UNIQUE(FILTER(Candidates!$B$2:$B$2000,Candidates!$A$2:$A$2000=$A662))),""""))"),"")</f>
        <v/>
      </c>
      <c r="U662" s="66" t="str">
        <f>IF($A662="","",COUNTIF(Candidates!$A$2:$A$2000,$A662))</f>
        <v/>
      </c>
      <c r="V662" s="64" t="str">
        <f>IFERROR(__xludf.DUMMYFUNCTION("IF($A662="""","""",IFERROR(INDEX(FILTER(Candidates!$S$2:$S$2000,Candidates!$A$2:$A$2000=$A662),COUNTIF(Candidates!$A$2:$A$2000,$A662)),""""))"),"")</f>
        <v/>
      </c>
      <c r="W662" s="64" t="str">
        <f>IFERROR(__xludf.DUMMYFUNCTION("IF($A662="""","""",IFERROR(INDEX(FILTER(Candidates!$T$2:$T$2000,Candidates!$A$2:$A$2000=$A662),COUNTIF(Candidates!$A$2:$A$2000,$A662)),""""))"),"")</f>
        <v/>
      </c>
      <c r="X662" s="64"/>
      <c r="Y662" s="64"/>
      <c r="Z662" s="65"/>
      <c r="AA662" s="65"/>
      <c r="AB662" s="65"/>
      <c r="AC662" s="65"/>
    </row>
    <row r="663">
      <c r="A663" s="64"/>
      <c r="B663" s="64"/>
      <c r="C663" s="64"/>
      <c r="D663" s="64"/>
      <c r="E663" s="64"/>
      <c r="F663" s="64"/>
      <c r="G663" s="64"/>
      <c r="H663" s="63"/>
      <c r="I663" s="64"/>
      <c r="J663" s="64"/>
      <c r="K663" s="64"/>
      <c r="L663" s="64"/>
      <c r="M663" s="64"/>
      <c r="N663" s="64"/>
      <c r="O663" s="64"/>
      <c r="P663" s="64"/>
      <c r="Q663" s="64"/>
      <c r="R663" s="65" t="str">
        <f>IF($A663="","",IFERROR(MINIFS(Candidates!$K$2:$K$2000,Candidates!$A$2:$A$2000,$A663),""))</f>
        <v/>
      </c>
      <c r="S663" s="65" t="str">
        <f>IF($A663="","",IFERROR(MAXIFS(Candidates!$AA$2:$AA$2000,Candidates!$A$2:$A$2000,$A663),""))</f>
        <v/>
      </c>
      <c r="T663" s="64" t="str">
        <f>IFERROR(__xludf.DUMMYFUNCTION("IF($A663="""","""",IFERROR(TEXTJOIN("", "",TRUE,UNIQUE(FILTER(Candidates!$B$2:$B$2000,Candidates!$A$2:$A$2000=$A663))),""""))"),"")</f>
        <v/>
      </c>
      <c r="U663" s="66" t="str">
        <f>IF($A663="","",COUNTIF(Candidates!$A$2:$A$2000,$A663))</f>
        <v/>
      </c>
      <c r="V663" s="64" t="str">
        <f>IFERROR(__xludf.DUMMYFUNCTION("IF($A663="""","""",IFERROR(INDEX(FILTER(Candidates!$S$2:$S$2000,Candidates!$A$2:$A$2000=$A663),COUNTIF(Candidates!$A$2:$A$2000,$A663)),""""))"),"")</f>
        <v/>
      </c>
      <c r="W663" s="64" t="str">
        <f>IFERROR(__xludf.DUMMYFUNCTION("IF($A663="""","""",IFERROR(INDEX(FILTER(Candidates!$T$2:$T$2000,Candidates!$A$2:$A$2000=$A663),COUNTIF(Candidates!$A$2:$A$2000,$A663)),""""))"),"")</f>
        <v/>
      </c>
      <c r="X663" s="64"/>
      <c r="Y663" s="64"/>
      <c r="Z663" s="65"/>
      <c r="AA663" s="65"/>
      <c r="AB663" s="65"/>
      <c r="AC663" s="65"/>
    </row>
    <row r="664">
      <c r="A664" s="64"/>
      <c r="B664" s="64"/>
      <c r="C664" s="64"/>
      <c r="D664" s="64"/>
      <c r="E664" s="64"/>
      <c r="F664" s="64"/>
      <c r="G664" s="64"/>
      <c r="H664" s="63"/>
      <c r="I664" s="64"/>
      <c r="J664" s="64"/>
      <c r="K664" s="64"/>
      <c r="L664" s="64"/>
      <c r="M664" s="64"/>
      <c r="N664" s="64"/>
      <c r="O664" s="64"/>
      <c r="P664" s="64"/>
      <c r="Q664" s="64"/>
      <c r="R664" s="65" t="str">
        <f>IF($A664="","",IFERROR(MINIFS(Candidates!$K$2:$K$2000,Candidates!$A$2:$A$2000,$A664),""))</f>
        <v/>
      </c>
      <c r="S664" s="65" t="str">
        <f>IF($A664="","",IFERROR(MAXIFS(Candidates!$AA$2:$AA$2000,Candidates!$A$2:$A$2000,$A664),""))</f>
        <v/>
      </c>
      <c r="T664" s="64" t="str">
        <f>IFERROR(__xludf.DUMMYFUNCTION("IF($A664="""","""",IFERROR(TEXTJOIN("", "",TRUE,UNIQUE(FILTER(Candidates!$B$2:$B$2000,Candidates!$A$2:$A$2000=$A664))),""""))"),"")</f>
        <v/>
      </c>
      <c r="U664" s="66" t="str">
        <f>IF($A664="","",COUNTIF(Candidates!$A$2:$A$2000,$A664))</f>
        <v/>
      </c>
      <c r="V664" s="64" t="str">
        <f>IFERROR(__xludf.DUMMYFUNCTION("IF($A664="""","""",IFERROR(INDEX(FILTER(Candidates!$S$2:$S$2000,Candidates!$A$2:$A$2000=$A664),COUNTIF(Candidates!$A$2:$A$2000,$A664)),""""))"),"")</f>
        <v/>
      </c>
      <c r="W664" s="64" t="str">
        <f>IFERROR(__xludf.DUMMYFUNCTION("IF($A664="""","""",IFERROR(INDEX(FILTER(Candidates!$T$2:$T$2000,Candidates!$A$2:$A$2000=$A664),COUNTIF(Candidates!$A$2:$A$2000,$A664)),""""))"),"")</f>
        <v/>
      </c>
      <c r="X664" s="64"/>
      <c r="Y664" s="64"/>
      <c r="Z664" s="65"/>
      <c r="AA664" s="65"/>
      <c r="AB664" s="65"/>
      <c r="AC664" s="65"/>
    </row>
    <row r="665">
      <c r="A665" s="64"/>
      <c r="B665" s="64"/>
      <c r="C665" s="64"/>
      <c r="D665" s="64"/>
      <c r="E665" s="64"/>
      <c r="F665" s="64"/>
      <c r="G665" s="64"/>
      <c r="H665" s="63"/>
      <c r="I665" s="64"/>
      <c r="J665" s="64"/>
      <c r="K665" s="64"/>
      <c r="L665" s="64"/>
      <c r="M665" s="64"/>
      <c r="N665" s="64"/>
      <c r="O665" s="64"/>
      <c r="P665" s="64"/>
      <c r="Q665" s="64"/>
      <c r="R665" s="65" t="str">
        <f>IF($A665="","",IFERROR(MINIFS(Candidates!$K$2:$K$2000,Candidates!$A$2:$A$2000,$A665),""))</f>
        <v/>
      </c>
      <c r="S665" s="65" t="str">
        <f>IF($A665="","",IFERROR(MAXIFS(Candidates!$AA$2:$AA$2000,Candidates!$A$2:$A$2000,$A665),""))</f>
        <v/>
      </c>
      <c r="T665" s="64" t="str">
        <f>IFERROR(__xludf.DUMMYFUNCTION("IF($A665="""","""",IFERROR(TEXTJOIN("", "",TRUE,UNIQUE(FILTER(Candidates!$B$2:$B$2000,Candidates!$A$2:$A$2000=$A665))),""""))"),"")</f>
        <v/>
      </c>
      <c r="U665" s="66" t="str">
        <f>IF($A665="","",COUNTIF(Candidates!$A$2:$A$2000,$A665))</f>
        <v/>
      </c>
      <c r="V665" s="64" t="str">
        <f>IFERROR(__xludf.DUMMYFUNCTION("IF($A665="""","""",IFERROR(INDEX(FILTER(Candidates!$S$2:$S$2000,Candidates!$A$2:$A$2000=$A665),COUNTIF(Candidates!$A$2:$A$2000,$A665)),""""))"),"")</f>
        <v/>
      </c>
      <c r="W665" s="64" t="str">
        <f>IFERROR(__xludf.DUMMYFUNCTION("IF($A665="""","""",IFERROR(INDEX(FILTER(Candidates!$T$2:$T$2000,Candidates!$A$2:$A$2000=$A665),COUNTIF(Candidates!$A$2:$A$2000,$A665)),""""))"),"")</f>
        <v/>
      </c>
      <c r="X665" s="64"/>
      <c r="Y665" s="64"/>
      <c r="Z665" s="65"/>
      <c r="AA665" s="65"/>
      <c r="AB665" s="65"/>
      <c r="AC665" s="65"/>
    </row>
    <row r="666">
      <c r="A666" s="64"/>
      <c r="B666" s="64"/>
      <c r="C666" s="64"/>
      <c r="D666" s="64"/>
      <c r="E666" s="64"/>
      <c r="F666" s="64"/>
      <c r="G666" s="64"/>
      <c r="H666" s="63"/>
      <c r="I666" s="64"/>
      <c r="J666" s="64"/>
      <c r="K666" s="64"/>
      <c r="L666" s="64"/>
      <c r="M666" s="64"/>
      <c r="N666" s="64"/>
      <c r="O666" s="64"/>
      <c r="P666" s="64"/>
      <c r="Q666" s="64"/>
      <c r="R666" s="65" t="str">
        <f>IF($A666="","",IFERROR(MINIFS(Candidates!$K$2:$K$2000,Candidates!$A$2:$A$2000,$A666),""))</f>
        <v/>
      </c>
      <c r="S666" s="65" t="str">
        <f>IF($A666="","",IFERROR(MAXIFS(Candidates!$AA$2:$AA$2000,Candidates!$A$2:$A$2000,$A666),""))</f>
        <v/>
      </c>
      <c r="T666" s="64" t="str">
        <f>IFERROR(__xludf.DUMMYFUNCTION("IF($A666="""","""",IFERROR(TEXTJOIN("", "",TRUE,UNIQUE(FILTER(Candidates!$B$2:$B$2000,Candidates!$A$2:$A$2000=$A666))),""""))"),"")</f>
        <v/>
      </c>
      <c r="U666" s="66" t="str">
        <f>IF($A666="","",COUNTIF(Candidates!$A$2:$A$2000,$A666))</f>
        <v/>
      </c>
      <c r="V666" s="64" t="str">
        <f>IFERROR(__xludf.DUMMYFUNCTION("IF($A666="""","""",IFERROR(INDEX(FILTER(Candidates!$S$2:$S$2000,Candidates!$A$2:$A$2000=$A666),COUNTIF(Candidates!$A$2:$A$2000,$A666)),""""))"),"")</f>
        <v/>
      </c>
      <c r="W666" s="64" t="str">
        <f>IFERROR(__xludf.DUMMYFUNCTION("IF($A666="""","""",IFERROR(INDEX(FILTER(Candidates!$T$2:$T$2000,Candidates!$A$2:$A$2000=$A666),COUNTIF(Candidates!$A$2:$A$2000,$A666)),""""))"),"")</f>
        <v/>
      </c>
      <c r="X666" s="64"/>
      <c r="Y666" s="64"/>
      <c r="Z666" s="65"/>
      <c r="AA666" s="65"/>
      <c r="AB666" s="65"/>
      <c r="AC666" s="65"/>
    </row>
    <row r="667">
      <c r="A667" s="64"/>
      <c r="B667" s="64"/>
      <c r="C667" s="64"/>
      <c r="D667" s="64"/>
      <c r="E667" s="64"/>
      <c r="F667" s="64"/>
      <c r="G667" s="64"/>
      <c r="H667" s="63"/>
      <c r="I667" s="64"/>
      <c r="J667" s="64"/>
      <c r="K667" s="64"/>
      <c r="L667" s="64"/>
      <c r="M667" s="64"/>
      <c r="N667" s="64"/>
      <c r="O667" s="64"/>
      <c r="P667" s="64"/>
      <c r="Q667" s="64"/>
      <c r="R667" s="65" t="str">
        <f>IF($A667="","",IFERROR(MINIFS(Candidates!$K$2:$K$2000,Candidates!$A$2:$A$2000,$A667),""))</f>
        <v/>
      </c>
      <c r="S667" s="65" t="str">
        <f>IF($A667="","",IFERROR(MAXIFS(Candidates!$AA$2:$AA$2000,Candidates!$A$2:$A$2000,$A667),""))</f>
        <v/>
      </c>
      <c r="T667" s="64" t="str">
        <f>IFERROR(__xludf.DUMMYFUNCTION("IF($A667="""","""",IFERROR(TEXTJOIN("", "",TRUE,UNIQUE(FILTER(Candidates!$B$2:$B$2000,Candidates!$A$2:$A$2000=$A667))),""""))"),"")</f>
        <v/>
      </c>
      <c r="U667" s="66" t="str">
        <f>IF($A667="","",COUNTIF(Candidates!$A$2:$A$2000,$A667))</f>
        <v/>
      </c>
      <c r="V667" s="64" t="str">
        <f>IFERROR(__xludf.DUMMYFUNCTION("IF($A667="""","""",IFERROR(INDEX(FILTER(Candidates!$S$2:$S$2000,Candidates!$A$2:$A$2000=$A667),COUNTIF(Candidates!$A$2:$A$2000,$A667)),""""))"),"")</f>
        <v/>
      </c>
      <c r="W667" s="64" t="str">
        <f>IFERROR(__xludf.DUMMYFUNCTION("IF($A667="""","""",IFERROR(INDEX(FILTER(Candidates!$T$2:$T$2000,Candidates!$A$2:$A$2000=$A667),COUNTIF(Candidates!$A$2:$A$2000,$A667)),""""))"),"")</f>
        <v/>
      </c>
      <c r="X667" s="64"/>
      <c r="Y667" s="64"/>
      <c r="Z667" s="65"/>
      <c r="AA667" s="65"/>
      <c r="AB667" s="65"/>
      <c r="AC667" s="65"/>
    </row>
    <row r="668">
      <c r="A668" s="64"/>
      <c r="B668" s="64"/>
      <c r="C668" s="64"/>
      <c r="D668" s="64"/>
      <c r="E668" s="64"/>
      <c r="F668" s="64"/>
      <c r="G668" s="64"/>
      <c r="H668" s="63"/>
      <c r="I668" s="64"/>
      <c r="J668" s="64"/>
      <c r="K668" s="64"/>
      <c r="L668" s="64"/>
      <c r="M668" s="64"/>
      <c r="N668" s="64"/>
      <c r="O668" s="64"/>
      <c r="P668" s="64"/>
      <c r="Q668" s="64"/>
      <c r="R668" s="65" t="str">
        <f>IF($A668="","",IFERROR(MINIFS(Candidates!$K$2:$K$2000,Candidates!$A$2:$A$2000,$A668),""))</f>
        <v/>
      </c>
      <c r="S668" s="65" t="str">
        <f>IF($A668="","",IFERROR(MAXIFS(Candidates!$AA$2:$AA$2000,Candidates!$A$2:$A$2000,$A668),""))</f>
        <v/>
      </c>
      <c r="T668" s="64" t="str">
        <f>IFERROR(__xludf.DUMMYFUNCTION("IF($A668="""","""",IFERROR(TEXTJOIN("", "",TRUE,UNIQUE(FILTER(Candidates!$B$2:$B$2000,Candidates!$A$2:$A$2000=$A668))),""""))"),"")</f>
        <v/>
      </c>
      <c r="U668" s="66" t="str">
        <f>IF($A668="","",COUNTIF(Candidates!$A$2:$A$2000,$A668))</f>
        <v/>
      </c>
      <c r="V668" s="64" t="str">
        <f>IFERROR(__xludf.DUMMYFUNCTION("IF($A668="""","""",IFERROR(INDEX(FILTER(Candidates!$S$2:$S$2000,Candidates!$A$2:$A$2000=$A668),COUNTIF(Candidates!$A$2:$A$2000,$A668)),""""))"),"")</f>
        <v/>
      </c>
      <c r="W668" s="64" t="str">
        <f>IFERROR(__xludf.DUMMYFUNCTION("IF($A668="""","""",IFERROR(INDEX(FILTER(Candidates!$T$2:$T$2000,Candidates!$A$2:$A$2000=$A668),COUNTIF(Candidates!$A$2:$A$2000,$A668)),""""))"),"")</f>
        <v/>
      </c>
      <c r="X668" s="64"/>
      <c r="Y668" s="64"/>
      <c r="Z668" s="65"/>
      <c r="AA668" s="65"/>
      <c r="AB668" s="65"/>
      <c r="AC668" s="65"/>
    </row>
    <row r="669">
      <c r="A669" s="64"/>
      <c r="B669" s="64"/>
      <c r="C669" s="64"/>
      <c r="D669" s="64"/>
      <c r="E669" s="64"/>
      <c r="F669" s="64"/>
      <c r="G669" s="64"/>
      <c r="H669" s="63"/>
      <c r="I669" s="64"/>
      <c r="J669" s="64"/>
      <c r="K669" s="64"/>
      <c r="L669" s="64"/>
      <c r="M669" s="64"/>
      <c r="N669" s="64"/>
      <c r="O669" s="64"/>
      <c r="P669" s="64"/>
      <c r="Q669" s="64"/>
      <c r="R669" s="65" t="str">
        <f>IF($A669="","",IFERROR(MINIFS(Candidates!$K$2:$K$2000,Candidates!$A$2:$A$2000,$A669),""))</f>
        <v/>
      </c>
      <c r="S669" s="65" t="str">
        <f>IF($A669="","",IFERROR(MAXIFS(Candidates!$AA$2:$AA$2000,Candidates!$A$2:$A$2000,$A669),""))</f>
        <v/>
      </c>
      <c r="T669" s="64" t="str">
        <f>IFERROR(__xludf.DUMMYFUNCTION("IF($A669="""","""",IFERROR(TEXTJOIN("", "",TRUE,UNIQUE(FILTER(Candidates!$B$2:$B$2000,Candidates!$A$2:$A$2000=$A669))),""""))"),"")</f>
        <v/>
      </c>
      <c r="U669" s="66" t="str">
        <f>IF($A669="","",COUNTIF(Candidates!$A$2:$A$2000,$A669))</f>
        <v/>
      </c>
      <c r="V669" s="64" t="str">
        <f>IFERROR(__xludf.DUMMYFUNCTION("IF($A669="""","""",IFERROR(INDEX(FILTER(Candidates!$S$2:$S$2000,Candidates!$A$2:$A$2000=$A669),COUNTIF(Candidates!$A$2:$A$2000,$A669)),""""))"),"")</f>
        <v/>
      </c>
      <c r="W669" s="64" t="str">
        <f>IFERROR(__xludf.DUMMYFUNCTION("IF($A669="""","""",IFERROR(INDEX(FILTER(Candidates!$T$2:$T$2000,Candidates!$A$2:$A$2000=$A669),COUNTIF(Candidates!$A$2:$A$2000,$A669)),""""))"),"")</f>
        <v/>
      </c>
      <c r="X669" s="64"/>
      <c r="Y669" s="64"/>
      <c r="Z669" s="65"/>
      <c r="AA669" s="65"/>
      <c r="AB669" s="65"/>
      <c r="AC669" s="65"/>
    </row>
    <row r="670">
      <c r="A670" s="64"/>
      <c r="B670" s="64"/>
      <c r="C670" s="64"/>
      <c r="D670" s="64"/>
      <c r="E670" s="64"/>
      <c r="F670" s="64"/>
      <c r="G670" s="64"/>
      <c r="H670" s="63"/>
      <c r="I670" s="64"/>
      <c r="J670" s="64"/>
      <c r="K670" s="64"/>
      <c r="L670" s="64"/>
      <c r="M670" s="64"/>
      <c r="N670" s="64"/>
      <c r="O670" s="64"/>
      <c r="P670" s="64"/>
      <c r="Q670" s="64"/>
      <c r="R670" s="65" t="str">
        <f>IF($A670="","",IFERROR(MINIFS(Candidates!$K$2:$K$2000,Candidates!$A$2:$A$2000,$A670),""))</f>
        <v/>
      </c>
      <c r="S670" s="65" t="str">
        <f>IF($A670="","",IFERROR(MAXIFS(Candidates!$AA$2:$AA$2000,Candidates!$A$2:$A$2000,$A670),""))</f>
        <v/>
      </c>
      <c r="T670" s="64" t="str">
        <f>IFERROR(__xludf.DUMMYFUNCTION("IF($A670="""","""",IFERROR(TEXTJOIN("", "",TRUE,UNIQUE(FILTER(Candidates!$B$2:$B$2000,Candidates!$A$2:$A$2000=$A670))),""""))"),"")</f>
        <v/>
      </c>
      <c r="U670" s="66" t="str">
        <f>IF($A670="","",COUNTIF(Candidates!$A$2:$A$2000,$A670))</f>
        <v/>
      </c>
      <c r="V670" s="64" t="str">
        <f>IFERROR(__xludf.DUMMYFUNCTION("IF($A670="""","""",IFERROR(INDEX(FILTER(Candidates!$S$2:$S$2000,Candidates!$A$2:$A$2000=$A670),COUNTIF(Candidates!$A$2:$A$2000,$A670)),""""))"),"")</f>
        <v/>
      </c>
      <c r="W670" s="64" t="str">
        <f>IFERROR(__xludf.DUMMYFUNCTION("IF($A670="""","""",IFERROR(INDEX(FILTER(Candidates!$T$2:$T$2000,Candidates!$A$2:$A$2000=$A670),COUNTIF(Candidates!$A$2:$A$2000,$A670)),""""))"),"")</f>
        <v/>
      </c>
      <c r="X670" s="64"/>
      <c r="Y670" s="64"/>
      <c r="Z670" s="65"/>
      <c r="AA670" s="65"/>
      <c r="AB670" s="65"/>
      <c r="AC670" s="65"/>
    </row>
    <row r="671">
      <c r="A671" s="64"/>
      <c r="B671" s="64"/>
      <c r="C671" s="64"/>
      <c r="D671" s="64"/>
      <c r="E671" s="64"/>
      <c r="F671" s="64"/>
      <c r="G671" s="64"/>
      <c r="H671" s="63"/>
      <c r="I671" s="64"/>
      <c r="J671" s="64"/>
      <c r="K671" s="64"/>
      <c r="L671" s="64"/>
      <c r="M671" s="64"/>
      <c r="N671" s="64"/>
      <c r="O671" s="64"/>
      <c r="P671" s="64"/>
      <c r="Q671" s="64"/>
      <c r="R671" s="65" t="str">
        <f>IF($A671="","",IFERROR(MINIFS(Candidates!$K$2:$K$2000,Candidates!$A$2:$A$2000,$A671),""))</f>
        <v/>
      </c>
      <c r="S671" s="65" t="str">
        <f>IF($A671="","",IFERROR(MAXIFS(Candidates!$AA$2:$AA$2000,Candidates!$A$2:$A$2000,$A671),""))</f>
        <v/>
      </c>
      <c r="T671" s="64" t="str">
        <f>IFERROR(__xludf.DUMMYFUNCTION("IF($A671="""","""",IFERROR(TEXTJOIN("", "",TRUE,UNIQUE(FILTER(Candidates!$B$2:$B$2000,Candidates!$A$2:$A$2000=$A671))),""""))"),"")</f>
        <v/>
      </c>
      <c r="U671" s="66" t="str">
        <f>IF($A671="","",COUNTIF(Candidates!$A$2:$A$2000,$A671))</f>
        <v/>
      </c>
      <c r="V671" s="64" t="str">
        <f>IFERROR(__xludf.DUMMYFUNCTION("IF($A671="""","""",IFERROR(INDEX(FILTER(Candidates!$S$2:$S$2000,Candidates!$A$2:$A$2000=$A671),COUNTIF(Candidates!$A$2:$A$2000,$A671)),""""))"),"")</f>
        <v/>
      </c>
      <c r="W671" s="64" t="str">
        <f>IFERROR(__xludf.DUMMYFUNCTION("IF($A671="""","""",IFERROR(INDEX(FILTER(Candidates!$T$2:$T$2000,Candidates!$A$2:$A$2000=$A671),COUNTIF(Candidates!$A$2:$A$2000,$A671)),""""))"),"")</f>
        <v/>
      </c>
      <c r="X671" s="64"/>
      <c r="Y671" s="64"/>
      <c r="Z671" s="65"/>
      <c r="AA671" s="65"/>
      <c r="AB671" s="65"/>
      <c r="AC671" s="65"/>
    </row>
    <row r="672">
      <c r="A672" s="64"/>
      <c r="B672" s="64"/>
      <c r="C672" s="64"/>
      <c r="D672" s="64"/>
      <c r="E672" s="64"/>
      <c r="F672" s="64"/>
      <c r="G672" s="64"/>
      <c r="H672" s="63"/>
      <c r="I672" s="64"/>
      <c r="J672" s="64"/>
      <c r="K672" s="64"/>
      <c r="L672" s="64"/>
      <c r="M672" s="64"/>
      <c r="N672" s="64"/>
      <c r="O672" s="64"/>
      <c r="P672" s="64"/>
      <c r="Q672" s="64"/>
      <c r="R672" s="65" t="str">
        <f>IF($A672="","",IFERROR(MINIFS(Candidates!$K$2:$K$2000,Candidates!$A$2:$A$2000,$A672),""))</f>
        <v/>
      </c>
      <c r="S672" s="65" t="str">
        <f>IF($A672="","",IFERROR(MAXIFS(Candidates!$AA$2:$AA$2000,Candidates!$A$2:$A$2000,$A672),""))</f>
        <v/>
      </c>
      <c r="T672" s="64" t="str">
        <f>IFERROR(__xludf.DUMMYFUNCTION("IF($A672="""","""",IFERROR(TEXTJOIN("", "",TRUE,UNIQUE(FILTER(Candidates!$B$2:$B$2000,Candidates!$A$2:$A$2000=$A672))),""""))"),"")</f>
        <v/>
      </c>
      <c r="U672" s="66" t="str">
        <f>IF($A672="","",COUNTIF(Candidates!$A$2:$A$2000,$A672))</f>
        <v/>
      </c>
      <c r="V672" s="64" t="str">
        <f>IFERROR(__xludf.DUMMYFUNCTION("IF($A672="""","""",IFERROR(INDEX(FILTER(Candidates!$S$2:$S$2000,Candidates!$A$2:$A$2000=$A672),COUNTIF(Candidates!$A$2:$A$2000,$A672)),""""))"),"")</f>
        <v/>
      </c>
      <c r="W672" s="64" t="str">
        <f>IFERROR(__xludf.DUMMYFUNCTION("IF($A672="""","""",IFERROR(INDEX(FILTER(Candidates!$T$2:$T$2000,Candidates!$A$2:$A$2000=$A672),COUNTIF(Candidates!$A$2:$A$2000,$A672)),""""))"),"")</f>
        <v/>
      </c>
      <c r="X672" s="64"/>
      <c r="Y672" s="64"/>
      <c r="Z672" s="65"/>
      <c r="AA672" s="65"/>
      <c r="AB672" s="65"/>
      <c r="AC672" s="65"/>
    </row>
    <row r="673">
      <c r="A673" s="64"/>
      <c r="B673" s="64"/>
      <c r="C673" s="64"/>
      <c r="D673" s="64"/>
      <c r="E673" s="64"/>
      <c r="F673" s="64"/>
      <c r="G673" s="64"/>
      <c r="H673" s="63"/>
      <c r="I673" s="64"/>
      <c r="J673" s="64"/>
      <c r="K673" s="64"/>
      <c r="L673" s="64"/>
      <c r="M673" s="64"/>
      <c r="N673" s="64"/>
      <c r="O673" s="64"/>
      <c r="P673" s="64"/>
      <c r="Q673" s="64"/>
      <c r="R673" s="65" t="str">
        <f>IF($A673="","",IFERROR(MINIFS(Candidates!$K$2:$K$2000,Candidates!$A$2:$A$2000,$A673),""))</f>
        <v/>
      </c>
      <c r="S673" s="65" t="str">
        <f>IF($A673="","",IFERROR(MAXIFS(Candidates!$AA$2:$AA$2000,Candidates!$A$2:$A$2000,$A673),""))</f>
        <v/>
      </c>
      <c r="T673" s="64" t="str">
        <f>IFERROR(__xludf.DUMMYFUNCTION("IF($A673="""","""",IFERROR(TEXTJOIN("", "",TRUE,UNIQUE(FILTER(Candidates!$B$2:$B$2000,Candidates!$A$2:$A$2000=$A673))),""""))"),"")</f>
        <v/>
      </c>
      <c r="U673" s="66" t="str">
        <f>IF($A673="","",COUNTIF(Candidates!$A$2:$A$2000,$A673))</f>
        <v/>
      </c>
      <c r="V673" s="64" t="str">
        <f>IFERROR(__xludf.DUMMYFUNCTION("IF($A673="""","""",IFERROR(INDEX(FILTER(Candidates!$S$2:$S$2000,Candidates!$A$2:$A$2000=$A673),COUNTIF(Candidates!$A$2:$A$2000,$A673)),""""))"),"")</f>
        <v/>
      </c>
      <c r="W673" s="64" t="str">
        <f>IFERROR(__xludf.DUMMYFUNCTION("IF($A673="""","""",IFERROR(INDEX(FILTER(Candidates!$T$2:$T$2000,Candidates!$A$2:$A$2000=$A673),COUNTIF(Candidates!$A$2:$A$2000,$A673)),""""))"),"")</f>
        <v/>
      </c>
      <c r="X673" s="64"/>
      <c r="Y673" s="64"/>
      <c r="Z673" s="65"/>
      <c r="AA673" s="65"/>
      <c r="AB673" s="65"/>
      <c r="AC673" s="65"/>
    </row>
    <row r="674">
      <c r="A674" s="64"/>
      <c r="B674" s="64"/>
      <c r="C674" s="64"/>
      <c r="D674" s="64"/>
      <c r="E674" s="64"/>
      <c r="F674" s="64"/>
      <c r="G674" s="64"/>
      <c r="H674" s="63"/>
      <c r="I674" s="64"/>
      <c r="J674" s="64"/>
      <c r="K674" s="64"/>
      <c r="L674" s="64"/>
      <c r="M674" s="64"/>
      <c r="N674" s="64"/>
      <c r="O674" s="64"/>
      <c r="P674" s="64"/>
      <c r="Q674" s="64"/>
      <c r="R674" s="65" t="str">
        <f>IF($A674="","",IFERROR(MINIFS(Candidates!$K$2:$K$2000,Candidates!$A$2:$A$2000,$A674),""))</f>
        <v/>
      </c>
      <c r="S674" s="65" t="str">
        <f>IF($A674="","",IFERROR(MAXIFS(Candidates!$AA$2:$AA$2000,Candidates!$A$2:$A$2000,$A674),""))</f>
        <v/>
      </c>
      <c r="T674" s="64" t="str">
        <f>IFERROR(__xludf.DUMMYFUNCTION("IF($A674="""","""",IFERROR(TEXTJOIN("", "",TRUE,UNIQUE(FILTER(Candidates!$B$2:$B$2000,Candidates!$A$2:$A$2000=$A674))),""""))"),"")</f>
        <v/>
      </c>
      <c r="U674" s="66" t="str">
        <f>IF($A674="","",COUNTIF(Candidates!$A$2:$A$2000,$A674))</f>
        <v/>
      </c>
      <c r="V674" s="64" t="str">
        <f>IFERROR(__xludf.DUMMYFUNCTION("IF($A674="""","""",IFERROR(INDEX(FILTER(Candidates!$S$2:$S$2000,Candidates!$A$2:$A$2000=$A674),COUNTIF(Candidates!$A$2:$A$2000,$A674)),""""))"),"")</f>
        <v/>
      </c>
      <c r="W674" s="64" t="str">
        <f>IFERROR(__xludf.DUMMYFUNCTION("IF($A674="""","""",IFERROR(INDEX(FILTER(Candidates!$T$2:$T$2000,Candidates!$A$2:$A$2000=$A674),COUNTIF(Candidates!$A$2:$A$2000,$A674)),""""))"),"")</f>
        <v/>
      </c>
      <c r="X674" s="64"/>
      <c r="Y674" s="64"/>
      <c r="Z674" s="65"/>
      <c r="AA674" s="65"/>
      <c r="AB674" s="65"/>
      <c r="AC674" s="65"/>
    </row>
    <row r="675">
      <c r="A675" s="64"/>
      <c r="B675" s="64"/>
      <c r="C675" s="64"/>
      <c r="D675" s="64"/>
      <c r="E675" s="64"/>
      <c r="F675" s="64"/>
      <c r="G675" s="64"/>
      <c r="H675" s="63"/>
      <c r="I675" s="64"/>
      <c r="J675" s="64"/>
      <c r="K675" s="64"/>
      <c r="L675" s="64"/>
      <c r="M675" s="64"/>
      <c r="N675" s="64"/>
      <c r="O675" s="64"/>
      <c r="P675" s="64"/>
      <c r="Q675" s="64"/>
      <c r="R675" s="65" t="str">
        <f>IF($A675="","",IFERROR(MINIFS(Candidates!$K$2:$K$2000,Candidates!$A$2:$A$2000,$A675),""))</f>
        <v/>
      </c>
      <c r="S675" s="65" t="str">
        <f>IF($A675="","",IFERROR(MAXIFS(Candidates!$AA$2:$AA$2000,Candidates!$A$2:$A$2000,$A675),""))</f>
        <v/>
      </c>
      <c r="T675" s="64" t="str">
        <f>IFERROR(__xludf.DUMMYFUNCTION("IF($A675="""","""",IFERROR(TEXTJOIN("", "",TRUE,UNIQUE(FILTER(Candidates!$B$2:$B$2000,Candidates!$A$2:$A$2000=$A675))),""""))"),"")</f>
        <v/>
      </c>
      <c r="U675" s="66" t="str">
        <f>IF($A675="","",COUNTIF(Candidates!$A$2:$A$2000,$A675))</f>
        <v/>
      </c>
      <c r="V675" s="64" t="str">
        <f>IFERROR(__xludf.DUMMYFUNCTION("IF($A675="""","""",IFERROR(INDEX(FILTER(Candidates!$S$2:$S$2000,Candidates!$A$2:$A$2000=$A675),COUNTIF(Candidates!$A$2:$A$2000,$A675)),""""))"),"")</f>
        <v/>
      </c>
      <c r="W675" s="64" t="str">
        <f>IFERROR(__xludf.DUMMYFUNCTION("IF($A675="""","""",IFERROR(INDEX(FILTER(Candidates!$T$2:$T$2000,Candidates!$A$2:$A$2000=$A675),COUNTIF(Candidates!$A$2:$A$2000,$A675)),""""))"),"")</f>
        <v/>
      </c>
      <c r="X675" s="64"/>
      <c r="Y675" s="64"/>
      <c r="Z675" s="65"/>
      <c r="AA675" s="65"/>
      <c r="AB675" s="65"/>
      <c r="AC675" s="65"/>
    </row>
    <row r="676">
      <c r="A676" s="64"/>
      <c r="B676" s="64"/>
      <c r="C676" s="64"/>
      <c r="D676" s="64"/>
      <c r="E676" s="64"/>
      <c r="F676" s="64"/>
      <c r="G676" s="64"/>
      <c r="H676" s="63"/>
      <c r="I676" s="64"/>
      <c r="J676" s="64"/>
      <c r="K676" s="64"/>
      <c r="L676" s="64"/>
      <c r="M676" s="64"/>
      <c r="N676" s="64"/>
      <c r="O676" s="64"/>
      <c r="P676" s="64"/>
      <c r="Q676" s="64"/>
      <c r="R676" s="65" t="str">
        <f>IF($A676="","",IFERROR(MINIFS(Candidates!$K$2:$K$2000,Candidates!$A$2:$A$2000,$A676),""))</f>
        <v/>
      </c>
      <c r="S676" s="65" t="str">
        <f>IF($A676="","",IFERROR(MAXIFS(Candidates!$AA$2:$AA$2000,Candidates!$A$2:$A$2000,$A676),""))</f>
        <v/>
      </c>
      <c r="T676" s="64" t="str">
        <f>IFERROR(__xludf.DUMMYFUNCTION("IF($A676="""","""",IFERROR(TEXTJOIN("", "",TRUE,UNIQUE(FILTER(Candidates!$B$2:$B$2000,Candidates!$A$2:$A$2000=$A676))),""""))"),"")</f>
        <v/>
      </c>
      <c r="U676" s="66" t="str">
        <f>IF($A676="","",COUNTIF(Candidates!$A$2:$A$2000,$A676))</f>
        <v/>
      </c>
      <c r="V676" s="64" t="str">
        <f>IFERROR(__xludf.DUMMYFUNCTION("IF($A676="""","""",IFERROR(INDEX(FILTER(Candidates!$S$2:$S$2000,Candidates!$A$2:$A$2000=$A676),COUNTIF(Candidates!$A$2:$A$2000,$A676)),""""))"),"")</f>
        <v/>
      </c>
      <c r="W676" s="64" t="str">
        <f>IFERROR(__xludf.DUMMYFUNCTION("IF($A676="""","""",IFERROR(INDEX(FILTER(Candidates!$T$2:$T$2000,Candidates!$A$2:$A$2000=$A676),COUNTIF(Candidates!$A$2:$A$2000,$A676)),""""))"),"")</f>
        <v/>
      </c>
      <c r="X676" s="64"/>
      <c r="Y676" s="64"/>
      <c r="Z676" s="65"/>
      <c r="AA676" s="65"/>
      <c r="AB676" s="65"/>
      <c r="AC676" s="65"/>
    </row>
    <row r="677">
      <c r="A677" s="64"/>
      <c r="B677" s="64"/>
      <c r="C677" s="64"/>
      <c r="D677" s="64"/>
      <c r="E677" s="64"/>
      <c r="F677" s="64"/>
      <c r="G677" s="64"/>
      <c r="H677" s="63"/>
      <c r="I677" s="64"/>
      <c r="J677" s="64"/>
      <c r="K677" s="64"/>
      <c r="L677" s="64"/>
      <c r="M677" s="64"/>
      <c r="N677" s="64"/>
      <c r="O677" s="64"/>
      <c r="P677" s="64"/>
      <c r="Q677" s="64"/>
      <c r="R677" s="65" t="str">
        <f>IF($A677="","",IFERROR(MINIFS(Candidates!$K$2:$K$2000,Candidates!$A$2:$A$2000,$A677),""))</f>
        <v/>
      </c>
      <c r="S677" s="65" t="str">
        <f>IF($A677="","",IFERROR(MAXIFS(Candidates!$AA$2:$AA$2000,Candidates!$A$2:$A$2000,$A677),""))</f>
        <v/>
      </c>
      <c r="T677" s="64" t="str">
        <f>IFERROR(__xludf.DUMMYFUNCTION("IF($A677="""","""",IFERROR(TEXTJOIN("", "",TRUE,UNIQUE(FILTER(Candidates!$B$2:$B$2000,Candidates!$A$2:$A$2000=$A677))),""""))"),"")</f>
        <v/>
      </c>
      <c r="U677" s="66" t="str">
        <f>IF($A677="","",COUNTIF(Candidates!$A$2:$A$2000,$A677))</f>
        <v/>
      </c>
      <c r="V677" s="64" t="str">
        <f>IFERROR(__xludf.DUMMYFUNCTION("IF($A677="""","""",IFERROR(INDEX(FILTER(Candidates!$S$2:$S$2000,Candidates!$A$2:$A$2000=$A677),COUNTIF(Candidates!$A$2:$A$2000,$A677)),""""))"),"")</f>
        <v/>
      </c>
      <c r="W677" s="64" t="str">
        <f>IFERROR(__xludf.DUMMYFUNCTION("IF($A677="""","""",IFERROR(INDEX(FILTER(Candidates!$T$2:$T$2000,Candidates!$A$2:$A$2000=$A677),COUNTIF(Candidates!$A$2:$A$2000,$A677)),""""))"),"")</f>
        <v/>
      </c>
      <c r="X677" s="64"/>
      <c r="Y677" s="64"/>
      <c r="Z677" s="65"/>
      <c r="AA677" s="65"/>
      <c r="AB677" s="65"/>
      <c r="AC677" s="65"/>
    </row>
    <row r="678">
      <c r="A678" s="64"/>
      <c r="B678" s="64"/>
      <c r="C678" s="64"/>
      <c r="D678" s="64"/>
      <c r="E678" s="64"/>
      <c r="F678" s="64"/>
      <c r="G678" s="64"/>
      <c r="H678" s="63"/>
      <c r="I678" s="64"/>
      <c r="J678" s="64"/>
      <c r="K678" s="64"/>
      <c r="L678" s="64"/>
      <c r="M678" s="64"/>
      <c r="N678" s="64"/>
      <c r="O678" s="64"/>
      <c r="P678" s="64"/>
      <c r="Q678" s="64"/>
      <c r="R678" s="65" t="str">
        <f>IF($A678="","",IFERROR(MINIFS(Candidates!$K$2:$K$2000,Candidates!$A$2:$A$2000,$A678),""))</f>
        <v/>
      </c>
      <c r="S678" s="65" t="str">
        <f>IF($A678="","",IFERROR(MAXIFS(Candidates!$AA$2:$AA$2000,Candidates!$A$2:$A$2000,$A678),""))</f>
        <v/>
      </c>
      <c r="T678" s="64" t="str">
        <f>IFERROR(__xludf.DUMMYFUNCTION("IF($A678="""","""",IFERROR(TEXTJOIN("", "",TRUE,UNIQUE(FILTER(Candidates!$B$2:$B$2000,Candidates!$A$2:$A$2000=$A678))),""""))"),"")</f>
        <v/>
      </c>
      <c r="U678" s="66" t="str">
        <f>IF($A678="","",COUNTIF(Candidates!$A$2:$A$2000,$A678))</f>
        <v/>
      </c>
      <c r="V678" s="64" t="str">
        <f>IFERROR(__xludf.DUMMYFUNCTION("IF($A678="""","""",IFERROR(INDEX(FILTER(Candidates!$S$2:$S$2000,Candidates!$A$2:$A$2000=$A678),COUNTIF(Candidates!$A$2:$A$2000,$A678)),""""))"),"")</f>
        <v/>
      </c>
      <c r="W678" s="64" t="str">
        <f>IFERROR(__xludf.DUMMYFUNCTION("IF($A678="""","""",IFERROR(INDEX(FILTER(Candidates!$T$2:$T$2000,Candidates!$A$2:$A$2000=$A678),COUNTIF(Candidates!$A$2:$A$2000,$A678)),""""))"),"")</f>
        <v/>
      </c>
      <c r="X678" s="64"/>
      <c r="Y678" s="64"/>
      <c r="Z678" s="65"/>
      <c r="AA678" s="65"/>
      <c r="AB678" s="65"/>
      <c r="AC678" s="65"/>
    </row>
    <row r="679">
      <c r="A679" s="64"/>
      <c r="B679" s="64"/>
      <c r="C679" s="64"/>
      <c r="D679" s="64"/>
      <c r="E679" s="64"/>
      <c r="F679" s="64"/>
      <c r="G679" s="64"/>
      <c r="H679" s="63"/>
      <c r="I679" s="64"/>
      <c r="J679" s="64"/>
      <c r="K679" s="64"/>
      <c r="L679" s="64"/>
      <c r="M679" s="64"/>
      <c r="N679" s="64"/>
      <c r="O679" s="64"/>
      <c r="P679" s="64"/>
      <c r="Q679" s="64"/>
      <c r="R679" s="65" t="str">
        <f>IF($A679="","",IFERROR(MINIFS(Candidates!$K$2:$K$2000,Candidates!$A$2:$A$2000,$A679),""))</f>
        <v/>
      </c>
      <c r="S679" s="65" t="str">
        <f>IF($A679="","",IFERROR(MAXIFS(Candidates!$AA$2:$AA$2000,Candidates!$A$2:$A$2000,$A679),""))</f>
        <v/>
      </c>
      <c r="T679" s="64" t="str">
        <f>IFERROR(__xludf.DUMMYFUNCTION("IF($A679="""","""",IFERROR(TEXTJOIN("", "",TRUE,UNIQUE(FILTER(Candidates!$B$2:$B$2000,Candidates!$A$2:$A$2000=$A679))),""""))"),"")</f>
        <v/>
      </c>
      <c r="U679" s="66" t="str">
        <f>IF($A679="","",COUNTIF(Candidates!$A$2:$A$2000,$A679))</f>
        <v/>
      </c>
      <c r="V679" s="64" t="str">
        <f>IFERROR(__xludf.DUMMYFUNCTION("IF($A679="""","""",IFERROR(INDEX(FILTER(Candidates!$S$2:$S$2000,Candidates!$A$2:$A$2000=$A679),COUNTIF(Candidates!$A$2:$A$2000,$A679)),""""))"),"")</f>
        <v/>
      </c>
      <c r="W679" s="64" t="str">
        <f>IFERROR(__xludf.DUMMYFUNCTION("IF($A679="""","""",IFERROR(INDEX(FILTER(Candidates!$T$2:$T$2000,Candidates!$A$2:$A$2000=$A679),COUNTIF(Candidates!$A$2:$A$2000,$A679)),""""))"),"")</f>
        <v/>
      </c>
      <c r="X679" s="64"/>
      <c r="Y679" s="64"/>
      <c r="Z679" s="65"/>
      <c r="AA679" s="65"/>
      <c r="AB679" s="65"/>
      <c r="AC679" s="65"/>
    </row>
    <row r="680">
      <c r="A680" s="64"/>
      <c r="B680" s="64"/>
      <c r="C680" s="64"/>
      <c r="D680" s="64"/>
      <c r="E680" s="64"/>
      <c r="F680" s="64"/>
      <c r="G680" s="64"/>
      <c r="H680" s="63"/>
      <c r="I680" s="64"/>
      <c r="J680" s="64"/>
      <c r="K680" s="64"/>
      <c r="L680" s="64"/>
      <c r="M680" s="64"/>
      <c r="N680" s="64"/>
      <c r="O680" s="64"/>
      <c r="P680" s="64"/>
      <c r="Q680" s="64"/>
      <c r="R680" s="65" t="str">
        <f>IF($A680="","",IFERROR(MINIFS(Candidates!$K$2:$K$2000,Candidates!$A$2:$A$2000,$A680),""))</f>
        <v/>
      </c>
      <c r="S680" s="65" t="str">
        <f>IF($A680="","",IFERROR(MAXIFS(Candidates!$AA$2:$AA$2000,Candidates!$A$2:$A$2000,$A680),""))</f>
        <v/>
      </c>
      <c r="T680" s="64" t="str">
        <f>IFERROR(__xludf.DUMMYFUNCTION("IF($A680="""","""",IFERROR(TEXTJOIN("", "",TRUE,UNIQUE(FILTER(Candidates!$B$2:$B$2000,Candidates!$A$2:$A$2000=$A680))),""""))"),"")</f>
        <v/>
      </c>
      <c r="U680" s="66" t="str">
        <f>IF($A680="","",COUNTIF(Candidates!$A$2:$A$2000,$A680))</f>
        <v/>
      </c>
      <c r="V680" s="64" t="str">
        <f>IFERROR(__xludf.DUMMYFUNCTION("IF($A680="""","""",IFERROR(INDEX(FILTER(Candidates!$S$2:$S$2000,Candidates!$A$2:$A$2000=$A680),COUNTIF(Candidates!$A$2:$A$2000,$A680)),""""))"),"")</f>
        <v/>
      </c>
      <c r="W680" s="64" t="str">
        <f>IFERROR(__xludf.DUMMYFUNCTION("IF($A680="""","""",IFERROR(INDEX(FILTER(Candidates!$T$2:$T$2000,Candidates!$A$2:$A$2000=$A680),COUNTIF(Candidates!$A$2:$A$2000,$A680)),""""))"),"")</f>
        <v/>
      </c>
      <c r="X680" s="64"/>
      <c r="Y680" s="64"/>
      <c r="Z680" s="65"/>
      <c r="AA680" s="65"/>
      <c r="AB680" s="65"/>
      <c r="AC680" s="65"/>
    </row>
    <row r="681">
      <c r="A681" s="64"/>
      <c r="B681" s="64"/>
      <c r="C681" s="64"/>
      <c r="D681" s="64"/>
      <c r="E681" s="64"/>
      <c r="F681" s="64"/>
      <c r="G681" s="64"/>
      <c r="H681" s="63"/>
      <c r="I681" s="64"/>
      <c r="J681" s="64"/>
      <c r="K681" s="64"/>
      <c r="L681" s="64"/>
      <c r="M681" s="64"/>
      <c r="N681" s="64"/>
      <c r="O681" s="64"/>
      <c r="P681" s="64"/>
      <c r="Q681" s="64"/>
      <c r="R681" s="65" t="str">
        <f>IF($A681="","",IFERROR(MINIFS(Candidates!$K$2:$K$2000,Candidates!$A$2:$A$2000,$A681),""))</f>
        <v/>
      </c>
      <c r="S681" s="65" t="str">
        <f>IF($A681="","",IFERROR(MAXIFS(Candidates!$AA$2:$AA$2000,Candidates!$A$2:$A$2000,$A681),""))</f>
        <v/>
      </c>
      <c r="T681" s="64" t="str">
        <f>IFERROR(__xludf.DUMMYFUNCTION("IF($A681="""","""",IFERROR(TEXTJOIN("", "",TRUE,UNIQUE(FILTER(Candidates!$B$2:$B$2000,Candidates!$A$2:$A$2000=$A681))),""""))"),"")</f>
        <v/>
      </c>
      <c r="U681" s="66" t="str">
        <f>IF($A681="","",COUNTIF(Candidates!$A$2:$A$2000,$A681))</f>
        <v/>
      </c>
      <c r="V681" s="64" t="str">
        <f>IFERROR(__xludf.DUMMYFUNCTION("IF($A681="""","""",IFERROR(INDEX(FILTER(Candidates!$S$2:$S$2000,Candidates!$A$2:$A$2000=$A681),COUNTIF(Candidates!$A$2:$A$2000,$A681)),""""))"),"")</f>
        <v/>
      </c>
      <c r="W681" s="64" t="str">
        <f>IFERROR(__xludf.DUMMYFUNCTION("IF($A681="""","""",IFERROR(INDEX(FILTER(Candidates!$T$2:$T$2000,Candidates!$A$2:$A$2000=$A681),COUNTIF(Candidates!$A$2:$A$2000,$A681)),""""))"),"")</f>
        <v/>
      </c>
      <c r="X681" s="64"/>
      <c r="Y681" s="64"/>
      <c r="Z681" s="65"/>
      <c r="AA681" s="65"/>
      <c r="AB681" s="65"/>
      <c r="AC681" s="65"/>
    </row>
    <row r="682">
      <c r="A682" s="64"/>
      <c r="B682" s="64"/>
      <c r="C682" s="64"/>
      <c r="D682" s="64"/>
      <c r="E682" s="64"/>
      <c r="F682" s="64"/>
      <c r="G682" s="64"/>
      <c r="H682" s="63"/>
      <c r="I682" s="64"/>
      <c r="J682" s="64"/>
      <c r="K682" s="64"/>
      <c r="L682" s="64"/>
      <c r="M682" s="64"/>
      <c r="N682" s="64"/>
      <c r="O682" s="64"/>
      <c r="P682" s="64"/>
      <c r="Q682" s="64"/>
      <c r="R682" s="65" t="str">
        <f>IF($A682="","",IFERROR(MINIFS(Candidates!$K$2:$K$2000,Candidates!$A$2:$A$2000,$A682),""))</f>
        <v/>
      </c>
      <c r="S682" s="65" t="str">
        <f>IF($A682="","",IFERROR(MAXIFS(Candidates!$AA$2:$AA$2000,Candidates!$A$2:$A$2000,$A682),""))</f>
        <v/>
      </c>
      <c r="T682" s="64" t="str">
        <f>IFERROR(__xludf.DUMMYFUNCTION("IF($A682="""","""",IFERROR(TEXTJOIN("", "",TRUE,UNIQUE(FILTER(Candidates!$B$2:$B$2000,Candidates!$A$2:$A$2000=$A682))),""""))"),"")</f>
        <v/>
      </c>
      <c r="U682" s="66" t="str">
        <f>IF($A682="","",COUNTIF(Candidates!$A$2:$A$2000,$A682))</f>
        <v/>
      </c>
      <c r="V682" s="64" t="str">
        <f>IFERROR(__xludf.DUMMYFUNCTION("IF($A682="""","""",IFERROR(INDEX(FILTER(Candidates!$S$2:$S$2000,Candidates!$A$2:$A$2000=$A682),COUNTIF(Candidates!$A$2:$A$2000,$A682)),""""))"),"")</f>
        <v/>
      </c>
      <c r="W682" s="64" t="str">
        <f>IFERROR(__xludf.DUMMYFUNCTION("IF($A682="""","""",IFERROR(INDEX(FILTER(Candidates!$T$2:$T$2000,Candidates!$A$2:$A$2000=$A682),COUNTIF(Candidates!$A$2:$A$2000,$A682)),""""))"),"")</f>
        <v/>
      </c>
      <c r="X682" s="64"/>
      <c r="Y682" s="64"/>
      <c r="Z682" s="65"/>
      <c r="AA682" s="65"/>
      <c r="AB682" s="65"/>
      <c r="AC682" s="65"/>
    </row>
    <row r="683">
      <c r="A683" s="64"/>
      <c r="B683" s="64"/>
      <c r="C683" s="64"/>
      <c r="D683" s="64"/>
      <c r="E683" s="64"/>
      <c r="F683" s="64"/>
      <c r="G683" s="64"/>
      <c r="H683" s="63"/>
      <c r="I683" s="64"/>
      <c r="J683" s="64"/>
      <c r="K683" s="64"/>
      <c r="L683" s="64"/>
      <c r="M683" s="64"/>
      <c r="N683" s="64"/>
      <c r="O683" s="64"/>
      <c r="P683" s="64"/>
      <c r="Q683" s="64"/>
      <c r="R683" s="65" t="str">
        <f>IF($A683="","",IFERROR(MINIFS(Candidates!$K$2:$K$2000,Candidates!$A$2:$A$2000,$A683),""))</f>
        <v/>
      </c>
      <c r="S683" s="65" t="str">
        <f>IF($A683="","",IFERROR(MAXIFS(Candidates!$AA$2:$AA$2000,Candidates!$A$2:$A$2000,$A683),""))</f>
        <v/>
      </c>
      <c r="T683" s="64" t="str">
        <f>IFERROR(__xludf.DUMMYFUNCTION("IF($A683="""","""",IFERROR(TEXTJOIN("", "",TRUE,UNIQUE(FILTER(Candidates!$B$2:$B$2000,Candidates!$A$2:$A$2000=$A683))),""""))"),"")</f>
        <v/>
      </c>
      <c r="U683" s="66" t="str">
        <f>IF($A683="","",COUNTIF(Candidates!$A$2:$A$2000,$A683))</f>
        <v/>
      </c>
      <c r="V683" s="64" t="str">
        <f>IFERROR(__xludf.DUMMYFUNCTION("IF($A683="""","""",IFERROR(INDEX(FILTER(Candidates!$S$2:$S$2000,Candidates!$A$2:$A$2000=$A683),COUNTIF(Candidates!$A$2:$A$2000,$A683)),""""))"),"")</f>
        <v/>
      </c>
      <c r="W683" s="64" t="str">
        <f>IFERROR(__xludf.DUMMYFUNCTION("IF($A683="""","""",IFERROR(INDEX(FILTER(Candidates!$T$2:$T$2000,Candidates!$A$2:$A$2000=$A683),COUNTIF(Candidates!$A$2:$A$2000,$A683)),""""))"),"")</f>
        <v/>
      </c>
      <c r="X683" s="64"/>
      <c r="Y683" s="64"/>
      <c r="Z683" s="65"/>
      <c r="AA683" s="65"/>
      <c r="AB683" s="65"/>
      <c r="AC683" s="65"/>
    </row>
    <row r="684">
      <c r="A684" s="64"/>
      <c r="B684" s="64"/>
      <c r="C684" s="64"/>
      <c r="D684" s="64"/>
      <c r="E684" s="64"/>
      <c r="F684" s="64"/>
      <c r="G684" s="64"/>
      <c r="H684" s="63"/>
      <c r="I684" s="64"/>
      <c r="J684" s="64"/>
      <c r="K684" s="64"/>
      <c r="L684" s="64"/>
      <c r="M684" s="64"/>
      <c r="N684" s="64"/>
      <c r="O684" s="64"/>
      <c r="P684" s="64"/>
      <c r="Q684" s="64"/>
      <c r="R684" s="65" t="str">
        <f>IF($A684="","",IFERROR(MINIFS(Candidates!$K$2:$K$2000,Candidates!$A$2:$A$2000,$A684),""))</f>
        <v/>
      </c>
      <c r="S684" s="65" t="str">
        <f>IF($A684="","",IFERROR(MAXIFS(Candidates!$AA$2:$AA$2000,Candidates!$A$2:$A$2000,$A684),""))</f>
        <v/>
      </c>
      <c r="T684" s="64" t="str">
        <f>IFERROR(__xludf.DUMMYFUNCTION("IF($A684="""","""",IFERROR(TEXTJOIN("", "",TRUE,UNIQUE(FILTER(Candidates!$B$2:$B$2000,Candidates!$A$2:$A$2000=$A684))),""""))"),"")</f>
        <v/>
      </c>
      <c r="U684" s="66" t="str">
        <f>IF($A684="","",COUNTIF(Candidates!$A$2:$A$2000,$A684))</f>
        <v/>
      </c>
      <c r="V684" s="64" t="str">
        <f>IFERROR(__xludf.DUMMYFUNCTION("IF($A684="""","""",IFERROR(INDEX(FILTER(Candidates!$S$2:$S$2000,Candidates!$A$2:$A$2000=$A684),COUNTIF(Candidates!$A$2:$A$2000,$A684)),""""))"),"")</f>
        <v/>
      </c>
      <c r="W684" s="64" t="str">
        <f>IFERROR(__xludf.DUMMYFUNCTION("IF($A684="""","""",IFERROR(INDEX(FILTER(Candidates!$T$2:$T$2000,Candidates!$A$2:$A$2000=$A684),COUNTIF(Candidates!$A$2:$A$2000,$A684)),""""))"),"")</f>
        <v/>
      </c>
      <c r="X684" s="64"/>
      <c r="Y684" s="64"/>
      <c r="Z684" s="65"/>
      <c r="AA684" s="65"/>
      <c r="AB684" s="65"/>
      <c r="AC684" s="65"/>
    </row>
    <row r="685">
      <c r="A685" s="64"/>
      <c r="B685" s="64"/>
      <c r="C685" s="64"/>
      <c r="D685" s="64"/>
      <c r="E685" s="64"/>
      <c r="F685" s="64"/>
      <c r="G685" s="64"/>
      <c r="H685" s="63"/>
      <c r="I685" s="64"/>
      <c r="J685" s="64"/>
      <c r="K685" s="64"/>
      <c r="L685" s="64"/>
      <c r="M685" s="64"/>
      <c r="N685" s="64"/>
      <c r="O685" s="64"/>
      <c r="P685" s="64"/>
      <c r="Q685" s="64"/>
      <c r="R685" s="65" t="str">
        <f>IF($A685="","",IFERROR(MINIFS(Candidates!$K$2:$K$2000,Candidates!$A$2:$A$2000,$A685),""))</f>
        <v/>
      </c>
      <c r="S685" s="65" t="str">
        <f>IF($A685="","",IFERROR(MAXIFS(Candidates!$AA$2:$AA$2000,Candidates!$A$2:$A$2000,$A685),""))</f>
        <v/>
      </c>
      <c r="T685" s="64" t="str">
        <f>IFERROR(__xludf.DUMMYFUNCTION("IF($A685="""","""",IFERROR(TEXTJOIN("", "",TRUE,UNIQUE(FILTER(Candidates!$B$2:$B$2000,Candidates!$A$2:$A$2000=$A685))),""""))"),"")</f>
        <v/>
      </c>
      <c r="U685" s="66" t="str">
        <f>IF($A685="","",COUNTIF(Candidates!$A$2:$A$2000,$A685))</f>
        <v/>
      </c>
      <c r="V685" s="64" t="str">
        <f>IFERROR(__xludf.DUMMYFUNCTION("IF($A685="""","""",IFERROR(INDEX(FILTER(Candidates!$S$2:$S$2000,Candidates!$A$2:$A$2000=$A685),COUNTIF(Candidates!$A$2:$A$2000,$A685)),""""))"),"")</f>
        <v/>
      </c>
      <c r="W685" s="64" t="str">
        <f>IFERROR(__xludf.DUMMYFUNCTION("IF($A685="""","""",IFERROR(INDEX(FILTER(Candidates!$T$2:$T$2000,Candidates!$A$2:$A$2000=$A685),COUNTIF(Candidates!$A$2:$A$2000,$A685)),""""))"),"")</f>
        <v/>
      </c>
      <c r="X685" s="64"/>
      <c r="Y685" s="64"/>
      <c r="Z685" s="65"/>
      <c r="AA685" s="65"/>
      <c r="AB685" s="65"/>
      <c r="AC685" s="65"/>
    </row>
    <row r="686">
      <c r="A686" s="64"/>
      <c r="B686" s="64"/>
      <c r="C686" s="64"/>
      <c r="D686" s="64"/>
      <c r="E686" s="64"/>
      <c r="F686" s="64"/>
      <c r="G686" s="64"/>
      <c r="H686" s="63"/>
      <c r="I686" s="64"/>
      <c r="J686" s="64"/>
      <c r="K686" s="64"/>
      <c r="L686" s="64"/>
      <c r="M686" s="64"/>
      <c r="N686" s="64"/>
      <c r="O686" s="64"/>
      <c r="P686" s="64"/>
      <c r="Q686" s="64"/>
      <c r="R686" s="65" t="str">
        <f>IF($A686="","",IFERROR(MINIFS(Candidates!$K$2:$K$2000,Candidates!$A$2:$A$2000,$A686),""))</f>
        <v/>
      </c>
      <c r="S686" s="65" t="str">
        <f>IF($A686="","",IFERROR(MAXIFS(Candidates!$AA$2:$AA$2000,Candidates!$A$2:$A$2000,$A686),""))</f>
        <v/>
      </c>
      <c r="T686" s="64" t="str">
        <f>IFERROR(__xludf.DUMMYFUNCTION("IF($A686="""","""",IFERROR(TEXTJOIN("", "",TRUE,UNIQUE(FILTER(Candidates!$B$2:$B$2000,Candidates!$A$2:$A$2000=$A686))),""""))"),"")</f>
        <v/>
      </c>
      <c r="U686" s="66" t="str">
        <f>IF($A686="","",COUNTIF(Candidates!$A$2:$A$2000,$A686))</f>
        <v/>
      </c>
      <c r="V686" s="64" t="str">
        <f>IFERROR(__xludf.DUMMYFUNCTION("IF($A686="""","""",IFERROR(INDEX(FILTER(Candidates!$S$2:$S$2000,Candidates!$A$2:$A$2000=$A686),COUNTIF(Candidates!$A$2:$A$2000,$A686)),""""))"),"")</f>
        <v/>
      </c>
      <c r="W686" s="64" t="str">
        <f>IFERROR(__xludf.DUMMYFUNCTION("IF($A686="""","""",IFERROR(INDEX(FILTER(Candidates!$T$2:$T$2000,Candidates!$A$2:$A$2000=$A686),COUNTIF(Candidates!$A$2:$A$2000,$A686)),""""))"),"")</f>
        <v/>
      </c>
      <c r="X686" s="64"/>
      <c r="Y686" s="64"/>
      <c r="Z686" s="65"/>
      <c r="AA686" s="65"/>
      <c r="AB686" s="65"/>
      <c r="AC686" s="65"/>
    </row>
    <row r="687">
      <c r="A687" s="64"/>
      <c r="B687" s="64"/>
      <c r="C687" s="64"/>
      <c r="D687" s="64"/>
      <c r="E687" s="64"/>
      <c r="F687" s="64"/>
      <c r="G687" s="64"/>
      <c r="H687" s="63"/>
      <c r="I687" s="64"/>
      <c r="J687" s="64"/>
      <c r="K687" s="64"/>
      <c r="L687" s="64"/>
      <c r="M687" s="64"/>
      <c r="N687" s="64"/>
      <c r="O687" s="64"/>
      <c r="P687" s="64"/>
      <c r="Q687" s="64"/>
      <c r="R687" s="65" t="str">
        <f>IF($A687="","",IFERROR(MINIFS(Candidates!$K$2:$K$2000,Candidates!$A$2:$A$2000,$A687),""))</f>
        <v/>
      </c>
      <c r="S687" s="65" t="str">
        <f>IF($A687="","",IFERROR(MAXIFS(Candidates!$AA$2:$AA$2000,Candidates!$A$2:$A$2000,$A687),""))</f>
        <v/>
      </c>
      <c r="T687" s="64" t="str">
        <f>IFERROR(__xludf.DUMMYFUNCTION("IF($A687="""","""",IFERROR(TEXTJOIN("", "",TRUE,UNIQUE(FILTER(Candidates!$B$2:$B$2000,Candidates!$A$2:$A$2000=$A687))),""""))"),"")</f>
        <v/>
      </c>
      <c r="U687" s="66" t="str">
        <f>IF($A687="","",COUNTIF(Candidates!$A$2:$A$2000,$A687))</f>
        <v/>
      </c>
      <c r="V687" s="64" t="str">
        <f>IFERROR(__xludf.DUMMYFUNCTION("IF($A687="""","""",IFERROR(INDEX(FILTER(Candidates!$S$2:$S$2000,Candidates!$A$2:$A$2000=$A687),COUNTIF(Candidates!$A$2:$A$2000,$A687)),""""))"),"")</f>
        <v/>
      </c>
      <c r="W687" s="64" t="str">
        <f>IFERROR(__xludf.DUMMYFUNCTION("IF($A687="""","""",IFERROR(INDEX(FILTER(Candidates!$T$2:$T$2000,Candidates!$A$2:$A$2000=$A687),COUNTIF(Candidates!$A$2:$A$2000,$A687)),""""))"),"")</f>
        <v/>
      </c>
      <c r="X687" s="64"/>
      <c r="Y687" s="64"/>
      <c r="Z687" s="65"/>
      <c r="AA687" s="65"/>
      <c r="AB687" s="65"/>
      <c r="AC687" s="65"/>
    </row>
    <row r="688">
      <c r="A688" s="64"/>
      <c r="B688" s="64"/>
      <c r="C688" s="64"/>
      <c r="D688" s="64"/>
      <c r="E688" s="64"/>
      <c r="F688" s="64"/>
      <c r="G688" s="64"/>
      <c r="H688" s="63"/>
      <c r="I688" s="64"/>
      <c r="J688" s="64"/>
      <c r="K688" s="64"/>
      <c r="L688" s="64"/>
      <c r="M688" s="64"/>
      <c r="N688" s="64"/>
      <c r="O688" s="64"/>
      <c r="P688" s="64"/>
      <c r="Q688" s="64"/>
      <c r="R688" s="65" t="str">
        <f>IF($A688="","",IFERROR(MINIFS(Candidates!$K$2:$K$2000,Candidates!$A$2:$A$2000,$A688),""))</f>
        <v/>
      </c>
      <c r="S688" s="65" t="str">
        <f>IF($A688="","",IFERROR(MAXIFS(Candidates!$AA$2:$AA$2000,Candidates!$A$2:$A$2000,$A688),""))</f>
        <v/>
      </c>
      <c r="T688" s="64" t="str">
        <f>IFERROR(__xludf.DUMMYFUNCTION("IF($A688="""","""",IFERROR(TEXTJOIN("", "",TRUE,UNIQUE(FILTER(Candidates!$B$2:$B$2000,Candidates!$A$2:$A$2000=$A688))),""""))"),"")</f>
        <v/>
      </c>
      <c r="U688" s="66" t="str">
        <f>IF($A688="","",COUNTIF(Candidates!$A$2:$A$2000,$A688))</f>
        <v/>
      </c>
      <c r="V688" s="64" t="str">
        <f>IFERROR(__xludf.DUMMYFUNCTION("IF($A688="""","""",IFERROR(INDEX(FILTER(Candidates!$S$2:$S$2000,Candidates!$A$2:$A$2000=$A688),COUNTIF(Candidates!$A$2:$A$2000,$A688)),""""))"),"")</f>
        <v/>
      </c>
      <c r="W688" s="64" t="str">
        <f>IFERROR(__xludf.DUMMYFUNCTION("IF($A688="""","""",IFERROR(INDEX(FILTER(Candidates!$T$2:$T$2000,Candidates!$A$2:$A$2000=$A688),COUNTIF(Candidates!$A$2:$A$2000,$A688)),""""))"),"")</f>
        <v/>
      </c>
      <c r="X688" s="64"/>
      <c r="Y688" s="64"/>
      <c r="Z688" s="65"/>
      <c r="AA688" s="65"/>
      <c r="AB688" s="65"/>
      <c r="AC688" s="65"/>
    </row>
    <row r="689">
      <c r="A689" s="64"/>
      <c r="B689" s="64"/>
      <c r="C689" s="64"/>
      <c r="D689" s="64"/>
      <c r="E689" s="64"/>
      <c r="F689" s="64"/>
      <c r="G689" s="64"/>
      <c r="H689" s="63"/>
      <c r="I689" s="64"/>
      <c r="J689" s="64"/>
      <c r="K689" s="64"/>
      <c r="L689" s="64"/>
      <c r="M689" s="64"/>
      <c r="N689" s="64"/>
      <c r="O689" s="64"/>
      <c r="P689" s="64"/>
      <c r="Q689" s="64"/>
      <c r="R689" s="65" t="str">
        <f>IF($A689="","",IFERROR(MINIFS(Candidates!$K$2:$K$2000,Candidates!$A$2:$A$2000,$A689),""))</f>
        <v/>
      </c>
      <c r="S689" s="65" t="str">
        <f>IF($A689="","",IFERROR(MAXIFS(Candidates!$AA$2:$AA$2000,Candidates!$A$2:$A$2000,$A689),""))</f>
        <v/>
      </c>
      <c r="T689" s="64" t="str">
        <f>IFERROR(__xludf.DUMMYFUNCTION("IF($A689="""","""",IFERROR(TEXTJOIN("", "",TRUE,UNIQUE(FILTER(Candidates!$B$2:$B$2000,Candidates!$A$2:$A$2000=$A689))),""""))"),"")</f>
        <v/>
      </c>
      <c r="U689" s="66" t="str">
        <f>IF($A689="","",COUNTIF(Candidates!$A$2:$A$2000,$A689))</f>
        <v/>
      </c>
      <c r="V689" s="64" t="str">
        <f>IFERROR(__xludf.DUMMYFUNCTION("IF($A689="""","""",IFERROR(INDEX(FILTER(Candidates!$S$2:$S$2000,Candidates!$A$2:$A$2000=$A689),COUNTIF(Candidates!$A$2:$A$2000,$A689)),""""))"),"")</f>
        <v/>
      </c>
      <c r="W689" s="64" t="str">
        <f>IFERROR(__xludf.DUMMYFUNCTION("IF($A689="""","""",IFERROR(INDEX(FILTER(Candidates!$T$2:$T$2000,Candidates!$A$2:$A$2000=$A689),COUNTIF(Candidates!$A$2:$A$2000,$A689)),""""))"),"")</f>
        <v/>
      </c>
      <c r="X689" s="64"/>
      <c r="Y689" s="64"/>
      <c r="Z689" s="65"/>
      <c r="AA689" s="65"/>
      <c r="AB689" s="65"/>
      <c r="AC689" s="65"/>
    </row>
    <row r="690">
      <c r="A690" s="64"/>
      <c r="B690" s="64"/>
      <c r="C690" s="64"/>
      <c r="D690" s="64"/>
      <c r="E690" s="64"/>
      <c r="F690" s="64"/>
      <c r="G690" s="64"/>
      <c r="H690" s="63"/>
      <c r="I690" s="64"/>
      <c r="J690" s="64"/>
      <c r="K690" s="64"/>
      <c r="L690" s="64"/>
      <c r="M690" s="64"/>
      <c r="N690" s="64"/>
      <c r="O690" s="64"/>
      <c r="P690" s="64"/>
      <c r="Q690" s="64"/>
      <c r="R690" s="65" t="str">
        <f>IF($A690="","",IFERROR(MINIFS(Candidates!$K$2:$K$2000,Candidates!$A$2:$A$2000,$A690),""))</f>
        <v/>
      </c>
      <c r="S690" s="65" t="str">
        <f>IF($A690="","",IFERROR(MAXIFS(Candidates!$AA$2:$AA$2000,Candidates!$A$2:$A$2000,$A690),""))</f>
        <v/>
      </c>
      <c r="T690" s="64" t="str">
        <f>IFERROR(__xludf.DUMMYFUNCTION("IF($A690="""","""",IFERROR(TEXTJOIN("", "",TRUE,UNIQUE(FILTER(Candidates!$B$2:$B$2000,Candidates!$A$2:$A$2000=$A690))),""""))"),"")</f>
        <v/>
      </c>
      <c r="U690" s="66" t="str">
        <f>IF($A690="","",COUNTIF(Candidates!$A$2:$A$2000,$A690))</f>
        <v/>
      </c>
      <c r="V690" s="64" t="str">
        <f>IFERROR(__xludf.DUMMYFUNCTION("IF($A690="""","""",IFERROR(INDEX(FILTER(Candidates!$S$2:$S$2000,Candidates!$A$2:$A$2000=$A690),COUNTIF(Candidates!$A$2:$A$2000,$A690)),""""))"),"")</f>
        <v/>
      </c>
      <c r="W690" s="64" t="str">
        <f>IFERROR(__xludf.DUMMYFUNCTION("IF($A690="""","""",IFERROR(INDEX(FILTER(Candidates!$T$2:$T$2000,Candidates!$A$2:$A$2000=$A690),COUNTIF(Candidates!$A$2:$A$2000,$A690)),""""))"),"")</f>
        <v/>
      </c>
      <c r="X690" s="64"/>
      <c r="Y690" s="64"/>
      <c r="Z690" s="65"/>
      <c r="AA690" s="65"/>
      <c r="AB690" s="65"/>
      <c r="AC690" s="65"/>
    </row>
    <row r="691">
      <c r="A691" s="64"/>
      <c r="B691" s="64"/>
      <c r="C691" s="64"/>
      <c r="D691" s="64"/>
      <c r="E691" s="64"/>
      <c r="F691" s="64"/>
      <c r="G691" s="64"/>
      <c r="H691" s="63"/>
      <c r="I691" s="64"/>
      <c r="J691" s="64"/>
      <c r="K691" s="64"/>
      <c r="L691" s="64"/>
      <c r="M691" s="64"/>
      <c r="N691" s="64"/>
      <c r="O691" s="64"/>
      <c r="P691" s="64"/>
      <c r="Q691" s="64"/>
      <c r="R691" s="65" t="str">
        <f>IF($A691="","",IFERROR(MINIFS(Candidates!$K$2:$K$2000,Candidates!$A$2:$A$2000,$A691),""))</f>
        <v/>
      </c>
      <c r="S691" s="65" t="str">
        <f>IF($A691="","",IFERROR(MAXIFS(Candidates!$AA$2:$AA$2000,Candidates!$A$2:$A$2000,$A691),""))</f>
        <v/>
      </c>
      <c r="T691" s="64" t="str">
        <f>IFERROR(__xludf.DUMMYFUNCTION("IF($A691="""","""",IFERROR(TEXTJOIN("", "",TRUE,UNIQUE(FILTER(Candidates!$B$2:$B$2000,Candidates!$A$2:$A$2000=$A691))),""""))"),"")</f>
        <v/>
      </c>
      <c r="U691" s="66" t="str">
        <f>IF($A691="","",COUNTIF(Candidates!$A$2:$A$2000,$A691))</f>
        <v/>
      </c>
      <c r="V691" s="64" t="str">
        <f>IFERROR(__xludf.DUMMYFUNCTION("IF($A691="""","""",IFERROR(INDEX(FILTER(Candidates!$S$2:$S$2000,Candidates!$A$2:$A$2000=$A691),COUNTIF(Candidates!$A$2:$A$2000,$A691)),""""))"),"")</f>
        <v/>
      </c>
      <c r="W691" s="64" t="str">
        <f>IFERROR(__xludf.DUMMYFUNCTION("IF($A691="""","""",IFERROR(INDEX(FILTER(Candidates!$T$2:$T$2000,Candidates!$A$2:$A$2000=$A691),COUNTIF(Candidates!$A$2:$A$2000,$A691)),""""))"),"")</f>
        <v/>
      </c>
      <c r="X691" s="64"/>
      <c r="Y691" s="64"/>
      <c r="Z691" s="65"/>
      <c r="AA691" s="65"/>
      <c r="AB691" s="65"/>
      <c r="AC691" s="65"/>
    </row>
    <row r="692">
      <c r="A692" s="64"/>
      <c r="B692" s="64"/>
      <c r="C692" s="64"/>
      <c r="D692" s="64"/>
      <c r="E692" s="64"/>
      <c r="F692" s="64"/>
      <c r="G692" s="64"/>
      <c r="H692" s="63"/>
      <c r="I692" s="64"/>
      <c r="J692" s="64"/>
      <c r="K692" s="64"/>
      <c r="L692" s="64"/>
      <c r="M692" s="64"/>
      <c r="N692" s="64"/>
      <c r="O692" s="64"/>
      <c r="P692" s="64"/>
      <c r="Q692" s="64"/>
      <c r="R692" s="65" t="str">
        <f>IF($A692="","",IFERROR(MINIFS(Candidates!$K$2:$K$2000,Candidates!$A$2:$A$2000,$A692),""))</f>
        <v/>
      </c>
      <c r="S692" s="65" t="str">
        <f>IF($A692="","",IFERROR(MAXIFS(Candidates!$AA$2:$AA$2000,Candidates!$A$2:$A$2000,$A692),""))</f>
        <v/>
      </c>
      <c r="T692" s="64" t="str">
        <f>IFERROR(__xludf.DUMMYFUNCTION("IF($A692="""","""",IFERROR(TEXTJOIN("", "",TRUE,UNIQUE(FILTER(Candidates!$B$2:$B$2000,Candidates!$A$2:$A$2000=$A692))),""""))"),"")</f>
        <v/>
      </c>
      <c r="U692" s="66" t="str">
        <f>IF($A692="","",COUNTIF(Candidates!$A$2:$A$2000,$A692))</f>
        <v/>
      </c>
      <c r="V692" s="64" t="str">
        <f>IFERROR(__xludf.DUMMYFUNCTION("IF($A692="""","""",IFERROR(INDEX(FILTER(Candidates!$S$2:$S$2000,Candidates!$A$2:$A$2000=$A692),COUNTIF(Candidates!$A$2:$A$2000,$A692)),""""))"),"")</f>
        <v/>
      </c>
      <c r="W692" s="64" t="str">
        <f>IFERROR(__xludf.DUMMYFUNCTION("IF($A692="""","""",IFERROR(INDEX(FILTER(Candidates!$T$2:$T$2000,Candidates!$A$2:$A$2000=$A692),COUNTIF(Candidates!$A$2:$A$2000,$A692)),""""))"),"")</f>
        <v/>
      </c>
      <c r="X692" s="64"/>
      <c r="Y692" s="64"/>
      <c r="Z692" s="65"/>
      <c r="AA692" s="65"/>
      <c r="AB692" s="65"/>
      <c r="AC692" s="65"/>
    </row>
    <row r="693">
      <c r="A693" s="64"/>
      <c r="B693" s="64"/>
      <c r="C693" s="64"/>
      <c r="D693" s="64"/>
      <c r="E693" s="64"/>
      <c r="F693" s="64"/>
      <c r="G693" s="64"/>
      <c r="H693" s="63"/>
      <c r="I693" s="64"/>
      <c r="J693" s="64"/>
      <c r="K693" s="64"/>
      <c r="L693" s="64"/>
      <c r="M693" s="64"/>
      <c r="N693" s="64"/>
      <c r="O693" s="64"/>
      <c r="P693" s="64"/>
      <c r="Q693" s="64"/>
      <c r="R693" s="65" t="str">
        <f>IF($A693="","",IFERROR(MINIFS(Candidates!$K$2:$K$2000,Candidates!$A$2:$A$2000,$A693),""))</f>
        <v/>
      </c>
      <c r="S693" s="65" t="str">
        <f>IF($A693="","",IFERROR(MAXIFS(Candidates!$AA$2:$AA$2000,Candidates!$A$2:$A$2000,$A693),""))</f>
        <v/>
      </c>
      <c r="T693" s="64" t="str">
        <f>IFERROR(__xludf.DUMMYFUNCTION("IF($A693="""","""",IFERROR(TEXTJOIN("", "",TRUE,UNIQUE(FILTER(Candidates!$B$2:$B$2000,Candidates!$A$2:$A$2000=$A693))),""""))"),"")</f>
        <v/>
      </c>
      <c r="U693" s="66" t="str">
        <f>IF($A693="","",COUNTIF(Candidates!$A$2:$A$2000,$A693))</f>
        <v/>
      </c>
      <c r="V693" s="64" t="str">
        <f>IFERROR(__xludf.DUMMYFUNCTION("IF($A693="""","""",IFERROR(INDEX(FILTER(Candidates!$S$2:$S$2000,Candidates!$A$2:$A$2000=$A693),COUNTIF(Candidates!$A$2:$A$2000,$A693)),""""))"),"")</f>
        <v/>
      </c>
      <c r="W693" s="64" t="str">
        <f>IFERROR(__xludf.DUMMYFUNCTION("IF($A693="""","""",IFERROR(INDEX(FILTER(Candidates!$T$2:$T$2000,Candidates!$A$2:$A$2000=$A693),COUNTIF(Candidates!$A$2:$A$2000,$A693)),""""))"),"")</f>
        <v/>
      </c>
      <c r="X693" s="64"/>
      <c r="Y693" s="64"/>
      <c r="Z693" s="65"/>
      <c r="AA693" s="65"/>
      <c r="AB693" s="65"/>
      <c r="AC693" s="65"/>
    </row>
    <row r="694">
      <c r="A694" s="64"/>
      <c r="B694" s="64"/>
      <c r="C694" s="64"/>
      <c r="D694" s="64"/>
      <c r="E694" s="64"/>
      <c r="F694" s="64"/>
      <c r="G694" s="64"/>
      <c r="H694" s="63"/>
      <c r="I694" s="64"/>
      <c r="J694" s="64"/>
      <c r="K694" s="64"/>
      <c r="L694" s="64"/>
      <c r="M694" s="64"/>
      <c r="N694" s="64"/>
      <c r="O694" s="64"/>
      <c r="P694" s="64"/>
      <c r="Q694" s="64"/>
      <c r="R694" s="65" t="str">
        <f>IF($A694="","",IFERROR(MINIFS(Candidates!$K$2:$K$2000,Candidates!$A$2:$A$2000,$A694),""))</f>
        <v/>
      </c>
      <c r="S694" s="65" t="str">
        <f>IF($A694="","",IFERROR(MAXIFS(Candidates!$AA$2:$AA$2000,Candidates!$A$2:$A$2000,$A694),""))</f>
        <v/>
      </c>
      <c r="T694" s="64" t="str">
        <f>IFERROR(__xludf.DUMMYFUNCTION("IF($A694="""","""",IFERROR(TEXTJOIN("", "",TRUE,UNIQUE(FILTER(Candidates!$B$2:$B$2000,Candidates!$A$2:$A$2000=$A694))),""""))"),"")</f>
        <v/>
      </c>
      <c r="U694" s="66" t="str">
        <f>IF($A694="","",COUNTIF(Candidates!$A$2:$A$2000,$A694))</f>
        <v/>
      </c>
      <c r="V694" s="64" t="str">
        <f>IFERROR(__xludf.DUMMYFUNCTION("IF($A694="""","""",IFERROR(INDEX(FILTER(Candidates!$S$2:$S$2000,Candidates!$A$2:$A$2000=$A694),COUNTIF(Candidates!$A$2:$A$2000,$A694)),""""))"),"")</f>
        <v/>
      </c>
      <c r="W694" s="64" t="str">
        <f>IFERROR(__xludf.DUMMYFUNCTION("IF($A694="""","""",IFERROR(INDEX(FILTER(Candidates!$T$2:$T$2000,Candidates!$A$2:$A$2000=$A694),COUNTIF(Candidates!$A$2:$A$2000,$A694)),""""))"),"")</f>
        <v/>
      </c>
      <c r="X694" s="64"/>
      <c r="Y694" s="64"/>
      <c r="Z694" s="65"/>
      <c r="AA694" s="65"/>
      <c r="AB694" s="65"/>
      <c r="AC694" s="65"/>
    </row>
    <row r="695">
      <c r="A695" s="64"/>
      <c r="B695" s="64"/>
      <c r="C695" s="64"/>
      <c r="D695" s="64"/>
      <c r="E695" s="64"/>
      <c r="F695" s="64"/>
      <c r="G695" s="64"/>
      <c r="H695" s="63"/>
      <c r="I695" s="64"/>
      <c r="J695" s="64"/>
      <c r="K695" s="64"/>
      <c r="L695" s="64"/>
      <c r="M695" s="64"/>
      <c r="N695" s="64"/>
      <c r="O695" s="64"/>
      <c r="P695" s="64"/>
      <c r="Q695" s="64"/>
      <c r="R695" s="65" t="str">
        <f>IF($A695="","",IFERROR(MINIFS(Candidates!$K$2:$K$2000,Candidates!$A$2:$A$2000,$A695),""))</f>
        <v/>
      </c>
      <c r="S695" s="65" t="str">
        <f>IF($A695="","",IFERROR(MAXIFS(Candidates!$AA$2:$AA$2000,Candidates!$A$2:$A$2000,$A695),""))</f>
        <v/>
      </c>
      <c r="T695" s="64" t="str">
        <f>IFERROR(__xludf.DUMMYFUNCTION("IF($A695="""","""",IFERROR(TEXTJOIN("", "",TRUE,UNIQUE(FILTER(Candidates!$B$2:$B$2000,Candidates!$A$2:$A$2000=$A695))),""""))"),"")</f>
        <v/>
      </c>
      <c r="U695" s="66" t="str">
        <f>IF($A695="","",COUNTIF(Candidates!$A$2:$A$2000,$A695))</f>
        <v/>
      </c>
      <c r="V695" s="64" t="str">
        <f>IFERROR(__xludf.DUMMYFUNCTION("IF($A695="""","""",IFERROR(INDEX(FILTER(Candidates!$S$2:$S$2000,Candidates!$A$2:$A$2000=$A695),COUNTIF(Candidates!$A$2:$A$2000,$A695)),""""))"),"")</f>
        <v/>
      </c>
      <c r="W695" s="64" t="str">
        <f>IFERROR(__xludf.DUMMYFUNCTION("IF($A695="""","""",IFERROR(INDEX(FILTER(Candidates!$T$2:$T$2000,Candidates!$A$2:$A$2000=$A695),COUNTIF(Candidates!$A$2:$A$2000,$A695)),""""))"),"")</f>
        <v/>
      </c>
      <c r="X695" s="64"/>
      <c r="Y695" s="64"/>
      <c r="Z695" s="65"/>
      <c r="AA695" s="65"/>
      <c r="AB695" s="65"/>
      <c r="AC695" s="65"/>
    </row>
    <row r="696">
      <c r="A696" s="64"/>
      <c r="B696" s="64"/>
      <c r="C696" s="64"/>
      <c r="D696" s="64"/>
      <c r="E696" s="64"/>
      <c r="F696" s="64"/>
      <c r="G696" s="64"/>
      <c r="H696" s="63"/>
      <c r="I696" s="64"/>
      <c r="J696" s="64"/>
      <c r="K696" s="64"/>
      <c r="L696" s="64"/>
      <c r="M696" s="64"/>
      <c r="N696" s="64"/>
      <c r="O696" s="64"/>
      <c r="P696" s="64"/>
      <c r="Q696" s="64"/>
      <c r="R696" s="65" t="str">
        <f>IF($A696="","",IFERROR(MINIFS(Candidates!$K$2:$K$2000,Candidates!$A$2:$A$2000,$A696),""))</f>
        <v/>
      </c>
      <c r="S696" s="65" t="str">
        <f>IF($A696="","",IFERROR(MAXIFS(Candidates!$AA$2:$AA$2000,Candidates!$A$2:$A$2000,$A696),""))</f>
        <v/>
      </c>
      <c r="T696" s="64" t="str">
        <f>IFERROR(__xludf.DUMMYFUNCTION("IF($A696="""","""",IFERROR(TEXTJOIN("", "",TRUE,UNIQUE(FILTER(Candidates!$B$2:$B$2000,Candidates!$A$2:$A$2000=$A696))),""""))"),"")</f>
        <v/>
      </c>
      <c r="U696" s="66" t="str">
        <f>IF($A696="","",COUNTIF(Candidates!$A$2:$A$2000,$A696))</f>
        <v/>
      </c>
      <c r="V696" s="64" t="str">
        <f>IFERROR(__xludf.DUMMYFUNCTION("IF($A696="""","""",IFERROR(INDEX(FILTER(Candidates!$S$2:$S$2000,Candidates!$A$2:$A$2000=$A696),COUNTIF(Candidates!$A$2:$A$2000,$A696)),""""))"),"")</f>
        <v/>
      </c>
      <c r="W696" s="64" t="str">
        <f>IFERROR(__xludf.DUMMYFUNCTION("IF($A696="""","""",IFERROR(INDEX(FILTER(Candidates!$T$2:$T$2000,Candidates!$A$2:$A$2000=$A696),COUNTIF(Candidates!$A$2:$A$2000,$A696)),""""))"),"")</f>
        <v/>
      </c>
      <c r="X696" s="64"/>
      <c r="Y696" s="64"/>
      <c r="Z696" s="65"/>
      <c r="AA696" s="65"/>
      <c r="AB696" s="65"/>
      <c r="AC696" s="65"/>
    </row>
    <row r="697">
      <c r="A697" s="64"/>
      <c r="B697" s="64"/>
      <c r="C697" s="64"/>
      <c r="D697" s="64"/>
      <c r="E697" s="64"/>
      <c r="F697" s="64"/>
      <c r="G697" s="64"/>
      <c r="H697" s="63"/>
      <c r="I697" s="64"/>
      <c r="J697" s="64"/>
      <c r="K697" s="64"/>
      <c r="L697" s="64"/>
      <c r="M697" s="64"/>
      <c r="N697" s="64"/>
      <c r="O697" s="64"/>
      <c r="P697" s="64"/>
      <c r="Q697" s="64"/>
      <c r="R697" s="65" t="str">
        <f>IF($A697="","",IFERROR(MINIFS(Candidates!$K$2:$K$2000,Candidates!$A$2:$A$2000,$A697),""))</f>
        <v/>
      </c>
      <c r="S697" s="65" t="str">
        <f>IF($A697="","",IFERROR(MAXIFS(Candidates!$AA$2:$AA$2000,Candidates!$A$2:$A$2000,$A697),""))</f>
        <v/>
      </c>
      <c r="T697" s="64" t="str">
        <f>IFERROR(__xludf.DUMMYFUNCTION("IF($A697="""","""",IFERROR(TEXTJOIN("", "",TRUE,UNIQUE(FILTER(Candidates!$B$2:$B$2000,Candidates!$A$2:$A$2000=$A697))),""""))"),"")</f>
        <v/>
      </c>
      <c r="U697" s="66" t="str">
        <f>IF($A697="","",COUNTIF(Candidates!$A$2:$A$2000,$A697))</f>
        <v/>
      </c>
      <c r="V697" s="64" t="str">
        <f>IFERROR(__xludf.DUMMYFUNCTION("IF($A697="""","""",IFERROR(INDEX(FILTER(Candidates!$S$2:$S$2000,Candidates!$A$2:$A$2000=$A697),COUNTIF(Candidates!$A$2:$A$2000,$A697)),""""))"),"")</f>
        <v/>
      </c>
      <c r="W697" s="64" t="str">
        <f>IFERROR(__xludf.DUMMYFUNCTION("IF($A697="""","""",IFERROR(INDEX(FILTER(Candidates!$T$2:$T$2000,Candidates!$A$2:$A$2000=$A697),COUNTIF(Candidates!$A$2:$A$2000,$A697)),""""))"),"")</f>
        <v/>
      </c>
      <c r="X697" s="64"/>
      <c r="Y697" s="64"/>
      <c r="Z697" s="65"/>
      <c r="AA697" s="65"/>
      <c r="AB697" s="65"/>
      <c r="AC697" s="65"/>
    </row>
    <row r="698">
      <c r="A698" s="64"/>
      <c r="B698" s="64"/>
      <c r="C698" s="64"/>
      <c r="D698" s="64"/>
      <c r="E698" s="64"/>
      <c r="F698" s="64"/>
      <c r="G698" s="64"/>
      <c r="H698" s="63"/>
      <c r="I698" s="64"/>
      <c r="J698" s="64"/>
      <c r="K698" s="64"/>
      <c r="L698" s="64"/>
      <c r="M698" s="64"/>
      <c r="N698" s="64"/>
      <c r="O698" s="64"/>
      <c r="P698" s="64"/>
      <c r="Q698" s="64"/>
      <c r="R698" s="65" t="str">
        <f>IF($A698="","",IFERROR(MINIFS(Candidates!$K$2:$K$2000,Candidates!$A$2:$A$2000,$A698),""))</f>
        <v/>
      </c>
      <c r="S698" s="65" t="str">
        <f>IF($A698="","",IFERROR(MAXIFS(Candidates!$AA$2:$AA$2000,Candidates!$A$2:$A$2000,$A698),""))</f>
        <v/>
      </c>
      <c r="T698" s="64" t="str">
        <f>IFERROR(__xludf.DUMMYFUNCTION("IF($A698="""","""",IFERROR(TEXTJOIN("", "",TRUE,UNIQUE(FILTER(Candidates!$B$2:$B$2000,Candidates!$A$2:$A$2000=$A698))),""""))"),"")</f>
        <v/>
      </c>
      <c r="U698" s="66" t="str">
        <f>IF($A698="","",COUNTIF(Candidates!$A$2:$A$2000,$A698))</f>
        <v/>
      </c>
      <c r="V698" s="64" t="str">
        <f>IFERROR(__xludf.DUMMYFUNCTION("IF($A698="""","""",IFERROR(INDEX(FILTER(Candidates!$S$2:$S$2000,Candidates!$A$2:$A$2000=$A698),COUNTIF(Candidates!$A$2:$A$2000,$A698)),""""))"),"")</f>
        <v/>
      </c>
      <c r="W698" s="64" t="str">
        <f>IFERROR(__xludf.DUMMYFUNCTION("IF($A698="""","""",IFERROR(INDEX(FILTER(Candidates!$T$2:$T$2000,Candidates!$A$2:$A$2000=$A698),COUNTIF(Candidates!$A$2:$A$2000,$A698)),""""))"),"")</f>
        <v/>
      </c>
      <c r="X698" s="64"/>
      <c r="Y698" s="64"/>
      <c r="Z698" s="65"/>
      <c r="AA698" s="65"/>
      <c r="AB698" s="65"/>
      <c r="AC698" s="65"/>
    </row>
    <row r="699">
      <c r="A699" s="64"/>
      <c r="B699" s="64"/>
      <c r="C699" s="64"/>
      <c r="D699" s="64"/>
      <c r="E699" s="64"/>
      <c r="F699" s="64"/>
      <c r="G699" s="64"/>
      <c r="H699" s="63"/>
      <c r="I699" s="64"/>
      <c r="J699" s="64"/>
      <c r="K699" s="64"/>
      <c r="L699" s="64"/>
      <c r="M699" s="64"/>
      <c r="N699" s="64"/>
      <c r="O699" s="64"/>
      <c r="P699" s="64"/>
      <c r="Q699" s="64"/>
      <c r="R699" s="65" t="str">
        <f>IF($A699="","",IFERROR(MINIFS(Candidates!$K$2:$K$2000,Candidates!$A$2:$A$2000,$A699),""))</f>
        <v/>
      </c>
      <c r="S699" s="65" t="str">
        <f>IF($A699="","",IFERROR(MAXIFS(Candidates!$AA$2:$AA$2000,Candidates!$A$2:$A$2000,$A699),""))</f>
        <v/>
      </c>
      <c r="T699" s="64" t="str">
        <f>IFERROR(__xludf.DUMMYFUNCTION("IF($A699="""","""",IFERROR(TEXTJOIN("", "",TRUE,UNIQUE(FILTER(Candidates!$B$2:$B$2000,Candidates!$A$2:$A$2000=$A699))),""""))"),"")</f>
        <v/>
      </c>
      <c r="U699" s="66" t="str">
        <f>IF($A699="","",COUNTIF(Candidates!$A$2:$A$2000,$A699))</f>
        <v/>
      </c>
      <c r="V699" s="64" t="str">
        <f>IFERROR(__xludf.DUMMYFUNCTION("IF($A699="""","""",IFERROR(INDEX(FILTER(Candidates!$S$2:$S$2000,Candidates!$A$2:$A$2000=$A699),COUNTIF(Candidates!$A$2:$A$2000,$A699)),""""))"),"")</f>
        <v/>
      </c>
      <c r="W699" s="64" t="str">
        <f>IFERROR(__xludf.DUMMYFUNCTION("IF($A699="""","""",IFERROR(INDEX(FILTER(Candidates!$T$2:$T$2000,Candidates!$A$2:$A$2000=$A699),COUNTIF(Candidates!$A$2:$A$2000,$A699)),""""))"),"")</f>
        <v/>
      </c>
      <c r="X699" s="64"/>
      <c r="Y699" s="64"/>
      <c r="Z699" s="65"/>
      <c r="AA699" s="65"/>
      <c r="AB699" s="65"/>
      <c r="AC699" s="65"/>
    </row>
    <row r="700">
      <c r="A700" s="64"/>
      <c r="B700" s="64"/>
      <c r="C700" s="64"/>
      <c r="D700" s="64"/>
      <c r="E700" s="64"/>
      <c r="F700" s="64"/>
      <c r="G700" s="64"/>
      <c r="H700" s="63"/>
      <c r="I700" s="64"/>
      <c r="J700" s="64"/>
      <c r="K700" s="64"/>
      <c r="L700" s="64"/>
      <c r="M700" s="64"/>
      <c r="N700" s="64"/>
      <c r="O700" s="64"/>
      <c r="P700" s="64"/>
      <c r="Q700" s="64"/>
      <c r="R700" s="65" t="str">
        <f>IF($A700="","",IFERROR(MINIFS(Candidates!$K$2:$K$2000,Candidates!$A$2:$A$2000,$A700),""))</f>
        <v/>
      </c>
      <c r="S700" s="65" t="str">
        <f>IF($A700="","",IFERROR(MAXIFS(Candidates!$AA$2:$AA$2000,Candidates!$A$2:$A$2000,$A700),""))</f>
        <v/>
      </c>
      <c r="T700" s="64" t="str">
        <f>IFERROR(__xludf.DUMMYFUNCTION("IF($A700="""","""",IFERROR(TEXTJOIN("", "",TRUE,UNIQUE(FILTER(Candidates!$B$2:$B$2000,Candidates!$A$2:$A$2000=$A700))),""""))"),"")</f>
        <v/>
      </c>
      <c r="U700" s="66" t="str">
        <f>IF($A700="","",COUNTIF(Candidates!$A$2:$A$2000,$A700))</f>
        <v/>
      </c>
      <c r="V700" s="64" t="str">
        <f>IFERROR(__xludf.DUMMYFUNCTION("IF($A700="""","""",IFERROR(INDEX(FILTER(Candidates!$S$2:$S$2000,Candidates!$A$2:$A$2000=$A700),COUNTIF(Candidates!$A$2:$A$2000,$A700)),""""))"),"")</f>
        <v/>
      </c>
      <c r="W700" s="64" t="str">
        <f>IFERROR(__xludf.DUMMYFUNCTION("IF($A700="""","""",IFERROR(INDEX(FILTER(Candidates!$T$2:$T$2000,Candidates!$A$2:$A$2000=$A700),COUNTIF(Candidates!$A$2:$A$2000,$A700)),""""))"),"")</f>
        <v/>
      </c>
      <c r="X700" s="64"/>
      <c r="Y700" s="64"/>
      <c r="Z700" s="65"/>
      <c r="AA700" s="65"/>
      <c r="AB700" s="65"/>
      <c r="AC700" s="65"/>
    </row>
    <row r="701">
      <c r="A701" s="64"/>
      <c r="B701" s="64"/>
      <c r="C701" s="64"/>
      <c r="D701" s="64"/>
      <c r="E701" s="64"/>
      <c r="F701" s="64"/>
      <c r="G701" s="64"/>
      <c r="H701" s="63"/>
      <c r="I701" s="64"/>
      <c r="J701" s="64"/>
      <c r="K701" s="64"/>
      <c r="L701" s="64"/>
      <c r="M701" s="64"/>
      <c r="N701" s="64"/>
      <c r="O701" s="64"/>
      <c r="P701" s="64"/>
      <c r="Q701" s="64"/>
      <c r="R701" s="65" t="str">
        <f>IF($A701="","",IFERROR(MINIFS(Candidates!$K$2:$K$2000,Candidates!$A$2:$A$2000,$A701),""))</f>
        <v/>
      </c>
      <c r="S701" s="65" t="str">
        <f>IF($A701="","",IFERROR(MAXIFS(Candidates!$AA$2:$AA$2000,Candidates!$A$2:$A$2000,$A701),""))</f>
        <v/>
      </c>
      <c r="T701" s="64" t="str">
        <f>IFERROR(__xludf.DUMMYFUNCTION("IF($A701="""","""",IFERROR(TEXTJOIN("", "",TRUE,UNIQUE(FILTER(Candidates!$B$2:$B$2000,Candidates!$A$2:$A$2000=$A701))),""""))"),"")</f>
        <v/>
      </c>
      <c r="U701" s="66" t="str">
        <f>IF($A701="","",COUNTIF(Candidates!$A$2:$A$2000,$A701))</f>
        <v/>
      </c>
      <c r="V701" s="64" t="str">
        <f>IFERROR(__xludf.DUMMYFUNCTION("IF($A701="""","""",IFERROR(INDEX(FILTER(Candidates!$S$2:$S$2000,Candidates!$A$2:$A$2000=$A701),COUNTIF(Candidates!$A$2:$A$2000,$A701)),""""))"),"")</f>
        <v/>
      </c>
      <c r="W701" s="64" t="str">
        <f>IFERROR(__xludf.DUMMYFUNCTION("IF($A701="""","""",IFERROR(INDEX(FILTER(Candidates!$T$2:$T$2000,Candidates!$A$2:$A$2000=$A701),COUNTIF(Candidates!$A$2:$A$2000,$A701)),""""))"),"")</f>
        <v/>
      </c>
      <c r="X701" s="64"/>
      <c r="Y701" s="64"/>
      <c r="Z701" s="65"/>
      <c r="AA701" s="65"/>
      <c r="AB701" s="65"/>
      <c r="AC701" s="65"/>
    </row>
    <row r="702">
      <c r="A702" s="64"/>
      <c r="B702" s="64"/>
      <c r="C702" s="64"/>
      <c r="D702" s="64"/>
      <c r="E702" s="64"/>
      <c r="F702" s="64"/>
      <c r="G702" s="64"/>
      <c r="H702" s="63"/>
      <c r="I702" s="64"/>
      <c r="J702" s="64"/>
      <c r="K702" s="64"/>
      <c r="L702" s="64"/>
      <c r="M702" s="64"/>
      <c r="N702" s="64"/>
      <c r="O702" s="64"/>
      <c r="P702" s="64"/>
      <c r="Q702" s="64"/>
      <c r="R702" s="65" t="str">
        <f>IF($A702="","",IFERROR(MINIFS(Candidates!$K$2:$K$2000,Candidates!$A$2:$A$2000,$A702),""))</f>
        <v/>
      </c>
      <c r="S702" s="65" t="str">
        <f>IF($A702="","",IFERROR(MAXIFS(Candidates!$AA$2:$AA$2000,Candidates!$A$2:$A$2000,$A702),""))</f>
        <v/>
      </c>
      <c r="T702" s="64" t="str">
        <f>IFERROR(__xludf.DUMMYFUNCTION("IF($A702="""","""",IFERROR(TEXTJOIN("", "",TRUE,UNIQUE(FILTER(Candidates!$B$2:$B$2000,Candidates!$A$2:$A$2000=$A702))),""""))"),"")</f>
        <v/>
      </c>
      <c r="U702" s="66" t="str">
        <f>IF($A702="","",COUNTIF(Candidates!$A$2:$A$2000,$A702))</f>
        <v/>
      </c>
      <c r="V702" s="64" t="str">
        <f>IFERROR(__xludf.DUMMYFUNCTION("IF($A702="""","""",IFERROR(INDEX(FILTER(Candidates!$S$2:$S$2000,Candidates!$A$2:$A$2000=$A702),COUNTIF(Candidates!$A$2:$A$2000,$A702)),""""))"),"")</f>
        <v/>
      </c>
      <c r="W702" s="64" t="str">
        <f>IFERROR(__xludf.DUMMYFUNCTION("IF($A702="""","""",IFERROR(INDEX(FILTER(Candidates!$T$2:$T$2000,Candidates!$A$2:$A$2000=$A702),COUNTIF(Candidates!$A$2:$A$2000,$A702)),""""))"),"")</f>
        <v/>
      </c>
      <c r="X702" s="64"/>
      <c r="Y702" s="64"/>
      <c r="Z702" s="65"/>
      <c r="AA702" s="65"/>
      <c r="AB702" s="65"/>
      <c r="AC702" s="65"/>
    </row>
    <row r="703">
      <c r="A703" s="64"/>
      <c r="B703" s="64"/>
      <c r="C703" s="64"/>
      <c r="D703" s="64"/>
      <c r="E703" s="64"/>
      <c r="F703" s="64"/>
      <c r="G703" s="64"/>
      <c r="H703" s="63"/>
      <c r="I703" s="64"/>
      <c r="J703" s="64"/>
      <c r="K703" s="64"/>
      <c r="L703" s="64"/>
      <c r="M703" s="64"/>
      <c r="N703" s="64"/>
      <c r="O703" s="64"/>
      <c r="P703" s="64"/>
      <c r="Q703" s="64"/>
      <c r="R703" s="65" t="str">
        <f>IF($A703="","",IFERROR(MINIFS(Candidates!$K$2:$K$2000,Candidates!$A$2:$A$2000,$A703),""))</f>
        <v/>
      </c>
      <c r="S703" s="65" t="str">
        <f>IF($A703="","",IFERROR(MAXIFS(Candidates!$AA$2:$AA$2000,Candidates!$A$2:$A$2000,$A703),""))</f>
        <v/>
      </c>
      <c r="T703" s="64" t="str">
        <f>IFERROR(__xludf.DUMMYFUNCTION("IF($A703="""","""",IFERROR(TEXTJOIN("", "",TRUE,UNIQUE(FILTER(Candidates!$B$2:$B$2000,Candidates!$A$2:$A$2000=$A703))),""""))"),"")</f>
        <v/>
      </c>
      <c r="U703" s="66" t="str">
        <f>IF($A703="","",COUNTIF(Candidates!$A$2:$A$2000,$A703))</f>
        <v/>
      </c>
      <c r="V703" s="64" t="str">
        <f>IFERROR(__xludf.DUMMYFUNCTION("IF($A703="""","""",IFERROR(INDEX(FILTER(Candidates!$S$2:$S$2000,Candidates!$A$2:$A$2000=$A703),COUNTIF(Candidates!$A$2:$A$2000,$A703)),""""))"),"")</f>
        <v/>
      </c>
      <c r="W703" s="64" t="str">
        <f>IFERROR(__xludf.DUMMYFUNCTION("IF($A703="""","""",IFERROR(INDEX(FILTER(Candidates!$T$2:$T$2000,Candidates!$A$2:$A$2000=$A703),COUNTIF(Candidates!$A$2:$A$2000,$A703)),""""))"),"")</f>
        <v/>
      </c>
      <c r="X703" s="64"/>
      <c r="Y703" s="64"/>
      <c r="Z703" s="65"/>
      <c r="AA703" s="65"/>
      <c r="AB703" s="65"/>
      <c r="AC703" s="65"/>
    </row>
    <row r="704">
      <c r="A704" s="64"/>
      <c r="B704" s="64"/>
      <c r="C704" s="64"/>
      <c r="D704" s="64"/>
      <c r="E704" s="64"/>
      <c r="F704" s="64"/>
      <c r="G704" s="64"/>
      <c r="H704" s="63"/>
      <c r="I704" s="64"/>
      <c r="J704" s="64"/>
      <c r="K704" s="64"/>
      <c r="L704" s="64"/>
      <c r="M704" s="64"/>
      <c r="N704" s="64"/>
      <c r="O704" s="64"/>
      <c r="P704" s="64"/>
      <c r="Q704" s="64"/>
      <c r="R704" s="65" t="str">
        <f>IF($A704="","",IFERROR(MINIFS(Candidates!$K$2:$K$2000,Candidates!$A$2:$A$2000,$A704),""))</f>
        <v/>
      </c>
      <c r="S704" s="65" t="str">
        <f>IF($A704="","",IFERROR(MAXIFS(Candidates!$AA$2:$AA$2000,Candidates!$A$2:$A$2000,$A704),""))</f>
        <v/>
      </c>
      <c r="T704" s="64" t="str">
        <f>IFERROR(__xludf.DUMMYFUNCTION("IF($A704="""","""",IFERROR(TEXTJOIN("", "",TRUE,UNIQUE(FILTER(Candidates!$B$2:$B$2000,Candidates!$A$2:$A$2000=$A704))),""""))"),"")</f>
        <v/>
      </c>
      <c r="U704" s="66" t="str">
        <f>IF($A704="","",COUNTIF(Candidates!$A$2:$A$2000,$A704))</f>
        <v/>
      </c>
      <c r="V704" s="64" t="str">
        <f>IFERROR(__xludf.DUMMYFUNCTION("IF($A704="""","""",IFERROR(INDEX(FILTER(Candidates!$S$2:$S$2000,Candidates!$A$2:$A$2000=$A704),COUNTIF(Candidates!$A$2:$A$2000,$A704)),""""))"),"")</f>
        <v/>
      </c>
      <c r="W704" s="64" t="str">
        <f>IFERROR(__xludf.DUMMYFUNCTION("IF($A704="""","""",IFERROR(INDEX(FILTER(Candidates!$T$2:$T$2000,Candidates!$A$2:$A$2000=$A704),COUNTIF(Candidates!$A$2:$A$2000,$A704)),""""))"),"")</f>
        <v/>
      </c>
      <c r="X704" s="64"/>
      <c r="Y704" s="64"/>
      <c r="Z704" s="65"/>
      <c r="AA704" s="65"/>
      <c r="AB704" s="65"/>
      <c r="AC704" s="65"/>
    </row>
    <row r="705">
      <c r="A705" s="64"/>
      <c r="B705" s="64"/>
      <c r="C705" s="64"/>
      <c r="D705" s="64"/>
      <c r="E705" s="64"/>
      <c r="F705" s="64"/>
      <c r="G705" s="64"/>
      <c r="H705" s="63"/>
      <c r="I705" s="64"/>
      <c r="J705" s="64"/>
      <c r="K705" s="64"/>
      <c r="L705" s="64"/>
      <c r="M705" s="64"/>
      <c r="N705" s="64"/>
      <c r="O705" s="64"/>
      <c r="P705" s="64"/>
      <c r="Q705" s="64"/>
      <c r="R705" s="65" t="str">
        <f>IF($A705="","",IFERROR(MINIFS(Candidates!$K$2:$K$2000,Candidates!$A$2:$A$2000,$A705),""))</f>
        <v/>
      </c>
      <c r="S705" s="65" t="str">
        <f>IF($A705="","",IFERROR(MAXIFS(Candidates!$AA$2:$AA$2000,Candidates!$A$2:$A$2000,$A705),""))</f>
        <v/>
      </c>
      <c r="T705" s="64" t="str">
        <f>IFERROR(__xludf.DUMMYFUNCTION("IF($A705="""","""",IFERROR(TEXTJOIN("", "",TRUE,UNIQUE(FILTER(Candidates!$B$2:$B$2000,Candidates!$A$2:$A$2000=$A705))),""""))"),"")</f>
        <v/>
      </c>
      <c r="U705" s="66" t="str">
        <f>IF($A705="","",COUNTIF(Candidates!$A$2:$A$2000,$A705))</f>
        <v/>
      </c>
      <c r="V705" s="64" t="str">
        <f>IFERROR(__xludf.DUMMYFUNCTION("IF($A705="""","""",IFERROR(INDEX(FILTER(Candidates!$S$2:$S$2000,Candidates!$A$2:$A$2000=$A705),COUNTIF(Candidates!$A$2:$A$2000,$A705)),""""))"),"")</f>
        <v/>
      </c>
      <c r="W705" s="64" t="str">
        <f>IFERROR(__xludf.DUMMYFUNCTION("IF($A705="""","""",IFERROR(INDEX(FILTER(Candidates!$T$2:$T$2000,Candidates!$A$2:$A$2000=$A705),COUNTIF(Candidates!$A$2:$A$2000,$A705)),""""))"),"")</f>
        <v/>
      </c>
      <c r="X705" s="64"/>
      <c r="Y705" s="64"/>
      <c r="Z705" s="65"/>
      <c r="AA705" s="65"/>
      <c r="AB705" s="65"/>
      <c r="AC705" s="65"/>
    </row>
    <row r="706">
      <c r="A706" s="64"/>
      <c r="B706" s="64"/>
      <c r="C706" s="64"/>
      <c r="D706" s="64"/>
      <c r="E706" s="64"/>
      <c r="F706" s="64"/>
      <c r="G706" s="64"/>
      <c r="H706" s="63"/>
      <c r="I706" s="64"/>
      <c r="J706" s="64"/>
      <c r="K706" s="64"/>
      <c r="L706" s="64"/>
      <c r="M706" s="64"/>
      <c r="N706" s="64"/>
      <c r="O706" s="64"/>
      <c r="P706" s="64"/>
      <c r="Q706" s="64"/>
      <c r="R706" s="65" t="str">
        <f>IF($A706="","",IFERROR(MINIFS(Candidates!$K$2:$K$2000,Candidates!$A$2:$A$2000,$A706),""))</f>
        <v/>
      </c>
      <c r="S706" s="65" t="str">
        <f>IF($A706="","",IFERROR(MAXIFS(Candidates!$AA$2:$AA$2000,Candidates!$A$2:$A$2000,$A706),""))</f>
        <v/>
      </c>
      <c r="T706" s="64" t="str">
        <f>IFERROR(__xludf.DUMMYFUNCTION("IF($A706="""","""",IFERROR(TEXTJOIN("", "",TRUE,UNIQUE(FILTER(Candidates!$B$2:$B$2000,Candidates!$A$2:$A$2000=$A706))),""""))"),"")</f>
        <v/>
      </c>
      <c r="U706" s="66" t="str">
        <f>IF($A706="","",COUNTIF(Candidates!$A$2:$A$2000,$A706))</f>
        <v/>
      </c>
      <c r="V706" s="64" t="str">
        <f>IFERROR(__xludf.DUMMYFUNCTION("IF($A706="""","""",IFERROR(INDEX(FILTER(Candidates!$S$2:$S$2000,Candidates!$A$2:$A$2000=$A706),COUNTIF(Candidates!$A$2:$A$2000,$A706)),""""))"),"")</f>
        <v/>
      </c>
      <c r="W706" s="64" t="str">
        <f>IFERROR(__xludf.DUMMYFUNCTION("IF($A706="""","""",IFERROR(INDEX(FILTER(Candidates!$T$2:$T$2000,Candidates!$A$2:$A$2000=$A706),COUNTIF(Candidates!$A$2:$A$2000,$A706)),""""))"),"")</f>
        <v/>
      </c>
      <c r="X706" s="64"/>
      <c r="Y706" s="64"/>
      <c r="Z706" s="65"/>
      <c r="AA706" s="65"/>
      <c r="AB706" s="65"/>
      <c r="AC706" s="65"/>
    </row>
    <row r="707">
      <c r="A707" s="64"/>
      <c r="B707" s="64"/>
      <c r="C707" s="64"/>
      <c r="D707" s="64"/>
      <c r="E707" s="64"/>
      <c r="F707" s="64"/>
      <c r="G707" s="64"/>
      <c r="H707" s="63"/>
      <c r="I707" s="64"/>
      <c r="J707" s="64"/>
      <c r="K707" s="64"/>
      <c r="L707" s="64"/>
      <c r="M707" s="64"/>
      <c r="N707" s="64"/>
      <c r="O707" s="64"/>
      <c r="P707" s="64"/>
      <c r="Q707" s="64"/>
      <c r="R707" s="65" t="str">
        <f>IF($A707="","",IFERROR(MINIFS(Candidates!$K$2:$K$2000,Candidates!$A$2:$A$2000,$A707),""))</f>
        <v/>
      </c>
      <c r="S707" s="65" t="str">
        <f>IF($A707="","",IFERROR(MAXIFS(Candidates!$AA$2:$AA$2000,Candidates!$A$2:$A$2000,$A707),""))</f>
        <v/>
      </c>
      <c r="T707" s="64" t="str">
        <f>IFERROR(__xludf.DUMMYFUNCTION("IF($A707="""","""",IFERROR(TEXTJOIN("", "",TRUE,UNIQUE(FILTER(Candidates!$B$2:$B$2000,Candidates!$A$2:$A$2000=$A707))),""""))"),"")</f>
        <v/>
      </c>
      <c r="U707" s="66" t="str">
        <f>IF($A707="","",COUNTIF(Candidates!$A$2:$A$2000,$A707))</f>
        <v/>
      </c>
      <c r="V707" s="64" t="str">
        <f>IFERROR(__xludf.DUMMYFUNCTION("IF($A707="""","""",IFERROR(INDEX(FILTER(Candidates!$S$2:$S$2000,Candidates!$A$2:$A$2000=$A707),COUNTIF(Candidates!$A$2:$A$2000,$A707)),""""))"),"")</f>
        <v/>
      </c>
      <c r="W707" s="64" t="str">
        <f>IFERROR(__xludf.DUMMYFUNCTION("IF($A707="""","""",IFERROR(INDEX(FILTER(Candidates!$T$2:$T$2000,Candidates!$A$2:$A$2000=$A707),COUNTIF(Candidates!$A$2:$A$2000,$A707)),""""))"),"")</f>
        <v/>
      </c>
      <c r="X707" s="64"/>
      <c r="Y707" s="64"/>
      <c r="Z707" s="65"/>
      <c r="AA707" s="65"/>
      <c r="AB707" s="65"/>
      <c r="AC707" s="65"/>
    </row>
    <row r="708">
      <c r="A708" s="64"/>
      <c r="B708" s="64"/>
      <c r="C708" s="64"/>
      <c r="D708" s="64"/>
      <c r="E708" s="64"/>
      <c r="F708" s="64"/>
      <c r="G708" s="64"/>
      <c r="H708" s="63"/>
      <c r="I708" s="64"/>
      <c r="J708" s="64"/>
      <c r="K708" s="64"/>
      <c r="L708" s="64"/>
      <c r="M708" s="64"/>
      <c r="N708" s="64"/>
      <c r="O708" s="64"/>
      <c r="P708" s="64"/>
      <c r="Q708" s="64"/>
      <c r="R708" s="65" t="str">
        <f>IF($A708="","",IFERROR(MINIFS(Candidates!$K$2:$K$2000,Candidates!$A$2:$A$2000,$A708),""))</f>
        <v/>
      </c>
      <c r="S708" s="65" t="str">
        <f>IF($A708="","",IFERROR(MAXIFS(Candidates!$AA$2:$AA$2000,Candidates!$A$2:$A$2000,$A708),""))</f>
        <v/>
      </c>
      <c r="T708" s="64" t="str">
        <f>IFERROR(__xludf.DUMMYFUNCTION("IF($A708="""","""",IFERROR(TEXTJOIN("", "",TRUE,UNIQUE(FILTER(Candidates!$B$2:$B$2000,Candidates!$A$2:$A$2000=$A708))),""""))"),"")</f>
        <v/>
      </c>
      <c r="U708" s="66" t="str">
        <f>IF($A708="","",COUNTIF(Candidates!$A$2:$A$2000,$A708))</f>
        <v/>
      </c>
      <c r="V708" s="64" t="str">
        <f>IFERROR(__xludf.DUMMYFUNCTION("IF($A708="""","""",IFERROR(INDEX(FILTER(Candidates!$S$2:$S$2000,Candidates!$A$2:$A$2000=$A708),COUNTIF(Candidates!$A$2:$A$2000,$A708)),""""))"),"")</f>
        <v/>
      </c>
      <c r="W708" s="64" t="str">
        <f>IFERROR(__xludf.DUMMYFUNCTION("IF($A708="""","""",IFERROR(INDEX(FILTER(Candidates!$T$2:$T$2000,Candidates!$A$2:$A$2000=$A708),COUNTIF(Candidates!$A$2:$A$2000,$A708)),""""))"),"")</f>
        <v/>
      </c>
      <c r="X708" s="64"/>
      <c r="Y708" s="64"/>
      <c r="Z708" s="65"/>
      <c r="AA708" s="65"/>
      <c r="AB708" s="65"/>
      <c r="AC708" s="65"/>
    </row>
    <row r="709">
      <c r="A709" s="64"/>
      <c r="B709" s="64"/>
      <c r="C709" s="64"/>
      <c r="D709" s="64"/>
      <c r="E709" s="64"/>
      <c r="F709" s="64"/>
      <c r="G709" s="64"/>
      <c r="H709" s="63"/>
      <c r="I709" s="64"/>
      <c r="J709" s="64"/>
      <c r="K709" s="64"/>
      <c r="L709" s="64"/>
      <c r="M709" s="64"/>
      <c r="N709" s="64"/>
      <c r="O709" s="64"/>
      <c r="P709" s="64"/>
      <c r="Q709" s="64"/>
      <c r="R709" s="65" t="str">
        <f>IF($A709="","",IFERROR(MINIFS(Candidates!$K$2:$K$2000,Candidates!$A$2:$A$2000,$A709),""))</f>
        <v/>
      </c>
      <c r="S709" s="65" t="str">
        <f>IF($A709="","",IFERROR(MAXIFS(Candidates!$AA$2:$AA$2000,Candidates!$A$2:$A$2000,$A709),""))</f>
        <v/>
      </c>
      <c r="T709" s="64" t="str">
        <f>IFERROR(__xludf.DUMMYFUNCTION("IF($A709="""","""",IFERROR(TEXTJOIN("", "",TRUE,UNIQUE(FILTER(Candidates!$B$2:$B$2000,Candidates!$A$2:$A$2000=$A709))),""""))"),"")</f>
        <v/>
      </c>
      <c r="U709" s="66" t="str">
        <f>IF($A709="","",COUNTIF(Candidates!$A$2:$A$2000,$A709))</f>
        <v/>
      </c>
      <c r="V709" s="64" t="str">
        <f>IFERROR(__xludf.DUMMYFUNCTION("IF($A709="""","""",IFERROR(INDEX(FILTER(Candidates!$S$2:$S$2000,Candidates!$A$2:$A$2000=$A709),COUNTIF(Candidates!$A$2:$A$2000,$A709)),""""))"),"")</f>
        <v/>
      </c>
      <c r="W709" s="64" t="str">
        <f>IFERROR(__xludf.DUMMYFUNCTION("IF($A709="""","""",IFERROR(INDEX(FILTER(Candidates!$T$2:$T$2000,Candidates!$A$2:$A$2000=$A709),COUNTIF(Candidates!$A$2:$A$2000,$A709)),""""))"),"")</f>
        <v/>
      </c>
      <c r="X709" s="64"/>
      <c r="Y709" s="64"/>
      <c r="Z709" s="65"/>
      <c r="AA709" s="65"/>
      <c r="AB709" s="65"/>
      <c r="AC709" s="65"/>
    </row>
    <row r="710">
      <c r="A710" s="64"/>
      <c r="B710" s="64"/>
      <c r="C710" s="64"/>
      <c r="D710" s="64"/>
      <c r="E710" s="64"/>
      <c r="F710" s="64"/>
      <c r="G710" s="64"/>
      <c r="H710" s="63"/>
      <c r="I710" s="64"/>
      <c r="J710" s="64"/>
      <c r="K710" s="64"/>
      <c r="L710" s="64"/>
      <c r="M710" s="64"/>
      <c r="N710" s="64"/>
      <c r="O710" s="64"/>
      <c r="P710" s="64"/>
      <c r="Q710" s="64"/>
      <c r="R710" s="65" t="str">
        <f>IF($A710="","",IFERROR(MINIFS(Candidates!$K$2:$K$2000,Candidates!$A$2:$A$2000,$A710),""))</f>
        <v/>
      </c>
      <c r="S710" s="65" t="str">
        <f>IF($A710="","",IFERROR(MAXIFS(Candidates!$AA$2:$AA$2000,Candidates!$A$2:$A$2000,$A710),""))</f>
        <v/>
      </c>
      <c r="T710" s="64" t="str">
        <f>IFERROR(__xludf.DUMMYFUNCTION("IF($A710="""","""",IFERROR(TEXTJOIN("", "",TRUE,UNIQUE(FILTER(Candidates!$B$2:$B$2000,Candidates!$A$2:$A$2000=$A710))),""""))"),"")</f>
        <v/>
      </c>
      <c r="U710" s="66" t="str">
        <f>IF($A710="","",COUNTIF(Candidates!$A$2:$A$2000,$A710))</f>
        <v/>
      </c>
      <c r="V710" s="64" t="str">
        <f>IFERROR(__xludf.DUMMYFUNCTION("IF($A710="""","""",IFERROR(INDEX(FILTER(Candidates!$S$2:$S$2000,Candidates!$A$2:$A$2000=$A710),COUNTIF(Candidates!$A$2:$A$2000,$A710)),""""))"),"")</f>
        <v/>
      </c>
      <c r="W710" s="64" t="str">
        <f>IFERROR(__xludf.DUMMYFUNCTION("IF($A710="""","""",IFERROR(INDEX(FILTER(Candidates!$T$2:$T$2000,Candidates!$A$2:$A$2000=$A710),COUNTIF(Candidates!$A$2:$A$2000,$A710)),""""))"),"")</f>
        <v/>
      </c>
      <c r="X710" s="64"/>
      <c r="Y710" s="64"/>
      <c r="Z710" s="65"/>
      <c r="AA710" s="65"/>
      <c r="AB710" s="65"/>
      <c r="AC710" s="65"/>
    </row>
    <row r="711">
      <c r="A711" s="64"/>
      <c r="B711" s="64"/>
      <c r="C711" s="64"/>
      <c r="D711" s="64"/>
      <c r="E711" s="64"/>
      <c r="F711" s="64"/>
      <c r="G711" s="64"/>
      <c r="H711" s="63"/>
      <c r="I711" s="64"/>
      <c r="J711" s="64"/>
      <c r="K711" s="64"/>
      <c r="L711" s="64"/>
      <c r="M711" s="64"/>
      <c r="N711" s="64"/>
      <c r="O711" s="64"/>
      <c r="P711" s="64"/>
      <c r="Q711" s="64"/>
      <c r="R711" s="65" t="str">
        <f>IF($A711="","",IFERROR(MINIFS(Candidates!$K$2:$K$2000,Candidates!$A$2:$A$2000,$A711),""))</f>
        <v/>
      </c>
      <c r="S711" s="65" t="str">
        <f>IF($A711="","",IFERROR(MAXIFS(Candidates!$AA$2:$AA$2000,Candidates!$A$2:$A$2000,$A711),""))</f>
        <v/>
      </c>
      <c r="T711" s="64" t="str">
        <f>IFERROR(__xludf.DUMMYFUNCTION("IF($A711="""","""",IFERROR(TEXTJOIN("", "",TRUE,UNIQUE(FILTER(Candidates!$B$2:$B$2000,Candidates!$A$2:$A$2000=$A711))),""""))"),"")</f>
        <v/>
      </c>
      <c r="U711" s="66" t="str">
        <f>IF($A711="","",COUNTIF(Candidates!$A$2:$A$2000,$A711))</f>
        <v/>
      </c>
      <c r="V711" s="64" t="str">
        <f>IFERROR(__xludf.DUMMYFUNCTION("IF($A711="""","""",IFERROR(INDEX(FILTER(Candidates!$S$2:$S$2000,Candidates!$A$2:$A$2000=$A711),COUNTIF(Candidates!$A$2:$A$2000,$A711)),""""))"),"")</f>
        <v/>
      </c>
      <c r="W711" s="64" t="str">
        <f>IFERROR(__xludf.DUMMYFUNCTION("IF($A711="""","""",IFERROR(INDEX(FILTER(Candidates!$T$2:$T$2000,Candidates!$A$2:$A$2000=$A711),COUNTIF(Candidates!$A$2:$A$2000,$A711)),""""))"),"")</f>
        <v/>
      </c>
      <c r="X711" s="64"/>
      <c r="Y711" s="64"/>
      <c r="Z711" s="65"/>
      <c r="AA711" s="65"/>
      <c r="AB711" s="65"/>
      <c r="AC711" s="65"/>
    </row>
    <row r="712">
      <c r="A712" s="64"/>
      <c r="B712" s="64"/>
      <c r="C712" s="64"/>
      <c r="D712" s="64"/>
      <c r="E712" s="64"/>
      <c r="F712" s="64"/>
      <c r="G712" s="64"/>
      <c r="H712" s="63"/>
      <c r="I712" s="64"/>
      <c r="J712" s="64"/>
      <c r="K712" s="64"/>
      <c r="L712" s="64"/>
      <c r="M712" s="64"/>
      <c r="N712" s="64"/>
      <c r="O712" s="64"/>
      <c r="P712" s="64"/>
      <c r="Q712" s="64"/>
      <c r="R712" s="65" t="str">
        <f>IF($A712="","",IFERROR(MINIFS(Candidates!$K$2:$K$2000,Candidates!$A$2:$A$2000,$A712),""))</f>
        <v/>
      </c>
      <c r="S712" s="65" t="str">
        <f>IF($A712="","",IFERROR(MAXIFS(Candidates!$AA$2:$AA$2000,Candidates!$A$2:$A$2000,$A712),""))</f>
        <v/>
      </c>
      <c r="T712" s="64" t="str">
        <f>IFERROR(__xludf.DUMMYFUNCTION("IF($A712="""","""",IFERROR(TEXTJOIN("", "",TRUE,UNIQUE(FILTER(Candidates!$B$2:$B$2000,Candidates!$A$2:$A$2000=$A712))),""""))"),"")</f>
        <v/>
      </c>
      <c r="U712" s="66" t="str">
        <f>IF($A712="","",COUNTIF(Candidates!$A$2:$A$2000,$A712))</f>
        <v/>
      </c>
      <c r="V712" s="64" t="str">
        <f>IFERROR(__xludf.DUMMYFUNCTION("IF($A712="""","""",IFERROR(INDEX(FILTER(Candidates!$S$2:$S$2000,Candidates!$A$2:$A$2000=$A712),COUNTIF(Candidates!$A$2:$A$2000,$A712)),""""))"),"")</f>
        <v/>
      </c>
      <c r="W712" s="64" t="str">
        <f>IFERROR(__xludf.DUMMYFUNCTION("IF($A712="""","""",IFERROR(INDEX(FILTER(Candidates!$T$2:$T$2000,Candidates!$A$2:$A$2000=$A712),COUNTIF(Candidates!$A$2:$A$2000,$A712)),""""))"),"")</f>
        <v/>
      </c>
      <c r="X712" s="64"/>
      <c r="Y712" s="64"/>
      <c r="Z712" s="65"/>
      <c r="AA712" s="65"/>
      <c r="AB712" s="65"/>
      <c r="AC712" s="65"/>
    </row>
    <row r="713">
      <c r="A713" s="64"/>
      <c r="B713" s="64"/>
      <c r="C713" s="64"/>
      <c r="D713" s="64"/>
      <c r="E713" s="64"/>
      <c r="F713" s="64"/>
      <c r="G713" s="64"/>
      <c r="H713" s="63"/>
      <c r="I713" s="64"/>
      <c r="J713" s="64"/>
      <c r="K713" s="64"/>
      <c r="L713" s="64"/>
      <c r="M713" s="64"/>
      <c r="N713" s="64"/>
      <c r="O713" s="64"/>
      <c r="P713" s="64"/>
      <c r="Q713" s="64"/>
      <c r="R713" s="65" t="str">
        <f>IF($A713="","",IFERROR(MINIFS(Candidates!$K$2:$K$2000,Candidates!$A$2:$A$2000,$A713),""))</f>
        <v/>
      </c>
      <c r="S713" s="65" t="str">
        <f>IF($A713="","",IFERROR(MAXIFS(Candidates!$AA$2:$AA$2000,Candidates!$A$2:$A$2000,$A713),""))</f>
        <v/>
      </c>
      <c r="T713" s="64" t="str">
        <f>IFERROR(__xludf.DUMMYFUNCTION("IF($A713="""","""",IFERROR(TEXTJOIN("", "",TRUE,UNIQUE(FILTER(Candidates!$B$2:$B$2000,Candidates!$A$2:$A$2000=$A713))),""""))"),"")</f>
        <v/>
      </c>
      <c r="U713" s="66" t="str">
        <f>IF($A713="","",COUNTIF(Candidates!$A$2:$A$2000,$A713))</f>
        <v/>
      </c>
      <c r="V713" s="64" t="str">
        <f>IFERROR(__xludf.DUMMYFUNCTION("IF($A713="""","""",IFERROR(INDEX(FILTER(Candidates!$S$2:$S$2000,Candidates!$A$2:$A$2000=$A713),COUNTIF(Candidates!$A$2:$A$2000,$A713)),""""))"),"")</f>
        <v/>
      </c>
      <c r="W713" s="64" t="str">
        <f>IFERROR(__xludf.DUMMYFUNCTION("IF($A713="""","""",IFERROR(INDEX(FILTER(Candidates!$T$2:$T$2000,Candidates!$A$2:$A$2000=$A713),COUNTIF(Candidates!$A$2:$A$2000,$A713)),""""))"),"")</f>
        <v/>
      </c>
      <c r="X713" s="64"/>
      <c r="Y713" s="64"/>
      <c r="Z713" s="65"/>
      <c r="AA713" s="65"/>
      <c r="AB713" s="65"/>
      <c r="AC713" s="65"/>
    </row>
    <row r="714">
      <c r="A714" s="64"/>
      <c r="B714" s="64"/>
      <c r="C714" s="64"/>
      <c r="D714" s="64"/>
      <c r="E714" s="64"/>
      <c r="F714" s="64"/>
      <c r="G714" s="64"/>
      <c r="H714" s="63"/>
      <c r="I714" s="64"/>
      <c r="J714" s="64"/>
      <c r="K714" s="64"/>
      <c r="L714" s="64"/>
      <c r="M714" s="64"/>
      <c r="N714" s="64"/>
      <c r="O714" s="64"/>
      <c r="P714" s="64"/>
      <c r="Q714" s="64"/>
      <c r="R714" s="65" t="str">
        <f>IF($A714="","",IFERROR(MINIFS(Candidates!$K$2:$K$2000,Candidates!$A$2:$A$2000,$A714),""))</f>
        <v/>
      </c>
      <c r="S714" s="65" t="str">
        <f>IF($A714="","",IFERROR(MAXIFS(Candidates!$AA$2:$AA$2000,Candidates!$A$2:$A$2000,$A714),""))</f>
        <v/>
      </c>
      <c r="T714" s="64" t="str">
        <f>IFERROR(__xludf.DUMMYFUNCTION("IF($A714="""","""",IFERROR(TEXTJOIN("", "",TRUE,UNIQUE(FILTER(Candidates!$B$2:$B$2000,Candidates!$A$2:$A$2000=$A714))),""""))"),"")</f>
        <v/>
      </c>
      <c r="U714" s="66" t="str">
        <f>IF($A714="","",COUNTIF(Candidates!$A$2:$A$2000,$A714))</f>
        <v/>
      </c>
      <c r="V714" s="64" t="str">
        <f>IFERROR(__xludf.DUMMYFUNCTION("IF($A714="""","""",IFERROR(INDEX(FILTER(Candidates!$S$2:$S$2000,Candidates!$A$2:$A$2000=$A714),COUNTIF(Candidates!$A$2:$A$2000,$A714)),""""))"),"")</f>
        <v/>
      </c>
      <c r="W714" s="64" t="str">
        <f>IFERROR(__xludf.DUMMYFUNCTION("IF($A714="""","""",IFERROR(INDEX(FILTER(Candidates!$T$2:$T$2000,Candidates!$A$2:$A$2000=$A714),COUNTIF(Candidates!$A$2:$A$2000,$A714)),""""))"),"")</f>
        <v/>
      </c>
      <c r="X714" s="64"/>
      <c r="Y714" s="64"/>
      <c r="Z714" s="65"/>
      <c r="AA714" s="65"/>
      <c r="AB714" s="65"/>
      <c r="AC714" s="65"/>
    </row>
    <row r="715">
      <c r="A715" s="64"/>
      <c r="B715" s="64"/>
      <c r="C715" s="64"/>
      <c r="D715" s="64"/>
      <c r="E715" s="64"/>
      <c r="F715" s="64"/>
      <c r="G715" s="64"/>
      <c r="H715" s="63"/>
      <c r="I715" s="64"/>
      <c r="J715" s="64"/>
      <c r="K715" s="64"/>
      <c r="L715" s="64"/>
      <c r="M715" s="64"/>
      <c r="N715" s="64"/>
      <c r="O715" s="64"/>
      <c r="P715" s="64"/>
      <c r="Q715" s="64"/>
      <c r="R715" s="65" t="str">
        <f>IF($A715="","",IFERROR(MINIFS(Candidates!$K$2:$K$2000,Candidates!$A$2:$A$2000,$A715),""))</f>
        <v/>
      </c>
      <c r="S715" s="65" t="str">
        <f>IF($A715="","",IFERROR(MAXIFS(Candidates!$AA$2:$AA$2000,Candidates!$A$2:$A$2000,$A715),""))</f>
        <v/>
      </c>
      <c r="T715" s="64" t="str">
        <f>IFERROR(__xludf.DUMMYFUNCTION("IF($A715="""","""",IFERROR(TEXTJOIN("", "",TRUE,UNIQUE(FILTER(Candidates!$B$2:$B$2000,Candidates!$A$2:$A$2000=$A715))),""""))"),"")</f>
        <v/>
      </c>
      <c r="U715" s="66" t="str">
        <f>IF($A715="","",COUNTIF(Candidates!$A$2:$A$2000,$A715))</f>
        <v/>
      </c>
      <c r="V715" s="64" t="str">
        <f>IFERROR(__xludf.DUMMYFUNCTION("IF($A715="""","""",IFERROR(INDEX(FILTER(Candidates!$S$2:$S$2000,Candidates!$A$2:$A$2000=$A715),COUNTIF(Candidates!$A$2:$A$2000,$A715)),""""))"),"")</f>
        <v/>
      </c>
      <c r="W715" s="64" t="str">
        <f>IFERROR(__xludf.DUMMYFUNCTION("IF($A715="""","""",IFERROR(INDEX(FILTER(Candidates!$T$2:$T$2000,Candidates!$A$2:$A$2000=$A715),COUNTIF(Candidates!$A$2:$A$2000,$A715)),""""))"),"")</f>
        <v/>
      </c>
      <c r="X715" s="64"/>
      <c r="Y715" s="64"/>
      <c r="Z715" s="65"/>
      <c r="AA715" s="65"/>
      <c r="AB715" s="65"/>
      <c r="AC715" s="65"/>
    </row>
    <row r="716">
      <c r="A716" s="64"/>
      <c r="B716" s="64"/>
      <c r="C716" s="64"/>
      <c r="D716" s="64"/>
      <c r="E716" s="64"/>
      <c r="F716" s="64"/>
      <c r="G716" s="64"/>
      <c r="H716" s="63"/>
      <c r="I716" s="64"/>
      <c r="J716" s="64"/>
      <c r="K716" s="64"/>
      <c r="L716" s="64"/>
      <c r="M716" s="64"/>
      <c r="N716" s="64"/>
      <c r="O716" s="64"/>
      <c r="P716" s="64"/>
      <c r="Q716" s="64"/>
      <c r="R716" s="65" t="str">
        <f>IF($A716="","",IFERROR(MINIFS(Candidates!$K$2:$K$2000,Candidates!$A$2:$A$2000,$A716),""))</f>
        <v/>
      </c>
      <c r="S716" s="65" t="str">
        <f>IF($A716="","",IFERROR(MAXIFS(Candidates!$AA$2:$AA$2000,Candidates!$A$2:$A$2000,$A716),""))</f>
        <v/>
      </c>
      <c r="T716" s="64" t="str">
        <f>IFERROR(__xludf.DUMMYFUNCTION("IF($A716="""","""",IFERROR(TEXTJOIN("", "",TRUE,UNIQUE(FILTER(Candidates!$B$2:$B$2000,Candidates!$A$2:$A$2000=$A716))),""""))"),"")</f>
        <v/>
      </c>
      <c r="U716" s="66" t="str">
        <f>IF($A716="","",COUNTIF(Candidates!$A$2:$A$2000,$A716))</f>
        <v/>
      </c>
      <c r="V716" s="64" t="str">
        <f>IFERROR(__xludf.DUMMYFUNCTION("IF($A716="""","""",IFERROR(INDEX(FILTER(Candidates!$S$2:$S$2000,Candidates!$A$2:$A$2000=$A716),COUNTIF(Candidates!$A$2:$A$2000,$A716)),""""))"),"")</f>
        <v/>
      </c>
      <c r="W716" s="64" t="str">
        <f>IFERROR(__xludf.DUMMYFUNCTION("IF($A716="""","""",IFERROR(INDEX(FILTER(Candidates!$T$2:$T$2000,Candidates!$A$2:$A$2000=$A716),COUNTIF(Candidates!$A$2:$A$2000,$A716)),""""))"),"")</f>
        <v/>
      </c>
      <c r="X716" s="64"/>
      <c r="Y716" s="64"/>
      <c r="Z716" s="65"/>
      <c r="AA716" s="65"/>
      <c r="AB716" s="65"/>
      <c r="AC716" s="65"/>
    </row>
    <row r="717">
      <c r="A717" s="64"/>
      <c r="B717" s="64"/>
      <c r="C717" s="64"/>
      <c r="D717" s="64"/>
      <c r="E717" s="64"/>
      <c r="F717" s="64"/>
      <c r="G717" s="64"/>
      <c r="H717" s="63"/>
      <c r="I717" s="64"/>
      <c r="J717" s="64"/>
      <c r="K717" s="64"/>
      <c r="L717" s="64"/>
      <c r="M717" s="64"/>
      <c r="N717" s="64"/>
      <c r="O717" s="64"/>
      <c r="P717" s="64"/>
      <c r="Q717" s="64"/>
      <c r="R717" s="65" t="str">
        <f>IF($A717="","",IFERROR(MINIFS(Candidates!$K$2:$K$2000,Candidates!$A$2:$A$2000,$A717),""))</f>
        <v/>
      </c>
      <c r="S717" s="65" t="str">
        <f>IF($A717="","",IFERROR(MAXIFS(Candidates!$AA$2:$AA$2000,Candidates!$A$2:$A$2000,$A717),""))</f>
        <v/>
      </c>
      <c r="T717" s="64" t="str">
        <f>IFERROR(__xludf.DUMMYFUNCTION("IF($A717="""","""",IFERROR(TEXTJOIN("", "",TRUE,UNIQUE(FILTER(Candidates!$B$2:$B$2000,Candidates!$A$2:$A$2000=$A717))),""""))"),"")</f>
        <v/>
      </c>
      <c r="U717" s="66" t="str">
        <f>IF($A717="","",COUNTIF(Candidates!$A$2:$A$2000,$A717))</f>
        <v/>
      </c>
      <c r="V717" s="64" t="str">
        <f>IFERROR(__xludf.DUMMYFUNCTION("IF($A717="""","""",IFERROR(INDEX(FILTER(Candidates!$S$2:$S$2000,Candidates!$A$2:$A$2000=$A717),COUNTIF(Candidates!$A$2:$A$2000,$A717)),""""))"),"")</f>
        <v/>
      </c>
      <c r="W717" s="64" t="str">
        <f>IFERROR(__xludf.DUMMYFUNCTION("IF($A717="""","""",IFERROR(INDEX(FILTER(Candidates!$T$2:$T$2000,Candidates!$A$2:$A$2000=$A717),COUNTIF(Candidates!$A$2:$A$2000,$A717)),""""))"),"")</f>
        <v/>
      </c>
      <c r="X717" s="64"/>
      <c r="Y717" s="64"/>
      <c r="Z717" s="65"/>
      <c r="AA717" s="65"/>
      <c r="AB717" s="65"/>
      <c r="AC717" s="65"/>
    </row>
    <row r="718">
      <c r="A718" s="64"/>
      <c r="B718" s="64"/>
      <c r="C718" s="64"/>
      <c r="D718" s="64"/>
      <c r="E718" s="64"/>
      <c r="F718" s="64"/>
      <c r="G718" s="64"/>
      <c r="H718" s="63"/>
      <c r="I718" s="64"/>
      <c r="J718" s="64"/>
      <c r="K718" s="64"/>
      <c r="L718" s="64"/>
      <c r="M718" s="64"/>
      <c r="N718" s="64"/>
      <c r="O718" s="64"/>
      <c r="P718" s="64"/>
      <c r="Q718" s="64"/>
      <c r="R718" s="65" t="str">
        <f>IF($A718="","",IFERROR(MINIFS(Candidates!$K$2:$K$2000,Candidates!$A$2:$A$2000,$A718),""))</f>
        <v/>
      </c>
      <c r="S718" s="65" t="str">
        <f>IF($A718="","",IFERROR(MAXIFS(Candidates!$AA$2:$AA$2000,Candidates!$A$2:$A$2000,$A718),""))</f>
        <v/>
      </c>
      <c r="T718" s="64" t="str">
        <f>IFERROR(__xludf.DUMMYFUNCTION("IF($A718="""","""",IFERROR(TEXTJOIN("", "",TRUE,UNIQUE(FILTER(Candidates!$B$2:$B$2000,Candidates!$A$2:$A$2000=$A718))),""""))"),"")</f>
        <v/>
      </c>
      <c r="U718" s="66" t="str">
        <f>IF($A718="","",COUNTIF(Candidates!$A$2:$A$2000,$A718))</f>
        <v/>
      </c>
      <c r="V718" s="64" t="str">
        <f>IFERROR(__xludf.DUMMYFUNCTION("IF($A718="""","""",IFERROR(INDEX(FILTER(Candidates!$S$2:$S$2000,Candidates!$A$2:$A$2000=$A718),COUNTIF(Candidates!$A$2:$A$2000,$A718)),""""))"),"")</f>
        <v/>
      </c>
      <c r="W718" s="64" t="str">
        <f>IFERROR(__xludf.DUMMYFUNCTION("IF($A718="""","""",IFERROR(INDEX(FILTER(Candidates!$T$2:$T$2000,Candidates!$A$2:$A$2000=$A718),COUNTIF(Candidates!$A$2:$A$2000,$A718)),""""))"),"")</f>
        <v/>
      </c>
      <c r="X718" s="64"/>
      <c r="Y718" s="64"/>
      <c r="Z718" s="65"/>
      <c r="AA718" s="65"/>
      <c r="AB718" s="65"/>
      <c r="AC718" s="65"/>
    </row>
    <row r="719">
      <c r="A719" s="64"/>
      <c r="B719" s="64"/>
      <c r="C719" s="64"/>
      <c r="D719" s="64"/>
      <c r="E719" s="64"/>
      <c r="F719" s="64"/>
      <c r="G719" s="64"/>
      <c r="H719" s="63"/>
      <c r="I719" s="64"/>
      <c r="J719" s="64"/>
      <c r="K719" s="64"/>
      <c r="L719" s="64"/>
      <c r="M719" s="64"/>
      <c r="N719" s="64"/>
      <c r="O719" s="64"/>
      <c r="P719" s="64"/>
      <c r="Q719" s="64"/>
      <c r="R719" s="65" t="str">
        <f>IF($A719="","",IFERROR(MINIFS(Candidates!$K$2:$K$2000,Candidates!$A$2:$A$2000,$A719),""))</f>
        <v/>
      </c>
      <c r="S719" s="65" t="str">
        <f>IF($A719="","",IFERROR(MAXIFS(Candidates!$AA$2:$AA$2000,Candidates!$A$2:$A$2000,$A719),""))</f>
        <v/>
      </c>
      <c r="T719" s="64" t="str">
        <f>IFERROR(__xludf.DUMMYFUNCTION("IF($A719="""","""",IFERROR(TEXTJOIN("", "",TRUE,UNIQUE(FILTER(Candidates!$B$2:$B$2000,Candidates!$A$2:$A$2000=$A719))),""""))"),"")</f>
        <v/>
      </c>
      <c r="U719" s="66" t="str">
        <f>IF($A719="","",COUNTIF(Candidates!$A$2:$A$2000,$A719))</f>
        <v/>
      </c>
      <c r="V719" s="64" t="str">
        <f>IFERROR(__xludf.DUMMYFUNCTION("IF($A719="""","""",IFERROR(INDEX(FILTER(Candidates!$S$2:$S$2000,Candidates!$A$2:$A$2000=$A719),COUNTIF(Candidates!$A$2:$A$2000,$A719)),""""))"),"")</f>
        <v/>
      </c>
      <c r="W719" s="64" t="str">
        <f>IFERROR(__xludf.DUMMYFUNCTION("IF($A719="""","""",IFERROR(INDEX(FILTER(Candidates!$T$2:$T$2000,Candidates!$A$2:$A$2000=$A719),COUNTIF(Candidates!$A$2:$A$2000,$A719)),""""))"),"")</f>
        <v/>
      </c>
      <c r="X719" s="64"/>
      <c r="Y719" s="64"/>
      <c r="Z719" s="65"/>
      <c r="AA719" s="65"/>
      <c r="AB719" s="65"/>
      <c r="AC719" s="65"/>
    </row>
    <row r="720">
      <c r="A720" s="64"/>
      <c r="B720" s="64"/>
      <c r="C720" s="64"/>
      <c r="D720" s="64"/>
      <c r="E720" s="64"/>
      <c r="F720" s="64"/>
      <c r="G720" s="64"/>
      <c r="H720" s="63"/>
      <c r="I720" s="64"/>
      <c r="J720" s="64"/>
      <c r="K720" s="64"/>
      <c r="L720" s="64"/>
      <c r="M720" s="64"/>
      <c r="N720" s="64"/>
      <c r="O720" s="64"/>
      <c r="P720" s="64"/>
      <c r="Q720" s="64"/>
      <c r="R720" s="65" t="str">
        <f>IF($A720="","",IFERROR(MINIFS(Candidates!$K$2:$K$2000,Candidates!$A$2:$A$2000,$A720),""))</f>
        <v/>
      </c>
      <c r="S720" s="65" t="str">
        <f>IF($A720="","",IFERROR(MAXIFS(Candidates!$AA$2:$AA$2000,Candidates!$A$2:$A$2000,$A720),""))</f>
        <v/>
      </c>
      <c r="T720" s="64" t="str">
        <f>IFERROR(__xludf.DUMMYFUNCTION("IF($A720="""","""",IFERROR(TEXTJOIN("", "",TRUE,UNIQUE(FILTER(Candidates!$B$2:$B$2000,Candidates!$A$2:$A$2000=$A720))),""""))"),"")</f>
        <v/>
      </c>
      <c r="U720" s="66" t="str">
        <f>IF($A720="","",COUNTIF(Candidates!$A$2:$A$2000,$A720))</f>
        <v/>
      </c>
      <c r="V720" s="64" t="str">
        <f>IFERROR(__xludf.DUMMYFUNCTION("IF($A720="""","""",IFERROR(INDEX(FILTER(Candidates!$S$2:$S$2000,Candidates!$A$2:$A$2000=$A720),COUNTIF(Candidates!$A$2:$A$2000,$A720)),""""))"),"")</f>
        <v/>
      </c>
      <c r="W720" s="64" t="str">
        <f>IFERROR(__xludf.DUMMYFUNCTION("IF($A720="""","""",IFERROR(INDEX(FILTER(Candidates!$T$2:$T$2000,Candidates!$A$2:$A$2000=$A720),COUNTIF(Candidates!$A$2:$A$2000,$A720)),""""))"),"")</f>
        <v/>
      </c>
      <c r="X720" s="64"/>
      <c r="Y720" s="64"/>
      <c r="Z720" s="65"/>
      <c r="AA720" s="65"/>
      <c r="AB720" s="65"/>
      <c r="AC720" s="65"/>
    </row>
    <row r="721">
      <c r="A721" s="64"/>
      <c r="B721" s="64"/>
      <c r="C721" s="64"/>
      <c r="D721" s="64"/>
      <c r="E721" s="64"/>
      <c r="F721" s="64"/>
      <c r="G721" s="64"/>
      <c r="H721" s="63"/>
      <c r="I721" s="64"/>
      <c r="J721" s="64"/>
      <c r="K721" s="64"/>
      <c r="L721" s="64"/>
      <c r="M721" s="64"/>
      <c r="N721" s="64"/>
      <c r="O721" s="64"/>
      <c r="P721" s="64"/>
      <c r="Q721" s="64"/>
      <c r="R721" s="65" t="str">
        <f>IF($A721="","",IFERROR(MINIFS(Candidates!$K$2:$K$2000,Candidates!$A$2:$A$2000,$A721),""))</f>
        <v/>
      </c>
      <c r="S721" s="65" t="str">
        <f>IF($A721="","",IFERROR(MAXIFS(Candidates!$AA$2:$AA$2000,Candidates!$A$2:$A$2000,$A721),""))</f>
        <v/>
      </c>
      <c r="T721" s="64" t="str">
        <f>IFERROR(__xludf.DUMMYFUNCTION("IF($A721="""","""",IFERROR(TEXTJOIN("", "",TRUE,UNIQUE(FILTER(Candidates!$B$2:$B$2000,Candidates!$A$2:$A$2000=$A721))),""""))"),"")</f>
        <v/>
      </c>
      <c r="U721" s="66" t="str">
        <f>IF($A721="","",COUNTIF(Candidates!$A$2:$A$2000,$A721))</f>
        <v/>
      </c>
      <c r="V721" s="64" t="str">
        <f>IFERROR(__xludf.DUMMYFUNCTION("IF($A721="""","""",IFERROR(INDEX(FILTER(Candidates!$S$2:$S$2000,Candidates!$A$2:$A$2000=$A721),COUNTIF(Candidates!$A$2:$A$2000,$A721)),""""))"),"")</f>
        <v/>
      </c>
      <c r="W721" s="64" t="str">
        <f>IFERROR(__xludf.DUMMYFUNCTION("IF($A721="""","""",IFERROR(INDEX(FILTER(Candidates!$T$2:$T$2000,Candidates!$A$2:$A$2000=$A721),COUNTIF(Candidates!$A$2:$A$2000,$A721)),""""))"),"")</f>
        <v/>
      </c>
      <c r="X721" s="64"/>
      <c r="Y721" s="64"/>
      <c r="Z721" s="65"/>
      <c r="AA721" s="65"/>
      <c r="AB721" s="65"/>
      <c r="AC721" s="65"/>
    </row>
    <row r="722">
      <c r="A722" s="64"/>
      <c r="B722" s="64"/>
      <c r="C722" s="64"/>
      <c r="D722" s="64"/>
      <c r="E722" s="64"/>
      <c r="F722" s="64"/>
      <c r="G722" s="64"/>
      <c r="H722" s="63"/>
      <c r="I722" s="64"/>
      <c r="J722" s="64"/>
      <c r="K722" s="64"/>
      <c r="L722" s="64"/>
      <c r="M722" s="64"/>
      <c r="N722" s="64"/>
      <c r="O722" s="64"/>
      <c r="P722" s="64"/>
      <c r="Q722" s="64"/>
      <c r="R722" s="65" t="str">
        <f>IF($A722="","",IFERROR(MINIFS(Candidates!$K$2:$K$2000,Candidates!$A$2:$A$2000,$A722),""))</f>
        <v/>
      </c>
      <c r="S722" s="65" t="str">
        <f>IF($A722="","",IFERROR(MAXIFS(Candidates!$AA$2:$AA$2000,Candidates!$A$2:$A$2000,$A722),""))</f>
        <v/>
      </c>
      <c r="T722" s="64" t="str">
        <f>IFERROR(__xludf.DUMMYFUNCTION("IF($A722="""","""",IFERROR(TEXTJOIN("", "",TRUE,UNIQUE(FILTER(Candidates!$B$2:$B$2000,Candidates!$A$2:$A$2000=$A722))),""""))"),"")</f>
        <v/>
      </c>
      <c r="U722" s="66" t="str">
        <f>IF($A722="","",COUNTIF(Candidates!$A$2:$A$2000,$A722))</f>
        <v/>
      </c>
      <c r="V722" s="64" t="str">
        <f>IFERROR(__xludf.DUMMYFUNCTION("IF($A722="""","""",IFERROR(INDEX(FILTER(Candidates!$S$2:$S$2000,Candidates!$A$2:$A$2000=$A722),COUNTIF(Candidates!$A$2:$A$2000,$A722)),""""))"),"")</f>
        <v/>
      </c>
      <c r="W722" s="64" t="str">
        <f>IFERROR(__xludf.DUMMYFUNCTION("IF($A722="""","""",IFERROR(INDEX(FILTER(Candidates!$T$2:$T$2000,Candidates!$A$2:$A$2000=$A722),COUNTIF(Candidates!$A$2:$A$2000,$A722)),""""))"),"")</f>
        <v/>
      </c>
      <c r="X722" s="64"/>
      <c r="Y722" s="64"/>
      <c r="Z722" s="65"/>
      <c r="AA722" s="65"/>
      <c r="AB722" s="65"/>
      <c r="AC722" s="65"/>
    </row>
    <row r="723">
      <c r="A723" s="64"/>
      <c r="B723" s="64"/>
      <c r="C723" s="64"/>
      <c r="D723" s="64"/>
      <c r="E723" s="64"/>
      <c r="F723" s="64"/>
      <c r="G723" s="64"/>
      <c r="H723" s="63"/>
      <c r="I723" s="64"/>
      <c r="J723" s="64"/>
      <c r="K723" s="64"/>
      <c r="L723" s="64"/>
      <c r="M723" s="64"/>
      <c r="N723" s="64"/>
      <c r="O723" s="64"/>
      <c r="P723" s="64"/>
      <c r="Q723" s="64"/>
      <c r="R723" s="65" t="str">
        <f>IF($A723="","",IFERROR(MINIFS(Candidates!$K$2:$K$2000,Candidates!$A$2:$A$2000,$A723),""))</f>
        <v/>
      </c>
      <c r="S723" s="65" t="str">
        <f>IF($A723="","",IFERROR(MAXIFS(Candidates!$AA$2:$AA$2000,Candidates!$A$2:$A$2000,$A723),""))</f>
        <v/>
      </c>
      <c r="T723" s="64" t="str">
        <f>IFERROR(__xludf.DUMMYFUNCTION("IF($A723="""","""",IFERROR(TEXTJOIN("", "",TRUE,UNIQUE(FILTER(Candidates!$B$2:$B$2000,Candidates!$A$2:$A$2000=$A723))),""""))"),"")</f>
        <v/>
      </c>
      <c r="U723" s="66" t="str">
        <f>IF($A723="","",COUNTIF(Candidates!$A$2:$A$2000,$A723))</f>
        <v/>
      </c>
      <c r="V723" s="64" t="str">
        <f>IFERROR(__xludf.DUMMYFUNCTION("IF($A723="""","""",IFERROR(INDEX(FILTER(Candidates!$S$2:$S$2000,Candidates!$A$2:$A$2000=$A723),COUNTIF(Candidates!$A$2:$A$2000,$A723)),""""))"),"")</f>
        <v/>
      </c>
      <c r="W723" s="64" t="str">
        <f>IFERROR(__xludf.DUMMYFUNCTION("IF($A723="""","""",IFERROR(INDEX(FILTER(Candidates!$T$2:$T$2000,Candidates!$A$2:$A$2000=$A723),COUNTIF(Candidates!$A$2:$A$2000,$A723)),""""))"),"")</f>
        <v/>
      </c>
      <c r="X723" s="64"/>
      <c r="Y723" s="64"/>
      <c r="Z723" s="65"/>
      <c r="AA723" s="65"/>
      <c r="AB723" s="65"/>
      <c r="AC723" s="65"/>
    </row>
    <row r="724">
      <c r="A724" s="64"/>
      <c r="B724" s="64"/>
      <c r="C724" s="64"/>
      <c r="D724" s="64"/>
      <c r="E724" s="64"/>
      <c r="F724" s="64"/>
      <c r="G724" s="64"/>
      <c r="H724" s="63"/>
      <c r="I724" s="64"/>
      <c r="J724" s="64"/>
      <c r="K724" s="64"/>
      <c r="L724" s="64"/>
      <c r="M724" s="64"/>
      <c r="N724" s="64"/>
      <c r="O724" s="64"/>
      <c r="P724" s="64"/>
      <c r="Q724" s="64"/>
      <c r="R724" s="65" t="str">
        <f>IF($A724="","",IFERROR(MINIFS(Candidates!$K$2:$K$2000,Candidates!$A$2:$A$2000,$A724),""))</f>
        <v/>
      </c>
      <c r="S724" s="65" t="str">
        <f>IF($A724="","",IFERROR(MAXIFS(Candidates!$AA$2:$AA$2000,Candidates!$A$2:$A$2000,$A724),""))</f>
        <v/>
      </c>
      <c r="T724" s="64" t="str">
        <f>IFERROR(__xludf.DUMMYFUNCTION("IF($A724="""","""",IFERROR(TEXTJOIN("", "",TRUE,UNIQUE(FILTER(Candidates!$B$2:$B$2000,Candidates!$A$2:$A$2000=$A724))),""""))"),"")</f>
        <v/>
      </c>
      <c r="U724" s="66" t="str">
        <f>IF($A724="","",COUNTIF(Candidates!$A$2:$A$2000,$A724))</f>
        <v/>
      </c>
      <c r="V724" s="64" t="str">
        <f>IFERROR(__xludf.DUMMYFUNCTION("IF($A724="""","""",IFERROR(INDEX(FILTER(Candidates!$S$2:$S$2000,Candidates!$A$2:$A$2000=$A724),COUNTIF(Candidates!$A$2:$A$2000,$A724)),""""))"),"")</f>
        <v/>
      </c>
      <c r="W724" s="64" t="str">
        <f>IFERROR(__xludf.DUMMYFUNCTION("IF($A724="""","""",IFERROR(INDEX(FILTER(Candidates!$T$2:$T$2000,Candidates!$A$2:$A$2000=$A724),COUNTIF(Candidates!$A$2:$A$2000,$A724)),""""))"),"")</f>
        <v/>
      </c>
      <c r="X724" s="64"/>
      <c r="Y724" s="64"/>
      <c r="Z724" s="65"/>
      <c r="AA724" s="65"/>
      <c r="AB724" s="65"/>
      <c r="AC724" s="65"/>
    </row>
    <row r="725">
      <c r="A725" s="64"/>
      <c r="B725" s="64"/>
      <c r="C725" s="64"/>
      <c r="D725" s="64"/>
      <c r="E725" s="64"/>
      <c r="F725" s="64"/>
      <c r="G725" s="64"/>
      <c r="H725" s="63"/>
      <c r="I725" s="64"/>
      <c r="J725" s="64"/>
      <c r="K725" s="64"/>
      <c r="L725" s="64"/>
      <c r="M725" s="64"/>
      <c r="N725" s="64"/>
      <c r="O725" s="64"/>
      <c r="P725" s="64"/>
      <c r="Q725" s="64"/>
      <c r="R725" s="65" t="str">
        <f>IF($A725="","",IFERROR(MINIFS(Candidates!$K$2:$K$2000,Candidates!$A$2:$A$2000,$A725),""))</f>
        <v/>
      </c>
      <c r="S725" s="65" t="str">
        <f>IF($A725="","",IFERROR(MAXIFS(Candidates!$AA$2:$AA$2000,Candidates!$A$2:$A$2000,$A725),""))</f>
        <v/>
      </c>
      <c r="T725" s="64" t="str">
        <f>IFERROR(__xludf.DUMMYFUNCTION("IF($A725="""","""",IFERROR(TEXTJOIN("", "",TRUE,UNIQUE(FILTER(Candidates!$B$2:$B$2000,Candidates!$A$2:$A$2000=$A725))),""""))"),"")</f>
        <v/>
      </c>
      <c r="U725" s="66" t="str">
        <f>IF($A725="","",COUNTIF(Candidates!$A$2:$A$2000,$A725))</f>
        <v/>
      </c>
      <c r="V725" s="64" t="str">
        <f>IFERROR(__xludf.DUMMYFUNCTION("IF($A725="""","""",IFERROR(INDEX(FILTER(Candidates!$S$2:$S$2000,Candidates!$A$2:$A$2000=$A725),COUNTIF(Candidates!$A$2:$A$2000,$A725)),""""))"),"")</f>
        <v/>
      </c>
      <c r="W725" s="64" t="str">
        <f>IFERROR(__xludf.DUMMYFUNCTION("IF($A725="""","""",IFERROR(INDEX(FILTER(Candidates!$T$2:$T$2000,Candidates!$A$2:$A$2000=$A725),COUNTIF(Candidates!$A$2:$A$2000,$A725)),""""))"),"")</f>
        <v/>
      </c>
      <c r="X725" s="64"/>
      <c r="Y725" s="64"/>
      <c r="Z725" s="65"/>
      <c r="AA725" s="65"/>
      <c r="AB725" s="65"/>
      <c r="AC725" s="65"/>
    </row>
    <row r="726">
      <c r="A726" s="64"/>
      <c r="B726" s="64"/>
      <c r="C726" s="64"/>
      <c r="D726" s="64"/>
      <c r="E726" s="64"/>
      <c r="F726" s="64"/>
      <c r="G726" s="64"/>
      <c r="H726" s="63"/>
      <c r="I726" s="64"/>
      <c r="J726" s="64"/>
      <c r="K726" s="64"/>
      <c r="L726" s="64"/>
      <c r="M726" s="64"/>
      <c r="N726" s="64"/>
      <c r="O726" s="64"/>
      <c r="P726" s="64"/>
      <c r="Q726" s="64"/>
      <c r="R726" s="65" t="str">
        <f>IF($A726="","",IFERROR(MINIFS(Candidates!$K$2:$K$2000,Candidates!$A$2:$A$2000,$A726),""))</f>
        <v/>
      </c>
      <c r="S726" s="65" t="str">
        <f>IF($A726="","",IFERROR(MAXIFS(Candidates!$AA$2:$AA$2000,Candidates!$A$2:$A$2000,$A726),""))</f>
        <v/>
      </c>
      <c r="T726" s="64" t="str">
        <f>IFERROR(__xludf.DUMMYFUNCTION("IF($A726="""","""",IFERROR(TEXTJOIN("", "",TRUE,UNIQUE(FILTER(Candidates!$B$2:$B$2000,Candidates!$A$2:$A$2000=$A726))),""""))"),"")</f>
        <v/>
      </c>
      <c r="U726" s="66" t="str">
        <f>IF($A726="","",COUNTIF(Candidates!$A$2:$A$2000,$A726))</f>
        <v/>
      </c>
      <c r="V726" s="64" t="str">
        <f>IFERROR(__xludf.DUMMYFUNCTION("IF($A726="""","""",IFERROR(INDEX(FILTER(Candidates!$S$2:$S$2000,Candidates!$A$2:$A$2000=$A726),COUNTIF(Candidates!$A$2:$A$2000,$A726)),""""))"),"")</f>
        <v/>
      </c>
      <c r="W726" s="64" t="str">
        <f>IFERROR(__xludf.DUMMYFUNCTION("IF($A726="""","""",IFERROR(INDEX(FILTER(Candidates!$T$2:$T$2000,Candidates!$A$2:$A$2000=$A726),COUNTIF(Candidates!$A$2:$A$2000,$A726)),""""))"),"")</f>
        <v/>
      </c>
      <c r="X726" s="64"/>
      <c r="Y726" s="64"/>
      <c r="Z726" s="65"/>
      <c r="AA726" s="65"/>
      <c r="AB726" s="65"/>
      <c r="AC726" s="65"/>
    </row>
    <row r="727">
      <c r="A727" s="64"/>
      <c r="B727" s="64"/>
      <c r="C727" s="64"/>
      <c r="D727" s="64"/>
      <c r="E727" s="64"/>
      <c r="F727" s="64"/>
      <c r="G727" s="64"/>
      <c r="H727" s="63"/>
      <c r="I727" s="64"/>
      <c r="J727" s="64"/>
      <c r="K727" s="64"/>
      <c r="L727" s="64"/>
      <c r="M727" s="64"/>
      <c r="N727" s="64"/>
      <c r="O727" s="64"/>
      <c r="P727" s="64"/>
      <c r="Q727" s="64"/>
      <c r="R727" s="65" t="str">
        <f>IF($A727="","",IFERROR(MINIFS(Candidates!$K$2:$K$2000,Candidates!$A$2:$A$2000,$A727),""))</f>
        <v/>
      </c>
      <c r="S727" s="65" t="str">
        <f>IF($A727="","",IFERROR(MAXIFS(Candidates!$AA$2:$AA$2000,Candidates!$A$2:$A$2000,$A727),""))</f>
        <v/>
      </c>
      <c r="T727" s="64" t="str">
        <f>IFERROR(__xludf.DUMMYFUNCTION("IF($A727="""","""",IFERROR(TEXTJOIN("", "",TRUE,UNIQUE(FILTER(Candidates!$B$2:$B$2000,Candidates!$A$2:$A$2000=$A727))),""""))"),"")</f>
        <v/>
      </c>
      <c r="U727" s="66" t="str">
        <f>IF($A727="","",COUNTIF(Candidates!$A$2:$A$2000,$A727))</f>
        <v/>
      </c>
      <c r="V727" s="64" t="str">
        <f>IFERROR(__xludf.DUMMYFUNCTION("IF($A727="""","""",IFERROR(INDEX(FILTER(Candidates!$S$2:$S$2000,Candidates!$A$2:$A$2000=$A727),COUNTIF(Candidates!$A$2:$A$2000,$A727)),""""))"),"")</f>
        <v/>
      </c>
      <c r="W727" s="64" t="str">
        <f>IFERROR(__xludf.DUMMYFUNCTION("IF($A727="""","""",IFERROR(INDEX(FILTER(Candidates!$T$2:$T$2000,Candidates!$A$2:$A$2000=$A727),COUNTIF(Candidates!$A$2:$A$2000,$A727)),""""))"),"")</f>
        <v/>
      </c>
      <c r="X727" s="64"/>
      <c r="Y727" s="64"/>
      <c r="Z727" s="65"/>
      <c r="AA727" s="65"/>
      <c r="AB727" s="65"/>
      <c r="AC727" s="65"/>
    </row>
    <row r="728">
      <c r="A728" s="64"/>
      <c r="B728" s="64"/>
      <c r="C728" s="64"/>
      <c r="D728" s="64"/>
      <c r="E728" s="64"/>
      <c r="F728" s="64"/>
      <c r="G728" s="64"/>
      <c r="H728" s="63"/>
      <c r="I728" s="64"/>
      <c r="J728" s="64"/>
      <c r="K728" s="64"/>
      <c r="L728" s="64"/>
      <c r="M728" s="64"/>
      <c r="N728" s="64"/>
      <c r="O728" s="64"/>
      <c r="P728" s="64"/>
      <c r="Q728" s="64"/>
      <c r="R728" s="65" t="str">
        <f>IF($A728="","",IFERROR(MINIFS(Candidates!$K$2:$K$2000,Candidates!$A$2:$A$2000,$A728),""))</f>
        <v/>
      </c>
      <c r="S728" s="65" t="str">
        <f>IF($A728="","",IFERROR(MAXIFS(Candidates!$AA$2:$AA$2000,Candidates!$A$2:$A$2000,$A728),""))</f>
        <v/>
      </c>
      <c r="T728" s="64" t="str">
        <f>IFERROR(__xludf.DUMMYFUNCTION("IF($A728="""","""",IFERROR(TEXTJOIN("", "",TRUE,UNIQUE(FILTER(Candidates!$B$2:$B$2000,Candidates!$A$2:$A$2000=$A728))),""""))"),"")</f>
        <v/>
      </c>
      <c r="U728" s="66" t="str">
        <f>IF($A728="","",COUNTIF(Candidates!$A$2:$A$2000,$A728))</f>
        <v/>
      </c>
      <c r="V728" s="64" t="str">
        <f>IFERROR(__xludf.DUMMYFUNCTION("IF($A728="""","""",IFERROR(INDEX(FILTER(Candidates!$S$2:$S$2000,Candidates!$A$2:$A$2000=$A728),COUNTIF(Candidates!$A$2:$A$2000,$A728)),""""))"),"")</f>
        <v/>
      </c>
      <c r="W728" s="64" t="str">
        <f>IFERROR(__xludf.DUMMYFUNCTION("IF($A728="""","""",IFERROR(INDEX(FILTER(Candidates!$T$2:$T$2000,Candidates!$A$2:$A$2000=$A728),COUNTIF(Candidates!$A$2:$A$2000,$A728)),""""))"),"")</f>
        <v/>
      </c>
      <c r="X728" s="64"/>
      <c r="Y728" s="64"/>
      <c r="Z728" s="65"/>
      <c r="AA728" s="65"/>
      <c r="AB728" s="65"/>
      <c r="AC728" s="65"/>
    </row>
    <row r="729">
      <c r="A729" s="64"/>
      <c r="B729" s="64"/>
      <c r="C729" s="64"/>
      <c r="D729" s="64"/>
      <c r="E729" s="64"/>
      <c r="F729" s="64"/>
      <c r="G729" s="64"/>
      <c r="H729" s="63"/>
      <c r="I729" s="64"/>
      <c r="J729" s="64"/>
      <c r="K729" s="64"/>
      <c r="L729" s="64"/>
      <c r="M729" s="64"/>
      <c r="N729" s="64"/>
      <c r="O729" s="64"/>
      <c r="P729" s="64"/>
      <c r="Q729" s="64"/>
      <c r="R729" s="65" t="str">
        <f>IF($A729="","",IFERROR(MINIFS(Candidates!$K$2:$K$2000,Candidates!$A$2:$A$2000,$A729),""))</f>
        <v/>
      </c>
      <c r="S729" s="65" t="str">
        <f>IF($A729="","",IFERROR(MAXIFS(Candidates!$AA$2:$AA$2000,Candidates!$A$2:$A$2000,$A729),""))</f>
        <v/>
      </c>
      <c r="T729" s="64" t="str">
        <f>IFERROR(__xludf.DUMMYFUNCTION("IF($A729="""","""",IFERROR(TEXTJOIN("", "",TRUE,UNIQUE(FILTER(Candidates!$B$2:$B$2000,Candidates!$A$2:$A$2000=$A729))),""""))"),"")</f>
        <v/>
      </c>
      <c r="U729" s="66" t="str">
        <f>IF($A729="","",COUNTIF(Candidates!$A$2:$A$2000,$A729))</f>
        <v/>
      </c>
      <c r="V729" s="64" t="str">
        <f>IFERROR(__xludf.DUMMYFUNCTION("IF($A729="""","""",IFERROR(INDEX(FILTER(Candidates!$S$2:$S$2000,Candidates!$A$2:$A$2000=$A729),COUNTIF(Candidates!$A$2:$A$2000,$A729)),""""))"),"")</f>
        <v/>
      </c>
      <c r="W729" s="64" t="str">
        <f>IFERROR(__xludf.DUMMYFUNCTION("IF($A729="""","""",IFERROR(INDEX(FILTER(Candidates!$T$2:$T$2000,Candidates!$A$2:$A$2000=$A729),COUNTIF(Candidates!$A$2:$A$2000,$A729)),""""))"),"")</f>
        <v/>
      </c>
      <c r="X729" s="64"/>
      <c r="Y729" s="64"/>
      <c r="Z729" s="65"/>
      <c r="AA729" s="65"/>
      <c r="AB729" s="65"/>
      <c r="AC729" s="65"/>
    </row>
    <row r="730">
      <c r="A730" s="64"/>
      <c r="B730" s="64"/>
      <c r="C730" s="64"/>
      <c r="D730" s="64"/>
      <c r="E730" s="64"/>
      <c r="F730" s="64"/>
      <c r="G730" s="64"/>
      <c r="H730" s="63"/>
      <c r="I730" s="64"/>
      <c r="J730" s="64"/>
      <c r="K730" s="64"/>
      <c r="L730" s="64"/>
      <c r="M730" s="64"/>
      <c r="N730" s="64"/>
      <c r="O730" s="64"/>
      <c r="P730" s="64"/>
      <c r="Q730" s="64"/>
      <c r="R730" s="65" t="str">
        <f>IF($A730="","",IFERROR(MINIFS(Candidates!$K$2:$K$2000,Candidates!$A$2:$A$2000,$A730),""))</f>
        <v/>
      </c>
      <c r="S730" s="65" t="str">
        <f>IF($A730="","",IFERROR(MAXIFS(Candidates!$AA$2:$AA$2000,Candidates!$A$2:$A$2000,$A730),""))</f>
        <v/>
      </c>
      <c r="T730" s="64" t="str">
        <f>IFERROR(__xludf.DUMMYFUNCTION("IF($A730="""","""",IFERROR(TEXTJOIN("", "",TRUE,UNIQUE(FILTER(Candidates!$B$2:$B$2000,Candidates!$A$2:$A$2000=$A730))),""""))"),"")</f>
        <v/>
      </c>
      <c r="U730" s="66" t="str">
        <f>IF($A730="","",COUNTIF(Candidates!$A$2:$A$2000,$A730))</f>
        <v/>
      </c>
      <c r="V730" s="64" t="str">
        <f>IFERROR(__xludf.DUMMYFUNCTION("IF($A730="""","""",IFERROR(INDEX(FILTER(Candidates!$S$2:$S$2000,Candidates!$A$2:$A$2000=$A730),COUNTIF(Candidates!$A$2:$A$2000,$A730)),""""))"),"")</f>
        <v/>
      </c>
      <c r="W730" s="64" t="str">
        <f>IFERROR(__xludf.DUMMYFUNCTION("IF($A730="""","""",IFERROR(INDEX(FILTER(Candidates!$T$2:$T$2000,Candidates!$A$2:$A$2000=$A730),COUNTIF(Candidates!$A$2:$A$2000,$A730)),""""))"),"")</f>
        <v/>
      </c>
      <c r="X730" s="64"/>
      <c r="Y730" s="64"/>
      <c r="Z730" s="65"/>
      <c r="AA730" s="65"/>
      <c r="AB730" s="65"/>
      <c r="AC730" s="65"/>
    </row>
    <row r="731">
      <c r="A731" s="64"/>
      <c r="B731" s="64"/>
      <c r="C731" s="64"/>
      <c r="D731" s="64"/>
      <c r="E731" s="64"/>
      <c r="F731" s="64"/>
      <c r="G731" s="64"/>
      <c r="H731" s="63"/>
      <c r="I731" s="64"/>
      <c r="J731" s="64"/>
      <c r="K731" s="64"/>
      <c r="L731" s="64"/>
      <c r="M731" s="64"/>
      <c r="N731" s="64"/>
      <c r="O731" s="64"/>
      <c r="P731" s="64"/>
      <c r="Q731" s="64"/>
      <c r="R731" s="65" t="str">
        <f>IF($A731="","",IFERROR(MINIFS(Candidates!$K$2:$K$2000,Candidates!$A$2:$A$2000,$A731),""))</f>
        <v/>
      </c>
      <c r="S731" s="65" t="str">
        <f>IF($A731="","",IFERROR(MAXIFS(Candidates!$AA$2:$AA$2000,Candidates!$A$2:$A$2000,$A731),""))</f>
        <v/>
      </c>
      <c r="T731" s="64" t="str">
        <f>IFERROR(__xludf.DUMMYFUNCTION("IF($A731="""","""",IFERROR(TEXTJOIN("", "",TRUE,UNIQUE(FILTER(Candidates!$B$2:$B$2000,Candidates!$A$2:$A$2000=$A731))),""""))"),"")</f>
        <v/>
      </c>
      <c r="U731" s="66" t="str">
        <f>IF($A731="","",COUNTIF(Candidates!$A$2:$A$2000,$A731))</f>
        <v/>
      </c>
      <c r="V731" s="64" t="str">
        <f>IFERROR(__xludf.DUMMYFUNCTION("IF($A731="""","""",IFERROR(INDEX(FILTER(Candidates!$S$2:$S$2000,Candidates!$A$2:$A$2000=$A731),COUNTIF(Candidates!$A$2:$A$2000,$A731)),""""))"),"")</f>
        <v/>
      </c>
      <c r="W731" s="64" t="str">
        <f>IFERROR(__xludf.DUMMYFUNCTION("IF($A731="""","""",IFERROR(INDEX(FILTER(Candidates!$T$2:$T$2000,Candidates!$A$2:$A$2000=$A731),COUNTIF(Candidates!$A$2:$A$2000,$A731)),""""))"),"")</f>
        <v/>
      </c>
      <c r="X731" s="64"/>
      <c r="Y731" s="64"/>
      <c r="Z731" s="65"/>
      <c r="AA731" s="65"/>
      <c r="AB731" s="65"/>
      <c r="AC731" s="65"/>
    </row>
    <row r="732">
      <c r="A732" s="64"/>
      <c r="B732" s="64"/>
      <c r="C732" s="64"/>
      <c r="D732" s="64"/>
      <c r="E732" s="64"/>
      <c r="F732" s="64"/>
      <c r="G732" s="64"/>
      <c r="H732" s="63"/>
      <c r="I732" s="64"/>
      <c r="J732" s="64"/>
      <c r="K732" s="64"/>
      <c r="L732" s="64"/>
      <c r="M732" s="64"/>
      <c r="N732" s="64"/>
      <c r="O732" s="64"/>
      <c r="P732" s="64"/>
      <c r="Q732" s="64"/>
      <c r="R732" s="65" t="str">
        <f>IF($A732="","",IFERROR(MINIFS(Candidates!$K$2:$K$2000,Candidates!$A$2:$A$2000,$A732),""))</f>
        <v/>
      </c>
      <c r="S732" s="65" t="str">
        <f>IF($A732="","",IFERROR(MAXIFS(Candidates!$AA$2:$AA$2000,Candidates!$A$2:$A$2000,$A732),""))</f>
        <v/>
      </c>
      <c r="T732" s="64" t="str">
        <f>IFERROR(__xludf.DUMMYFUNCTION("IF($A732="""","""",IFERROR(TEXTJOIN("", "",TRUE,UNIQUE(FILTER(Candidates!$B$2:$B$2000,Candidates!$A$2:$A$2000=$A732))),""""))"),"")</f>
        <v/>
      </c>
      <c r="U732" s="66" t="str">
        <f>IF($A732="","",COUNTIF(Candidates!$A$2:$A$2000,$A732))</f>
        <v/>
      </c>
      <c r="V732" s="64" t="str">
        <f>IFERROR(__xludf.DUMMYFUNCTION("IF($A732="""","""",IFERROR(INDEX(FILTER(Candidates!$S$2:$S$2000,Candidates!$A$2:$A$2000=$A732),COUNTIF(Candidates!$A$2:$A$2000,$A732)),""""))"),"")</f>
        <v/>
      </c>
      <c r="W732" s="64" t="str">
        <f>IFERROR(__xludf.DUMMYFUNCTION("IF($A732="""","""",IFERROR(INDEX(FILTER(Candidates!$T$2:$T$2000,Candidates!$A$2:$A$2000=$A732),COUNTIF(Candidates!$A$2:$A$2000,$A732)),""""))"),"")</f>
        <v/>
      </c>
      <c r="X732" s="64"/>
      <c r="Y732" s="64"/>
      <c r="Z732" s="65"/>
      <c r="AA732" s="65"/>
      <c r="AB732" s="65"/>
      <c r="AC732" s="65"/>
    </row>
    <row r="733">
      <c r="A733" s="64"/>
      <c r="B733" s="64"/>
      <c r="C733" s="64"/>
      <c r="D733" s="64"/>
      <c r="E733" s="64"/>
      <c r="F733" s="64"/>
      <c r="G733" s="64"/>
      <c r="H733" s="63"/>
      <c r="I733" s="64"/>
      <c r="J733" s="64"/>
      <c r="K733" s="64"/>
      <c r="L733" s="64"/>
      <c r="M733" s="64"/>
      <c r="N733" s="64"/>
      <c r="O733" s="64"/>
      <c r="P733" s="64"/>
      <c r="Q733" s="64"/>
      <c r="R733" s="65" t="str">
        <f>IF($A733="","",IFERROR(MINIFS(Candidates!$K$2:$K$2000,Candidates!$A$2:$A$2000,$A733),""))</f>
        <v/>
      </c>
      <c r="S733" s="65" t="str">
        <f>IF($A733="","",IFERROR(MAXIFS(Candidates!$AA$2:$AA$2000,Candidates!$A$2:$A$2000,$A733),""))</f>
        <v/>
      </c>
      <c r="T733" s="64" t="str">
        <f>IFERROR(__xludf.DUMMYFUNCTION("IF($A733="""","""",IFERROR(TEXTJOIN("", "",TRUE,UNIQUE(FILTER(Candidates!$B$2:$B$2000,Candidates!$A$2:$A$2000=$A733))),""""))"),"")</f>
        <v/>
      </c>
      <c r="U733" s="66" t="str">
        <f>IF($A733="","",COUNTIF(Candidates!$A$2:$A$2000,$A733))</f>
        <v/>
      </c>
      <c r="V733" s="64" t="str">
        <f>IFERROR(__xludf.DUMMYFUNCTION("IF($A733="""","""",IFERROR(INDEX(FILTER(Candidates!$S$2:$S$2000,Candidates!$A$2:$A$2000=$A733),COUNTIF(Candidates!$A$2:$A$2000,$A733)),""""))"),"")</f>
        <v/>
      </c>
      <c r="W733" s="64" t="str">
        <f>IFERROR(__xludf.DUMMYFUNCTION("IF($A733="""","""",IFERROR(INDEX(FILTER(Candidates!$T$2:$T$2000,Candidates!$A$2:$A$2000=$A733),COUNTIF(Candidates!$A$2:$A$2000,$A733)),""""))"),"")</f>
        <v/>
      </c>
      <c r="X733" s="64"/>
      <c r="Y733" s="64"/>
      <c r="Z733" s="65"/>
      <c r="AA733" s="65"/>
      <c r="AB733" s="65"/>
      <c r="AC733" s="65"/>
    </row>
    <row r="734">
      <c r="A734" s="64"/>
      <c r="B734" s="64"/>
      <c r="C734" s="64"/>
      <c r="D734" s="64"/>
      <c r="E734" s="64"/>
      <c r="F734" s="64"/>
      <c r="G734" s="64"/>
      <c r="H734" s="63"/>
      <c r="I734" s="64"/>
      <c r="J734" s="64"/>
      <c r="K734" s="64"/>
      <c r="L734" s="64"/>
      <c r="M734" s="64"/>
      <c r="N734" s="64"/>
      <c r="O734" s="64"/>
      <c r="P734" s="64"/>
      <c r="Q734" s="64"/>
      <c r="R734" s="65" t="str">
        <f>IF($A734="","",IFERROR(MINIFS(Candidates!$K$2:$K$2000,Candidates!$A$2:$A$2000,$A734),""))</f>
        <v/>
      </c>
      <c r="S734" s="65" t="str">
        <f>IF($A734="","",IFERROR(MAXIFS(Candidates!$AA$2:$AA$2000,Candidates!$A$2:$A$2000,$A734),""))</f>
        <v/>
      </c>
      <c r="T734" s="64" t="str">
        <f>IFERROR(__xludf.DUMMYFUNCTION("IF($A734="""","""",IFERROR(TEXTJOIN("", "",TRUE,UNIQUE(FILTER(Candidates!$B$2:$B$2000,Candidates!$A$2:$A$2000=$A734))),""""))"),"")</f>
        <v/>
      </c>
      <c r="U734" s="66" t="str">
        <f>IF($A734="","",COUNTIF(Candidates!$A$2:$A$2000,$A734))</f>
        <v/>
      </c>
      <c r="V734" s="64" t="str">
        <f>IFERROR(__xludf.DUMMYFUNCTION("IF($A734="""","""",IFERROR(INDEX(FILTER(Candidates!$S$2:$S$2000,Candidates!$A$2:$A$2000=$A734),COUNTIF(Candidates!$A$2:$A$2000,$A734)),""""))"),"")</f>
        <v/>
      </c>
      <c r="W734" s="64" t="str">
        <f>IFERROR(__xludf.DUMMYFUNCTION("IF($A734="""","""",IFERROR(INDEX(FILTER(Candidates!$T$2:$T$2000,Candidates!$A$2:$A$2000=$A734),COUNTIF(Candidates!$A$2:$A$2000,$A734)),""""))"),"")</f>
        <v/>
      </c>
      <c r="X734" s="64"/>
      <c r="Y734" s="64"/>
      <c r="Z734" s="65"/>
      <c r="AA734" s="65"/>
      <c r="AB734" s="65"/>
      <c r="AC734" s="65"/>
    </row>
    <row r="735">
      <c r="A735" s="64"/>
      <c r="B735" s="64"/>
      <c r="C735" s="64"/>
      <c r="D735" s="64"/>
      <c r="E735" s="64"/>
      <c r="F735" s="64"/>
      <c r="G735" s="64"/>
      <c r="H735" s="63"/>
      <c r="I735" s="64"/>
      <c r="J735" s="64"/>
      <c r="K735" s="64"/>
      <c r="L735" s="64"/>
      <c r="M735" s="64"/>
      <c r="N735" s="64"/>
      <c r="O735" s="64"/>
      <c r="P735" s="64"/>
      <c r="Q735" s="64"/>
      <c r="R735" s="65" t="str">
        <f>IF($A735="","",IFERROR(MINIFS(Candidates!$K$2:$K$2000,Candidates!$A$2:$A$2000,$A735),""))</f>
        <v/>
      </c>
      <c r="S735" s="65" t="str">
        <f>IF($A735="","",IFERROR(MAXIFS(Candidates!$AA$2:$AA$2000,Candidates!$A$2:$A$2000,$A735),""))</f>
        <v/>
      </c>
      <c r="T735" s="64" t="str">
        <f>IFERROR(__xludf.DUMMYFUNCTION("IF($A735="""","""",IFERROR(TEXTJOIN("", "",TRUE,UNIQUE(FILTER(Candidates!$B$2:$B$2000,Candidates!$A$2:$A$2000=$A735))),""""))"),"")</f>
        <v/>
      </c>
      <c r="U735" s="66" t="str">
        <f>IF($A735="","",COUNTIF(Candidates!$A$2:$A$2000,$A735))</f>
        <v/>
      </c>
      <c r="V735" s="64" t="str">
        <f>IFERROR(__xludf.DUMMYFUNCTION("IF($A735="""","""",IFERROR(INDEX(FILTER(Candidates!$S$2:$S$2000,Candidates!$A$2:$A$2000=$A735),COUNTIF(Candidates!$A$2:$A$2000,$A735)),""""))"),"")</f>
        <v/>
      </c>
      <c r="W735" s="64" t="str">
        <f>IFERROR(__xludf.DUMMYFUNCTION("IF($A735="""","""",IFERROR(INDEX(FILTER(Candidates!$T$2:$T$2000,Candidates!$A$2:$A$2000=$A735),COUNTIF(Candidates!$A$2:$A$2000,$A735)),""""))"),"")</f>
        <v/>
      </c>
      <c r="X735" s="64"/>
      <c r="Y735" s="64"/>
      <c r="Z735" s="65"/>
      <c r="AA735" s="65"/>
      <c r="AB735" s="65"/>
      <c r="AC735" s="65"/>
    </row>
    <row r="736">
      <c r="A736" s="64"/>
      <c r="B736" s="64"/>
      <c r="C736" s="64"/>
      <c r="D736" s="64"/>
      <c r="E736" s="64"/>
      <c r="F736" s="64"/>
      <c r="G736" s="64"/>
      <c r="H736" s="63"/>
      <c r="I736" s="64"/>
      <c r="J736" s="64"/>
      <c r="K736" s="64"/>
      <c r="L736" s="64"/>
      <c r="M736" s="64"/>
      <c r="N736" s="64"/>
      <c r="O736" s="64"/>
      <c r="P736" s="64"/>
      <c r="Q736" s="64"/>
      <c r="R736" s="65" t="str">
        <f>IF($A736="","",IFERROR(MINIFS(Candidates!$K$2:$K$2000,Candidates!$A$2:$A$2000,$A736),""))</f>
        <v/>
      </c>
      <c r="S736" s="65" t="str">
        <f>IF($A736="","",IFERROR(MAXIFS(Candidates!$AA$2:$AA$2000,Candidates!$A$2:$A$2000,$A736),""))</f>
        <v/>
      </c>
      <c r="T736" s="64" t="str">
        <f>IFERROR(__xludf.DUMMYFUNCTION("IF($A736="""","""",IFERROR(TEXTJOIN("", "",TRUE,UNIQUE(FILTER(Candidates!$B$2:$B$2000,Candidates!$A$2:$A$2000=$A736))),""""))"),"")</f>
        <v/>
      </c>
      <c r="U736" s="66" t="str">
        <f>IF($A736="","",COUNTIF(Candidates!$A$2:$A$2000,$A736))</f>
        <v/>
      </c>
      <c r="V736" s="64" t="str">
        <f>IFERROR(__xludf.DUMMYFUNCTION("IF($A736="""","""",IFERROR(INDEX(FILTER(Candidates!$S$2:$S$2000,Candidates!$A$2:$A$2000=$A736),COUNTIF(Candidates!$A$2:$A$2000,$A736)),""""))"),"")</f>
        <v/>
      </c>
      <c r="W736" s="64" t="str">
        <f>IFERROR(__xludf.DUMMYFUNCTION("IF($A736="""","""",IFERROR(INDEX(FILTER(Candidates!$T$2:$T$2000,Candidates!$A$2:$A$2000=$A736),COUNTIF(Candidates!$A$2:$A$2000,$A736)),""""))"),"")</f>
        <v/>
      </c>
      <c r="X736" s="64"/>
      <c r="Y736" s="64"/>
      <c r="Z736" s="65"/>
      <c r="AA736" s="65"/>
      <c r="AB736" s="65"/>
      <c r="AC736" s="65"/>
    </row>
    <row r="737">
      <c r="A737" s="64"/>
      <c r="B737" s="64"/>
      <c r="C737" s="64"/>
      <c r="D737" s="64"/>
      <c r="E737" s="64"/>
      <c r="F737" s="64"/>
      <c r="G737" s="64"/>
      <c r="H737" s="63"/>
      <c r="I737" s="64"/>
      <c r="J737" s="64"/>
      <c r="K737" s="64"/>
      <c r="L737" s="64"/>
      <c r="M737" s="64"/>
      <c r="N737" s="64"/>
      <c r="O737" s="64"/>
      <c r="P737" s="64"/>
      <c r="Q737" s="64"/>
      <c r="R737" s="65" t="str">
        <f>IF($A737="","",IFERROR(MINIFS(Candidates!$K$2:$K$2000,Candidates!$A$2:$A$2000,$A737),""))</f>
        <v/>
      </c>
      <c r="S737" s="65" t="str">
        <f>IF($A737="","",IFERROR(MAXIFS(Candidates!$AA$2:$AA$2000,Candidates!$A$2:$A$2000,$A737),""))</f>
        <v/>
      </c>
      <c r="T737" s="64" t="str">
        <f>IFERROR(__xludf.DUMMYFUNCTION("IF($A737="""","""",IFERROR(TEXTJOIN("", "",TRUE,UNIQUE(FILTER(Candidates!$B$2:$B$2000,Candidates!$A$2:$A$2000=$A737))),""""))"),"")</f>
        <v/>
      </c>
      <c r="U737" s="66" t="str">
        <f>IF($A737="","",COUNTIF(Candidates!$A$2:$A$2000,$A737))</f>
        <v/>
      </c>
      <c r="V737" s="64" t="str">
        <f>IFERROR(__xludf.DUMMYFUNCTION("IF($A737="""","""",IFERROR(INDEX(FILTER(Candidates!$S$2:$S$2000,Candidates!$A$2:$A$2000=$A737),COUNTIF(Candidates!$A$2:$A$2000,$A737)),""""))"),"")</f>
        <v/>
      </c>
      <c r="W737" s="64" t="str">
        <f>IFERROR(__xludf.DUMMYFUNCTION("IF($A737="""","""",IFERROR(INDEX(FILTER(Candidates!$T$2:$T$2000,Candidates!$A$2:$A$2000=$A737),COUNTIF(Candidates!$A$2:$A$2000,$A737)),""""))"),"")</f>
        <v/>
      </c>
      <c r="X737" s="64"/>
      <c r="Y737" s="64"/>
      <c r="Z737" s="65"/>
      <c r="AA737" s="65"/>
      <c r="AB737" s="65"/>
      <c r="AC737" s="65"/>
    </row>
    <row r="738">
      <c r="A738" s="64"/>
      <c r="B738" s="64"/>
      <c r="C738" s="64"/>
      <c r="D738" s="64"/>
      <c r="E738" s="64"/>
      <c r="F738" s="64"/>
      <c r="G738" s="64"/>
      <c r="H738" s="63"/>
      <c r="I738" s="64"/>
      <c r="J738" s="64"/>
      <c r="K738" s="64"/>
      <c r="L738" s="64"/>
      <c r="M738" s="64"/>
      <c r="N738" s="64"/>
      <c r="O738" s="64"/>
      <c r="P738" s="64"/>
      <c r="Q738" s="64"/>
      <c r="R738" s="65" t="str">
        <f>IF($A738="","",IFERROR(MINIFS(Candidates!$K$2:$K$2000,Candidates!$A$2:$A$2000,$A738),""))</f>
        <v/>
      </c>
      <c r="S738" s="65" t="str">
        <f>IF($A738="","",IFERROR(MAXIFS(Candidates!$AA$2:$AA$2000,Candidates!$A$2:$A$2000,$A738),""))</f>
        <v/>
      </c>
      <c r="T738" s="64" t="str">
        <f>IFERROR(__xludf.DUMMYFUNCTION("IF($A738="""","""",IFERROR(TEXTJOIN("", "",TRUE,UNIQUE(FILTER(Candidates!$B$2:$B$2000,Candidates!$A$2:$A$2000=$A738))),""""))"),"")</f>
        <v/>
      </c>
      <c r="U738" s="66" t="str">
        <f>IF($A738="","",COUNTIF(Candidates!$A$2:$A$2000,$A738))</f>
        <v/>
      </c>
      <c r="V738" s="64" t="str">
        <f>IFERROR(__xludf.DUMMYFUNCTION("IF($A738="""","""",IFERROR(INDEX(FILTER(Candidates!$S$2:$S$2000,Candidates!$A$2:$A$2000=$A738),COUNTIF(Candidates!$A$2:$A$2000,$A738)),""""))"),"")</f>
        <v/>
      </c>
      <c r="W738" s="64" t="str">
        <f>IFERROR(__xludf.DUMMYFUNCTION("IF($A738="""","""",IFERROR(INDEX(FILTER(Candidates!$T$2:$T$2000,Candidates!$A$2:$A$2000=$A738),COUNTIF(Candidates!$A$2:$A$2000,$A738)),""""))"),"")</f>
        <v/>
      </c>
      <c r="X738" s="64"/>
      <c r="Y738" s="64"/>
      <c r="Z738" s="65"/>
      <c r="AA738" s="65"/>
      <c r="AB738" s="65"/>
      <c r="AC738" s="65"/>
    </row>
    <row r="739">
      <c r="A739" s="64"/>
      <c r="B739" s="64"/>
      <c r="C739" s="64"/>
      <c r="D739" s="64"/>
      <c r="E739" s="64"/>
      <c r="F739" s="64"/>
      <c r="G739" s="64"/>
      <c r="H739" s="63"/>
      <c r="I739" s="64"/>
      <c r="J739" s="64"/>
      <c r="K739" s="64"/>
      <c r="L739" s="64"/>
      <c r="M739" s="64"/>
      <c r="N739" s="64"/>
      <c r="O739" s="64"/>
      <c r="P739" s="64"/>
      <c r="Q739" s="64"/>
      <c r="R739" s="65" t="str">
        <f>IF($A739="","",IFERROR(MINIFS(Candidates!$K$2:$K$2000,Candidates!$A$2:$A$2000,$A739),""))</f>
        <v/>
      </c>
      <c r="S739" s="65" t="str">
        <f>IF($A739="","",IFERROR(MAXIFS(Candidates!$AA$2:$AA$2000,Candidates!$A$2:$A$2000,$A739),""))</f>
        <v/>
      </c>
      <c r="T739" s="64" t="str">
        <f>IFERROR(__xludf.DUMMYFUNCTION("IF($A739="""","""",IFERROR(TEXTJOIN("", "",TRUE,UNIQUE(FILTER(Candidates!$B$2:$B$2000,Candidates!$A$2:$A$2000=$A739))),""""))"),"")</f>
        <v/>
      </c>
      <c r="U739" s="66" t="str">
        <f>IF($A739="","",COUNTIF(Candidates!$A$2:$A$2000,$A739))</f>
        <v/>
      </c>
      <c r="V739" s="64" t="str">
        <f>IFERROR(__xludf.DUMMYFUNCTION("IF($A739="""","""",IFERROR(INDEX(FILTER(Candidates!$S$2:$S$2000,Candidates!$A$2:$A$2000=$A739),COUNTIF(Candidates!$A$2:$A$2000,$A739)),""""))"),"")</f>
        <v/>
      </c>
      <c r="W739" s="64" t="str">
        <f>IFERROR(__xludf.DUMMYFUNCTION("IF($A739="""","""",IFERROR(INDEX(FILTER(Candidates!$T$2:$T$2000,Candidates!$A$2:$A$2000=$A739),COUNTIF(Candidates!$A$2:$A$2000,$A739)),""""))"),"")</f>
        <v/>
      </c>
      <c r="X739" s="64"/>
      <c r="Y739" s="64"/>
      <c r="Z739" s="65"/>
      <c r="AA739" s="65"/>
      <c r="AB739" s="65"/>
      <c r="AC739" s="65"/>
    </row>
    <row r="740">
      <c r="A740" s="64"/>
      <c r="B740" s="64"/>
      <c r="C740" s="64"/>
      <c r="D740" s="64"/>
      <c r="E740" s="64"/>
      <c r="F740" s="64"/>
      <c r="G740" s="64"/>
      <c r="H740" s="63"/>
      <c r="I740" s="64"/>
      <c r="J740" s="64"/>
      <c r="K740" s="64"/>
      <c r="L740" s="64"/>
      <c r="M740" s="64"/>
      <c r="N740" s="64"/>
      <c r="O740" s="64"/>
      <c r="P740" s="64"/>
      <c r="Q740" s="64"/>
      <c r="R740" s="65" t="str">
        <f>IF($A740="","",IFERROR(MINIFS(Candidates!$K$2:$K$2000,Candidates!$A$2:$A$2000,$A740),""))</f>
        <v/>
      </c>
      <c r="S740" s="65" t="str">
        <f>IF($A740="","",IFERROR(MAXIFS(Candidates!$AA$2:$AA$2000,Candidates!$A$2:$A$2000,$A740),""))</f>
        <v/>
      </c>
      <c r="T740" s="64" t="str">
        <f>IFERROR(__xludf.DUMMYFUNCTION("IF($A740="""","""",IFERROR(TEXTJOIN("", "",TRUE,UNIQUE(FILTER(Candidates!$B$2:$B$2000,Candidates!$A$2:$A$2000=$A740))),""""))"),"")</f>
        <v/>
      </c>
      <c r="U740" s="66" t="str">
        <f>IF($A740="","",COUNTIF(Candidates!$A$2:$A$2000,$A740))</f>
        <v/>
      </c>
      <c r="V740" s="64" t="str">
        <f>IFERROR(__xludf.DUMMYFUNCTION("IF($A740="""","""",IFERROR(INDEX(FILTER(Candidates!$S$2:$S$2000,Candidates!$A$2:$A$2000=$A740),COUNTIF(Candidates!$A$2:$A$2000,$A740)),""""))"),"")</f>
        <v/>
      </c>
      <c r="W740" s="64" t="str">
        <f>IFERROR(__xludf.DUMMYFUNCTION("IF($A740="""","""",IFERROR(INDEX(FILTER(Candidates!$T$2:$T$2000,Candidates!$A$2:$A$2000=$A740),COUNTIF(Candidates!$A$2:$A$2000,$A740)),""""))"),"")</f>
        <v/>
      </c>
      <c r="X740" s="64"/>
      <c r="Y740" s="64"/>
      <c r="Z740" s="65"/>
      <c r="AA740" s="65"/>
      <c r="AB740" s="65"/>
      <c r="AC740" s="65"/>
    </row>
    <row r="741">
      <c r="A741" s="64"/>
      <c r="B741" s="64"/>
      <c r="C741" s="64"/>
      <c r="D741" s="64"/>
      <c r="E741" s="64"/>
      <c r="F741" s="64"/>
      <c r="G741" s="64"/>
      <c r="H741" s="63"/>
      <c r="I741" s="64"/>
      <c r="J741" s="64"/>
      <c r="K741" s="64"/>
      <c r="L741" s="64"/>
      <c r="M741" s="64"/>
      <c r="N741" s="64"/>
      <c r="O741" s="64"/>
      <c r="P741" s="64"/>
      <c r="Q741" s="64"/>
      <c r="R741" s="65" t="str">
        <f>IF($A741="","",IFERROR(MINIFS(Candidates!$K$2:$K$2000,Candidates!$A$2:$A$2000,$A741),""))</f>
        <v/>
      </c>
      <c r="S741" s="65" t="str">
        <f>IF($A741="","",IFERROR(MAXIFS(Candidates!$AA$2:$AA$2000,Candidates!$A$2:$A$2000,$A741),""))</f>
        <v/>
      </c>
      <c r="T741" s="64" t="str">
        <f>IFERROR(__xludf.DUMMYFUNCTION("IF($A741="""","""",IFERROR(TEXTJOIN("", "",TRUE,UNIQUE(FILTER(Candidates!$B$2:$B$2000,Candidates!$A$2:$A$2000=$A741))),""""))"),"")</f>
        <v/>
      </c>
      <c r="U741" s="66" t="str">
        <f>IF($A741="","",COUNTIF(Candidates!$A$2:$A$2000,$A741))</f>
        <v/>
      </c>
      <c r="V741" s="64" t="str">
        <f>IFERROR(__xludf.DUMMYFUNCTION("IF($A741="""","""",IFERROR(INDEX(FILTER(Candidates!$S$2:$S$2000,Candidates!$A$2:$A$2000=$A741),COUNTIF(Candidates!$A$2:$A$2000,$A741)),""""))"),"")</f>
        <v/>
      </c>
      <c r="W741" s="64" t="str">
        <f>IFERROR(__xludf.DUMMYFUNCTION("IF($A741="""","""",IFERROR(INDEX(FILTER(Candidates!$T$2:$T$2000,Candidates!$A$2:$A$2000=$A741),COUNTIF(Candidates!$A$2:$A$2000,$A741)),""""))"),"")</f>
        <v/>
      </c>
      <c r="X741" s="64"/>
      <c r="Y741" s="64"/>
      <c r="Z741" s="65"/>
      <c r="AA741" s="65"/>
      <c r="AB741" s="65"/>
      <c r="AC741" s="65"/>
    </row>
    <row r="742">
      <c r="A742" s="64"/>
      <c r="B742" s="64"/>
      <c r="C742" s="64"/>
      <c r="D742" s="64"/>
      <c r="E742" s="64"/>
      <c r="F742" s="64"/>
      <c r="G742" s="64"/>
      <c r="H742" s="63"/>
      <c r="I742" s="64"/>
      <c r="J742" s="64"/>
      <c r="K742" s="64"/>
      <c r="L742" s="64"/>
      <c r="M742" s="64"/>
      <c r="N742" s="64"/>
      <c r="O742" s="64"/>
      <c r="P742" s="64"/>
      <c r="Q742" s="64"/>
      <c r="R742" s="65" t="str">
        <f>IF($A742="","",IFERROR(MINIFS(Candidates!$K$2:$K$2000,Candidates!$A$2:$A$2000,$A742),""))</f>
        <v/>
      </c>
      <c r="S742" s="65" t="str">
        <f>IF($A742="","",IFERROR(MAXIFS(Candidates!$AA$2:$AA$2000,Candidates!$A$2:$A$2000,$A742),""))</f>
        <v/>
      </c>
      <c r="T742" s="64" t="str">
        <f>IFERROR(__xludf.DUMMYFUNCTION("IF($A742="""","""",IFERROR(TEXTJOIN("", "",TRUE,UNIQUE(FILTER(Candidates!$B$2:$B$2000,Candidates!$A$2:$A$2000=$A742))),""""))"),"")</f>
        <v/>
      </c>
      <c r="U742" s="66" t="str">
        <f>IF($A742="","",COUNTIF(Candidates!$A$2:$A$2000,$A742))</f>
        <v/>
      </c>
      <c r="V742" s="64" t="str">
        <f>IFERROR(__xludf.DUMMYFUNCTION("IF($A742="""","""",IFERROR(INDEX(FILTER(Candidates!$S$2:$S$2000,Candidates!$A$2:$A$2000=$A742),COUNTIF(Candidates!$A$2:$A$2000,$A742)),""""))"),"")</f>
        <v/>
      </c>
      <c r="W742" s="64" t="str">
        <f>IFERROR(__xludf.DUMMYFUNCTION("IF($A742="""","""",IFERROR(INDEX(FILTER(Candidates!$T$2:$T$2000,Candidates!$A$2:$A$2000=$A742),COUNTIF(Candidates!$A$2:$A$2000,$A742)),""""))"),"")</f>
        <v/>
      </c>
      <c r="X742" s="64"/>
      <c r="Y742" s="64"/>
      <c r="Z742" s="65"/>
      <c r="AA742" s="65"/>
      <c r="AB742" s="65"/>
      <c r="AC742" s="65"/>
    </row>
    <row r="743">
      <c r="A743" s="64"/>
      <c r="B743" s="64"/>
      <c r="C743" s="64"/>
      <c r="D743" s="64"/>
      <c r="E743" s="64"/>
      <c r="F743" s="64"/>
      <c r="G743" s="64"/>
      <c r="H743" s="63"/>
      <c r="I743" s="64"/>
      <c r="J743" s="64"/>
      <c r="K743" s="64"/>
      <c r="L743" s="64"/>
      <c r="M743" s="64"/>
      <c r="N743" s="64"/>
      <c r="O743" s="64"/>
      <c r="P743" s="64"/>
      <c r="Q743" s="64"/>
      <c r="R743" s="65" t="str">
        <f>IF($A743="","",IFERROR(MINIFS(Candidates!$K$2:$K$2000,Candidates!$A$2:$A$2000,$A743),""))</f>
        <v/>
      </c>
      <c r="S743" s="65" t="str">
        <f>IF($A743="","",IFERROR(MAXIFS(Candidates!$AA$2:$AA$2000,Candidates!$A$2:$A$2000,$A743),""))</f>
        <v/>
      </c>
      <c r="T743" s="64" t="str">
        <f>IFERROR(__xludf.DUMMYFUNCTION("IF($A743="""","""",IFERROR(TEXTJOIN("", "",TRUE,UNIQUE(FILTER(Candidates!$B$2:$B$2000,Candidates!$A$2:$A$2000=$A743))),""""))"),"")</f>
        <v/>
      </c>
      <c r="U743" s="66" t="str">
        <f>IF($A743="","",COUNTIF(Candidates!$A$2:$A$2000,$A743))</f>
        <v/>
      </c>
      <c r="V743" s="64" t="str">
        <f>IFERROR(__xludf.DUMMYFUNCTION("IF($A743="""","""",IFERROR(INDEX(FILTER(Candidates!$S$2:$S$2000,Candidates!$A$2:$A$2000=$A743),COUNTIF(Candidates!$A$2:$A$2000,$A743)),""""))"),"")</f>
        <v/>
      </c>
      <c r="W743" s="64" t="str">
        <f>IFERROR(__xludf.DUMMYFUNCTION("IF($A743="""","""",IFERROR(INDEX(FILTER(Candidates!$T$2:$T$2000,Candidates!$A$2:$A$2000=$A743),COUNTIF(Candidates!$A$2:$A$2000,$A743)),""""))"),"")</f>
        <v/>
      </c>
      <c r="X743" s="64"/>
      <c r="Y743" s="64"/>
      <c r="Z743" s="65"/>
      <c r="AA743" s="65"/>
      <c r="AB743" s="65"/>
      <c r="AC743" s="65"/>
    </row>
    <row r="744">
      <c r="A744" s="64"/>
      <c r="B744" s="64"/>
      <c r="C744" s="64"/>
      <c r="D744" s="64"/>
      <c r="E744" s="64"/>
      <c r="F744" s="64"/>
      <c r="G744" s="64"/>
      <c r="H744" s="63"/>
      <c r="I744" s="64"/>
      <c r="J744" s="64"/>
      <c r="K744" s="64"/>
      <c r="L744" s="64"/>
      <c r="M744" s="64"/>
      <c r="N744" s="64"/>
      <c r="O744" s="64"/>
      <c r="P744" s="64"/>
      <c r="Q744" s="64"/>
      <c r="R744" s="65" t="str">
        <f>IF($A744="","",IFERROR(MINIFS(Candidates!$K$2:$K$2000,Candidates!$A$2:$A$2000,$A744),""))</f>
        <v/>
      </c>
      <c r="S744" s="65" t="str">
        <f>IF($A744="","",IFERROR(MAXIFS(Candidates!$AA$2:$AA$2000,Candidates!$A$2:$A$2000,$A744),""))</f>
        <v/>
      </c>
      <c r="T744" s="64" t="str">
        <f>IFERROR(__xludf.DUMMYFUNCTION("IF($A744="""","""",IFERROR(TEXTJOIN("", "",TRUE,UNIQUE(FILTER(Candidates!$B$2:$B$2000,Candidates!$A$2:$A$2000=$A744))),""""))"),"")</f>
        <v/>
      </c>
      <c r="U744" s="66" t="str">
        <f>IF($A744="","",COUNTIF(Candidates!$A$2:$A$2000,$A744))</f>
        <v/>
      </c>
      <c r="V744" s="64" t="str">
        <f>IFERROR(__xludf.DUMMYFUNCTION("IF($A744="""","""",IFERROR(INDEX(FILTER(Candidates!$S$2:$S$2000,Candidates!$A$2:$A$2000=$A744),COUNTIF(Candidates!$A$2:$A$2000,$A744)),""""))"),"")</f>
        <v/>
      </c>
      <c r="W744" s="64" t="str">
        <f>IFERROR(__xludf.DUMMYFUNCTION("IF($A744="""","""",IFERROR(INDEX(FILTER(Candidates!$T$2:$T$2000,Candidates!$A$2:$A$2000=$A744),COUNTIF(Candidates!$A$2:$A$2000,$A744)),""""))"),"")</f>
        <v/>
      </c>
      <c r="X744" s="64"/>
      <c r="Y744" s="64"/>
      <c r="Z744" s="65"/>
      <c r="AA744" s="65"/>
      <c r="AB744" s="65"/>
      <c r="AC744" s="65"/>
    </row>
    <row r="745">
      <c r="A745" s="64"/>
      <c r="B745" s="64"/>
      <c r="C745" s="64"/>
      <c r="D745" s="64"/>
      <c r="E745" s="64"/>
      <c r="F745" s="64"/>
      <c r="G745" s="64"/>
      <c r="H745" s="63"/>
      <c r="I745" s="64"/>
      <c r="J745" s="64"/>
      <c r="K745" s="64"/>
      <c r="L745" s="64"/>
      <c r="M745" s="64"/>
      <c r="N745" s="64"/>
      <c r="O745" s="64"/>
      <c r="P745" s="64"/>
      <c r="Q745" s="64"/>
      <c r="R745" s="65" t="str">
        <f>IF($A745="","",IFERROR(MINIFS(Candidates!$K$2:$K$2000,Candidates!$A$2:$A$2000,$A745),""))</f>
        <v/>
      </c>
      <c r="S745" s="65" t="str">
        <f>IF($A745="","",IFERROR(MAXIFS(Candidates!$AA$2:$AA$2000,Candidates!$A$2:$A$2000,$A745),""))</f>
        <v/>
      </c>
      <c r="T745" s="64" t="str">
        <f>IFERROR(__xludf.DUMMYFUNCTION("IF($A745="""","""",IFERROR(TEXTJOIN("", "",TRUE,UNIQUE(FILTER(Candidates!$B$2:$B$2000,Candidates!$A$2:$A$2000=$A745))),""""))"),"")</f>
        <v/>
      </c>
      <c r="U745" s="66" t="str">
        <f>IF($A745="","",COUNTIF(Candidates!$A$2:$A$2000,$A745))</f>
        <v/>
      </c>
      <c r="V745" s="64" t="str">
        <f>IFERROR(__xludf.DUMMYFUNCTION("IF($A745="""","""",IFERROR(INDEX(FILTER(Candidates!$S$2:$S$2000,Candidates!$A$2:$A$2000=$A745),COUNTIF(Candidates!$A$2:$A$2000,$A745)),""""))"),"")</f>
        <v/>
      </c>
      <c r="W745" s="64" t="str">
        <f>IFERROR(__xludf.DUMMYFUNCTION("IF($A745="""","""",IFERROR(INDEX(FILTER(Candidates!$T$2:$T$2000,Candidates!$A$2:$A$2000=$A745),COUNTIF(Candidates!$A$2:$A$2000,$A745)),""""))"),"")</f>
        <v/>
      </c>
      <c r="X745" s="64"/>
      <c r="Y745" s="64"/>
      <c r="Z745" s="65"/>
      <c r="AA745" s="65"/>
      <c r="AB745" s="65"/>
      <c r="AC745" s="65"/>
    </row>
    <row r="746">
      <c r="A746" s="64"/>
      <c r="B746" s="64"/>
      <c r="C746" s="64"/>
      <c r="D746" s="64"/>
      <c r="E746" s="64"/>
      <c r="F746" s="64"/>
      <c r="G746" s="64"/>
      <c r="H746" s="63"/>
      <c r="I746" s="64"/>
      <c r="J746" s="64"/>
      <c r="K746" s="64"/>
      <c r="L746" s="64"/>
      <c r="M746" s="64"/>
      <c r="N746" s="64"/>
      <c r="O746" s="64"/>
      <c r="P746" s="64"/>
      <c r="Q746" s="64"/>
      <c r="R746" s="65" t="str">
        <f>IF($A746="","",IFERROR(MINIFS(Candidates!$K$2:$K$2000,Candidates!$A$2:$A$2000,$A746),""))</f>
        <v/>
      </c>
      <c r="S746" s="65" t="str">
        <f>IF($A746="","",IFERROR(MAXIFS(Candidates!$AA$2:$AA$2000,Candidates!$A$2:$A$2000,$A746),""))</f>
        <v/>
      </c>
      <c r="T746" s="64" t="str">
        <f>IFERROR(__xludf.DUMMYFUNCTION("IF($A746="""","""",IFERROR(TEXTJOIN("", "",TRUE,UNIQUE(FILTER(Candidates!$B$2:$B$2000,Candidates!$A$2:$A$2000=$A746))),""""))"),"")</f>
        <v/>
      </c>
      <c r="U746" s="66" t="str">
        <f>IF($A746="","",COUNTIF(Candidates!$A$2:$A$2000,$A746))</f>
        <v/>
      </c>
      <c r="V746" s="64" t="str">
        <f>IFERROR(__xludf.DUMMYFUNCTION("IF($A746="""","""",IFERROR(INDEX(FILTER(Candidates!$S$2:$S$2000,Candidates!$A$2:$A$2000=$A746),COUNTIF(Candidates!$A$2:$A$2000,$A746)),""""))"),"")</f>
        <v/>
      </c>
      <c r="W746" s="64" t="str">
        <f>IFERROR(__xludf.DUMMYFUNCTION("IF($A746="""","""",IFERROR(INDEX(FILTER(Candidates!$T$2:$T$2000,Candidates!$A$2:$A$2000=$A746),COUNTIF(Candidates!$A$2:$A$2000,$A746)),""""))"),"")</f>
        <v/>
      </c>
      <c r="X746" s="64"/>
      <c r="Y746" s="64"/>
      <c r="Z746" s="65"/>
      <c r="AA746" s="65"/>
      <c r="AB746" s="65"/>
      <c r="AC746" s="65"/>
    </row>
    <row r="747">
      <c r="A747" s="64"/>
      <c r="B747" s="64"/>
      <c r="C747" s="64"/>
      <c r="D747" s="64"/>
      <c r="E747" s="64"/>
      <c r="F747" s="64"/>
      <c r="G747" s="64"/>
      <c r="H747" s="63"/>
      <c r="I747" s="64"/>
      <c r="J747" s="64"/>
      <c r="K747" s="64"/>
      <c r="L747" s="64"/>
      <c r="M747" s="64"/>
      <c r="N747" s="64"/>
      <c r="O747" s="64"/>
      <c r="P747" s="64"/>
      <c r="Q747" s="64"/>
      <c r="R747" s="65" t="str">
        <f>IF($A747="","",IFERROR(MINIFS(Candidates!$K$2:$K$2000,Candidates!$A$2:$A$2000,$A747),""))</f>
        <v/>
      </c>
      <c r="S747" s="65" t="str">
        <f>IF($A747="","",IFERROR(MAXIFS(Candidates!$AA$2:$AA$2000,Candidates!$A$2:$A$2000,$A747),""))</f>
        <v/>
      </c>
      <c r="T747" s="64" t="str">
        <f>IFERROR(__xludf.DUMMYFUNCTION("IF($A747="""","""",IFERROR(TEXTJOIN("", "",TRUE,UNIQUE(FILTER(Candidates!$B$2:$B$2000,Candidates!$A$2:$A$2000=$A747))),""""))"),"")</f>
        <v/>
      </c>
      <c r="U747" s="66" t="str">
        <f>IF($A747="","",COUNTIF(Candidates!$A$2:$A$2000,$A747))</f>
        <v/>
      </c>
      <c r="V747" s="64" t="str">
        <f>IFERROR(__xludf.DUMMYFUNCTION("IF($A747="""","""",IFERROR(INDEX(FILTER(Candidates!$S$2:$S$2000,Candidates!$A$2:$A$2000=$A747),COUNTIF(Candidates!$A$2:$A$2000,$A747)),""""))"),"")</f>
        <v/>
      </c>
      <c r="W747" s="64" t="str">
        <f>IFERROR(__xludf.DUMMYFUNCTION("IF($A747="""","""",IFERROR(INDEX(FILTER(Candidates!$T$2:$T$2000,Candidates!$A$2:$A$2000=$A747),COUNTIF(Candidates!$A$2:$A$2000,$A747)),""""))"),"")</f>
        <v/>
      </c>
      <c r="X747" s="64"/>
      <c r="Y747" s="64"/>
      <c r="Z747" s="65"/>
      <c r="AA747" s="65"/>
      <c r="AB747" s="65"/>
      <c r="AC747" s="65"/>
    </row>
    <row r="748">
      <c r="A748" s="64"/>
      <c r="B748" s="64"/>
      <c r="C748" s="64"/>
      <c r="D748" s="64"/>
      <c r="E748" s="64"/>
      <c r="F748" s="64"/>
      <c r="G748" s="64"/>
      <c r="H748" s="63"/>
      <c r="I748" s="64"/>
      <c r="J748" s="64"/>
      <c r="K748" s="64"/>
      <c r="L748" s="64"/>
      <c r="M748" s="64"/>
      <c r="N748" s="64"/>
      <c r="O748" s="64"/>
      <c r="P748" s="64"/>
      <c r="Q748" s="64"/>
      <c r="R748" s="65" t="str">
        <f>IF($A748="","",IFERROR(MINIFS(Candidates!$K$2:$K$2000,Candidates!$A$2:$A$2000,$A748),""))</f>
        <v/>
      </c>
      <c r="S748" s="65" t="str">
        <f>IF($A748="","",IFERROR(MAXIFS(Candidates!$AA$2:$AA$2000,Candidates!$A$2:$A$2000,$A748),""))</f>
        <v/>
      </c>
      <c r="T748" s="64" t="str">
        <f>IFERROR(__xludf.DUMMYFUNCTION("IF($A748="""","""",IFERROR(TEXTJOIN("", "",TRUE,UNIQUE(FILTER(Candidates!$B$2:$B$2000,Candidates!$A$2:$A$2000=$A748))),""""))"),"")</f>
        <v/>
      </c>
      <c r="U748" s="66" t="str">
        <f>IF($A748="","",COUNTIF(Candidates!$A$2:$A$2000,$A748))</f>
        <v/>
      </c>
      <c r="V748" s="64" t="str">
        <f>IFERROR(__xludf.DUMMYFUNCTION("IF($A748="""","""",IFERROR(INDEX(FILTER(Candidates!$S$2:$S$2000,Candidates!$A$2:$A$2000=$A748),COUNTIF(Candidates!$A$2:$A$2000,$A748)),""""))"),"")</f>
        <v/>
      </c>
      <c r="W748" s="64" t="str">
        <f>IFERROR(__xludf.DUMMYFUNCTION("IF($A748="""","""",IFERROR(INDEX(FILTER(Candidates!$T$2:$T$2000,Candidates!$A$2:$A$2000=$A748),COUNTIF(Candidates!$A$2:$A$2000,$A748)),""""))"),"")</f>
        <v/>
      </c>
      <c r="X748" s="64"/>
      <c r="Y748" s="64"/>
      <c r="Z748" s="65"/>
      <c r="AA748" s="65"/>
      <c r="AB748" s="65"/>
      <c r="AC748" s="65"/>
    </row>
    <row r="749">
      <c r="A749" s="64"/>
      <c r="B749" s="64"/>
      <c r="C749" s="64"/>
      <c r="D749" s="64"/>
      <c r="E749" s="64"/>
      <c r="F749" s="64"/>
      <c r="G749" s="64"/>
      <c r="H749" s="63"/>
      <c r="I749" s="64"/>
      <c r="J749" s="64"/>
      <c r="K749" s="64"/>
      <c r="L749" s="64"/>
      <c r="M749" s="64"/>
      <c r="N749" s="64"/>
      <c r="O749" s="64"/>
      <c r="P749" s="64"/>
      <c r="Q749" s="64"/>
      <c r="R749" s="65" t="str">
        <f>IF($A749="","",IFERROR(MINIFS(Candidates!$K$2:$K$2000,Candidates!$A$2:$A$2000,$A749),""))</f>
        <v/>
      </c>
      <c r="S749" s="65" t="str">
        <f>IF($A749="","",IFERROR(MAXIFS(Candidates!$AA$2:$AA$2000,Candidates!$A$2:$A$2000,$A749),""))</f>
        <v/>
      </c>
      <c r="T749" s="64" t="str">
        <f>IFERROR(__xludf.DUMMYFUNCTION("IF($A749="""","""",IFERROR(TEXTJOIN("", "",TRUE,UNIQUE(FILTER(Candidates!$B$2:$B$2000,Candidates!$A$2:$A$2000=$A749))),""""))"),"")</f>
        <v/>
      </c>
      <c r="U749" s="66" t="str">
        <f>IF($A749="","",COUNTIF(Candidates!$A$2:$A$2000,$A749))</f>
        <v/>
      </c>
      <c r="V749" s="64" t="str">
        <f>IFERROR(__xludf.DUMMYFUNCTION("IF($A749="""","""",IFERROR(INDEX(FILTER(Candidates!$S$2:$S$2000,Candidates!$A$2:$A$2000=$A749),COUNTIF(Candidates!$A$2:$A$2000,$A749)),""""))"),"")</f>
        <v/>
      </c>
      <c r="W749" s="64" t="str">
        <f>IFERROR(__xludf.DUMMYFUNCTION("IF($A749="""","""",IFERROR(INDEX(FILTER(Candidates!$T$2:$T$2000,Candidates!$A$2:$A$2000=$A749),COUNTIF(Candidates!$A$2:$A$2000,$A749)),""""))"),"")</f>
        <v/>
      </c>
      <c r="X749" s="64"/>
      <c r="Y749" s="64"/>
      <c r="Z749" s="65"/>
      <c r="AA749" s="65"/>
      <c r="AB749" s="65"/>
      <c r="AC749" s="65"/>
    </row>
    <row r="750">
      <c r="A750" s="64"/>
      <c r="B750" s="64"/>
      <c r="C750" s="64"/>
      <c r="D750" s="64"/>
      <c r="E750" s="64"/>
      <c r="F750" s="64"/>
      <c r="G750" s="64"/>
      <c r="H750" s="63"/>
      <c r="I750" s="64"/>
      <c r="J750" s="64"/>
      <c r="K750" s="64"/>
      <c r="L750" s="64"/>
      <c r="M750" s="64"/>
      <c r="N750" s="64"/>
      <c r="O750" s="64"/>
      <c r="P750" s="64"/>
      <c r="Q750" s="64"/>
      <c r="R750" s="65" t="str">
        <f>IF($A750="","",IFERROR(MINIFS(Candidates!$K$2:$K$2000,Candidates!$A$2:$A$2000,$A750),""))</f>
        <v/>
      </c>
      <c r="S750" s="65" t="str">
        <f>IF($A750="","",IFERROR(MAXIFS(Candidates!$AA$2:$AA$2000,Candidates!$A$2:$A$2000,$A750),""))</f>
        <v/>
      </c>
      <c r="T750" s="64" t="str">
        <f>IFERROR(__xludf.DUMMYFUNCTION("IF($A750="""","""",IFERROR(TEXTJOIN("", "",TRUE,UNIQUE(FILTER(Candidates!$B$2:$B$2000,Candidates!$A$2:$A$2000=$A750))),""""))"),"")</f>
        <v/>
      </c>
      <c r="U750" s="66" t="str">
        <f>IF($A750="","",COUNTIF(Candidates!$A$2:$A$2000,$A750))</f>
        <v/>
      </c>
      <c r="V750" s="64" t="str">
        <f>IFERROR(__xludf.DUMMYFUNCTION("IF($A750="""","""",IFERROR(INDEX(FILTER(Candidates!$S$2:$S$2000,Candidates!$A$2:$A$2000=$A750),COUNTIF(Candidates!$A$2:$A$2000,$A750)),""""))"),"")</f>
        <v/>
      </c>
      <c r="W750" s="64" t="str">
        <f>IFERROR(__xludf.DUMMYFUNCTION("IF($A750="""","""",IFERROR(INDEX(FILTER(Candidates!$T$2:$T$2000,Candidates!$A$2:$A$2000=$A750),COUNTIF(Candidates!$A$2:$A$2000,$A750)),""""))"),"")</f>
        <v/>
      </c>
      <c r="X750" s="64"/>
      <c r="Y750" s="64"/>
      <c r="Z750" s="65"/>
      <c r="AA750" s="65"/>
      <c r="AB750" s="65"/>
      <c r="AC750" s="65"/>
    </row>
    <row r="751">
      <c r="A751" s="64"/>
      <c r="B751" s="64"/>
      <c r="C751" s="64"/>
      <c r="D751" s="64"/>
      <c r="E751" s="64"/>
      <c r="F751" s="64"/>
      <c r="G751" s="64"/>
      <c r="H751" s="63"/>
      <c r="I751" s="64"/>
      <c r="J751" s="64"/>
      <c r="K751" s="64"/>
      <c r="L751" s="64"/>
      <c r="M751" s="64"/>
      <c r="N751" s="64"/>
      <c r="O751" s="64"/>
      <c r="P751" s="64"/>
      <c r="Q751" s="64"/>
      <c r="R751" s="65" t="str">
        <f>IF($A751="","",IFERROR(MINIFS(Candidates!$K$2:$K$2000,Candidates!$A$2:$A$2000,$A751),""))</f>
        <v/>
      </c>
      <c r="S751" s="65" t="str">
        <f>IF($A751="","",IFERROR(MAXIFS(Candidates!$AA$2:$AA$2000,Candidates!$A$2:$A$2000,$A751),""))</f>
        <v/>
      </c>
      <c r="T751" s="64" t="str">
        <f>IFERROR(__xludf.DUMMYFUNCTION("IF($A751="""","""",IFERROR(TEXTJOIN("", "",TRUE,UNIQUE(FILTER(Candidates!$B$2:$B$2000,Candidates!$A$2:$A$2000=$A751))),""""))"),"")</f>
        <v/>
      </c>
      <c r="U751" s="66" t="str">
        <f>IF($A751="","",COUNTIF(Candidates!$A$2:$A$2000,$A751))</f>
        <v/>
      </c>
      <c r="V751" s="64" t="str">
        <f>IFERROR(__xludf.DUMMYFUNCTION("IF($A751="""","""",IFERROR(INDEX(FILTER(Candidates!$S$2:$S$2000,Candidates!$A$2:$A$2000=$A751),COUNTIF(Candidates!$A$2:$A$2000,$A751)),""""))"),"")</f>
        <v/>
      </c>
      <c r="W751" s="64" t="str">
        <f>IFERROR(__xludf.DUMMYFUNCTION("IF($A751="""","""",IFERROR(INDEX(FILTER(Candidates!$T$2:$T$2000,Candidates!$A$2:$A$2000=$A751),COUNTIF(Candidates!$A$2:$A$2000,$A751)),""""))"),"")</f>
        <v/>
      </c>
      <c r="X751" s="64"/>
      <c r="Y751" s="64"/>
      <c r="Z751" s="65"/>
      <c r="AA751" s="65"/>
      <c r="AB751" s="65"/>
      <c r="AC751" s="65"/>
    </row>
    <row r="752">
      <c r="A752" s="64"/>
      <c r="B752" s="64"/>
      <c r="C752" s="64"/>
      <c r="D752" s="64"/>
      <c r="E752" s="64"/>
      <c r="F752" s="64"/>
      <c r="G752" s="64"/>
      <c r="H752" s="63"/>
      <c r="I752" s="64"/>
      <c r="J752" s="64"/>
      <c r="K752" s="64"/>
      <c r="L752" s="64"/>
      <c r="M752" s="64"/>
      <c r="N752" s="64"/>
      <c r="O752" s="64"/>
      <c r="P752" s="64"/>
      <c r="Q752" s="64"/>
      <c r="R752" s="65" t="str">
        <f>IF($A752="","",IFERROR(MINIFS(Candidates!$K$2:$K$2000,Candidates!$A$2:$A$2000,$A752),""))</f>
        <v/>
      </c>
      <c r="S752" s="65" t="str">
        <f>IF($A752="","",IFERROR(MAXIFS(Candidates!$AA$2:$AA$2000,Candidates!$A$2:$A$2000,$A752),""))</f>
        <v/>
      </c>
      <c r="T752" s="64" t="str">
        <f>IFERROR(__xludf.DUMMYFUNCTION("IF($A752="""","""",IFERROR(TEXTJOIN("", "",TRUE,UNIQUE(FILTER(Candidates!$B$2:$B$2000,Candidates!$A$2:$A$2000=$A752))),""""))"),"")</f>
        <v/>
      </c>
      <c r="U752" s="66" t="str">
        <f>IF($A752="","",COUNTIF(Candidates!$A$2:$A$2000,$A752))</f>
        <v/>
      </c>
      <c r="V752" s="64" t="str">
        <f>IFERROR(__xludf.DUMMYFUNCTION("IF($A752="""","""",IFERROR(INDEX(FILTER(Candidates!$S$2:$S$2000,Candidates!$A$2:$A$2000=$A752),COUNTIF(Candidates!$A$2:$A$2000,$A752)),""""))"),"")</f>
        <v/>
      </c>
      <c r="W752" s="64" t="str">
        <f>IFERROR(__xludf.DUMMYFUNCTION("IF($A752="""","""",IFERROR(INDEX(FILTER(Candidates!$T$2:$T$2000,Candidates!$A$2:$A$2000=$A752),COUNTIF(Candidates!$A$2:$A$2000,$A752)),""""))"),"")</f>
        <v/>
      </c>
      <c r="X752" s="64"/>
      <c r="Y752" s="64"/>
      <c r="Z752" s="65"/>
      <c r="AA752" s="65"/>
      <c r="AB752" s="65"/>
      <c r="AC752" s="65"/>
    </row>
    <row r="753">
      <c r="A753" s="64"/>
      <c r="B753" s="64"/>
      <c r="C753" s="64"/>
      <c r="D753" s="64"/>
      <c r="E753" s="64"/>
      <c r="F753" s="64"/>
      <c r="G753" s="64"/>
      <c r="H753" s="63"/>
      <c r="I753" s="64"/>
      <c r="J753" s="64"/>
      <c r="K753" s="64"/>
      <c r="L753" s="64"/>
      <c r="M753" s="64"/>
      <c r="N753" s="64"/>
      <c r="O753" s="64"/>
      <c r="P753" s="64"/>
      <c r="Q753" s="64"/>
      <c r="R753" s="65" t="str">
        <f>IF($A753="","",IFERROR(MINIFS(Candidates!$K$2:$K$2000,Candidates!$A$2:$A$2000,$A753),""))</f>
        <v/>
      </c>
      <c r="S753" s="65" t="str">
        <f>IF($A753="","",IFERROR(MAXIFS(Candidates!$AA$2:$AA$2000,Candidates!$A$2:$A$2000,$A753),""))</f>
        <v/>
      </c>
      <c r="T753" s="64" t="str">
        <f>IFERROR(__xludf.DUMMYFUNCTION("IF($A753="""","""",IFERROR(TEXTJOIN("", "",TRUE,UNIQUE(FILTER(Candidates!$B$2:$B$2000,Candidates!$A$2:$A$2000=$A753))),""""))"),"")</f>
        <v/>
      </c>
      <c r="U753" s="66" t="str">
        <f>IF($A753="","",COUNTIF(Candidates!$A$2:$A$2000,$A753))</f>
        <v/>
      </c>
      <c r="V753" s="64" t="str">
        <f>IFERROR(__xludf.DUMMYFUNCTION("IF($A753="""","""",IFERROR(INDEX(FILTER(Candidates!$S$2:$S$2000,Candidates!$A$2:$A$2000=$A753),COUNTIF(Candidates!$A$2:$A$2000,$A753)),""""))"),"")</f>
        <v/>
      </c>
      <c r="W753" s="64" t="str">
        <f>IFERROR(__xludf.DUMMYFUNCTION("IF($A753="""","""",IFERROR(INDEX(FILTER(Candidates!$T$2:$T$2000,Candidates!$A$2:$A$2000=$A753),COUNTIF(Candidates!$A$2:$A$2000,$A753)),""""))"),"")</f>
        <v/>
      </c>
      <c r="X753" s="64"/>
      <c r="Y753" s="64"/>
      <c r="Z753" s="65"/>
      <c r="AA753" s="65"/>
      <c r="AB753" s="65"/>
      <c r="AC753" s="65"/>
    </row>
    <row r="754">
      <c r="A754" s="64"/>
      <c r="B754" s="64"/>
      <c r="C754" s="64"/>
      <c r="D754" s="64"/>
      <c r="E754" s="64"/>
      <c r="F754" s="64"/>
      <c r="G754" s="64"/>
      <c r="H754" s="63"/>
      <c r="I754" s="64"/>
      <c r="J754" s="64"/>
      <c r="K754" s="64"/>
      <c r="L754" s="64"/>
      <c r="M754" s="64"/>
      <c r="N754" s="64"/>
      <c r="O754" s="64"/>
      <c r="P754" s="64"/>
      <c r="Q754" s="64"/>
      <c r="R754" s="65" t="str">
        <f>IF($A754="","",IFERROR(MINIFS(Candidates!$K$2:$K$2000,Candidates!$A$2:$A$2000,$A754),""))</f>
        <v/>
      </c>
      <c r="S754" s="65" t="str">
        <f>IF($A754="","",IFERROR(MAXIFS(Candidates!$AA$2:$AA$2000,Candidates!$A$2:$A$2000,$A754),""))</f>
        <v/>
      </c>
      <c r="T754" s="64" t="str">
        <f>IFERROR(__xludf.DUMMYFUNCTION("IF($A754="""","""",IFERROR(TEXTJOIN("", "",TRUE,UNIQUE(FILTER(Candidates!$B$2:$B$2000,Candidates!$A$2:$A$2000=$A754))),""""))"),"")</f>
        <v/>
      </c>
      <c r="U754" s="66" t="str">
        <f>IF($A754="","",COUNTIF(Candidates!$A$2:$A$2000,$A754))</f>
        <v/>
      </c>
      <c r="V754" s="64" t="str">
        <f>IFERROR(__xludf.DUMMYFUNCTION("IF($A754="""","""",IFERROR(INDEX(FILTER(Candidates!$S$2:$S$2000,Candidates!$A$2:$A$2000=$A754),COUNTIF(Candidates!$A$2:$A$2000,$A754)),""""))"),"")</f>
        <v/>
      </c>
      <c r="W754" s="64" t="str">
        <f>IFERROR(__xludf.DUMMYFUNCTION("IF($A754="""","""",IFERROR(INDEX(FILTER(Candidates!$T$2:$T$2000,Candidates!$A$2:$A$2000=$A754),COUNTIF(Candidates!$A$2:$A$2000,$A754)),""""))"),"")</f>
        <v/>
      </c>
      <c r="X754" s="64"/>
      <c r="Y754" s="64"/>
      <c r="Z754" s="65"/>
      <c r="AA754" s="65"/>
      <c r="AB754" s="65"/>
      <c r="AC754" s="65"/>
    </row>
    <row r="755">
      <c r="A755" s="64"/>
      <c r="B755" s="64"/>
      <c r="C755" s="64"/>
      <c r="D755" s="64"/>
      <c r="E755" s="64"/>
      <c r="F755" s="64"/>
      <c r="G755" s="64"/>
      <c r="H755" s="63"/>
      <c r="I755" s="64"/>
      <c r="J755" s="64"/>
      <c r="K755" s="64"/>
      <c r="L755" s="64"/>
      <c r="M755" s="64"/>
      <c r="N755" s="64"/>
      <c r="O755" s="64"/>
      <c r="P755" s="64"/>
      <c r="Q755" s="64"/>
      <c r="R755" s="65" t="str">
        <f>IF($A755="","",IFERROR(MINIFS(Candidates!$K$2:$K$2000,Candidates!$A$2:$A$2000,$A755),""))</f>
        <v/>
      </c>
      <c r="S755" s="65" t="str">
        <f>IF($A755="","",IFERROR(MAXIFS(Candidates!$AA$2:$AA$2000,Candidates!$A$2:$A$2000,$A755),""))</f>
        <v/>
      </c>
      <c r="T755" s="64" t="str">
        <f>IFERROR(__xludf.DUMMYFUNCTION("IF($A755="""","""",IFERROR(TEXTJOIN("", "",TRUE,UNIQUE(FILTER(Candidates!$B$2:$B$2000,Candidates!$A$2:$A$2000=$A755))),""""))"),"")</f>
        <v/>
      </c>
      <c r="U755" s="66" t="str">
        <f>IF($A755="","",COUNTIF(Candidates!$A$2:$A$2000,$A755))</f>
        <v/>
      </c>
      <c r="V755" s="64" t="str">
        <f>IFERROR(__xludf.DUMMYFUNCTION("IF($A755="""","""",IFERROR(INDEX(FILTER(Candidates!$S$2:$S$2000,Candidates!$A$2:$A$2000=$A755),COUNTIF(Candidates!$A$2:$A$2000,$A755)),""""))"),"")</f>
        <v/>
      </c>
      <c r="W755" s="64" t="str">
        <f>IFERROR(__xludf.DUMMYFUNCTION("IF($A755="""","""",IFERROR(INDEX(FILTER(Candidates!$T$2:$T$2000,Candidates!$A$2:$A$2000=$A755),COUNTIF(Candidates!$A$2:$A$2000,$A755)),""""))"),"")</f>
        <v/>
      </c>
      <c r="X755" s="64"/>
      <c r="Y755" s="64"/>
      <c r="Z755" s="65"/>
      <c r="AA755" s="65"/>
      <c r="AB755" s="65"/>
      <c r="AC755" s="65"/>
    </row>
    <row r="756">
      <c r="A756" s="64"/>
      <c r="B756" s="64"/>
      <c r="C756" s="64"/>
      <c r="D756" s="64"/>
      <c r="E756" s="64"/>
      <c r="F756" s="64"/>
      <c r="G756" s="64"/>
      <c r="H756" s="63"/>
      <c r="I756" s="64"/>
      <c r="J756" s="64"/>
      <c r="K756" s="64"/>
      <c r="L756" s="64"/>
      <c r="M756" s="64"/>
      <c r="N756" s="64"/>
      <c r="O756" s="64"/>
      <c r="P756" s="64"/>
      <c r="Q756" s="64"/>
      <c r="R756" s="65" t="str">
        <f>IF($A756="","",IFERROR(MINIFS(Candidates!$K$2:$K$2000,Candidates!$A$2:$A$2000,$A756),""))</f>
        <v/>
      </c>
      <c r="S756" s="65" t="str">
        <f>IF($A756="","",IFERROR(MAXIFS(Candidates!$AA$2:$AA$2000,Candidates!$A$2:$A$2000,$A756),""))</f>
        <v/>
      </c>
      <c r="T756" s="64" t="str">
        <f>IFERROR(__xludf.DUMMYFUNCTION("IF($A756="""","""",IFERROR(TEXTJOIN("", "",TRUE,UNIQUE(FILTER(Candidates!$B$2:$B$2000,Candidates!$A$2:$A$2000=$A756))),""""))"),"")</f>
        <v/>
      </c>
      <c r="U756" s="66" t="str">
        <f>IF($A756="","",COUNTIF(Candidates!$A$2:$A$2000,$A756))</f>
        <v/>
      </c>
      <c r="V756" s="64" t="str">
        <f>IFERROR(__xludf.DUMMYFUNCTION("IF($A756="""","""",IFERROR(INDEX(FILTER(Candidates!$S$2:$S$2000,Candidates!$A$2:$A$2000=$A756),COUNTIF(Candidates!$A$2:$A$2000,$A756)),""""))"),"")</f>
        <v/>
      </c>
      <c r="W756" s="64" t="str">
        <f>IFERROR(__xludf.DUMMYFUNCTION("IF($A756="""","""",IFERROR(INDEX(FILTER(Candidates!$T$2:$T$2000,Candidates!$A$2:$A$2000=$A756),COUNTIF(Candidates!$A$2:$A$2000,$A756)),""""))"),"")</f>
        <v/>
      </c>
      <c r="X756" s="64"/>
      <c r="Y756" s="64"/>
      <c r="Z756" s="65"/>
      <c r="AA756" s="65"/>
      <c r="AB756" s="65"/>
      <c r="AC756" s="65"/>
    </row>
    <row r="757">
      <c r="A757" s="64"/>
      <c r="B757" s="64"/>
      <c r="C757" s="64"/>
      <c r="D757" s="64"/>
      <c r="E757" s="64"/>
      <c r="F757" s="64"/>
      <c r="G757" s="64"/>
      <c r="H757" s="63"/>
      <c r="I757" s="64"/>
      <c r="J757" s="64"/>
      <c r="K757" s="64"/>
      <c r="L757" s="64"/>
      <c r="M757" s="64"/>
      <c r="N757" s="64"/>
      <c r="O757" s="64"/>
      <c r="P757" s="64"/>
      <c r="Q757" s="64"/>
      <c r="R757" s="65" t="str">
        <f>IF($A757="","",IFERROR(MINIFS(Candidates!$K$2:$K$2000,Candidates!$A$2:$A$2000,$A757),""))</f>
        <v/>
      </c>
      <c r="S757" s="65" t="str">
        <f>IF($A757="","",IFERROR(MAXIFS(Candidates!$AA$2:$AA$2000,Candidates!$A$2:$A$2000,$A757),""))</f>
        <v/>
      </c>
      <c r="T757" s="64" t="str">
        <f>IFERROR(__xludf.DUMMYFUNCTION("IF($A757="""","""",IFERROR(TEXTJOIN("", "",TRUE,UNIQUE(FILTER(Candidates!$B$2:$B$2000,Candidates!$A$2:$A$2000=$A757))),""""))"),"")</f>
        <v/>
      </c>
      <c r="U757" s="66" t="str">
        <f>IF($A757="","",COUNTIF(Candidates!$A$2:$A$2000,$A757))</f>
        <v/>
      </c>
      <c r="V757" s="64" t="str">
        <f>IFERROR(__xludf.DUMMYFUNCTION("IF($A757="""","""",IFERROR(INDEX(FILTER(Candidates!$S$2:$S$2000,Candidates!$A$2:$A$2000=$A757),COUNTIF(Candidates!$A$2:$A$2000,$A757)),""""))"),"")</f>
        <v/>
      </c>
      <c r="W757" s="64" t="str">
        <f>IFERROR(__xludf.DUMMYFUNCTION("IF($A757="""","""",IFERROR(INDEX(FILTER(Candidates!$T$2:$T$2000,Candidates!$A$2:$A$2000=$A757),COUNTIF(Candidates!$A$2:$A$2000,$A757)),""""))"),"")</f>
        <v/>
      </c>
      <c r="X757" s="64"/>
      <c r="Y757" s="64"/>
      <c r="Z757" s="65"/>
      <c r="AA757" s="65"/>
      <c r="AB757" s="65"/>
      <c r="AC757" s="65"/>
    </row>
    <row r="758">
      <c r="A758" s="64"/>
      <c r="B758" s="64"/>
      <c r="C758" s="64"/>
      <c r="D758" s="64"/>
      <c r="E758" s="64"/>
      <c r="F758" s="64"/>
      <c r="G758" s="64"/>
      <c r="H758" s="63"/>
      <c r="I758" s="64"/>
      <c r="J758" s="64"/>
      <c r="K758" s="64"/>
      <c r="L758" s="64"/>
      <c r="M758" s="64"/>
      <c r="N758" s="64"/>
      <c r="O758" s="64"/>
      <c r="P758" s="64"/>
      <c r="Q758" s="64"/>
      <c r="R758" s="65" t="str">
        <f>IF($A758="","",IFERROR(MINIFS(Candidates!$K$2:$K$2000,Candidates!$A$2:$A$2000,$A758),""))</f>
        <v/>
      </c>
      <c r="S758" s="65" t="str">
        <f>IF($A758="","",IFERROR(MAXIFS(Candidates!$AA$2:$AA$2000,Candidates!$A$2:$A$2000,$A758),""))</f>
        <v/>
      </c>
      <c r="T758" s="64" t="str">
        <f>IFERROR(__xludf.DUMMYFUNCTION("IF($A758="""","""",IFERROR(TEXTJOIN("", "",TRUE,UNIQUE(FILTER(Candidates!$B$2:$B$2000,Candidates!$A$2:$A$2000=$A758))),""""))"),"")</f>
        <v/>
      </c>
      <c r="U758" s="66" t="str">
        <f>IF($A758="","",COUNTIF(Candidates!$A$2:$A$2000,$A758))</f>
        <v/>
      </c>
      <c r="V758" s="64" t="str">
        <f>IFERROR(__xludf.DUMMYFUNCTION("IF($A758="""","""",IFERROR(INDEX(FILTER(Candidates!$S$2:$S$2000,Candidates!$A$2:$A$2000=$A758),COUNTIF(Candidates!$A$2:$A$2000,$A758)),""""))"),"")</f>
        <v/>
      </c>
      <c r="W758" s="64" t="str">
        <f>IFERROR(__xludf.DUMMYFUNCTION("IF($A758="""","""",IFERROR(INDEX(FILTER(Candidates!$T$2:$T$2000,Candidates!$A$2:$A$2000=$A758),COUNTIF(Candidates!$A$2:$A$2000,$A758)),""""))"),"")</f>
        <v/>
      </c>
      <c r="X758" s="64"/>
      <c r="Y758" s="64"/>
      <c r="Z758" s="65"/>
      <c r="AA758" s="65"/>
      <c r="AB758" s="65"/>
      <c r="AC758" s="65"/>
    </row>
    <row r="759">
      <c r="A759" s="64"/>
      <c r="B759" s="64"/>
      <c r="C759" s="64"/>
      <c r="D759" s="64"/>
      <c r="E759" s="64"/>
      <c r="F759" s="64"/>
      <c r="G759" s="64"/>
      <c r="H759" s="63"/>
      <c r="I759" s="64"/>
      <c r="J759" s="64"/>
      <c r="K759" s="64"/>
      <c r="L759" s="64"/>
      <c r="M759" s="64"/>
      <c r="N759" s="64"/>
      <c r="O759" s="64"/>
      <c r="P759" s="64"/>
      <c r="Q759" s="64"/>
      <c r="R759" s="65" t="str">
        <f>IF($A759="","",IFERROR(MINIFS(Candidates!$K$2:$K$2000,Candidates!$A$2:$A$2000,$A759),""))</f>
        <v/>
      </c>
      <c r="S759" s="65" t="str">
        <f>IF($A759="","",IFERROR(MAXIFS(Candidates!$AA$2:$AA$2000,Candidates!$A$2:$A$2000,$A759),""))</f>
        <v/>
      </c>
      <c r="T759" s="64" t="str">
        <f>IFERROR(__xludf.DUMMYFUNCTION("IF($A759="""","""",IFERROR(TEXTJOIN("", "",TRUE,UNIQUE(FILTER(Candidates!$B$2:$B$2000,Candidates!$A$2:$A$2000=$A759))),""""))"),"")</f>
        <v/>
      </c>
      <c r="U759" s="66" t="str">
        <f>IF($A759="","",COUNTIF(Candidates!$A$2:$A$2000,$A759))</f>
        <v/>
      </c>
      <c r="V759" s="64" t="str">
        <f>IFERROR(__xludf.DUMMYFUNCTION("IF($A759="""","""",IFERROR(INDEX(FILTER(Candidates!$S$2:$S$2000,Candidates!$A$2:$A$2000=$A759),COUNTIF(Candidates!$A$2:$A$2000,$A759)),""""))"),"")</f>
        <v/>
      </c>
      <c r="W759" s="64" t="str">
        <f>IFERROR(__xludf.DUMMYFUNCTION("IF($A759="""","""",IFERROR(INDEX(FILTER(Candidates!$T$2:$T$2000,Candidates!$A$2:$A$2000=$A759),COUNTIF(Candidates!$A$2:$A$2000,$A759)),""""))"),"")</f>
        <v/>
      </c>
      <c r="X759" s="64"/>
      <c r="Y759" s="64"/>
      <c r="Z759" s="65"/>
      <c r="AA759" s="65"/>
      <c r="AB759" s="65"/>
      <c r="AC759" s="65"/>
    </row>
    <row r="760">
      <c r="A760" s="64"/>
      <c r="B760" s="64"/>
      <c r="C760" s="64"/>
      <c r="D760" s="64"/>
      <c r="E760" s="64"/>
      <c r="F760" s="64"/>
      <c r="G760" s="64"/>
      <c r="H760" s="63"/>
      <c r="I760" s="64"/>
      <c r="J760" s="64"/>
      <c r="K760" s="64"/>
      <c r="L760" s="64"/>
      <c r="M760" s="64"/>
      <c r="N760" s="64"/>
      <c r="O760" s="64"/>
      <c r="P760" s="64"/>
      <c r="Q760" s="64"/>
      <c r="R760" s="65" t="str">
        <f>IF($A760="","",IFERROR(MINIFS(Candidates!$K$2:$K$2000,Candidates!$A$2:$A$2000,$A760),""))</f>
        <v/>
      </c>
      <c r="S760" s="65" t="str">
        <f>IF($A760="","",IFERROR(MAXIFS(Candidates!$AA$2:$AA$2000,Candidates!$A$2:$A$2000,$A760),""))</f>
        <v/>
      </c>
      <c r="T760" s="64" t="str">
        <f>IFERROR(__xludf.DUMMYFUNCTION("IF($A760="""","""",IFERROR(TEXTJOIN("", "",TRUE,UNIQUE(FILTER(Candidates!$B$2:$B$2000,Candidates!$A$2:$A$2000=$A760))),""""))"),"")</f>
        <v/>
      </c>
      <c r="U760" s="66" t="str">
        <f>IF($A760="","",COUNTIF(Candidates!$A$2:$A$2000,$A760))</f>
        <v/>
      </c>
      <c r="V760" s="64" t="str">
        <f>IFERROR(__xludf.DUMMYFUNCTION("IF($A760="""","""",IFERROR(INDEX(FILTER(Candidates!$S$2:$S$2000,Candidates!$A$2:$A$2000=$A760),COUNTIF(Candidates!$A$2:$A$2000,$A760)),""""))"),"")</f>
        <v/>
      </c>
      <c r="W760" s="64" t="str">
        <f>IFERROR(__xludf.DUMMYFUNCTION("IF($A760="""","""",IFERROR(INDEX(FILTER(Candidates!$T$2:$T$2000,Candidates!$A$2:$A$2000=$A760),COUNTIF(Candidates!$A$2:$A$2000,$A760)),""""))"),"")</f>
        <v/>
      </c>
      <c r="X760" s="64"/>
      <c r="Y760" s="64"/>
      <c r="Z760" s="65"/>
      <c r="AA760" s="65"/>
      <c r="AB760" s="65"/>
      <c r="AC760" s="65"/>
    </row>
    <row r="761">
      <c r="A761" s="64"/>
      <c r="B761" s="64"/>
      <c r="C761" s="64"/>
      <c r="D761" s="64"/>
      <c r="E761" s="64"/>
      <c r="F761" s="64"/>
      <c r="G761" s="64"/>
      <c r="H761" s="63"/>
      <c r="I761" s="64"/>
      <c r="J761" s="64"/>
      <c r="K761" s="64"/>
      <c r="L761" s="64"/>
      <c r="M761" s="64"/>
      <c r="N761" s="64"/>
      <c r="O761" s="64"/>
      <c r="P761" s="64"/>
      <c r="Q761" s="64"/>
      <c r="R761" s="65" t="str">
        <f>IF($A761="","",IFERROR(MINIFS(Candidates!$K$2:$K$2000,Candidates!$A$2:$A$2000,$A761),""))</f>
        <v/>
      </c>
      <c r="S761" s="65" t="str">
        <f>IF($A761="","",IFERROR(MAXIFS(Candidates!$AA$2:$AA$2000,Candidates!$A$2:$A$2000,$A761),""))</f>
        <v/>
      </c>
      <c r="T761" s="64" t="str">
        <f>IFERROR(__xludf.DUMMYFUNCTION("IF($A761="""","""",IFERROR(TEXTJOIN("", "",TRUE,UNIQUE(FILTER(Candidates!$B$2:$B$2000,Candidates!$A$2:$A$2000=$A761))),""""))"),"")</f>
        <v/>
      </c>
      <c r="U761" s="66" t="str">
        <f>IF($A761="","",COUNTIF(Candidates!$A$2:$A$2000,$A761))</f>
        <v/>
      </c>
      <c r="V761" s="64" t="str">
        <f>IFERROR(__xludf.DUMMYFUNCTION("IF($A761="""","""",IFERROR(INDEX(FILTER(Candidates!$S$2:$S$2000,Candidates!$A$2:$A$2000=$A761),COUNTIF(Candidates!$A$2:$A$2000,$A761)),""""))"),"")</f>
        <v/>
      </c>
      <c r="W761" s="64" t="str">
        <f>IFERROR(__xludf.DUMMYFUNCTION("IF($A761="""","""",IFERROR(INDEX(FILTER(Candidates!$T$2:$T$2000,Candidates!$A$2:$A$2000=$A761),COUNTIF(Candidates!$A$2:$A$2000,$A761)),""""))"),"")</f>
        <v/>
      </c>
      <c r="X761" s="64"/>
      <c r="Y761" s="64"/>
      <c r="Z761" s="65"/>
      <c r="AA761" s="65"/>
      <c r="AB761" s="65"/>
      <c r="AC761" s="65"/>
    </row>
    <row r="762">
      <c r="A762" s="64"/>
      <c r="B762" s="64"/>
      <c r="C762" s="64"/>
      <c r="D762" s="64"/>
      <c r="E762" s="64"/>
      <c r="F762" s="64"/>
      <c r="G762" s="64"/>
      <c r="H762" s="63"/>
      <c r="I762" s="64"/>
      <c r="J762" s="64"/>
      <c r="K762" s="64"/>
      <c r="L762" s="64"/>
      <c r="M762" s="64"/>
      <c r="N762" s="64"/>
      <c r="O762" s="64"/>
      <c r="P762" s="64"/>
      <c r="Q762" s="64"/>
      <c r="R762" s="65" t="str">
        <f>IF($A762="","",IFERROR(MINIFS(Candidates!$K$2:$K$2000,Candidates!$A$2:$A$2000,$A762),""))</f>
        <v/>
      </c>
      <c r="S762" s="65" t="str">
        <f>IF($A762="","",IFERROR(MAXIFS(Candidates!$AA$2:$AA$2000,Candidates!$A$2:$A$2000,$A762),""))</f>
        <v/>
      </c>
      <c r="T762" s="64" t="str">
        <f>IFERROR(__xludf.DUMMYFUNCTION("IF($A762="""","""",IFERROR(TEXTJOIN("", "",TRUE,UNIQUE(FILTER(Candidates!$B$2:$B$2000,Candidates!$A$2:$A$2000=$A762))),""""))"),"")</f>
        <v/>
      </c>
      <c r="U762" s="66" t="str">
        <f>IF($A762="","",COUNTIF(Candidates!$A$2:$A$2000,$A762))</f>
        <v/>
      </c>
      <c r="V762" s="64" t="str">
        <f>IFERROR(__xludf.DUMMYFUNCTION("IF($A762="""","""",IFERROR(INDEX(FILTER(Candidates!$S$2:$S$2000,Candidates!$A$2:$A$2000=$A762),COUNTIF(Candidates!$A$2:$A$2000,$A762)),""""))"),"")</f>
        <v/>
      </c>
      <c r="W762" s="64" t="str">
        <f>IFERROR(__xludf.DUMMYFUNCTION("IF($A762="""","""",IFERROR(INDEX(FILTER(Candidates!$T$2:$T$2000,Candidates!$A$2:$A$2000=$A762),COUNTIF(Candidates!$A$2:$A$2000,$A762)),""""))"),"")</f>
        <v/>
      </c>
      <c r="X762" s="64"/>
      <c r="Y762" s="64"/>
      <c r="Z762" s="65"/>
      <c r="AA762" s="65"/>
      <c r="AB762" s="65"/>
      <c r="AC762" s="65"/>
    </row>
    <row r="763">
      <c r="A763" s="64"/>
      <c r="B763" s="64"/>
      <c r="C763" s="64"/>
      <c r="D763" s="64"/>
      <c r="E763" s="64"/>
      <c r="F763" s="64"/>
      <c r="G763" s="64"/>
      <c r="H763" s="63"/>
      <c r="I763" s="64"/>
      <c r="J763" s="64"/>
      <c r="K763" s="64"/>
      <c r="L763" s="64"/>
      <c r="M763" s="64"/>
      <c r="N763" s="64"/>
      <c r="O763" s="64"/>
      <c r="P763" s="64"/>
      <c r="Q763" s="64"/>
      <c r="R763" s="65" t="str">
        <f>IF($A763="","",IFERROR(MINIFS(Candidates!$K$2:$K$2000,Candidates!$A$2:$A$2000,$A763),""))</f>
        <v/>
      </c>
      <c r="S763" s="65" t="str">
        <f>IF($A763="","",IFERROR(MAXIFS(Candidates!$AA$2:$AA$2000,Candidates!$A$2:$A$2000,$A763),""))</f>
        <v/>
      </c>
      <c r="T763" s="64" t="str">
        <f>IFERROR(__xludf.DUMMYFUNCTION("IF($A763="""","""",IFERROR(TEXTJOIN("", "",TRUE,UNIQUE(FILTER(Candidates!$B$2:$B$2000,Candidates!$A$2:$A$2000=$A763))),""""))"),"")</f>
        <v/>
      </c>
      <c r="U763" s="66" t="str">
        <f>IF($A763="","",COUNTIF(Candidates!$A$2:$A$2000,$A763))</f>
        <v/>
      </c>
      <c r="V763" s="64" t="str">
        <f>IFERROR(__xludf.DUMMYFUNCTION("IF($A763="""","""",IFERROR(INDEX(FILTER(Candidates!$S$2:$S$2000,Candidates!$A$2:$A$2000=$A763),COUNTIF(Candidates!$A$2:$A$2000,$A763)),""""))"),"")</f>
        <v/>
      </c>
      <c r="W763" s="64" t="str">
        <f>IFERROR(__xludf.DUMMYFUNCTION("IF($A763="""","""",IFERROR(INDEX(FILTER(Candidates!$T$2:$T$2000,Candidates!$A$2:$A$2000=$A763),COUNTIF(Candidates!$A$2:$A$2000,$A763)),""""))"),"")</f>
        <v/>
      </c>
      <c r="X763" s="64"/>
      <c r="Y763" s="64"/>
      <c r="Z763" s="65"/>
      <c r="AA763" s="65"/>
      <c r="AB763" s="65"/>
      <c r="AC763" s="65"/>
    </row>
    <row r="764">
      <c r="A764" s="64"/>
      <c r="B764" s="64"/>
      <c r="C764" s="64"/>
      <c r="D764" s="64"/>
      <c r="E764" s="64"/>
      <c r="F764" s="64"/>
      <c r="G764" s="64"/>
      <c r="H764" s="63"/>
      <c r="I764" s="64"/>
      <c r="J764" s="64"/>
      <c r="K764" s="64"/>
      <c r="L764" s="64"/>
      <c r="M764" s="64"/>
      <c r="N764" s="64"/>
      <c r="O764" s="64"/>
      <c r="P764" s="64"/>
      <c r="Q764" s="64"/>
      <c r="R764" s="65" t="str">
        <f>IF($A764="","",IFERROR(MINIFS(Candidates!$K$2:$K$2000,Candidates!$A$2:$A$2000,$A764),""))</f>
        <v/>
      </c>
      <c r="S764" s="65" t="str">
        <f>IF($A764="","",IFERROR(MAXIFS(Candidates!$AA$2:$AA$2000,Candidates!$A$2:$A$2000,$A764),""))</f>
        <v/>
      </c>
      <c r="T764" s="64" t="str">
        <f>IFERROR(__xludf.DUMMYFUNCTION("IF($A764="""","""",IFERROR(TEXTJOIN("", "",TRUE,UNIQUE(FILTER(Candidates!$B$2:$B$2000,Candidates!$A$2:$A$2000=$A764))),""""))"),"")</f>
        <v/>
      </c>
      <c r="U764" s="66" t="str">
        <f>IF($A764="","",COUNTIF(Candidates!$A$2:$A$2000,$A764))</f>
        <v/>
      </c>
      <c r="V764" s="64" t="str">
        <f>IFERROR(__xludf.DUMMYFUNCTION("IF($A764="""","""",IFERROR(INDEX(FILTER(Candidates!$S$2:$S$2000,Candidates!$A$2:$A$2000=$A764),COUNTIF(Candidates!$A$2:$A$2000,$A764)),""""))"),"")</f>
        <v/>
      </c>
      <c r="W764" s="64" t="str">
        <f>IFERROR(__xludf.DUMMYFUNCTION("IF($A764="""","""",IFERROR(INDEX(FILTER(Candidates!$T$2:$T$2000,Candidates!$A$2:$A$2000=$A764),COUNTIF(Candidates!$A$2:$A$2000,$A764)),""""))"),"")</f>
        <v/>
      </c>
      <c r="X764" s="64"/>
      <c r="Y764" s="64"/>
      <c r="Z764" s="65"/>
      <c r="AA764" s="65"/>
      <c r="AB764" s="65"/>
      <c r="AC764" s="65"/>
    </row>
    <row r="765">
      <c r="A765" s="64"/>
      <c r="B765" s="64"/>
      <c r="C765" s="64"/>
      <c r="D765" s="64"/>
      <c r="E765" s="64"/>
      <c r="F765" s="64"/>
      <c r="G765" s="64"/>
      <c r="H765" s="63"/>
      <c r="I765" s="64"/>
      <c r="J765" s="64"/>
      <c r="K765" s="64"/>
      <c r="L765" s="64"/>
      <c r="M765" s="64"/>
      <c r="N765" s="64"/>
      <c r="O765" s="64"/>
      <c r="P765" s="64"/>
      <c r="Q765" s="64"/>
      <c r="R765" s="65" t="str">
        <f>IF($A765="","",IFERROR(MINIFS(Candidates!$K$2:$K$2000,Candidates!$A$2:$A$2000,$A765),""))</f>
        <v/>
      </c>
      <c r="S765" s="65" t="str">
        <f>IF($A765="","",IFERROR(MAXIFS(Candidates!$AA$2:$AA$2000,Candidates!$A$2:$A$2000,$A765),""))</f>
        <v/>
      </c>
      <c r="T765" s="64" t="str">
        <f>IFERROR(__xludf.DUMMYFUNCTION("IF($A765="""","""",IFERROR(TEXTJOIN("", "",TRUE,UNIQUE(FILTER(Candidates!$B$2:$B$2000,Candidates!$A$2:$A$2000=$A765))),""""))"),"")</f>
        <v/>
      </c>
      <c r="U765" s="66" t="str">
        <f>IF($A765="","",COUNTIF(Candidates!$A$2:$A$2000,$A765))</f>
        <v/>
      </c>
      <c r="V765" s="64" t="str">
        <f>IFERROR(__xludf.DUMMYFUNCTION("IF($A765="""","""",IFERROR(INDEX(FILTER(Candidates!$S$2:$S$2000,Candidates!$A$2:$A$2000=$A765),COUNTIF(Candidates!$A$2:$A$2000,$A765)),""""))"),"")</f>
        <v/>
      </c>
      <c r="W765" s="64" t="str">
        <f>IFERROR(__xludf.DUMMYFUNCTION("IF($A765="""","""",IFERROR(INDEX(FILTER(Candidates!$T$2:$T$2000,Candidates!$A$2:$A$2000=$A765),COUNTIF(Candidates!$A$2:$A$2000,$A765)),""""))"),"")</f>
        <v/>
      </c>
      <c r="X765" s="64"/>
      <c r="Y765" s="64"/>
      <c r="Z765" s="65"/>
      <c r="AA765" s="65"/>
      <c r="AB765" s="65"/>
      <c r="AC765" s="65"/>
    </row>
    <row r="766">
      <c r="A766" s="64"/>
      <c r="B766" s="64"/>
      <c r="C766" s="64"/>
      <c r="D766" s="64"/>
      <c r="E766" s="64"/>
      <c r="F766" s="64"/>
      <c r="G766" s="64"/>
      <c r="H766" s="63"/>
      <c r="I766" s="64"/>
      <c r="J766" s="64"/>
      <c r="K766" s="64"/>
      <c r="L766" s="64"/>
      <c r="M766" s="64"/>
      <c r="N766" s="64"/>
      <c r="O766" s="64"/>
      <c r="P766" s="64"/>
      <c r="Q766" s="64"/>
      <c r="R766" s="65" t="str">
        <f>IF($A766="","",IFERROR(MINIFS(Candidates!$K$2:$K$2000,Candidates!$A$2:$A$2000,$A766),""))</f>
        <v/>
      </c>
      <c r="S766" s="65" t="str">
        <f>IF($A766="","",IFERROR(MAXIFS(Candidates!$AA$2:$AA$2000,Candidates!$A$2:$A$2000,$A766),""))</f>
        <v/>
      </c>
      <c r="T766" s="64" t="str">
        <f>IFERROR(__xludf.DUMMYFUNCTION("IF($A766="""","""",IFERROR(TEXTJOIN("", "",TRUE,UNIQUE(FILTER(Candidates!$B$2:$B$2000,Candidates!$A$2:$A$2000=$A766))),""""))"),"")</f>
        <v/>
      </c>
      <c r="U766" s="66" t="str">
        <f>IF($A766="","",COUNTIF(Candidates!$A$2:$A$2000,$A766))</f>
        <v/>
      </c>
      <c r="V766" s="64" t="str">
        <f>IFERROR(__xludf.DUMMYFUNCTION("IF($A766="""","""",IFERROR(INDEX(FILTER(Candidates!$S$2:$S$2000,Candidates!$A$2:$A$2000=$A766),COUNTIF(Candidates!$A$2:$A$2000,$A766)),""""))"),"")</f>
        <v/>
      </c>
      <c r="W766" s="64" t="str">
        <f>IFERROR(__xludf.DUMMYFUNCTION("IF($A766="""","""",IFERROR(INDEX(FILTER(Candidates!$T$2:$T$2000,Candidates!$A$2:$A$2000=$A766),COUNTIF(Candidates!$A$2:$A$2000,$A766)),""""))"),"")</f>
        <v/>
      </c>
      <c r="X766" s="64"/>
      <c r="Y766" s="64"/>
      <c r="Z766" s="65"/>
      <c r="AA766" s="65"/>
      <c r="AB766" s="65"/>
      <c r="AC766" s="65"/>
    </row>
    <row r="767">
      <c r="A767" s="64"/>
      <c r="B767" s="64"/>
      <c r="C767" s="64"/>
      <c r="D767" s="64"/>
      <c r="E767" s="64"/>
      <c r="F767" s="64"/>
      <c r="G767" s="64"/>
      <c r="H767" s="63"/>
      <c r="I767" s="64"/>
      <c r="J767" s="64"/>
      <c r="K767" s="64"/>
      <c r="L767" s="64"/>
      <c r="M767" s="64"/>
      <c r="N767" s="64"/>
      <c r="O767" s="64"/>
      <c r="P767" s="64"/>
      <c r="Q767" s="64"/>
      <c r="R767" s="65" t="str">
        <f>IF($A767="","",IFERROR(MINIFS(Candidates!$K$2:$K$2000,Candidates!$A$2:$A$2000,$A767),""))</f>
        <v/>
      </c>
      <c r="S767" s="65" t="str">
        <f>IF($A767="","",IFERROR(MAXIFS(Candidates!$AA$2:$AA$2000,Candidates!$A$2:$A$2000,$A767),""))</f>
        <v/>
      </c>
      <c r="T767" s="64" t="str">
        <f>IFERROR(__xludf.DUMMYFUNCTION("IF($A767="""","""",IFERROR(TEXTJOIN("", "",TRUE,UNIQUE(FILTER(Candidates!$B$2:$B$2000,Candidates!$A$2:$A$2000=$A767))),""""))"),"")</f>
        <v/>
      </c>
      <c r="U767" s="66" t="str">
        <f>IF($A767="","",COUNTIF(Candidates!$A$2:$A$2000,$A767))</f>
        <v/>
      </c>
      <c r="V767" s="64" t="str">
        <f>IFERROR(__xludf.DUMMYFUNCTION("IF($A767="""","""",IFERROR(INDEX(FILTER(Candidates!$S$2:$S$2000,Candidates!$A$2:$A$2000=$A767),COUNTIF(Candidates!$A$2:$A$2000,$A767)),""""))"),"")</f>
        <v/>
      </c>
      <c r="W767" s="64" t="str">
        <f>IFERROR(__xludf.DUMMYFUNCTION("IF($A767="""","""",IFERROR(INDEX(FILTER(Candidates!$T$2:$T$2000,Candidates!$A$2:$A$2000=$A767),COUNTIF(Candidates!$A$2:$A$2000,$A767)),""""))"),"")</f>
        <v/>
      </c>
      <c r="X767" s="64"/>
      <c r="Y767" s="64"/>
      <c r="Z767" s="65"/>
      <c r="AA767" s="65"/>
      <c r="AB767" s="65"/>
      <c r="AC767" s="65"/>
    </row>
    <row r="768">
      <c r="A768" s="64"/>
      <c r="B768" s="64"/>
      <c r="C768" s="64"/>
      <c r="D768" s="64"/>
      <c r="E768" s="64"/>
      <c r="F768" s="64"/>
      <c r="G768" s="64"/>
      <c r="H768" s="63"/>
      <c r="I768" s="64"/>
      <c r="J768" s="64"/>
      <c r="K768" s="64"/>
      <c r="L768" s="64"/>
      <c r="M768" s="64"/>
      <c r="N768" s="64"/>
      <c r="O768" s="64"/>
      <c r="P768" s="64"/>
      <c r="Q768" s="64"/>
      <c r="R768" s="65" t="str">
        <f>IF($A768="","",IFERROR(MINIFS(Candidates!$K$2:$K$2000,Candidates!$A$2:$A$2000,$A768),""))</f>
        <v/>
      </c>
      <c r="S768" s="65" t="str">
        <f>IF($A768="","",IFERROR(MAXIFS(Candidates!$AA$2:$AA$2000,Candidates!$A$2:$A$2000,$A768),""))</f>
        <v/>
      </c>
      <c r="T768" s="64" t="str">
        <f>IFERROR(__xludf.DUMMYFUNCTION("IF($A768="""","""",IFERROR(TEXTJOIN("", "",TRUE,UNIQUE(FILTER(Candidates!$B$2:$B$2000,Candidates!$A$2:$A$2000=$A768))),""""))"),"")</f>
        <v/>
      </c>
      <c r="U768" s="66" t="str">
        <f>IF($A768="","",COUNTIF(Candidates!$A$2:$A$2000,$A768))</f>
        <v/>
      </c>
      <c r="V768" s="64" t="str">
        <f>IFERROR(__xludf.DUMMYFUNCTION("IF($A768="""","""",IFERROR(INDEX(FILTER(Candidates!$S$2:$S$2000,Candidates!$A$2:$A$2000=$A768),COUNTIF(Candidates!$A$2:$A$2000,$A768)),""""))"),"")</f>
        <v/>
      </c>
      <c r="W768" s="64" t="str">
        <f>IFERROR(__xludf.DUMMYFUNCTION("IF($A768="""","""",IFERROR(INDEX(FILTER(Candidates!$T$2:$T$2000,Candidates!$A$2:$A$2000=$A768),COUNTIF(Candidates!$A$2:$A$2000,$A768)),""""))"),"")</f>
        <v/>
      </c>
      <c r="X768" s="64"/>
      <c r="Y768" s="64"/>
      <c r="Z768" s="65"/>
      <c r="AA768" s="65"/>
      <c r="AB768" s="65"/>
      <c r="AC768" s="65"/>
    </row>
    <row r="769">
      <c r="A769" s="64"/>
      <c r="B769" s="64"/>
      <c r="C769" s="64"/>
      <c r="D769" s="64"/>
      <c r="E769" s="64"/>
      <c r="F769" s="64"/>
      <c r="G769" s="64"/>
      <c r="H769" s="63"/>
      <c r="I769" s="64"/>
      <c r="J769" s="64"/>
      <c r="K769" s="64"/>
      <c r="L769" s="64"/>
      <c r="M769" s="64"/>
      <c r="N769" s="64"/>
      <c r="O769" s="64"/>
      <c r="P769" s="64"/>
      <c r="Q769" s="64"/>
      <c r="R769" s="65" t="str">
        <f>IF($A769="","",IFERROR(MINIFS(Candidates!$K$2:$K$2000,Candidates!$A$2:$A$2000,$A769),""))</f>
        <v/>
      </c>
      <c r="S769" s="65" t="str">
        <f>IF($A769="","",IFERROR(MAXIFS(Candidates!$AA$2:$AA$2000,Candidates!$A$2:$A$2000,$A769),""))</f>
        <v/>
      </c>
      <c r="T769" s="64" t="str">
        <f>IFERROR(__xludf.DUMMYFUNCTION("IF($A769="""","""",IFERROR(TEXTJOIN("", "",TRUE,UNIQUE(FILTER(Candidates!$B$2:$B$2000,Candidates!$A$2:$A$2000=$A769))),""""))"),"")</f>
        <v/>
      </c>
      <c r="U769" s="66" t="str">
        <f>IF($A769="","",COUNTIF(Candidates!$A$2:$A$2000,$A769))</f>
        <v/>
      </c>
      <c r="V769" s="64" t="str">
        <f>IFERROR(__xludf.DUMMYFUNCTION("IF($A769="""","""",IFERROR(INDEX(FILTER(Candidates!$S$2:$S$2000,Candidates!$A$2:$A$2000=$A769),COUNTIF(Candidates!$A$2:$A$2000,$A769)),""""))"),"")</f>
        <v/>
      </c>
      <c r="W769" s="64" t="str">
        <f>IFERROR(__xludf.DUMMYFUNCTION("IF($A769="""","""",IFERROR(INDEX(FILTER(Candidates!$T$2:$T$2000,Candidates!$A$2:$A$2000=$A769),COUNTIF(Candidates!$A$2:$A$2000,$A769)),""""))"),"")</f>
        <v/>
      </c>
      <c r="X769" s="64"/>
      <c r="Y769" s="64"/>
      <c r="Z769" s="65"/>
      <c r="AA769" s="65"/>
      <c r="AB769" s="65"/>
      <c r="AC769" s="65"/>
    </row>
    <row r="770">
      <c r="A770" s="64"/>
      <c r="B770" s="64"/>
      <c r="C770" s="64"/>
      <c r="D770" s="64"/>
      <c r="E770" s="64"/>
      <c r="F770" s="64"/>
      <c r="G770" s="64"/>
      <c r="H770" s="63"/>
      <c r="I770" s="64"/>
      <c r="J770" s="64"/>
      <c r="K770" s="64"/>
      <c r="L770" s="64"/>
      <c r="M770" s="64"/>
      <c r="N770" s="64"/>
      <c r="O770" s="64"/>
      <c r="P770" s="64"/>
      <c r="Q770" s="64"/>
      <c r="R770" s="65" t="str">
        <f>IF($A770="","",IFERROR(MINIFS(Candidates!$K$2:$K$2000,Candidates!$A$2:$A$2000,$A770),""))</f>
        <v/>
      </c>
      <c r="S770" s="65" t="str">
        <f>IF($A770="","",IFERROR(MAXIFS(Candidates!$AA$2:$AA$2000,Candidates!$A$2:$A$2000,$A770),""))</f>
        <v/>
      </c>
      <c r="T770" s="64" t="str">
        <f>IFERROR(__xludf.DUMMYFUNCTION("IF($A770="""","""",IFERROR(TEXTJOIN("", "",TRUE,UNIQUE(FILTER(Candidates!$B$2:$B$2000,Candidates!$A$2:$A$2000=$A770))),""""))"),"")</f>
        <v/>
      </c>
      <c r="U770" s="66" t="str">
        <f>IF($A770="","",COUNTIF(Candidates!$A$2:$A$2000,$A770))</f>
        <v/>
      </c>
      <c r="V770" s="64" t="str">
        <f>IFERROR(__xludf.DUMMYFUNCTION("IF($A770="""","""",IFERROR(INDEX(FILTER(Candidates!$S$2:$S$2000,Candidates!$A$2:$A$2000=$A770),COUNTIF(Candidates!$A$2:$A$2000,$A770)),""""))"),"")</f>
        <v/>
      </c>
      <c r="W770" s="64" t="str">
        <f>IFERROR(__xludf.DUMMYFUNCTION("IF($A770="""","""",IFERROR(INDEX(FILTER(Candidates!$T$2:$T$2000,Candidates!$A$2:$A$2000=$A770),COUNTIF(Candidates!$A$2:$A$2000,$A770)),""""))"),"")</f>
        <v/>
      </c>
      <c r="X770" s="64"/>
      <c r="Y770" s="64"/>
      <c r="Z770" s="65"/>
      <c r="AA770" s="65"/>
      <c r="AB770" s="65"/>
      <c r="AC770" s="65"/>
    </row>
    <row r="771">
      <c r="A771" s="64"/>
      <c r="B771" s="64"/>
      <c r="C771" s="64"/>
      <c r="D771" s="64"/>
      <c r="E771" s="64"/>
      <c r="F771" s="64"/>
      <c r="G771" s="64"/>
      <c r="H771" s="63"/>
      <c r="I771" s="64"/>
      <c r="J771" s="64"/>
      <c r="K771" s="64"/>
      <c r="L771" s="64"/>
      <c r="M771" s="64"/>
      <c r="N771" s="64"/>
      <c r="O771" s="64"/>
      <c r="P771" s="64"/>
      <c r="Q771" s="64"/>
      <c r="R771" s="65" t="str">
        <f>IF($A771="","",IFERROR(MINIFS(Candidates!$K$2:$K$2000,Candidates!$A$2:$A$2000,$A771),""))</f>
        <v/>
      </c>
      <c r="S771" s="65" t="str">
        <f>IF($A771="","",IFERROR(MAXIFS(Candidates!$AA$2:$AA$2000,Candidates!$A$2:$A$2000,$A771),""))</f>
        <v/>
      </c>
      <c r="T771" s="64" t="str">
        <f>IFERROR(__xludf.DUMMYFUNCTION("IF($A771="""","""",IFERROR(TEXTJOIN("", "",TRUE,UNIQUE(FILTER(Candidates!$B$2:$B$2000,Candidates!$A$2:$A$2000=$A771))),""""))"),"")</f>
        <v/>
      </c>
      <c r="U771" s="66" t="str">
        <f>IF($A771="","",COUNTIF(Candidates!$A$2:$A$2000,$A771))</f>
        <v/>
      </c>
      <c r="V771" s="64" t="str">
        <f>IFERROR(__xludf.DUMMYFUNCTION("IF($A771="""","""",IFERROR(INDEX(FILTER(Candidates!$S$2:$S$2000,Candidates!$A$2:$A$2000=$A771),COUNTIF(Candidates!$A$2:$A$2000,$A771)),""""))"),"")</f>
        <v/>
      </c>
      <c r="W771" s="64" t="str">
        <f>IFERROR(__xludf.DUMMYFUNCTION("IF($A771="""","""",IFERROR(INDEX(FILTER(Candidates!$T$2:$T$2000,Candidates!$A$2:$A$2000=$A771),COUNTIF(Candidates!$A$2:$A$2000,$A771)),""""))"),"")</f>
        <v/>
      </c>
      <c r="X771" s="64"/>
      <c r="Y771" s="64"/>
      <c r="Z771" s="65"/>
      <c r="AA771" s="65"/>
      <c r="AB771" s="65"/>
      <c r="AC771" s="65"/>
    </row>
    <row r="772">
      <c r="A772" s="64"/>
      <c r="B772" s="64"/>
      <c r="C772" s="64"/>
      <c r="D772" s="64"/>
      <c r="E772" s="64"/>
      <c r="F772" s="64"/>
      <c r="G772" s="64"/>
      <c r="H772" s="63"/>
      <c r="I772" s="64"/>
      <c r="J772" s="64"/>
      <c r="K772" s="64"/>
      <c r="L772" s="64"/>
      <c r="M772" s="64"/>
      <c r="N772" s="64"/>
      <c r="O772" s="64"/>
      <c r="P772" s="64"/>
      <c r="Q772" s="64"/>
      <c r="R772" s="65" t="str">
        <f>IF($A772="","",IFERROR(MINIFS(Candidates!$K$2:$K$2000,Candidates!$A$2:$A$2000,$A772),""))</f>
        <v/>
      </c>
      <c r="S772" s="65" t="str">
        <f>IF($A772="","",IFERROR(MAXIFS(Candidates!$AA$2:$AA$2000,Candidates!$A$2:$A$2000,$A772),""))</f>
        <v/>
      </c>
      <c r="T772" s="64" t="str">
        <f>IFERROR(__xludf.DUMMYFUNCTION("IF($A772="""","""",IFERROR(TEXTJOIN("", "",TRUE,UNIQUE(FILTER(Candidates!$B$2:$B$2000,Candidates!$A$2:$A$2000=$A772))),""""))"),"")</f>
        <v/>
      </c>
      <c r="U772" s="66" t="str">
        <f>IF($A772="","",COUNTIF(Candidates!$A$2:$A$2000,$A772))</f>
        <v/>
      </c>
      <c r="V772" s="64" t="str">
        <f>IFERROR(__xludf.DUMMYFUNCTION("IF($A772="""","""",IFERROR(INDEX(FILTER(Candidates!$S$2:$S$2000,Candidates!$A$2:$A$2000=$A772),COUNTIF(Candidates!$A$2:$A$2000,$A772)),""""))"),"")</f>
        <v/>
      </c>
      <c r="W772" s="64" t="str">
        <f>IFERROR(__xludf.DUMMYFUNCTION("IF($A772="""","""",IFERROR(INDEX(FILTER(Candidates!$T$2:$T$2000,Candidates!$A$2:$A$2000=$A772),COUNTIF(Candidates!$A$2:$A$2000,$A772)),""""))"),"")</f>
        <v/>
      </c>
      <c r="X772" s="64"/>
      <c r="Y772" s="64"/>
      <c r="Z772" s="65"/>
      <c r="AA772" s="65"/>
      <c r="AB772" s="65"/>
      <c r="AC772" s="65"/>
    </row>
    <row r="773">
      <c r="A773" s="64"/>
      <c r="B773" s="64"/>
      <c r="C773" s="64"/>
      <c r="D773" s="64"/>
      <c r="E773" s="64"/>
      <c r="F773" s="64"/>
      <c r="G773" s="64"/>
      <c r="H773" s="63"/>
      <c r="I773" s="64"/>
      <c r="J773" s="64"/>
      <c r="K773" s="64"/>
      <c r="L773" s="64"/>
      <c r="M773" s="64"/>
      <c r="N773" s="64"/>
      <c r="O773" s="64"/>
      <c r="P773" s="64"/>
      <c r="Q773" s="64"/>
      <c r="R773" s="65" t="str">
        <f>IF($A773="","",IFERROR(MINIFS(Candidates!$K$2:$K$2000,Candidates!$A$2:$A$2000,$A773),""))</f>
        <v/>
      </c>
      <c r="S773" s="65" t="str">
        <f>IF($A773="","",IFERROR(MAXIFS(Candidates!$AA$2:$AA$2000,Candidates!$A$2:$A$2000,$A773),""))</f>
        <v/>
      </c>
      <c r="T773" s="64" t="str">
        <f>IFERROR(__xludf.DUMMYFUNCTION("IF($A773="""","""",IFERROR(TEXTJOIN("", "",TRUE,UNIQUE(FILTER(Candidates!$B$2:$B$2000,Candidates!$A$2:$A$2000=$A773))),""""))"),"")</f>
        <v/>
      </c>
      <c r="U773" s="66" t="str">
        <f>IF($A773="","",COUNTIF(Candidates!$A$2:$A$2000,$A773))</f>
        <v/>
      </c>
      <c r="V773" s="64" t="str">
        <f>IFERROR(__xludf.DUMMYFUNCTION("IF($A773="""","""",IFERROR(INDEX(FILTER(Candidates!$S$2:$S$2000,Candidates!$A$2:$A$2000=$A773),COUNTIF(Candidates!$A$2:$A$2000,$A773)),""""))"),"")</f>
        <v/>
      </c>
      <c r="W773" s="64" t="str">
        <f>IFERROR(__xludf.DUMMYFUNCTION("IF($A773="""","""",IFERROR(INDEX(FILTER(Candidates!$T$2:$T$2000,Candidates!$A$2:$A$2000=$A773),COUNTIF(Candidates!$A$2:$A$2000,$A773)),""""))"),"")</f>
        <v/>
      </c>
      <c r="X773" s="64"/>
      <c r="Y773" s="64"/>
      <c r="Z773" s="65"/>
      <c r="AA773" s="65"/>
      <c r="AB773" s="65"/>
      <c r="AC773" s="65"/>
    </row>
    <row r="774">
      <c r="A774" s="64"/>
      <c r="B774" s="64"/>
      <c r="C774" s="64"/>
      <c r="D774" s="64"/>
      <c r="E774" s="64"/>
      <c r="F774" s="64"/>
      <c r="G774" s="64"/>
      <c r="H774" s="63"/>
      <c r="I774" s="64"/>
      <c r="J774" s="64"/>
      <c r="K774" s="64"/>
      <c r="L774" s="64"/>
      <c r="M774" s="64"/>
      <c r="N774" s="64"/>
      <c r="O774" s="64"/>
      <c r="P774" s="64"/>
      <c r="Q774" s="64"/>
      <c r="R774" s="65" t="str">
        <f>IF($A774="","",IFERROR(MINIFS(Candidates!$K$2:$K$2000,Candidates!$A$2:$A$2000,$A774),""))</f>
        <v/>
      </c>
      <c r="S774" s="65" t="str">
        <f>IF($A774="","",IFERROR(MAXIFS(Candidates!$AA$2:$AA$2000,Candidates!$A$2:$A$2000,$A774),""))</f>
        <v/>
      </c>
      <c r="T774" s="64" t="str">
        <f>IFERROR(__xludf.DUMMYFUNCTION("IF($A774="""","""",IFERROR(TEXTJOIN("", "",TRUE,UNIQUE(FILTER(Candidates!$B$2:$B$2000,Candidates!$A$2:$A$2000=$A774))),""""))"),"")</f>
        <v/>
      </c>
      <c r="U774" s="66" t="str">
        <f>IF($A774="","",COUNTIF(Candidates!$A$2:$A$2000,$A774))</f>
        <v/>
      </c>
      <c r="V774" s="64" t="str">
        <f>IFERROR(__xludf.DUMMYFUNCTION("IF($A774="""","""",IFERROR(INDEX(FILTER(Candidates!$S$2:$S$2000,Candidates!$A$2:$A$2000=$A774),COUNTIF(Candidates!$A$2:$A$2000,$A774)),""""))"),"")</f>
        <v/>
      </c>
      <c r="W774" s="64" t="str">
        <f>IFERROR(__xludf.DUMMYFUNCTION("IF($A774="""","""",IFERROR(INDEX(FILTER(Candidates!$T$2:$T$2000,Candidates!$A$2:$A$2000=$A774),COUNTIF(Candidates!$A$2:$A$2000,$A774)),""""))"),"")</f>
        <v/>
      </c>
      <c r="X774" s="64"/>
      <c r="Y774" s="64"/>
      <c r="Z774" s="65"/>
      <c r="AA774" s="65"/>
      <c r="AB774" s="65"/>
      <c r="AC774" s="65"/>
    </row>
    <row r="775">
      <c r="A775" s="64"/>
      <c r="B775" s="64"/>
      <c r="C775" s="64"/>
      <c r="D775" s="64"/>
      <c r="E775" s="64"/>
      <c r="F775" s="64"/>
      <c r="G775" s="64"/>
      <c r="H775" s="63"/>
      <c r="I775" s="64"/>
      <c r="J775" s="64"/>
      <c r="K775" s="64"/>
      <c r="L775" s="64"/>
      <c r="M775" s="64"/>
      <c r="N775" s="64"/>
      <c r="O775" s="64"/>
      <c r="P775" s="64"/>
      <c r="Q775" s="64"/>
      <c r="R775" s="65" t="str">
        <f>IF($A775="","",IFERROR(MINIFS(Candidates!$K$2:$K$2000,Candidates!$A$2:$A$2000,$A775),""))</f>
        <v/>
      </c>
      <c r="S775" s="65" t="str">
        <f>IF($A775="","",IFERROR(MAXIFS(Candidates!$AA$2:$AA$2000,Candidates!$A$2:$A$2000,$A775),""))</f>
        <v/>
      </c>
      <c r="T775" s="64" t="str">
        <f>IFERROR(__xludf.DUMMYFUNCTION("IF($A775="""","""",IFERROR(TEXTJOIN("", "",TRUE,UNIQUE(FILTER(Candidates!$B$2:$B$2000,Candidates!$A$2:$A$2000=$A775))),""""))"),"")</f>
        <v/>
      </c>
      <c r="U775" s="66" t="str">
        <f>IF($A775="","",COUNTIF(Candidates!$A$2:$A$2000,$A775))</f>
        <v/>
      </c>
      <c r="V775" s="64" t="str">
        <f>IFERROR(__xludf.DUMMYFUNCTION("IF($A775="""","""",IFERROR(INDEX(FILTER(Candidates!$S$2:$S$2000,Candidates!$A$2:$A$2000=$A775),COUNTIF(Candidates!$A$2:$A$2000,$A775)),""""))"),"")</f>
        <v/>
      </c>
      <c r="W775" s="64" t="str">
        <f>IFERROR(__xludf.DUMMYFUNCTION("IF($A775="""","""",IFERROR(INDEX(FILTER(Candidates!$T$2:$T$2000,Candidates!$A$2:$A$2000=$A775),COUNTIF(Candidates!$A$2:$A$2000,$A775)),""""))"),"")</f>
        <v/>
      </c>
      <c r="X775" s="64"/>
      <c r="Y775" s="64"/>
      <c r="Z775" s="65"/>
      <c r="AA775" s="65"/>
      <c r="AB775" s="65"/>
      <c r="AC775" s="65"/>
    </row>
    <row r="776">
      <c r="A776" s="64"/>
      <c r="B776" s="64"/>
      <c r="C776" s="64"/>
      <c r="D776" s="64"/>
      <c r="E776" s="64"/>
      <c r="F776" s="64"/>
      <c r="G776" s="64"/>
      <c r="H776" s="63"/>
      <c r="I776" s="64"/>
      <c r="J776" s="64"/>
      <c r="K776" s="64"/>
      <c r="L776" s="64"/>
      <c r="M776" s="64"/>
      <c r="N776" s="64"/>
      <c r="O776" s="64"/>
      <c r="P776" s="64"/>
      <c r="Q776" s="64"/>
      <c r="R776" s="65" t="str">
        <f>IF($A776="","",IFERROR(MINIFS(Candidates!$K$2:$K$2000,Candidates!$A$2:$A$2000,$A776),""))</f>
        <v/>
      </c>
      <c r="S776" s="65" t="str">
        <f>IF($A776="","",IFERROR(MAXIFS(Candidates!$AA$2:$AA$2000,Candidates!$A$2:$A$2000,$A776),""))</f>
        <v/>
      </c>
      <c r="T776" s="64" t="str">
        <f>IFERROR(__xludf.DUMMYFUNCTION("IF($A776="""","""",IFERROR(TEXTJOIN("", "",TRUE,UNIQUE(FILTER(Candidates!$B$2:$B$2000,Candidates!$A$2:$A$2000=$A776))),""""))"),"")</f>
        <v/>
      </c>
      <c r="U776" s="66" t="str">
        <f>IF($A776="","",COUNTIF(Candidates!$A$2:$A$2000,$A776))</f>
        <v/>
      </c>
      <c r="V776" s="64" t="str">
        <f>IFERROR(__xludf.DUMMYFUNCTION("IF($A776="""","""",IFERROR(INDEX(FILTER(Candidates!$S$2:$S$2000,Candidates!$A$2:$A$2000=$A776),COUNTIF(Candidates!$A$2:$A$2000,$A776)),""""))"),"")</f>
        <v/>
      </c>
      <c r="W776" s="64" t="str">
        <f>IFERROR(__xludf.DUMMYFUNCTION("IF($A776="""","""",IFERROR(INDEX(FILTER(Candidates!$T$2:$T$2000,Candidates!$A$2:$A$2000=$A776),COUNTIF(Candidates!$A$2:$A$2000,$A776)),""""))"),"")</f>
        <v/>
      </c>
      <c r="X776" s="64"/>
      <c r="Y776" s="64"/>
      <c r="Z776" s="65"/>
      <c r="AA776" s="65"/>
      <c r="AB776" s="65"/>
      <c r="AC776" s="65"/>
    </row>
    <row r="777">
      <c r="A777" s="64"/>
      <c r="B777" s="64"/>
      <c r="C777" s="64"/>
      <c r="D777" s="64"/>
      <c r="E777" s="64"/>
      <c r="F777" s="64"/>
      <c r="G777" s="64"/>
      <c r="H777" s="63"/>
      <c r="I777" s="64"/>
      <c r="J777" s="64"/>
      <c r="K777" s="64"/>
      <c r="L777" s="64"/>
      <c r="M777" s="64"/>
      <c r="N777" s="64"/>
      <c r="O777" s="64"/>
      <c r="P777" s="64"/>
      <c r="Q777" s="64"/>
      <c r="R777" s="65" t="str">
        <f>IF($A777="","",IFERROR(MINIFS(Candidates!$K$2:$K$2000,Candidates!$A$2:$A$2000,$A777),""))</f>
        <v/>
      </c>
      <c r="S777" s="65" t="str">
        <f>IF($A777="","",IFERROR(MAXIFS(Candidates!$AA$2:$AA$2000,Candidates!$A$2:$A$2000,$A777),""))</f>
        <v/>
      </c>
      <c r="T777" s="64" t="str">
        <f>IFERROR(__xludf.DUMMYFUNCTION("IF($A777="""","""",IFERROR(TEXTJOIN("", "",TRUE,UNIQUE(FILTER(Candidates!$B$2:$B$2000,Candidates!$A$2:$A$2000=$A777))),""""))"),"")</f>
        <v/>
      </c>
      <c r="U777" s="66" t="str">
        <f>IF($A777="","",COUNTIF(Candidates!$A$2:$A$2000,$A777))</f>
        <v/>
      </c>
      <c r="V777" s="64" t="str">
        <f>IFERROR(__xludf.DUMMYFUNCTION("IF($A777="""","""",IFERROR(INDEX(FILTER(Candidates!$S$2:$S$2000,Candidates!$A$2:$A$2000=$A777),COUNTIF(Candidates!$A$2:$A$2000,$A777)),""""))"),"")</f>
        <v/>
      </c>
      <c r="W777" s="64" t="str">
        <f>IFERROR(__xludf.DUMMYFUNCTION("IF($A777="""","""",IFERROR(INDEX(FILTER(Candidates!$T$2:$T$2000,Candidates!$A$2:$A$2000=$A777),COUNTIF(Candidates!$A$2:$A$2000,$A777)),""""))"),"")</f>
        <v/>
      </c>
      <c r="X777" s="64"/>
      <c r="Y777" s="64"/>
      <c r="Z777" s="65"/>
      <c r="AA777" s="65"/>
      <c r="AB777" s="65"/>
      <c r="AC777" s="65"/>
    </row>
    <row r="778">
      <c r="A778" s="64"/>
      <c r="B778" s="64"/>
      <c r="C778" s="64"/>
      <c r="D778" s="64"/>
      <c r="E778" s="64"/>
      <c r="F778" s="64"/>
      <c r="G778" s="64"/>
      <c r="H778" s="63"/>
      <c r="I778" s="64"/>
      <c r="J778" s="64"/>
      <c r="K778" s="64"/>
      <c r="L778" s="64"/>
      <c r="M778" s="64"/>
      <c r="N778" s="64"/>
      <c r="O778" s="64"/>
      <c r="P778" s="64"/>
      <c r="Q778" s="64"/>
      <c r="R778" s="65" t="str">
        <f>IF($A778="","",IFERROR(MINIFS(Candidates!$K$2:$K$2000,Candidates!$A$2:$A$2000,$A778),""))</f>
        <v/>
      </c>
      <c r="S778" s="65" t="str">
        <f>IF($A778="","",IFERROR(MAXIFS(Candidates!$AA$2:$AA$2000,Candidates!$A$2:$A$2000,$A778),""))</f>
        <v/>
      </c>
      <c r="T778" s="64" t="str">
        <f>IFERROR(__xludf.DUMMYFUNCTION("IF($A778="""","""",IFERROR(TEXTJOIN("", "",TRUE,UNIQUE(FILTER(Candidates!$B$2:$B$2000,Candidates!$A$2:$A$2000=$A778))),""""))"),"")</f>
        <v/>
      </c>
      <c r="U778" s="66" t="str">
        <f>IF($A778="","",COUNTIF(Candidates!$A$2:$A$2000,$A778))</f>
        <v/>
      </c>
      <c r="V778" s="64" t="str">
        <f>IFERROR(__xludf.DUMMYFUNCTION("IF($A778="""","""",IFERROR(INDEX(FILTER(Candidates!$S$2:$S$2000,Candidates!$A$2:$A$2000=$A778),COUNTIF(Candidates!$A$2:$A$2000,$A778)),""""))"),"")</f>
        <v/>
      </c>
      <c r="W778" s="64" t="str">
        <f>IFERROR(__xludf.DUMMYFUNCTION("IF($A778="""","""",IFERROR(INDEX(FILTER(Candidates!$T$2:$T$2000,Candidates!$A$2:$A$2000=$A778),COUNTIF(Candidates!$A$2:$A$2000,$A778)),""""))"),"")</f>
        <v/>
      </c>
      <c r="X778" s="64"/>
      <c r="Y778" s="64"/>
      <c r="Z778" s="65"/>
      <c r="AA778" s="65"/>
      <c r="AB778" s="65"/>
      <c r="AC778" s="65"/>
    </row>
    <row r="779">
      <c r="A779" s="64"/>
      <c r="B779" s="64"/>
      <c r="C779" s="64"/>
      <c r="D779" s="64"/>
      <c r="E779" s="64"/>
      <c r="F779" s="64"/>
      <c r="G779" s="64"/>
      <c r="H779" s="63"/>
      <c r="I779" s="64"/>
      <c r="J779" s="64"/>
      <c r="K779" s="64"/>
      <c r="L779" s="64"/>
      <c r="M779" s="64"/>
      <c r="N779" s="64"/>
      <c r="O779" s="64"/>
      <c r="P779" s="64"/>
      <c r="Q779" s="64"/>
      <c r="R779" s="65" t="str">
        <f>IF($A779="","",IFERROR(MINIFS(Candidates!$K$2:$K$2000,Candidates!$A$2:$A$2000,$A779),""))</f>
        <v/>
      </c>
      <c r="S779" s="65" t="str">
        <f>IF($A779="","",IFERROR(MAXIFS(Candidates!$AA$2:$AA$2000,Candidates!$A$2:$A$2000,$A779),""))</f>
        <v/>
      </c>
      <c r="T779" s="64" t="str">
        <f>IFERROR(__xludf.DUMMYFUNCTION("IF($A779="""","""",IFERROR(TEXTJOIN("", "",TRUE,UNIQUE(FILTER(Candidates!$B$2:$B$2000,Candidates!$A$2:$A$2000=$A779))),""""))"),"")</f>
        <v/>
      </c>
      <c r="U779" s="66" t="str">
        <f>IF($A779="","",COUNTIF(Candidates!$A$2:$A$2000,$A779))</f>
        <v/>
      </c>
      <c r="V779" s="64" t="str">
        <f>IFERROR(__xludf.DUMMYFUNCTION("IF($A779="""","""",IFERROR(INDEX(FILTER(Candidates!$S$2:$S$2000,Candidates!$A$2:$A$2000=$A779),COUNTIF(Candidates!$A$2:$A$2000,$A779)),""""))"),"")</f>
        <v/>
      </c>
      <c r="W779" s="64" t="str">
        <f>IFERROR(__xludf.DUMMYFUNCTION("IF($A779="""","""",IFERROR(INDEX(FILTER(Candidates!$T$2:$T$2000,Candidates!$A$2:$A$2000=$A779),COUNTIF(Candidates!$A$2:$A$2000,$A779)),""""))"),"")</f>
        <v/>
      </c>
      <c r="X779" s="64"/>
      <c r="Y779" s="64"/>
      <c r="Z779" s="65"/>
      <c r="AA779" s="65"/>
      <c r="AB779" s="65"/>
      <c r="AC779" s="65"/>
    </row>
    <row r="780">
      <c r="A780" s="64"/>
      <c r="B780" s="64"/>
      <c r="C780" s="64"/>
      <c r="D780" s="64"/>
      <c r="E780" s="64"/>
      <c r="F780" s="64"/>
      <c r="G780" s="64"/>
      <c r="H780" s="63"/>
      <c r="I780" s="64"/>
      <c r="J780" s="64"/>
      <c r="K780" s="64"/>
      <c r="L780" s="64"/>
      <c r="M780" s="64"/>
      <c r="N780" s="64"/>
      <c r="O780" s="64"/>
      <c r="P780" s="64"/>
      <c r="Q780" s="64"/>
      <c r="R780" s="65" t="str">
        <f>IF($A780="","",IFERROR(MINIFS(Candidates!$K$2:$K$2000,Candidates!$A$2:$A$2000,$A780),""))</f>
        <v/>
      </c>
      <c r="S780" s="65" t="str">
        <f>IF($A780="","",IFERROR(MAXIFS(Candidates!$AA$2:$AA$2000,Candidates!$A$2:$A$2000,$A780),""))</f>
        <v/>
      </c>
      <c r="T780" s="64" t="str">
        <f>IFERROR(__xludf.DUMMYFUNCTION("IF($A780="""","""",IFERROR(TEXTJOIN("", "",TRUE,UNIQUE(FILTER(Candidates!$B$2:$B$2000,Candidates!$A$2:$A$2000=$A780))),""""))"),"")</f>
        <v/>
      </c>
      <c r="U780" s="66" t="str">
        <f>IF($A780="","",COUNTIF(Candidates!$A$2:$A$2000,$A780))</f>
        <v/>
      </c>
      <c r="V780" s="64" t="str">
        <f>IFERROR(__xludf.DUMMYFUNCTION("IF($A780="""","""",IFERROR(INDEX(FILTER(Candidates!$S$2:$S$2000,Candidates!$A$2:$A$2000=$A780),COUNTIF(Candidates!$A$2:$A$2000,$A780)),""""))"),"")</f>
        <v/>
      </c>
      <c r="W780" s="64" t="str">
        <f>IFERROR(__xludf.DUMMYFUNCTION("IF($A780="""","""",IFERROR(INDEX(FILTER(Candidates!$T$2:$T$2000,Candidates!$A$2:$A$2000=$A780),COUNTIF(Candidates!$A$2:$A$2000,$A780)),""""))"),"")</f>
        <v/>
      </c>
      <c r="X780" s="64"/>
      <c r="Y780" s="64"/>
      <c r="Z780" s="65"/>
      <c r="AA780" s="65"/>
      <c r="AB780" s="65"/>
      <c r="AC780" s="65"/>
    </row>
    <row r="781">
      <c r="A781" s="64"/>
      <c r="B781" s="64"/>
      <c r="C781" s="64"/>
      <c r="D781" s="64"/>
      <c r="E781" s="64"/>
      <c r="F781" s="64"/>
      <c r="G781" s="64"/>
      <c r="H781" s="63"/>
      <c r="I781" s="64"/>
      <c r="J781" s="64"/>
      <c r="K781" s="64"/>
      <c r="L781" s="64"/>
      <c r="M781" s="64"/>
      <c r="N781" s="64"/>
      <c r="O781" s="64"/>
      <c r="P781" s="64"/>
      <c r="Q781" s="64"/>
      <c r="R781" s="65" t="str">
        <f>IF($A781="","",IFERROR(MINIFS(Candidates!$K$2:$K$2000,Candidates!$A$2:$A$2000,$A781),""))</f>
        <v/>
      </c>
      <c r="S781" s="65" t="str">
        <f>IF($A781="","",IFERROR(MAXIFS(Candidates!$AA$2:$AA$2000,Candidates!$A$2:$A$2000,$A781),""))</f>
        <v/>
      </c>
      <c r="T781" s="64" t="str">
        <f>IFERROR(__xludf.DUMMYFUNCTION("IF($A781="""","""",IFERROR(TEXTJOIN("", "",TRUE,UNIQUE(FILTER(Candidates!$B$2:$B$2000,Candidates!$A$2:$A$2000=$A781))),""""))"),"")</f>
        <v/>
      </c>
      <c r="U781" s="66" t="str">
        <f>IF($A781="","",COUNTIF(Candidates!$A$2:$A$2000,$A781))</f>
        <v/>
      </c>
      <c r="V781" s="64" t="str">
        <f>IFERROR(__xludf.DUMMYFUNCTION("IF($A781="""","""",IFERROR(INDEX(FILTER(Candidates!$S$2:$S$2000,Candidates!$A$2:$A$2000=$A781),COUNTIF(Candidates!$A$2:$A$2000,$A781)),""""))"),"")</f>
        <v/>
      </c>
      <c r="W781" s="64" t="str">
        <f>IFERROR(__xludf.DUMMYFUNCTION("IF($A781="""","""",IFERROR(INDEX(FILTER(Candidates!$T$2:$T$2000,Candidates!$A$2:$A$2000=$A781),COUNTIF(Candidates!$A$2:$A$2000,$A781)),""""))"),"")</f>
        <v/>
      </c>
      <c r="X781" s="64"/>
      <c r="Y781" s="64"/>
      <c r="Z781" s="65"/>
      <c r="AA781" s="65"/>
      <c r="AB781" s="65"/>
      <c r="AC781" s="65"/>
    </row>
    <row r="782">
      <c r="A782" s="64"/>
      <c r="B782" s="64"/>
      <c r="C782" s="64"/>
      <c r="D782" s="64"/>
      <c r="E782" s="64"/>
      <c r="F782" s="64"/>
      <c r="G782" s="64"/>
      <c r="H782" s="63"/>
      <c r="I782" s="64"/>
      <c r="J782" s="64"/>
      <c r="K782" s="64"/>
      <c r="L782" s="64"/>
      <c r="M782" s="64"/>
      <c r="N782" s="64"/>
      <c r="O782" s="64"/>
      <c r="P782" s="64"/>
      <c r="Q782" s="64"/>
      <c r="R782" s="65" t="str">
        <f>IF($A782="","",IFERROR(MINIFS(Candidates!$K$2:$K$2000,Candidates!$A$2:$A$2000,$A782),""))</f>
        <v/>
      </c>
      <c r="S782" s="65" t="str">
        <f>IF($A782="","",IFERROR(MAXIFS(Candidates!$AA$2:$AA$2000,Candidates!$A$2:$A$2000,$A782),""))</f>
        <v/>
      </c>
      <c r="T782" s="64" t="str">
        <f>IFERROR(__xludf.DUMMYFUNCTION("IF($A782="""","""",IFERROR(TEXTJOIN("", "",TRUE,UNIQUE(FILTER(Candidates!$B$2:$B$2000,Candidates!$A$2:$A$2000=$A782))),""""))"),"")</f>
        <v/>
      </c>
      <c r="U782" s="66" t="str">
        <f>IF($A782="","",COUNTIF(Candidates!$A$2:$A$2000,$A782))</f>
        <v/>
      </c>
      <c r="V782" s="64" t="str">
        <f>IFERROR(__xludf.DUMMYFUNCTION("IF($A782="""","""",IFERROR(INDEX(FILTER(Candidates!$S$2:$S$2000,Candidates!$A$2:$A$2000=$A782),COUNTIF(Candidates!$A$2:$A$2000,$A782)),""""))"),"")</f>
        <v/>
      </c>
      <c r="W782" s="64" t="str">
        <f>IFERROR(__xludf.DUMMYFUNCTION("IF($A782="""","""",IFERROR(INDEX(FILTER(Candidates!$T$2:$T$2000,Candidates!$A$2:$A$2000=$A782),COUNTIF(Candidates!$A$2:$A$2000,$A782)),""""))"),"")</f>
        <v/>
      </c>
      <c r="X782" s="64"/>
      <c r="Y782" s="64"/>
      <c r="Z782" s="65"/>
      <c r="AA782" s="65"/>
      <c r="AB782" s="65"/>
      <c r="AC782" s="65"/>
    </row>
    <row r="783">
      <c r="A783" s="64"/>
      <c r="B783" s="64"/>
      <c r="C783" s="64"/>
      <c r="D783" s="64"/>
      <c r="E783" s="64"/>
      <c r="F783" s="64"/>
      <c r="G783" s="64"/>
      <c r="H783" s="63"/>
      <c r="I783" s="64"/>
      <c r="J783" s="64"/>
      <c r="K783" s="64"/>
      <c r="L783" s="64"/>
      <c r="M783" s="64"/>
      <c r="N783" s="64"/>
      <c r="O783" s="64"/>
      <c r="P783" s="64"/>
      <c r="Q783" s="64"/>
      <c r="R783" s="65" t="str">
        <f>IF($A783="","",IFERROR(MINIFS(Candidates!$K$2:$K$2000,Candidates!$A$2:$A$2000,$A783),""))</f>
        <v/>
      </c>
      <c r="S783" s="65" t="str">
        <f>IF($A783="","",IFERROR(MAXIFS(Candidates!$AA$2:$AA$2000,Candidates!$A$2:$A$2000,$A783),""))</f>
        <v/>
      </c>
      <c r="T783" s="64" t="str">
        <f>IFERROR(__xludf.DUMMYFUNCTION("IF($A783="""","""",IFERROR(TEXTJOIN("", "",TRUE,UNIQUE(FILTER(Candidates!$B$2:$B$2000,Candidates!$A$2:$A$2000=$A783))),""""))"),"")</f>
        <v/>
      </c>
      <c r="U783" s="66" t="str">
        <f>IF($A783="","",COUNTIF(Candidates!$A$2:$A$2000,$A783))</f>
        <v/>
      </c>
      <c r="V783" s="64" t="str">
        <f>IFERROR(__xludf.DUMMYFUNCTION("IF($A783="""","""",IFERROR(INDEX(FILTER(Candidates!$S$2:$S$2000,Candidates!$A$2:$A$2000=$A783),COUNTIF(Candidates!$A$2:$A$2000,$A783)),""""))"),"")</f>
        <v/>
      </c>
      <c r="W783" s="64" t="str">
        <f>IFERROR(__xludf.DUMMYFUNCTION("IF($A783="""","""",IFERROR(INDEX(FILTER(Candidates!$T$2:$T$2000,Candidates!$A$2:$A$2000=$A783),COUNTIF(Candidates!$A$2:$A$2000,$A783)),""""))"),"")</f>
        <v/>
      </c>
      <c r="X783" s="64"/>
      <c r="Y783" s="64"/>
      <c r="Z783" s="65"/>
      <c r="AA783" s="65"/>
      <c r="AB783" s="65"/>
      <c r="AC783" s="65"/>
    </row>
    <row r="784">
      <c r="A784" s="64"/>
      <c r="B784" s="64"/>
      <c r="C784" s="64"/>
      <c r="D784" s="64"/>
      <c r="E784" s="64"/>
      <c r="F784" s="64"/>
      <c r="G784" s="64"/>
      <c r="H784" s="63"/>
      <c r="I784" s="64"/>
      <c r="J784" s="64"/>
      <c r="K784" s="64"/>
      <c r="L784" s="64"/>
      <c r="M784" s="64"/>
      <c r="N784" s="64"/>
      <c r="O784" s="64"/>
      <c r="P784" s="64"/>
      <c r="Q784" s="64"/>
      <c r="R784" s="65" t="str">
        <f>IF($A784="","",IFERROR(MINIFS(Candidates!$K$2:$K$2000,Candidates!$A$2:$A$2000,$A784),""))</f>
        <v/>
      </c>
      <c r="S784" s="65" t="str">
        <f>IF($A784="","",IFERROR(MAXIFS(Candidates!$AA$2:$AA$2000,Candidates!$A$2:$A$2000,$A784),""))</f>
        <v/>
      </c>
      <c r="T784" s="64" t="str">
        <f>IFERROR(__xludf.DUMMYFUNCTION("IF($A784="""","""",IFERROR(TEXTJOIN("", "",TRUE,UNIQUE(FILTER(Candidates!$B$2:$B$2000,Candidates!$A$2:$A$2000=$A784))),""""))"),"")</f>
        <v/>
      </c>
      <c r="U784" s="66" t="str">
        <f>IF($A784="","",COUNTIF(Candidates!$A$2:$A$2000,$A784))</f>
        <v/>
      </c>
      <c r="V784" s="64" t="str">
        <f>IFERROR(__xludf.DUMMYFUNCTION("IF($A784="""","""",IFERROR(INDEX(FILTER(Candidates!$S$2:$S$2000,Candidates!$A$2:$A$2000=$A784),COUNTIF(Candidates!$A$2:$A$2000,$A784)),""""))"),"")</f>
        <v/>
      </c>
      <c r="W784" s="64" t="str">
        <f>IFERROR(__xludf.DUMMYFUNCTION("IF($A784="""","""",IFERROR(INDEX(FILTER(Candidates!$T$2:$T$2000,Candidates!$A$2:$A$2000=$A784),COUNTIF(Candidates!$A$2:$A$2000,$A784)),""""))"),"")</f>
        <v/>
      </c>
      <c r="X784" s="64"/>
      <c r="Y784" s="64"/>
      <c r="Z784" s="65"/>
      <c r="AA784" s="65"/>
      <c r="AB784" s="65"/>
      <c r="AC784" s="65"/>
    </row>
    <row r="785">
      <c r="A785" s="64"/>
      <c r="B785" s="64"/>
      <c r="C785" s="64"/>
      <c r="D785" s="64"/>
      <c r="E785" s="64"/>
      <c r="F785" s="64"/>
      <c r="G785" s="64"/>
      <c r="H785" s="63"/>
      <c r="I785" s="64"/>
      <c r="J785" s="64"/>
      <c r="K785" s="64"/>
      <c r="L785" s="64"/>
      <c r="M785" s="64"/>
      <c r="N785" s="64"/>
      <c r="O785" s="64"/>
      <c r="P785" s="64"/>
      <c r="Q785" s="64"/>
      <c r="R785" s="65" t="str">
        <f>IF($A785="","",IFERROR(MINIFS(Candidates!$K$2:$K$2000,Candidates!$A$2:$A$2000,$A785),""))</f>
        <v/>
      </c>
      <c r="S785" s="65" t="str">
        <f>IF($A785="","",IFERROR(MAXIFS(Candidates!$AA$2:$AA$2000,Candidates!$A$2:$A$2000,$A785),""))</f>
        <v/>
      </c>
      <c r="T785" s="64" t="str">
        <f>IFERROR(__xludf.DUMMYFUNCTION("IF($A785="""","""",IFERROR(TEXTJOIN("", "",TRUE,UNIQUE(FILTER(Candidates!$B$2:$B$2000,Candidates!$A$2:$A$2000=$A785))),""""))"),"")</f>
        <v/>
      </c>
      <c r="U785" s="66" t="str">
        <f>IF($A785="","",COUNTIF(Candidates!$A$2:$A$2000,$A785))</f>
        <v/>
      </c>
      <c r="V785" s="64" t="str">
        <f>IFERROR(__xludf.DUMMYFUNCTION("IF($A785="""","""",IFERROR(INDEX(FILTER(Candidates!$S$2:$S$2000,Candidates!$A$2:$A$2000=$A785),COUNTIF(Candidates!$A$2:$A$2000,$A785)),""""))"),"")</f>
        <v/>
      </c>
      <c r="W785" s="64" t="str">
        <f>IFERROR(__xludf.DUMMYFUNCTION("IF($A785="""","""",IFERROR(INDEX(FILTER(Candidates!$T$2:$T$2000,Candidates!$A$2:$A$2000=$A785),COUNTIF(Candidates!$A$2:$A$2000,$A785)),""""))"),"")</f>
        <v/>
      </c>
      <c r="X785" s="64"/>
      <c r="Y785" s="64"/>
      <c r="Z785" s="65"/>
      <c r="AA785" s="65"/>
      <c r="AB785" s="65"/>
      <c r="AC785" s="65"/>
    </row>
    <row r="786">
      <c r="A786" s="64"/>
      <c r="B786" s="64"/>
      <c r="C786" s="64"/>
      <c r="D786" s="64"/>
      <c r="E786" s="64"/>
      <c r="F786" s="64"/>
      <c r="G786" s="64"/>
      <c r="H786" s="63"/>
      <c r="I786" s="64"/>
      <c r="J786" s="64"/>
      <c r="K786" s="64"/>
      <c r="L786" s="64"/>
      <c r="M786" s="64"/>
      <c r="N786" s="64"/>
      <c r="O786" s="64"/>
      <c r="P786" s="64"/>
      <c r="Q786" s="64"/>
      <c r="R786" s="65" t="str">
        <f>IF($A786="","",IFERROR(MINIFS(Candidates!$K$2:$K$2000,Candidates!$A$2:$A$2000,$A786),""))</f>
        <v/>
      </c>
      <c r="S786" s="65" t="str">
        <f>IF($A786="","",IFERROR(MAXIFS(Candidates!$AA$2:$AA$2000,Candidates!$A$2:$A$2000,$A786),""))</f>
        <v/>
      </c>
      <c r="T786" s="64" t="str">
        <f>IFERROR(__xludf.DUMMYFUNCTION("IF($A786="""","""",IFERROR(TEXTJOIN("", "",TRUE,UNIQUE(FILTER(Candidates!$B$2:$B$2000,Candidates!$A$2:$A$2000=$A786))),""""))"),"")</f>
        <v/>
      </c>
      <c r="U786" s="66" t="str">
        <f>IF($A786="","",COUNTIF(Candidates!$A$2:$A$2000,$A786))</f>
        <v/>
      </c>
      <c r="V786" s="64" t="str">
        <f>IFERROR(__xludf.DUMMYFUNCTION("IF($A786="""","""",IFERROR(INDEX(FILTER(Candidates!$S$2:$S$2000,Candidates!$A$2:$A$2000=$A786),COUNTIF(Candidates!$A$2:$A$2000,$A786)),""""))"),"")</f>
        <v/>
      </c>
      <c r="W786" s="64" t="str">
        <f>IFERROR(__xludf.DUMMYFUNCTION("IF($A786="""","""",IFERROR(INDEX(FILTER(Candidates!$T$2:$T$2000,Candidates!$A$2:$A$2000=$A786),COUNTIF(Candidates!$A$2:$A$2000,$A786)),""""))"),"")</f>
        <v/>
      </c>
      <c r="X786" s="64"/>
      <c r="Y786" s="64"/>
      <c r="Z786" s="65"/>
      <c r="AA786" s="65"/>
      <c r="AB786" s="65"/>
      <c r="AC786" s="65"/>
    </row>
    <row r="787">
      <c r="A787" s="64"/>
      <c r="B787" s="64"/>
      <c r="C787" s="64"/>
      <c r="D787" s="64"/>
      <c r="E787" s="64"/>
      <c r="F787" s="64"/>
      <c r="G787" s="64"/>
      <c r="H787" s="63"/>
      <c r="I787" s="64"/>
      <c r="J787" s="64"/>
      <c r="K787" s="64"/>
      <c r="L787" s="64"/>
      <c r="M787" s="64"/>
      <c r="N787" s="64"/>
      <c r="O787" s="64"/>
      <c r="P787" s="64"/>
      <c r="Q787" s="64"/>
      <c r="R787" s="65" t="str">
        <f>IF($A787="","",IFERROR(MINIFS(Candidates!$K$2:$K$2000,Candidates!$A$2:$A$2000,$A787),""))</f>
        <v/>
      </c>
      <c r="S787" s="65" t="str">
        <f>IF($A787="","",IFERROR(MAXIFS(Candidates!$AA$2:$AA$2000,Candidates!$A$2:$A$2000,$A787),""))</f>
        <v/>
      </c>
      <c r="T787" s="64" t="str">
        <f>IFERROR(__xludf.DUMMYFUNCTION("IF($A787="""","""",IFERROR(TEXTJOIN("", "",TRUE,UNIQUE(FILTER(Candidates!$B$2:$B$2000,Candidates!$A$2:$A$2000=$A787))),""""))"),"")</f>
        <v/>
      </c>
      <c r="U787" s="66" t="str">
        <f>IF($A787="","",COUNTIF(Candidates!$A$2:$A$2000,$A787))</f>
        <v/>
      </c>
      <c r="V787" s="64" t="str">
        <f>IFERROR(__xludf.DUMMYFUNCTION("IF($A787="""","""",IFERROR(INDEX(FILTER(Candidates!$S$2:$S$2000,Candidates!$A$2:$A$2000=$A787),COUNTIF(Candidates!$A$2:$A$2000,$A787)),""""))"),"")</f>
        <v/>
      </c>
      <c r="W787" s="64" t="str">
        <f>IFERROR(__xludf.DUMMYFUNCTION("IF($A787="""","""",IFERROR(INDEX(FILTER(Candidates!$T$2:$T$2000,Candidates!$A$2:$A$2000=$A787),COUNTIF(Candidates!$A$2:$A$2000,$A787)),""""))"),"")</f>
        <v/>
      </c>
      <c r="X787" s="64"/>
      <c r="Y787" s="64"/>
      <c r="Z787" s="65"/>
      <c r="AA787" s="65"/>
      <c r="AB787" s="65"/>
      <c r="AC787" s="65"/>
    </row>
    <row r="788">
      <c r="A788" s="64"/>
      <c r="B788" s="64"/>
      <c r="C788" s="64"/>
      <c r="D788" s="64"/>
      <c r="E788" s="64"/>
      <c r="F788" s="64"/>
      <c r="G788" s="64"/>
      <c r="H788" s="63"/>
      <c r="I788" s="64"/>
      <c r="J788" s="64"/>
      <c r="K788" s="64"/>
      <c r="L788" s="64"/>
      <c r="M788" s="64"/>
      <c r="N788" s="64"/>
      <c r="O788" s="64"/>
      <c r="P788" s="64"/>
      <c r="Q788" s="64"/>
      <c r="R788" s="65" t="str">
        <f>IF($A788="","",IFERROR(MINIFS(Candidates!$K$2:$K$2000,Candidates!$A$2:$A$2000,$A788),""))</f>
        <v/>
      </c>
      <c r="S788" s="65" t="str">
        <f>IF($A788="","",IFERROR(MAXIFS(Candidates!$AA$2:$AA$2000,Candidates!$A$2:$A$2000,$A788),""))</f>
        <v/>
      </c>
      <c r="T788" s="64" t="str">
        <f>IFERROR(__xludf.DUMMYFUNCTION("IF($A788="""","""",IFERROR(TEXTJOIN("", "",TRUE,UNIQUE(FILTER(Candidates!$B$2:$B$2000,Candidates!$A$2:$A$2000=$A788))),""""))"),"")</f>
        <v/>
      </c>
      <c r="U788" s="66" t="str">
        <f>IF($A788="","",COUNTIF(Candidates!$A$2:$A$2000,$A788))</f>
        <v/>
      </c>
      <c r="V788" s="64" t="str">
        <f>IFERROR(__xludf.DUMMYFUNCTION("IF($A788="""","""",IFERROR(INDEX(FILTER(Candidates!$S$2:$S$2000,Candidates!$A$2:$A$2000=$A788),COUNTIF(Candidates!$A$2:$A$2000,$A788)),""""))"),"")</f>
        <v/>
      </c>
      <c r="W788" s="64" t="str">
        <f>IFERROR(__xludf.DUMMYFUNCTION("IF($A788="""","""",IFERROR(INDEX(FILTER(Candidates!$T$2:$T$2000,Candidates!$A$2:$A$2000=$A788),COUNTIF(Candidates!$A$2:$A$2000,$A788)),""""))"),"")</f>
        <v/>
      </c>
      <c r="X788" s="64"/>
      <c r="Y788" s="64"/>
      <c r="Z788" s="65"/>
      <c r="AA788" s="65"/>
      <c r="AB788" s="65"/>
      <c r="AC788" s="65"/>
    </row>
    <row r="789">
      <c r="A789" s="64"/>
      <c r="B789" s="64"/>
      <c r="C789" s="64"/>
      <c r="D789" s="64"/>
      <c r="E789" s="64"/>
      <c r="F789" s="64"/>
      <c r="G789" s="64"/>
      <c r="H789" s="63"/>
      <c r="I789" s="64"/>
      <c r="J789" s="64"/>
      <c r="K789" s="64"/>
      <c r="L789" s="64"/>
      <c r="M789" s="64"/>
      <c r="N789" s="64"/>
      <c r="O789" s="64"/>
      <c r="P789" s="64"/>
      <c r="Q789" s="64"/>
      <c r="R789" s="65" t="str">
        <f>IF($A789="","",IFERROR(MINIFS(Candidates!$K$2:$K$2000,Candidates!$A$2:$A$2000,$A789),""))</f>
        <v/>
      </c>
      <c r="S789" s="65" t="str">
        <f>IF($A789="","",IFERROR(MAXIFS(Candidates!$AA$2:$AA$2000,Candidates!$A$2:$A$2000,$A789),""))</f>
        <v/>
      </c>
      <c r="T789" s="64" t="str">
        <f>IFERROR(__xludf.DUMMYFUNCTION("IF($A789="""","""",IFERROR(TEXTJOIN("", "",TRUE,UNIQUE(FILTER(Candidates!$B$2:$B$2000,Candidates!$A$2:$A$2000=$A789))),""""))"),"")</f>
        <v/>
      </c>
      <c r="U789" s="66" t="str">
        <f>IF($A789="","",COUNTIF(Candidates!$A$2:$A$2000,$A789))</f>
        <v/>
      </c>
      <c r="V789" s="64" t="str">
        <f>IFERROR(__xludf.DUMMYFUNCTION("IF($A789="""","""",IFERROR(INDEX(FILTER(Candidates!$S$2:$S$2000,Candidates!$A$2:$A$2000=$A789),COUNTIF(Candidates!$A$2:$A$2000,$A789)),""""))"),"")</f>
        <v/>
      </c>
      <c r="W789" s="64" t="str">
        <f>IFERROR(__xludf.DUMMYFUNCTION("IF($A789="""","""",IFERROR(INDEX(FILTER(Candidates!$T$2:$T$2000,Candidates!$A$2:$A$2000=$A789),COUNTIF(Candidates!$A$2:$A$2000,$A789)),""""))"),"")</f>
        <v/>
      </c>
      <c r="X789" s="64"/>
      <c r="Y789" s="64"/>
      <c r="Z789" s="65"/>
      <c r="AA789" s="65"/>
      <c r="AB789" s="65"/>
      <c r="AC789" s="65"/>
    </row>
    <row r="790">
      <c r="A790" s="64"/>
      <c r="B790" s="64"/>
      <c r="C790" s="64"/>
      <c r="D790" s="64"/>
      <c r="E790" s="64"/>
      <c r="F790" s="64"/>
      <c r="G790" s="64"/>
      <c r="H790" s="63"/>
      <c r="I790" s="64"/>
      <c r="J790" s="64"/>
      <c r="K790" s="64"/>
      <c r="L790" s="64"/>
      <c r="M790" s="64"/>
      <c r="N790" s="64"/>
      <c r="O790" s="64"/>
      <c r="P790" s="64"/>
      <c r="Q790" s="64"/>
      <c r="R790" s="65" t="str">
        <f>IF($A790="","",IFERROR(MINIFS(Candidates!$K$2:$K$2000,Candidates!$A$2:$A$2000,$A790),""))</f>
        <v/>
      </c>
      <c r="S790" s="65" t="str">
        <f>IF($A790="","",IFERROR(MAXIFS(Candidates!$AA$2:$AA$2000,Candidates!$A$2:$A$2000,$A790),""))</f>
        <v/>
      </c>
      <c r="T790" s="64" t="str">
        <f>IFERROR(__xludf.DUMMYFUNCTION("IF($A790="""","""",IFERROR(TEXTJOIN("", "",TRUE,UNIQUE(FILTER(Candidates!$B$2:$B$2000,Candidates!$A$2:$A$2000=$A790))),""""))"),"")</f>
        <v/>
      </c>
      <c r="U790" s="66" t="str">
        <f>IF($A790="","",COUNTIF(Candidates!$A$2:$A$2000,$A790))</f>
        <v/>
      </c>
      <c r="V790" s="64" t="str">
        <f>IFERROR(__xludf.DUMMYFUNCTION("IF($A790="""","""",IFERROR(INDEX(FILTER(Candidates!$S$2:$S$2000,Candidates!$A$2:$A$2000=$A790),COUNTIF(Candidates!$A$2:$A$2000,$A790)),""""))"),"")</f>
        <v/>
      </c>
      <c r="W790" s="64" t="str">
        <f>IFERROR(__xludf.DUMMYFUNCTION("IF($A790="""","""",IFERROR(INDEX(FILTER(Candidates!$T$2:$T$2000,Candidates!$A$2:$A$2000=$A790),COUNTIF(Candidates!$A$2:$A$2000,$A790)),""""))"),"")</f>
        <v/>
      </c>
      <c r="X790" s="64"/>
      <c r="Y790" s="64"/>
      <c r="Z790" s="65"/>
      <c r="AA790" s="65"/>
      <c r="AB790" s="65"/>
      <c r="AC790" s="65"/>
    </row>
    <row r="791">
      <c r="A791" s="64"/>
      <c r="B791" s="64"/>
      <c r="C791" s="64"/>
      <c r="D791" s="64"/>
      <c r="E791" s="64"/>
      <c r="F791" s="64"/>
      <c r="G791" s="64"/>
      <c r="H791" s="63"/>
      <c r="I791" s="64"/>
      <c r="J791" s="64"/>
      <c r="K791" s="64"/>
      <c r="L791" s="64"/>
      <c r="M791" s="64"/>
      <c r="N791" s="64"/>
      <c r="O791" s="64"/>
      <c r="P791" s="64"/>
      <c r="Q791" s="64"/>
      <c r="R791" s="65" t="str">
        <f>IF($A791="","",IFERROR(MINIFS(Candidates!$K$2:$K$2000,Candidates!$A$2:$A$2000,$A791),""))</f>
        <v/>
      </c>
      <c r="S791" s="65" t="str">
        <f>IF($A791="","",IFERROR(MAXIFS(Candidates!$AA$2:$AA$2000,Candidates!$A$2:$A$2000,$A791),""))</f>
        <v/>
      </c>
      <c r="T791" s="64" t="str">
        <f>IFERROR(__xludf.DUMMYFUNCTION("IF($A791="""","""",IFERROR(TEXTJOIN("", "",TRUE,UNIQUE(FILTER(Candidates!$B$2:$B$2000,Candidates!$A$2:$A$2000=$A791))),""""))"),"")</f>
        <v/>
      </c>
      <c r="U791" s="66" t="str">
        <f>IF($A791="","",COUNTIF(Candidates!$A$2:$A$2000,$A791))</f>
        <v/>
      </c>
      <c r="V791" s="64" t="str">
        <f>IFERROR(__xludf.DUMMYFUNCTION("IF($A791="""","""",IFERROR(INDEX(FILTER(Candidates!$S$2:$S$2000,Candidates!$A$2:$A$2000=$A791),COUNTIF(Candidates!$A$2:$A$2000,$A791)),""""))"),"")</f>
        <v/>
      </c>
      <c r="W791" s="64" t="str">
        <f>IFERROR(__xludf.DUMMYFUNCTION("IF($A791="""","""",IFERROR(INDEX(FILTER(Candidates!$T$2:$T$2000,Candidates!$A$2:$A$2000=$A791),COUNTIF(Candidates!$A$2:$A$2000,$A791)),""""))"),"")</f>
        <v/>
      </c>
      <c r="X791" s="64"/>
      <c r="Y791" s="64"/>
      <c r="Z791" s="65"/>
      <c r="AA791" s="65"/>
      <c r="AB791" s="65"/>
      <c r="AC791" s="65"/>
    </row>
    <row r="792">
      <c r="A792" s="64"/>
      <c r="B792" s="64"/>
      <c r="C792" s="64"/>
      <c r="D792" s="64"/>
      <c r="E792" s="64"/>
      <c r="F792" s="64"/>
      <c r="G792" s="64"/>
      <c r="H792" s="63"/>
      <c r="I792" s="64"/>
      <c r="J792" s="64"/>
      <c r="K792" s="64"/>
      <c r="L792" s="64"/>
      <c r="M792" s="64"/>
      <c r="N792" s="64"/>
      <c r="O792" s="64"/>
      <c r="P792" s="64"/>
      <c r="Q792" s="64"/>
      <c r="R792" s="65" t="str">
        <f>IF($A792="","",IFERROR(MINIFS(Candidates!$K$2:$K$2000,Candidates!$A$2:$A$2000,$A792),""))</f>
        <v/>
      </c>
      <c r="S792" s="65" t="str">
        <f>IF($A792="","",IFERROR(MAXIFS(Candidates!$AA$2:$AA$2000,Candidates!$A$2:$A$2000,$A792),""))</f>
        <v/>
      </c>
      <c r="T792" s="64" t="str">
        <f>IFERROR(__xludf.DUMMYFUNCTION("IF($A792="""","""",IFERROR(TEXTJOIN("", "",TRUE,UNIQUE(FILTER(Candidates!$B$2:$B$2000,Candidates!$A$2:$A$2000=$A792))),""""))"),"")</f>
        <v/>
      </c>
      <c r="U792" s="66" t="str">
        <f>IF($A792="","",COUNTIF(Candidates!$A$2:$A$2000,$A792))</f>
        <v/>
      </c>
      <c r="V792" s="64" t="str">
        <f>IFERROR(__xludf.DUMMYFUNCTION("IF($A792="""","""",IFERROR(INDEX(FILTER(Candidates!$S$2:$S$2000,Candidates!$A$2:$A$2000=$A792),COUNTIF(Candidates!$A$2:$A$2000,$A792)),""""))"),"")</f>
        <v/>
      </c>
      <c r="W792" s="64" t="str">
        <f>IFERROR(__xludf.DUMMYFUNCTION("IF($A792="""","""",IFERROR(INDEX(FILTER(Candidates!$T$2:$T$2000,Candidates!$A$2:$A$2000=$A792),COUNTIF(Candidates!$A$2:$A$2000,$A792)),""""))"),"")</f>
        <v/>
      </c>
      <c r="X792" s="64"/>
      <c r="Y792" s="64"/>
      <c r="Z792" s="65"/>
      <c r="AA792" s="65"/>
      <c r="AB792" s="65"/>
      <c r="AC792" s="65"/>
    </row>
    <row r="793">
      <c r="A793" s="64"/>
      <c r="B793" s="64"/>
      <c r="C793" s="64"/>
      <c r="D793" s="64"/>
      <c r="E793" s="64"/>
      <c r="F793" s="64"/>
      <c r="G793" s="64"/>
      <c r="H793" s="63"/>
      <c r="I793" s="64"/>
      <c r="J793" s="64"/>
      <c r="K793" s="64"/>
      <c r="L793" s="64"/>
      <c r="M793" s="64"/>
      <c r="N793" s="64"/>
      <c r="O793" s="64"/>
      <c r="P793" s="64"/>
      <c r="Q793" s="64"/>
      <c r="R793" s="65" t="str">
        <f>IF($A793="","",IFERROR(MINIFS(Candidates!$K$2:$K$2000,Candidates!$A$2:$A$2000,$A793),""))</f>
        <v/>
      </c>
      <c r="S793" s="65" t="str">
        <f>IF($A793="","",IFERROR(MAXIFS(Candidates!$AA$2:$AA$2000,Candidates!$A$2:$A$2000,$A793),""))</f>
        <v/>
      </c>
      <c r="T793" s="64" t="str">
        <f>IFERROR(__xludf.DUMMYFUNCTION("IF($A793="""","""",IFERROR(TEXTJOIN("", "",TRUE,UNIQUE(FILTER(Candidates!$B$2:$B$2000,Candidates!$A$2:$A$2000=$A793))),""""))"),"")</f>
        <v/>
      </c>
      <c r="U793" s="66" t="str">
        <f>IF($A793="","",COUNTIF(Candidates!$A$2:$A$2000,$A793))</f>
        <v/>
      </c>
      <c r="V793" s="64" t="str">
        <f>IFERROR(__xludf.DUMMYFUNCTION("IF($A793="""","""",IFERROR(INDEX(FILTER(Candidates!$S$2:$S$2000,Candidates!$A$2:$A$2000=$A793),COUNTIF(Candidates!$A$2:$A$2000,$A793)),""""))"),"")</f>
        <v/>
      </c>
      <c r="W793" s="64" t="str">
        <f>IFERROR(__xludf.DUMMYFUNCTION("IF($A793="""","""",IFERROR(INDEX(FILTER(Candidates!$T$2:$T$2000,Candidates!$A$2:$A$2000=$A793),COUNTIF(Candidates!$A$2:$A$2000,$A793)),""""))"),"")</f>
        <v/>
      </c>
      <c r="X793" s="64"/>
      <c r="Y793" s="64"/>
      <c r="Z793" s="65"/>
      <c r="AA793" s="65"/>
      <c r="AB793" s="65"/>
      <c r="AC793" s="65"/>
    </row>
    <row r="794">
      <c r="A794" s="64"/>
      <c r="B794" s="64"/>
      <c r="C794" s="64"/>
      <c r="D794" s="64"/>
      <c r="E794" s="64"/>
      <c r="F794" s="64"/>
      <c r="G794" s="64"/>
      <c r="H794" s="63"/>
      <c r="I794" s="64"/>
      <c r="J794" s="64"/>
      <c r="K794" s="64"/>
      <c r="L794" s="64"/>
      <c r="M794" s="64"/>
      <c r="N794" s="64"/>
      <c r="O794" s="64"/>
      <c r="P794" s="64"/>
      <c r="Q794" s="64"/>
      <c r="R794" s="65" t="str">
        <f>IF($A794="","",IFERROR(MINIFS(Candidates!$K$2:$K$2000,Candidates!$A$2:$A$2000,$A794),""))</f>
        <v/>
      </c>
      <c r="S794" s="65" t="str">
        <f>IF($A794="","",IFERROR(MAXIFS(Candidates!$AA$2:$AA$2000,Candidates!$A$2:$A$2000,$A794),""))</f>
        <v/>
      </c>
      <c r="T794" s="64" t="str">
        <f>IFERROR(__xludf.DUMMYFUNCTION("IF($A794="""","""",IFERROR(TEXTJOIN("", "",TRUE,UNIQUE(FILTER(Candidates!$B$2:$B$2000,Candidates!$A$2:$A$2000=$A794))),""""))"),"")</f>
        <v/>
      </c>
      <c r="U794" s="66" t="str">
        <f>IF($A794="","",COUNTIF(Candidates!$A$2:$A$2000,$A794))</f>
        <v/>
      </c>
      <c r="V794" s="64" t="str">
        <f>IFERROR(__xludf.DUMMYFUNCTION("IF($A794="""","""",IFERROR(INDEX(FILTER(Candidates!$S$2:$S$2000,Candidates!$A$2:$A$2000=$A794),COUNTIF(Candidates!$A$2:$A$2000,$A794)),""""))"),"")</f>
        <v/>
      </c>
      <c r="W794" s="64" t="str">
        <f>IFERROR(__xludf.DUMMYFUNCTION("IF($A794="""","""",IFERROR(INDEX(FILTER(Candidates!$T$2:$T$2000,Candidates!$A$2:$A$2000=$A794),COUNTIF(Candidates!$A$2:$A$2000,$A794)),""""))"),"")</f>
        <v/>
      </c>
      <c r="X794" s="64"/>
      <c r="Y794" s="64"/>
      <c r="Z794" s="65"/>
      <c r="AA794" s="65"/>
      <c r="AB794" s="65"/>
      <c r="AC794" s="65"/>
    </row>
    <row r="795">
      <c r="A795" s="64"/>
      <c r="B795" s="64"/>
      <c r="C795" s="64"/>
      <c r="D795" s="64"/>
      <c r="E795" s="64"/>
      <c r="F795" s="64"/>
      <c r="G795" s="64"/>
      <c r="H795" s="63"/>
      <c r="I795" s="64"/>
      <c r="J795" s="64"/>
      <c r="K795" s="64"/>
      <c r="L795" s="64"/>
      <c r="M795" s="64"/>
      <c r="N795" s="64"/>
      <c r="O795" s="64"/>
      <c r="P795" s="64"/>
      <c r="Q795" s="64"/>
      <c r="R795" s="65" t="str">
        <f>IF($A795="","",IFERROR(MINIFS(Candidates!$K$2:$K$2000,Candidates!$A$2:$A$2000,$A795),""))</f>
        <v/>
      </c>
      <c r="S795" s="65" t="str">
        <f>IF($A795="","",IFERROR(MAXIFS(Candidates!$AA$2:$AA$2000,Candidates!$A$2:$A$2000,$A795),""))</f>
        <v/>
      </c>
      <c r="T795" s="64" t="str">
        <f>IFERROR(__xludf.DUMMYFUNCTION("IF($A795="""","""",IFERROR(TEXTJOIN("", "",TRUE,UNIQUE(FILTER(Candidates!$B$2:$B$2000,Candidates!$A$2:$A$2000=$A795))),""""))"),"")</f>
        <v/>
      </c>
      <c r="U795" s="66" t="str">
        <f>IF($A795="","",COUNTIF(Candidates!$A$2:$A$2000,$A795))</f>
        <v/>
      </c>
      <c r="V795" s="64" t="str">
        <f>IFERROR(__xludf.DUMMYFUNCTION("IF($A795="""","""",IFERROR(INDEX(FILTER(Candidates!$S$2:$S$2000,Candidates!$A$2:$A$2000=$A795),COUNTIF(Candidates!$A$2:$A$2000,$A795)),""""))"),"")</f>
        <v/>
      </c>
      <c r="W795" s="64" t="str">
        <f>IFERROR(__xludf.DUMMYFUNCTION("IF($A795="""","""",IFERROR(INDEX(FILTER(Candidates!$T$2:$T$2000,Candidates!$A$2:$A$2000=$A795),COUNTIF(Candidates!$A$2:$A$2000,$A795)),""""))"),"")</f>
        <v/>
      </c>
      <c r="X795" s="64"/>
      <c r="Y795" s="64"/>
      <c r="Z795" s="65"/>
      <c r="AA795" s="65"/>
      <c r="AB795" s="65"/>
      <c r="AC795" s="65"/>
    </row>
    <row r="796">
      <c r="A796" s="64"/>
      <c r="B796" s="64"/>
      <c r="C796" s="64"/>
      <c r="D796" s="64"/>
      <c r="E796" s="64"/>
      <c r="F796" s="64"/>
      <c r="G796" s="64"/>
      <c r="H796" s="63"/>
      <c r="I796" s="64"/>
      <c r="J796" s="64"/>
      <c r="K796" s="64"/>
      <c r="L796" s="64"/>
      <c r="M796" s="64"/>
      <c r="N796" s="64"/>
      <c r="O796" s="64"/>
      <c r="P796" s="64"/>
      <c r="Q796" s="64"/>
      <c r="R796" s="65" t="str">
        <f>IF($A796="","",IFERROR(MINIFS(Candidates!$K$2:$K$2000,Candidates!$A$2:$A$2000,$A796),""))</f>
        <v/>
      </c>
      <c r="S796" s="65" t="str">
        <f>IF($A796="","",IFERROR(MAXIFS(Candidates!$AA$2:$AA$2000,Candidates!$A$2:$A$2000,$A796),""))</f>
        <v/>
      </c>
      <c r="T796" s="64" t="str">
        <f>IFERROR(__xludf.DUMMYFUNCTION("IF($A796="""","""",IFERROR(TEXTJOIN("", "",TRUE,UNIQUE(FILTER(Candidates!$B$2:$B$2000,Candidates!$A$2:$A$2000=$A796))),""""))"),"")</f>
        <v/>
      </c>
      <c r="U796" s="66" t="str">
        <f>IF($A796="","",COUNTIF(Candidates!$A$2:$A$2000,$A796))</f>
        <v/>
      </c>
      <c r="V796" s="64" t="str">
        <f>IFERROR(__xludf.DUMMYFUNCTION("IF($A796="""","""",IFERROR(INDEX(FILTER(Candidates!$S$2:$S$2000,Candidates!$A$2:$A$2000=$A796),COUNTIF(Candidates!$A$2:$A$2000,$A796)),""""))"),"")</f>
        <v/>
      </c>
      <c r="W796" s="64" t="str">
        <f>IFERROR(__xludf.DUMMYFUNCTION("IF($A796="""","""",IFERROR(INDEX(FILTER(Candidates!$T$2:$T$2000,Candidates!$A$2:$A$2000=$A796),COUNTIF(Candidates!$A$2:$A$2000,$A796)),""""))"),"")</f>
        <v/>
      </c>
      <c r="X796" s="64"/>
      <c r="Y796" s="64"/>
      <c r="Z796" s="65"/>
      <c r="AA796" s="65"/>
      <c r="AB796" s="65"/>
      <c r="AC796" s="65"/>
    </row>
    <row r="797">
      <c r="A797" s="64"/>
      <c r="B797" s="64"/>
      <c r="C797" s="64"/>
      <c r="D797" s="64"/>
      <c r="E797" s="64"/>
      <c r="F797" s="64"/>
      <c r="G797" s="64"/>
      <c r="H797" s="63"/>
      <c r="I797" s="64"/>
      <c r="J797" s="64"/>
      <c r="K797" s="64"/>
      <c r="L797" s="64"/>
      <c r="M797" s="64"/>
      <c r="N797" s="64"/>
      <c r="O797" s="64"/>
      <c r="P797" s="64"/>
      <c r="Q797" s="64"/>
      <c r="R797" s="65" t="str">
        <f>IF($A797="","",IFERROR(MINIFS(Candidates!$K$2:$K$2000,Candidates!$A$2:$A$2000,$A797),""))</f>
        <v/>
      </c>
      <c r="S797" s="65" t="str">
        <f>IF($A797="","",IFERROR(MAXIFS(Candidates!$AA$2:$AA$2000,Candidates!$A$2:$A$2000,$A797),""))</f>
        <v/>
      </c>
      <c r="T797" s="64" t="str">
        <f>IFERROR(__xludf.DUMMYFUNCTION("IF($A797="""","""",IFERROR(TEXTJOIN("", "",TRUE,UNIQUE(FILTER(Candidates!$B$2:$B$2000,Candidates!$A$2:$A$2000=$A797))),""""))"),"")</f>
        <v/>
      </c>
      <c r="U797" s="66" t="str">
        <f>IF($A797="","",COUNTIF(Candidates!$A$2:$A$2000,$A797))</f>
        <v/>
      </c>
      <c r="V797" s="64" t="str">
        <f>IFERROR(__xludf.DUMMYFUNCTION("IF($A797="""","""",IFERROR(INDEX(FILTER(Candidates!$S$2:$S$2000,Candidates!$A$2:$A$2000=$A797),COUNTIF(Candidates!$A$2:$A$2000,$A797)),""""))"),"")</f>
        <v/>
      </c>
      <c r="W797" s="64" t="str">
        <f>IFERROR(__xludf.DUMMYFUNCTION("IF($A797="""","""",IFERROR(INDEX(FILTER(Candidates!$T$2:$T$2000,Candidates!$A$2:$A$2000=$A797),COUNTIF(Candidates!$A$2:$A$2000,$A797)),""""))"),"")</f>
        <v/>
      </c>
      <c r="X797" s="64"/>
      <c r="Y797" s="64"/>
      <c r="Z797" s="65"/>
      <c r="AA797" s="65"/>
      <c r="AB797" s="65"/>
      <c r="AC797" s="65"/>
    </row>
    <row r="798">
      <c r="A798" s="64"/>
      <c r="B798" s="64"/>
      <c r="C798" s="64"/>
      <c r="D798" s="64"/>
      <c r="E798" s="64"/>
      <c r="F798" s="64"/>
      <c r="G798" s="64"/>
      <c r="H798" s="63"/>
      <c r="I798" s="64"/>
      <c r="J798" s="64"/>
      <c r="K798" s="64"/>
      <c r="L798" s="64"/>
      <c r="M798" s="64"/>
      <c r="N798" s="64"/>
      <c r="O798" s="64"/>
      <c r="P798" s="64"/>
      <c r="Q798" s="64"/>
      <c r="R798" s="65" t="str">
        <f>IF($A798="","",IFERROR(MINIFS(Candidates!$K$2:$K$2000,Candidates!$A$2:$A$2000,$A798),""))</f>
        <v/>
      </c>
      <c r="S798" s="65" t="str">
        <f>IF($A798="","",IFERROR(MAXIFS(Candidates!$AA$2:$AA$2000,Candidates!$A$2:$A$2000,$A798),""))</f>
        <v/>
      </c>
      <c r="T798" s="64" t="str">
        <f>IFERROR(__xludf.DUMMYFUNCTION("IF($A798="""","""",IFERROR(TEXTJOIN("", "",TRUE,UNIQUE(FILTER(Candidates!$B$2:$B$2000,Candidates!$A$2:$A$2000=$A798))),""""))"),"")</f>
        <v/>
      </c>
      <c r="U798" s="66" t="str">
        <f>IF($A798="","",COUNTIF(Candidates!$A$2:$A$2000,$A798))</f>
        <v/>
      </c>
      <c r="V798" s="64" t="str">
        <f>IFERROR(__xludf.DUMMYFUNCTION("IF($A798="""","""",IFERROR(INDEX(FILTER(Candidates!$S$2:$S$2000,Candidates!$A$2:$A$2000=$A798),COUNTIF(Candidates!$A$2:$A$2000,$A798)),""""))"),"")</f>
        <v/>
      </c>
      <c r="W798" s="64" t="str">
        <f>IFERROR(__xludf.DUMMYFUNCTION("IF($A798="""","""",IFERROR(INDEX(FILTER(Candidates!$T$2:$T$2000,Candidates!$A$2:$A$2000=$A798),COUNTIF(Candidates!$A$2:$A$2000,$A798)),""""))"),"")</f>
        <v/>
      </c>
      <c r="X798" s="64"/>
      <c r="Y798" s="64"/>
      <c r="Z798" s="65"/>
      <c r="AA798" s="65"/>
      <c r="AB798" s="65"/>
      <c r="AC798" s="65"/>
    </row>
    <row r="799">
      <c r="A799" s="64"/>
      <c r="B799" s="64"/>
      <c r="C799" s="64"/>
      <c r="D799" s="64"/>
      <c r="E799" s="64"/>
      <c r="F799" s="64"/>
      <c r="G799" s="64"/>
      <c r="H799" s="63"/>
      <c r="I799" s="64"/>
      <c r="J799" s="64"/>
      <c r="K799" s="64"/>
      <c r="L799" s="64"/>
      <c r="M799" s="64"/>
      <c r="N799" s="64"/>
      <c r="O799" s="64"/>
      <c r="P799" s="64"/>
      <c r="Q799" s="64"/>
      <c r="R799" s="65" t="str">
        <f>IF($A799="","",IFERROR(MINIFS(Candidates!$K$2:$K$2000,Candidates!$A$2:$A$2000,$A799),""))</f>
        <v/>
      </c>
      <c r="S799" s="65" t="str">
        <f>IF($A799="","",IFERROR(MAXIFS(Candidates!$AA$2:$AA$2000,Candidates!$A$2:$A$2000,$A799),""))</f>
        <v/>
      </c>
      <c r="T799" s="64" t="str">
        <f>IFERROR(__xludf.DUMMYFUNCTION("IF($A799="""","""",IFERROR(TEXTJOIN("", "",TRUE,UNIQUE(FILTER(Candidates!$B$2:$B$2000,Candidates!$A$2:$A$2000=$A799))),""""))"),"")</f>
        <v/>
      </c>
      <c r="U799" s="66" t="str">
        <f>IF($A799="","",COUNTIF(Candidates!$A$2:$A$2000,$A799))</f>
        <v/>
      </c>
      <c r="V799" s="64" t="str">
        <f>IFERROR(__xludf.DUMMYFUNCTION("IF($A799="""","""",IFERROR(INDEX(FILTER(Candidates!$S$2:$S$2000,Candidates!$A$2:$A$2000=$A799),COUNTIF(Candidates!$A$2:$A$2000,$A799)),""""))"),"")</f>
        <v/>
      </c>
      <c r="W799" s="64" t="str">
        <f>IFERROR(__xludf.DUMMYFUNCTION("IF($A799="""","""",IFERROR(INDEX(FILTER(Candidates!$T$2:$T$2000,Candidates!$A$2:$A$2000=$A799),COUNTIF(Candidates!$A$2:$A$2000,$A799)),""""))"),"")</f>
        <v/>
      </c>
      <c r="X799" s="64"/>
      <c r="Y799" s="64"/>
      <c r="Z799" s="65"/>
      <c r="AA799" s="65"/>
      <c r="AB799" s="65"/>
      <c r="AC799" s="65"/>
    </row>
    <row r="800">
      <c r="A800" s="64"/>
      <c r="B800" s="64"/>
      <c r="C800" s="64"/>
      <c r="D800" s="64"/>
      <c r="E800" s="64"/>
      <c r="F800" s="64"/>
      <c r="G800" s="64"/>
      <c r="H800" s="63"/>
      <c r="I800" s="64"/>
      <c r="J800" s="64"/>
      <c r="K800" s="64"/>
      <c r="L800" s="64"/>
      <c r="M800" s="64"/>
      <c r="N800" s="64"/>
      <c r="O800" s="64"/>
      <c r="P800" s="64"/>
      <c r="Q800" s="64"/>
      <c r="R800" s="65" t="str">
        <f>IF($A800="","",IFERROR(MINIFS(Candidates!$K$2:$K$2000,Candidates!$A$2:$A$2000,$A800),""))</f>
        <v/>
      </c>
      <c r="S800" s="65" t="str">
        <f>IF($A800="","",IFERROR(MAXIFS(Candidates!$AA$2:$AA$2000,Candidates!$A$2:$A$2000,$A800),""))</f>
        <v/>
      </c>
      <c r="T800" s="64" t="str">
        <f>IFERROR(__xludf.DUMMYFUNCTION("IF($A800="""","""",IFERROR(TEXTJOIN("", "",TRUE,UNIQUE(FILTER(Candidates!$B$2:$B$2000,Candidates!$A$2:$A$2000=$A800))),""""))"),"")</f>
        <v/>
      </c>
      <c r="U800" s="66" t="str">
        <f>IF($A800="","",COUNTIF(Candidates!$A$2:$A$2000,$A800))</f>
        <v/>
      </c>
      <c r="V800" s="64" t="str">
        <f>IFERROR(__xludf.DUMMYFUNCTION("IF($A800="""","""",IFERROR(INDEX(FILTER(Candidates!$S$2:$S$2000,Candidates!$A$2:$A$2000=$A800),COUNTIF(Candidates!$A$2:$A$2000,$A800)),""""))"),"")</f>
        <v/>
      </c>
      <c r="W800" s="64" t="str">
        <f>IFERROR(__xludf.DUMMYFUNCTION("IF($A800="""","""",IFERROR(INDEX(FILTER(Candidates!$T$2:$T$2000,Candidates!$A$2:$A$2000=$A800),COUNTIF(Candidates!$A$2:$A$2000,$A800)),""""))"),"")</f>
        <v/>
      </c>
      <c r="X800" s="64"/>
      <c r="Y800" s="64"/>
      <c r="Z800" s="65"/>
      <c r="AA800" s="65"/>
      <c r="AB800" s="65"/>
      <c r="AC800" s="65"/>
    </row>
    <row r="801">
      <c r="A801" s="64"/>
      <c r="B801" s="64"/>
      <c r="C801" s="64"/>
      <c r="D801" s="64"/>
      <c r="E801" s="64"/>
      <c r="F801" s="64"/>
      <c r="G801" s="64"/>
      <c r="H801" s="63"/>
      <c r="I801" s="64"/>
      <c r="J801" s="64"/>
      <c r="K801" s="64"/>
      <c r="L801" s="64"/>
      <c r="M801" s="64"/>
      <c r="N801" s="64"/>
      <c r="O801" s="64"/>
      <c r="P801" s="64"/>
      <c r="Q801" s="64"/>
      <c r="R801" s="65" t="str">
        <f>IF($A801="","",IFERROR(MINIFS(Candidates!$K$2:$K$2000,Candidates!$A$2:$A$2000,$A801),""))</f>
        <v/>
      </c>
      <c r="S801" s="65" t="str">
        <f>IF($A801="","",IFERROR(MAXIFS(Candidates!$AA$2:$AA$2000,Candidates!$A$2:$A$2000,$A801),""))</f>
        <v/>
      </c>
      <c r="T801" s="64" t="str">
        <f>IFERROR(__xludf.DUMMYFUNCTION("IF($A801="""","""",IFERROR(TEXTJOIN("", "",TRUE,UNIQUE(FILTER(Candidates!$B$2:$B$2000,Candidates!$A$2:$A$2000=$A801))),""""))"),"")</f>
        <v/>
      </c>
      <c r="U801" s="66" t="str">
        <f>IF($A801="","",COUNTIF(Candidates!$A$2:$A$2000,$A801))</f>
        <v/>
      </c>
      <c r="V801" s="64" t="str">
        <f>IFERROR(__xludf.DUMMYFUNCTION("IF($A801="""","""",IFERROR(INDEX(FILTER(Candidates!$S$2:$S$2000,Candidates!$A$2:$A$2000=$A801),COUNTIF(Candidates!$A$2:$A$2000,$A801)),""""))"),"")</f>
        <v/>
      </c>
      <c r="W801" s="64" t="str">
        <f>IFERROR(__xludf.DUMMYFUNCTION("IF($A801="""","""",IFERROR(INDEX(FILTER(Candidates!$T$2:$T$2000,Candidates!$A$2:$A$2000=$A801),COUNTIF(Candidates!$A$2:$A$2000,$A801)),""""))"),"")</f>
        <v/>
      </c>
      <c r="X801" s="64"/>
      <c r="Y801" s="64"/>
      <c r="Z801" s="65"/>
      <c r="AA801" s="65"/>
      <c r="AB801" s="65"/>
      <c r="AC801" s="65"/>
    </row>
    <row r="802">
      <c r="A802" s="64"/>
      <c r="B802" s="64"/>
      <c r="C802" s="64"/>
      <c r="D802" s="64"/>
      <c r="E802" s="64"/>
      <c r="F802" s="64"/>
      <c r="G802" s="64"/>
      <c r="H802" s="63"/>
      <c r="I802" s="64"/>
      <c r="J802" s="64"/>
      <c r="K802" s="64"/>
      <c r="L802" s="64"/>
      <c r="M802" s="64"/>
      <c r="N802" s="64"/>
      <c r="O802" s="64"/>
      <c r="P802" s="64"/>
      <c r="Q802" s="64"/>
      <c r="R802" s="65" t="str">
        <f>IF($A802="","",IFERROR(MINIFS(Candidates!$K$2:$K$2000,Candidates!$A$2:$A$2000,$A802),""))</f>
        <v/>
      </c>
      <c r="S802" s="65" t="str">
        <f>IF($A802="","",IFERROR(MAXIFS(Candidates!$AA$2:$AA$2000,Candidates!$A$2:$A$2000,$A802),""))</f>
        <v/>
      </c>
      <c r="T802" s="64" t="str">
        <f>IFERROR(__xludf.DUMMYFUNCTION("IF($A802="""","""",IFERROR(TEXTJOIN("", "",TRUE,UNIQUE(FILTER(Candidates!$B$2:$B$2000,Candidates!$A$2:$A$2000=$A802))),""""))"),"")</f>
        <v/>
      </c>
      <c r="U802" s="66" t="str">
        <f>IF($A802="","",COUNTIF(Candidates!$A$2:$A$2000,$A802))</f>
        <v/>
      </c>
      <c r="V802" s="64" t="str">
        <f>IFERROR(__xludf.DUMMYFUNCTION("IF($A802="""","""",IFERROR(INDEX(FILTER(Candidates!$S$2:$S$2000,Candidates!$A$2:$A$2000=$A802),COUNTIF(Candidates!$A$2:$A$2000,$A802)),""""))"),"")</f>
        <v/>
      </c>
      <c r="W802" s="64" t="str">
        <f>IFERROR(__xludf.DUMMYFUNCTION("IF($A802="""","""",IFERROR(INDEX(FILTER(Candidates!$T$2:$T$2000,Candidates!$A$2:$A$2000=$A802),COUNTIF(Candidates!$A$2:$A$2000,$A802)),""""))"),"")</f>
        <v/>
      </c>
      <c r="X802" s="64"/>
      <c r="Y802" s="64"/>
      <c r="Z802" s="65"/>
      <c r="AA802" s="65"/>
      <c r="AB802" s="65"/>
      <c r="AC802" s="65"/>
    </row>
    <row r="803">
      <c r="A803" s="64"/>
      <c r="B803" s="64"/>
      <c r="C803" s="64"/>
      <c r="D803" s="64"/>
      <c r="E803" s="64"/>
      <c r="F803" s="64"/>
      <c r="G803" s="64"/>
      <c r="H803" s="63"/>
      <c r="I803" s="64"/>
      <c r="J803" s="64"/>
      <c r="K803" s="64"/>
      <c r="L803" s="64"/>
      <c r="M803" s="64"/>
      <c r="N803" s="64"/>
      <c r="O803" s="64"/>
      <c r="P803" s="64"/>
      <c r="Q803" s="64"/>
      <c r="R803" s="65" t="str">
        <f>IF($A803="","",IFERROR(MINIFS(Candidates!$K$2:$K$2000,Candidates!$A$2:$A$2000,$A803),""))</f>
        <v/>
      </c>
      <c r="S803" s="65" t="str">
        <f>IF($A803="","",IFERROR(MAXIFS(Candidates!$AA$2:$AA$2000,Candidates!$A$2:$A$2000,$A803),""))</f>
        <v/>
      </c>
      <c r="T803" s="64" t="str">
        <f>IFERROR(__xludf.DUMMYFUNCTION("IF($A803="""","""",IFERROR(TEXTJOIN("", "",TRUE,UNIQUE(FILTER(Candidates!$B$2:$B$2000,Candidates!$A$2:$A$2000=$A803))),""""))"),"")</f>
        <v/>
      </c>
      <c r="U803" s="66" t="str">
        <f>IF($A803="","",COUNTIF(Candidates!$A$2:$A$2000,$A803))</f>
        <v/>
      </c>
      <c r="V803" s="64" t="str">
        <f>IFERROR(__xludf.DUMMYFUNCTION("IF($A803="""","""",IFERROR(INDEX(FILTER(Candidates!$S$2:$S$2000,Candidates!$A$2:$A$2000=$A803),COUNTIF(Candidates!$A$2:$A$2000,$A803)),""""))"),"")</f>
        <v/>
      </c>
      <c r="W803" s="64" t="str">
        <f>IFERROR(__xludf.DUMMYFUNCTION("IF($A803="""","""",IFERROR(INDEX(FILTER(Candidates!$T$2:$T$2000,Candidates!$A$2:$A$2000=$A803),COUNTIF(Candidates!$A$2:$A$2000,$A803)),""""))"),"")</f>
        <v/>
      </c>
      <c r="X803" s="64"/>
      <c r="Y803" s="64"/>
      <c r="Z803" s="65"/>
      <c r="AA803" s="65"/>
      <c r="AB803" s="65"/>
      <c r="AC803" s="65"/>
    </row>
    <row r="804">
      <c r="A804" s="64"/>
      <c r="B804" s="64"/>
      <c r="C804" s="64"/>
      <c r="D804" s="64"/>
      <c r="E804" s="64"/>
      <c r="F804" s="64"/>
      <c r="G804" s="64"/>
      <c r="H804" s="63"/>
      <c r="I804" s="64"/>
      <c r="J804" s="64"/>
      <c r="K804" s="64"/>
      <c r="L804" s="64"/>
      <c r="M804" s="64"/>
      <c r="N804" s="64"/>
      <c r="O804" s="64"/>
      <c r="P804" s="64"/>
      <c r="Q804" s="64"/>
      <c r="R804" s="65" t="str">
        <f>IF($A804="","",IFERROR(MINIFS(Candidates!$K$2:$K$2000,Candidates!$A$2:$A$2000,$A804),""))</f>
        <v/>
      </c>
      <c r="S804" s="65" t="str">
        <f>IF($A804="","",IFERROR(MAXIFS(Candidates!$AA$2:$AA$2000,Candidates!$A$2:$A$2000,$A804),""))</f>
        <v/>
      </c>
      <c r="T804" s="64" t="str">
        <f>IFERROR(__xludf.DUMMYFUNCTION("IF($A804="""","""",IFERROR(TEXTJOIN("", "",TRUE,UNIQUE(FILTER(Candidates!$B$2:$B$2000,Candidates!$A$2:$A$2000=$A804))),""""))"),"")</f>
        <v/>
      </c>
      <c r="U804" s="66" t="str">
        <f>IF($A804="","",COUNTIF(Candidates!$A$2:$A$2000,$A804))</f>
        <v/>
      </c>
      <c r="V804" s="64" t="str">
        <f>IFERROR(__xludf.DUMMYFUNCTION("IF($A804="""","""",IFERROR(INDEX(FILTER(Candidates!$S$2:$S$2000,Candidates!$A$2:$A$2000=$A804),COUNTIF(Candidates!$A$2:$A$2000,$A804)),""""))"),"")</f>
        <v/>
      </c>
      <c r="W804" s="64" t="str">
        <f>IFERROR(__xludf.DUMMYFUNCTION("IF($A804="""","""",IFERROR(INDEX(FILTER(Candidates!$T$2:$T$2000,Candidates!$A$2:$A$2000=$A804),COUNTIF(Candidates!$A$2:$A$2000,$A804)),""""))"),"")</f>
        <v/>
      </c>
      <c r="X804" s="64"/>
      <c r="Y804" s="64"/>
      <c r="Z804" s="65"/>
      <c r="AA804" s="65"/>
      <c r="AB804" s="65"/>
      <c r="AC804" s="65"/>
    </row>
    <row r="805">
      <c r="A805" s="64"/>
      <c r="B805" s="64"/>
      <c r="C805" s="64"/>
      <c r="D805" s="64"/>
      <c r="E805" s="64"/>
      <c r="F805" s="64"/>
      <c r="G805" s="64"/>
      <c r="H805" s="63"/>
      <c r="I805" s="64"/>
      <c r="J805" s="64"/>
      <c r="K805" s="64"/>
      <c r="L805" s="64"/>
      <c r="M805" s="64"/>
      <c r="N805" s="64"/>
      <c r="O805" s="64"/>
      <c r="P805" s="64"/>
      <c r="Q805" s="64"/>
      <c r="R805" s="65" t="str">
        <f>IF($A805="","",IFERROR(MINIFS(Candidates!$K$2:$K$2000,Candidates!$A$2:$A$2000,$A805),""))</f>
        <v/>
      </c>
      <c r="S805" s="65" t="str">
        <f>IF($A805="","",IFERROR(MAXIFS(Candidates!$AA$2:$AA$2000,Candidates!$A$2:$A$2000,$A805),""))</f>
        <v/>
      </c>
      <c r="T805" s="64" t="str">
        <f>IFERROR(__xludf.DUMMYFUNCTION("IF($A805="""","""",IFERROR(TEXTJOIN("", "",TRUE,UNIQUE(FILTER(Candidates!$B$2:$B$2000,Candidates!$A$2:$A$2000=$A805))),""""))"),"")</f>
        <v/>
      </c>
      <c r="U805" s="66" t="str">
        <f>IF($A805="","",COUNTIF(Candidates!$A$2:$A$2000,$A805))</f>
        <v/>
      </c>
      <c r="V805" s="64" t="str">
        <f>IFERROR(__xludf.DUMMYFUNCTION("IF($A805="""","""",IFERROR(INDEX(FILTER(Candidates!$S$2:$S$2000,Candidates!$A$2:$A$2000=$A805),COUNTIF(Candidates!$A$2:$A$2000,$A805)),""""))"),"")</f>
        <v/>
      </c>
      <c r="W805" s="64" t="str">
        <f>IFERROR(__xludf.DUMMYFUNCTION("IF($A805="""","""",IFERROR(INDEX(FILTER(Candidates!$T$2:$T$2000,Candidates!$A$2:$A$2000=$A805),COUNTIF(Candidates!$A$2:$A$2000,$A805)),""""))"),"")</f>
        <v/>
      </c>
      <c r="X805" s="64"/>
      <c r="Y805" s="64"/>
      <c r="Z805" s="65"/>
      <c r="AA805" s="65"/>
      <c r="AB805" s="65"/>
      <c r="AC805" s="65"/>
    </row>
    <row r="806">
      <c r="A806" s="64"/>
      <c r="B806" s="64"/>
      <c r="C806" s="64"/>
      <c r="D806" s="64"/>
      <c r="E806" s="64"/>
      <c r="F806" s="64"/>
      <c r="G806" s="64"/>
      <c r="H806" s="63"/>
      <c r="I806" s="64"/>
      <c r="J806" s="64"/>
      <c r="K806" s="64"/>
      <c r="L806" s="64"/>
      <c r="M806" s="64"/>
      <c r="N806" s="64"/>
      <c r="O806" s="64"/>
      <c r="P806" s="64"/>
      <c r="Q806" s="64"/>
      <c r="R806" s="65" t="str">
        <f>IF($A806="","",IFERROR(MINIFS(Candidates!$K$2:$K$2000,Candidates!$A$2:$A$2000,$A806),""))</f>
        <v/>
      </c>
      <c r="S806" s="65" t="str">
        <f>IF($A806="","",IFERROR(MAXIFS(Candidates!$AA$2:$AA$2000,Candidates!$A$2:$A$2000,$A806),""))</f>
        <v/>
      </c>
      <c r="T806" s="64" t="str">
        <f>IFERROR(__xludf.DUMMYFUNCTION("IF($A806="""","""",IFERROR(TEXTJOIN("", "",TRUE,UNIQUE(FILTER(Candidates!$B$2:$B$2000,Candidates!$A$2:$A$2000=$A806))),""""))"),"")</f>
        <v/>
      </c>
      <c r="U806" s="66" t="str">
        <f>IF($A806="","",COUNTIF(Candidates!$A$2:$A$2000,$A806))</f>
        <v/>
      </c>
      <c r="V806" s="64" t="str">
        <f>IFERROR(__xludf.DUMMYFUNCTION("IF($A806="""","""",IFERROR(INDEX(FILTER(Candidates!$S$2:$S$2000,Candidates!$A$2:$A$2000=$A806),COUNTIF(Candidates!$A$2:$A$2000,$A806)),""""))"),"")</f>
        <v/>
      </c>
      <c r="W806" s="64" t="str">
        <f>IFERROR(__xludf.DUMMYFUNCTION("IF($A806="""","""",IFERROR(INDEX(FILTER(Candidates!$T$2:$T$2000,Candidates!$A$2:$A$2000=$A806),COUNTIF(Candidates!$A$2:$A$2000,$A806)),""""))"),"")</f>
        <v/>
      </c>
      <c r="X806" s="64"/>
      <c r="Y806" s="64"/>
      <c r="Z806" s="65"/>
      <c r="AA806" s="65"/>
      <c r="AB806" s="65"/>
      <c r="AC806" s="65"/>
    </row>
    <row r="807">
      <c r="A807" s="64"/>
      <c r="B807" s="64"/>
      <c r="C807" s="64"/>
      <c r="D807" s="64"/>
      <c r="E807" s="64"/>
      <c r="F807" s="64"/>
      <c r="G807" s="64"/>
      <c r="H807" s="63"/>
      <c r="I807" s="64"/>
      <c r="J807" s="64"/>
      <c r="K807" s="64"/>
      <c r="L807" s="64"/>
      <c r="M807" s="64"/>
      <c r="N807" s="64"/>
      <c r="O807" s="64"/>
      <c r="P807" s="64"/>
      <c r="Q807" s="64"/>
      <c r="R807" s="65" t="str">
        <f>IF($A807="","",IFERROR(MINIFS(Candidates!$K$2:$K$2000,Candidates!$A$2:$A$2000,$A807),""))</f>
        <v/>
      </c>
      <c r="S807" s="65" t="str">
        <f>IF($A807="","",IFERROR(MAXIFS(Candidates!$AA$2:$AA$2000,Candidates!$A$2:$A$2000,$A807),""))</f>
        <v/>
      </c>
      <c r="T807" s="64" t="str">
        <f>IFERROR(__xludf.DUMMYFUNCTION("IF($A807="""","""",IFERROR(TEXTJOIN("", "",TRUE,UNIQUE(FILTER(Candidates!$B$2:$B$2000,Candidates!$A$2:$A$2000=$A807))),""""))"),"")</f>
        <v/>
      </c>
      <c r="U807" s="66" t="str">
        <f>IF($A807="","",COUNTIF(Candidates!$A$2:$A$2000,$A807))</f>
        <v/>
      </c>
      <c r="V807" s="64" t="str">
        <f>IFERROR(__xludf.DUMMYFUNCTION("IF($A807="""","""",IFERROR(INDEX(FILTER(Candidates!$S$2:$S$2000,Candidates!$A$2:$A$2000=$A807),COUNTIF(Candidates!$A$2:$A$2000,$A807)),""""))"),"")</f>
        <v/>
      </c>
      <c r="W807" s="64" t="str">
        <f>IFERROR(__xludf.DUMMYFUNCTION("IF($A807="""","""",IFERROR(INDEX(FILTER(Candidates!$T$2:$T$2000,Candidates!$A$2:$A$2000=$A807),COUNTIF(Candidates!$A$2:$A$2000,$A807)),""""))"),"")</f>
        <v/>
      </c>
      <c r="X807" s="64"/>
      <c r="Y807" s="64"/>
      <c r="Z807" s="65"/>
      <c r="AA807" s="65"/>
      <c r="AB807" s="65"/>
      <c r="AC807" s="65"/>
    </row>
    <row r="808">
      <c r="A808" s="64"/>
      <c r="B808" s="64"/>
      <c r="C808" s="64"/>
      <c r="D808" s="64"/>
      <c r="E808" s="64"/>
      <c r="F808" s="64"/>
      <c r="G808" s="64"/>
      <c r="H808" s="63"/>
      <c r="I808" s="64"/>
      <c r="J808" s="64"/>
      <c r="K808" s="64"/>
      <c r="L808" s="64"/>
      <c r="M808" s="64"/>
      <c r="N808" s="64"/>
      <c r="O808" s="64"/>
      <c r="P808" s="64"/>
      <c r="Q808" s="64"/>
      <c r="R808" s="65" t="str">
        <f>IF($A808="","",IFERROR(MINIFS(Candidates!$K$2:$K$2000,Candidates!$A$2:$A$2000,$A808),""))</f>
        <v/>
      </c>
      <c r="S808" s="65" t="str">
        <f>IF($A808="","",IFERROR(MAXIFS(Candidates!$AA$2:$AA$2000,Candidates!$A$2:$A$2000,$A808),""))</f>
        <v/>
      </c>
      <c r="T808" s="64" t="str">
        <f>IFERROR(__xludf.DUMMYFUNCTION("IF($A808="""","""",IFERROR(TEXTJOIN("", "",TRUE,UNIQUE(FILTER(Candidates!$B$2:$B$2000,Candidates!$A$2:$A$2000=$A808))),""""))"),"")</f>
        <v/>
      </c>
      <c r="U808" s="66" t="str">
        <f>IF($A808="","",COUNTIF(Candidates!$A$2:$A$2000,$A808))</f>
        <v/>
      </c>
      <c r="V808" s="64" t="str">
        <f>IFERROR(__xludf.DUMMYFUNCTION("IF($A808="""","""",IFERROR(INDEX(FILTER(Candidates!$S$2:$S$2000,Candidates!$A$2:$A$2000=$A808),COUNTIF(Candidates!$A$2:$A$2000,$A808)),""""))"),"")</f>
        <v/>
      </c>
      <c r="W808" s="64" t="str">
        <f>IFERROR(__xludf.DUMMYFUNCTION("IF($A808="""","""",IFERROR(INDEX(FILTER(Candidates!$T$2:$T$2000,Candidates!$A$2:$A$2000=$A808),COUNTIF(Candidates!$A$2:$A$2000,$A808)),""""))"),"")</f>
        <v/>
      </c>
      <c r="X808" s="64"/>
      <c r="Y808" s="64"/>
      <c r="Z808" s="65"/>
      <c r="AA808" s="65"/>
      <c r="AB808" s="65"/>
      <c r="AC808" s="65"/>
    </row>
    <row r="809">
      <c r="A809" s="64"/>
      <c r="B809" s="64"/>
      <c r="C809" s="64"/>
      <c r="D809" s="64"/>
      <c r="E809" s="64"/>
      <c r="F809" s="64"/>
      <c r="G809" s="64"/>
      <c r="H809" s="63"/>
      <c r="I809" s="64"/>
      <c r="J809" s="64"/>
      <c r="K809" s="64"/>
      <c r="L809" s="64"/>
      <c r="M809" s="64"/>
      <c r="N809" s="64"/>
      <c r="O809" s="64"/>
      <c r="P809" s="64"/>
      <c r="Q809" s="64"/>
      <c r="R809" s="65" t="str">
        <f>IF($A809="","",IFERROR(MINIFS(Candidates!$K$2:$K$2000,Candidates!$A$2:$A$2000,$A809),""))</f>
        <v/>
      </c>
      <c r="S809" s="65" t="str">
        <f>IF($A809="","",IFERROR(MAXIFS(Candidates!$AA$2:$AA$2000,Candidates!$A$2:$A$2000,$A809),""))</f>
        <v/>
      </c>
      <c r="T809" s="64" t="str">
        <f>IFERROR(__xludf.DUMMYFUNCTION("IF($A809="""","""",IFERROR(TEXTJOIN("", "",TRUE,UNIQUE(FILTER(Candidates!$B$2:$B$2000,Candidates!$A$2:$A$2000=$A809))),""""))"),"")</f>
        <v/>
      </c>
      <c r="U809" s="66" t="str">
        <f>IF($A809="","",COUNTIF(Candidates!$A$2:$A$2000,$A809))</f>
        <v/>
      </c>
      <c r="V809" s="64" t="str">
        <f>IFERROR(__xludf.DUMMYFUNCTION("IF($A809="""","""",IFERROR(INDEX(FILTER(Candidates!$S$2:$S$2000,Candidates!$A$2:$A$2000=$A809),COUNTIF(Candidates!$A$2:$A$2000,$A809)),""""))"),"")</f>
        <v/>
      </c>
      <c r="W809" s="64" t="str">
        <f>IFERROR(__xludf.DUMMYFUNCTION("IF($A809="""","""",IFERROR(INDEX(FILTER(Candidates!$T$2:$T$2000,Candidates!$A$2:$A$2000=$A809),COUNTIF(Candidates!$A$2:$A$2000,$A809)),""""))"),"")</f>
        <v/>
      </c>
      <c r="X809" s="64"/>
      <c r="Y809" s="64"/>
      <c r="Z809" s="65"/>
      <c r="AA809" s="65"/>
      <c r="AB809" s="65"/>
      <c r="AC809" s="65"/>
    </row>
    <row r="810">
      <c r="A810" s="64"/>
      <c r="B810" s="64"/>
      <c r="C810" s="64"/>
      <c r="D810" s="64"/>
      <c r="E810" s="64"/>
      <c r="F810" s="64"/>
      <c r="G810" s="64"/>
      <c r="H810" s="63"/>
      <c r="I810" s="64"/>
      <c r="J810" s="64"/>
      <c r="K810" s="64"/>
      <c r="L810" s="64"/>
      <c r="M810" s="64"/>
      <c r="N810" s="64"/>
      <c r="O810" s="64"/>
      <c r="P810" s="64"/>
      <c r="Q810" s="64"/>
      <c r="R810" s="65" t="str">
        <f>IF($A810="","",IFERROR(MINIFS(Candidates!$K$2:$K$2000,Candidates!$A$2:$A$2000,$A810),""))</f>
        <v/>
      </c>
      <c r="S810" s="65" t="str">
        <f>IF($A810="","",IFERROR(MAXIFS(Candidates!$AA$2:$AA$2000,Candidates!$A$2:$A$2000,$A810),""))</f>
        <v/>
      </c>
      <c r="T810" s="64" t="str">
        <f>IFERROR(__xludf.DUMMYFUNCTION("IF($A810="""","""",IFERROR(TEXTJOIN("", "",TRUE,UNIQUE(FILTER(Candidates!$B$2:$B$2000,Candidates!$A$2:$A$2000=$A810))),""""))"),"")</f>
        <v/>
      </c>
      <c r="U810" s="66" t="str">
        <f>IF($A810="","",COUNTIF(Candidates!$A$2:$A$2000,$A810))</f>
        <v/>
      </c>
      <c r="V810" s="64" t="str">
        <f>IFERROR(__xludf.DUMMYFUNCTION("IF($A810="""","""",IFERROR(INDEX(FILTER(Candidates!$S$2:$S$2000,Candidates!$A$2:$A$2000=$A810),COUNTIF(Candidates!$A$2:$A$2000,$A810)),""""))"),"")</f>
        <v/>
      </c>
      <c r="W810" s="64" t="str">
        <f>IFERROR(__xludf.DUMMYFUNCTION("IF($A810="""","""",IFERROR(INDEX(FILTER(Candidates!$T$2:$T$2000,Candidates!$A$2:$A$2000=$A810),COUNTIF(Candidates!$A$2:$A$2000,$A810)),""""))"),"")</f>
        <v/>
      </c>
      <c r="X810" s="64"/>
      <c r="Y810" s="64"/>
      <c r="Z810" s="65"/>
      <c r="AA810" s="65"/>
      <c r="AB810" s="65"/>
      <c r="AC810" s="65"/>
    </row>
    <row r="811">
      <c r="A811" s="64"/>
      <c r="B811" s="64"/>
      <c r="C811" s="64"/>
      <c r="D811" s="64"/>
      <c r="E811" s="64"/>
      <c r="F811" s="64"/>
      <c r="G811" s="64"/>
      <c r="H811" s="63"/>
      <c r="I811" s="64"/>
      <c r="J811" s="64"/>
      <c r="K811" s="64"/>
      <c r="L811" s="64"/>
      <c r="M811" s="64"/>
      <c r="N811" s="64"/>
      <c r="O811" s="64"/>
      <c r="P811" s="64"/>
      <c r="Q811" s="64"/>
      <c r="R811" s="65" t="str">
        <f>IF($A811="","",IFERROR(MINIFS(Candidates!$K$2:$K$2000,Candidates!$A$2:$A$2000,$A811),""))</f>
        <v/>
      </c>
      <c r="S811" s="65" t="str">
        <f>IF($A811="","",IFERROR(MAXIFS(Candidates!$AA$2:$AA$2000,Candidates!$A$2:$A$2000,$A811),""))</f>
        <v/>
      </c>
      <c r="T811" s="64" t="str">
        <f>IFERROR(__xludf.DUMMYFUNCTION("IF($A811="""","""",IFERROR(TEXTJOIN("", "",TRUE,UNIQUE(FILTER(Candidates!$B$2:$B$2000,Candidates!$A$2:$A$2000=$A811))),""""))"),"")</f>
        <v/>
      </c>
      <c r="U811" s="66" t="str">
        <f>IF($A811="","",COUNTIF(Candidates!$A$2:$A$2000,$A811))</f>
        <v/>
      </c>
      <c r="V811" s="64" t="str">
        <f>IFERROR(__xludf.DUMMYFUNCTION("IF($A811="""","""",IFERROR(INDEX(FILTER(Candidates!$S$2:$S$2000,Candidates!$A$2:$A$2000=$A811),COUNTIF(Candidates!$A$2:$A$2000,$A811)),""""))"),"")</f>
        <v/>
      </c>
      <c r="W811" s="64" t="str">
        <f>IFERROR(__xludf.DUMMYFUNCTION("IF($A811="""","""",IFERROR(INDEX(FILTER(Candidates!$T$2:$T$2000,Candidates!$A$2:$A$2000=$A811),COUNTIF(Candidates!$A$2:$A$2000,$A811)),""""))"),"")</f>
        <v/>
      </c>
      <c r="X811" s="64"/>
      <c r="Y811" s="64"/>
      <c r="Z811" s="65"/>
      <c r="AA811" s="65"/>
      <c r="AB811" s="65"/>
      <c r="AC811" s="65"/>
    </row>
    <row r="812">
      <c r="A812" s="64"/>
      <c r="B812" s="64"/>
      <c r="C812" s="64"/>
      <c r="D812" s="64"/>
      <c r="E812" s="64"/>
      <c r="F812" s="64"/>
      <c r="G812" s="64"/>
      <c r="H812" s="63"/>
      <c r="I812" s="64"/>
      <c r="J812" s="64"/>
      <c r="K812" s="64"/>
      <c r="L812" s="64"/>
      <c r="M812" s="64"/>
      <c r="N812" s="64"/>
      <c r="O812" s="64"/>
      <c r="P812" s="64"/>
      <c r="Q812" s="64"/>
      <c r="R812" s="65" t="str">
        <f>IF($A812="","",IFERROR(MINIFS(Candidates!$K$2:$K$2000,Candidates!$A$2:$A$2000,$A812),""))</f>
        <v/>
      </c>
      <c r="S812" s="65" t="str">
        <f>IF($A812="","",IFERROR(MAXIFS(Candidates!$AA$2:$AA$2000,Candidates!$A$2:$A$2000,$A812),""))</f>
        <v/>
      </c>
      <c r="T812" s="64" t="str">
        <f>IFERROR(__xludf.DUMMYFUNCTION("IF($A812="""","""",IFERROR(TEXTJOIN("", "",TRUE,UNIQUE(FILTER(Candidates!$B$2:$B$2000,Candidates!$A$2:$A$2000=$A812))),""""))"),"")</f>
        <v/>
      </c>
      <c r="U812" s="66" t="str">
        <f>IF($A812="","",COUNTIF(Candidates!$A$2:$A$2000,$A812))</f>
        <v/>
      </c>
      <c r="V812" s="64" t="str">
        <f>IFERROR(__xludf.DUMMYFUNCTION("IF($A812="""","""",IFERROR(INDEX(FILTER(Candidates!$S$2:$S$2000,Candidates!$A$2:$A$2000=$A812),COUNTIF(Candidates!$A$2:$A$2000,$A812)),""""))"),"")</f>
        <v/>
      </c>
      <c r="W812" s="64" t="str">
        <f>IFERROR(__xludf.DUMMYFUNCTION("IF($A812="""","""",IFERROR(INDEX(FILTER(Candidates!$T$2:$T$2000,Candidates!$A$2:$A$2000=$A812),COUNTIF(Candidates!$A$2:$A$2000,$A812)),""""))"),"")</f>
        <v/>
      </c>
      <c r="X812" s="64"/>
      <c r="Y812" s="64"/>
      <c r="Z812" s="65"/>
      <c r="AA812" s="65"/>
      <c r="AB812" s="65"/>
      <c r="AC812" s="65"/>
    </row>
    <row r="813">
      <c r="A813" s="64"/>
      <c r="B813" s="64"/>
      <c r="C813" s="64"/>
      <c r="D813" s="64"/>
      <c r="E813" s="64"/>
      <c r="F813" s="64"/>
      <c r="G813" s="64"/>
      <c r="H813" s="63"/>
      <c r="I813" s="64"/>
      <c r="J813" s="64"/>
      <c r="K813" s="64"/>
      <c r="L813" s="64"/>
      <c r="M813" s="64"/>
      <c r="N813" s="64"/>
      <c r="O813" s="64"/>
      <c r="P813" s="64"/>
      <c r="Q813" s="64"/>
      <c r="R813" s="65" t="str">
        <f>IF($A813="","",IFERROR(MINIFS(Candidates!$K$2:$K$2000,Candidates!$A$2:$A$2000,$A813),""))</f>
        <v/>
      </c>
      <c r="S813" s="65" t="str">
        <f>IF($A813="","",IFERROR(MAXIFS(Candidates!$AA$2:$AA$2000,Candidates!$A$2:$A$2000,$A813),""))</f>
        <v/>
      </c>
      <c r="T813" s="64" t="str">
        <f>IFERROR(__xludf.DUMMYFUNCTION("IF($A813="""","""",IFERROR(TEXTJOIN("", "",TRUE,UNIQUE(FILTER(Candidates!$B$2:$B$2000,Candidates!$A$2:$A$2000=$A813))),""""))"),"")</f>
        <v/>
      </c>
      <c r="U813" s="66" t="str">
        <f>IF($A813="","",COUNTIF(Candidates!$A$2:$A$2000,$A813))</f>
        <v/>
      </c>
      <c r="V813" s="64" t="str">
        <f>IFERROR(__xludf.DUMMYFUNCTION("IF($A813="""","""",IFERROR(INDEX(FILTER(Candidates!$S$2:$S$2000,Candidates!$A$2:$A$2000=$A813),COUNTIF(Candidates!$A$2:$A$2000,$A813)),""""))"),"")</f>
        <v/>
      </c>
      <c r="W813" s="64" t="str">
        <f>IFERROR(__xludf.DUMMYFUNCTION("IF($A813="""","""",IFERROR(INDEX(FILTER(Candidates!$T$2:$T$2000,Candidates!$A$2:$A$2000=$A813),COUNTIF(Candidates!$A$2:$A$2000,$A813)),""""))"),"")</f>
        <v/>
      </c>
      <c r="X813" s="64"/>
      <c r="Y813" s="64"/>
      <c r="Z813" s="65"/>
      <c r="AA813" s="65"/>
      <c r="AB813" s="65"/>
      <c r="AC813" s="65"/>
    </row>
    <row r="814">
      <c r="A814" s="64"/>
      <c r="B814" s="64"/>
      <c r="C814" s="64"/>
      <c r="D814" s="64"/>
      <c r="E814" s="64"/>
      <c r="F814" s="64"/>
      <c r="G814" s="64"/>
      <c r="H814" s="63"/>
      <c r="I814" s="64"/>
      <c r="J814" s="64"/>
      <c r="K814" s="64"/>
      <c r="L814" s="64"/>
      <c r="M814" s="64"/>
      <c r="N814" s="64"/>
      <c r="O814" s="64"/>
      <c r="P814" s="64"/>
      <c r="Q814" s="64"/>
      <c r="R814" s="65" t="str">
        <f>IF($A814="","",IFERROR(MINIFS(Candidates!$K$2:$K$2000,Candidates!$A$2:$A$2000,$A814),""))</f>
        <v/>
      </c>
      <c r="S814" s="65" t="str">
        <f>IF($A814="","",IFERROR(MAXIFS(Candidates!$AA$2:$AA$2000,Candidates!$A$2:$A$2000,$A814),""))</f>
        <v/>
      </c>
      <c r="T814" s="64" t="str">
        <f>IFERROR(__xludf.DUMMYFUNCTION("IF($A814="""","""",IFERROR(TEXTJOIN("", "",TRUE,UNIQUE(FILTER(Candidates!$B$2:$B$2000,Candidates!$A$2:$A$2000=$A814))),""""))"),"")</f>
        <v/>
      </c>
      <c r="U814" s="66" t="str">
        <f>IF($A814="","",COUNTIF(Candidates!$A$2:$A$2000,$A814))</f>
        <v/>
      </c>
      <c r="V814" s="64" t="str">
        <f>IFERROR(__xludf.DUMMYFUNCTION("IF($A814="""","""",IFERROR(INDEX(FILTER(Candidates!$S$2:$S$2000,Candidates!$A$2:$A$2000=$A814),COUNTIF(Candidates!$A$2:$A$2000,$A814)),""""))"),"")</f>
        <v/>
      </c>
      <c r="W814" s="64" t="str">
        <f>IFERROR(__xludf.DUMMYFUNCTION("IF($A814="""","""",IFERROR(INDEX(FILTER(Candidates!$T$2:$T$2000,Candidates!$A$2:$A$2000=$A814),COUNTIF(Candidates!$A$2:$A$2000,$A814)),""""))"),"")</f>
        <v/>
      </c>
      <c r="X814" s="64"/>
      <c r="Y814" s="64"/>
      <c r="Z814" s="65"/>
      <c r="AA814" s="65"/>
      <c r="AB814" s="65"/>
      <c r="AC814" s="65"/>
    </row>
    <row r="815">
      <c r="A815" s="64"/>
      <c r="B815" s="64"/>
      <c r="C815" s="64"/>
      <c r="D815" s="64"/>
      <c r="E815" s="64"/>
      <c r="F815" s="64"/>
      <c r="G815" s="64"/>
      <c r="H815" s="63"/>
      <c r="I815" s="64"/>
      <c r="J815" s="64"/>
      <c r="K815" s="64"/>
      <c r="L815" s="64"/>
      <c r="M815" s="64"/>
      <c r="N815" s="64"/>
      <c r="O815" s="64"/>
      <c r="P815" s="64"/>
      <c r="Q815" s="64"/>
      <c r="R815" s="65" t="str">
        <f>IF($A815="","",IFERROR(MINIFS(Candidates!$K$2:$K$2000,Candidates!$A$2:$A$2000,$A815),""))</f>
        <v/>
      </c>
      <c r="S815" s="65" t="str">
        <f>IF($A815="","",IFERROR(MAXIFS(Candidates!$AA$2:$AA$2000,Candidates!$A$2:$A$2000,$A815),""))</f>
        <v/>
      </c>
      <c r="T815" s="64" t="str">
        <f>IFERROR(__xludf.DUMMYFUNCTION("IF($A815="""","""",IFERROR(TEXTJOIN("", "",TRUE,UNIQUE(FILTER(Candidates!$B$2:$B$2000,Candidates!$A$2:$A$2000=$A815))),""""))"),"")</f>
        <v/>
      </c>
      <c r="U815" s="66" t="str">
        <f>IF($A815="","",COUNTIF(Candidates!$A$2:$A$2000,$A815))</f>
        <v/>
      </c>
      <c r="V815" s="64" t="str">
        <f>IFERROR(__xludf.DUMMYFUNCTION("IF($A815="""","""",IFERROR(INDEX(FILTER(Candidates!$S$2:$S$2000,Candidates!$A$2:$A$2000=$A815),COUNTIF(Candidates!$A$2:$A$2000,$A815)),""""))"),"")</f>
        <v/>
      </c>
      <c r="W815" s="64" t="str">
        <f>IFERROR(__xludf.DUMMYFUNCTION("IF($A815="""","""",IFERROR(INDEX(FILTER(Candidates!$T$2:$T$2000,Candidates!$A$2:$A$2000=$A815),COUNTIF(Candidates!$A$2:$A$2000,$A815)),""""))"),"")</f>
        <v/>
      </c>
      <c r="X815" s="64"/>
      <c r="Y815" s="64"/>
      <c r="Z815" s="65"/>
      <c r="AA815" s="65"/>
      <c r="AB815" s="65"/>
      <c r="AC815" s="65"/>
    </row>
    <row r="816">
      <c r="A816" s="64"/>
      <c r="B816" s="64"/>
      <c r="C816" s="64"/>
      <c r="D816" s="64"/>
      <c r="E816" s="64"/>
      <c r="F816" s="64"/>
      <c r="G816" s="64"/>
      <c r="H816" s="63"/>
      <c r="I816" s="64"/>
      <c r="J816" s="64"/>
      <c r="K816" s="64"/>
      <c r="L816" s="64"/>
      <c r="M816" s="64"/>
      <c r="N816" s="64"/>
      <c r="O816" s="64"/>
      <c r="P816" s="64"/>
      <c r="Q816" s="64"/>
      <c r="R816" s="65" t="str">
        <f>IF($A816="","",IFERROR(MINIFS(Candidates!$K$2:$K$2000,Candidates!$A$2:$A$2000,$A816),""))</f>
        <v/>
      </c>
      <c r="S816" s="65" t="str">
        <f>IF($A816="","",IFERROR(MAXIFS(Candidates!$AA$2:$AA$2000,Candidates!$A$2:$A$2000,$A816),""))</f>
        <v/>
      </c>
      <c r="T816" s="64" t="str">
        <f>IFERROR(__xludf.DUMMYFUNCTION("IF($A816="""","""",IFERROR(TEXTJOIN("", "",TRUE,UNIQUE(FILTER(Candidates!$B$2:$B$2000,Candidates!$A$2:$A$2000=$A816))),""""))"),"")</f>
        <v/>
      </c>
      <c r="U816" s="66" t="str">
        <f>IF($A816="","",COUNTIF(Candidates!$A$2:$A$2000,$A816))</f>
        <v/>
      </c>
      <c r="V816" s="64" t="str">
        <f>IFERROR(__xludf.DUMMYFUNCTION("IF($A816="""","""",IFERROR(INDEX(FILTER(Candidates!$S$2:$S$2000,Candidates!$A$2:$A$2000=$A816),COUNTIF(Candidates!$A$2:$A$2000,$A816)),""""))"),"")</f>
        <v/>
      </c>
      <c r="W816" s="64" t="str">
        <f>IFERROR(__xludf.DUMMYFUNCTION("IF($A816="""","""",IFERROR(INDEX(FILTER(Candidates!$T$2:$T$2000,Candidates!$A$2:$A$2000=$A816),COUNTIF(Candidates!$A$2:$A$2000,$A816)),""""))"),"")</f>
        <v/>
      </c>
      <c r="X816" s="64"/>
      <c r="Y816" s="64"/>
      <c r="Z816" s="65"/>
      <c r="AA816" s="65"/>
      <c r="AB816" s="65"/>
      <c r="AC816" s="65"/>
    </row>
    <row r="817">
      <c r="A817" s="64"/>
      <c r="B817" s="64"/>
      <c r="C817" s="64"/>
      <c r="D817" s="64"/>
      <c r="E817" s="64"/>
      <c r="F817" s="64"/>
      <c r="G817" s="64"/>
      <c r="H817" s="63"/>
      <c r="I817" s="64"/>
      <c r="J817" s="64"/>
      <c r="K817" s="64"/>
      <c r="L817" s="64"/>
      <c r="M817" s="64"/>
      <c r="N817" s="64"/>
      <c r="O817" s="64"/>
      <c r="P817" s="64"/>
      <c r="Q817" s="64"/>
      <c r="R817" s="65" t="str">
        <f>IF($A817="","",IFERROR(MINIFS(Candidates!$K$2:$K$2000,Candidates!$A$2:$A$2000,$A817),""))</f>
        <v/>
      </c>
      <c r="S817" s="65" t="str">
        <f>IF($A817="","",IFERROR(MAXIFS(Candidates!$AA$2:$AA$2000,Candidates!$A$2:$A$2000,$A817),""))</f>
        <v/>
      </c>
      <c r="T817" s="64" t="str">
        <f>IFERROR(__xludf.DUMMYFUNCTION("IF($A817="""","""",IFERROR(TEXTJOIN("", "",TRUE,UNIQUE(FILTER(Candidates!$B$2:$B$2000,Candidates!$A$2:$A$2000=$A817))),""""))"),"")</f>
        <v/>
      </c>
      <c r="U817" s="66" t="str">
        <f>IF($A817="","",COUNTIF(Candidates!$A$2:$A$2000,$A817))</f>
        <v/>
      </c>
      <c r="V817" s="64" t="str">
        <f>IFERROR(__xludf.DUMMYFUNCTION("IF($A817="""","""",IFERROR(INDEX(FILTER(Candidates!$S$2:$S$2000,Candidates!$A$2:$A$2000=$A817),COUNTIF(Candidates!$A$2:$A$2000,$A817)),""""))"),"")</f>
        <v/>
      </c>
      <c r="W817" s="64" t="str">
        <f>IFERROR(__xludf.DUMMYFUNCTION("IF($A817="""","""",IFERROR(INDEX(FILTER(Candidates!$T$2:$T$2000,Candidates!$A$2:$A$2000=$A817),COUNTIF(Candidates!$A$2:$A$2000,$A817)),""""))"),"")</f>
        <v/>
      </c>
      <c r="X817" s="64"/>
      <c r="Y817" s="64"/>
      <c r="Z817" s="65"/>
      <c r="AA817" s="65"/>
      <c r="AB817" s="65"/>
      <c r="AC817" s="65"/>
    </row>
    <row r="818">
      <c r="A818" s="64"/>
      <c r="B818" s="64"/>
      <c r="C818" s="64"/>
      <c r="D818" s="64"/>
      <c r="E818" s="64"/>
      <c r="F818" s="64"/>
      <c r="G818" s="64"/>
      <c r="H818" s="63"/>
      <c r="I818" s="64"/>
      <c r="J818" s="64"/>
      <c r="K818" s="64"/>
      <c r="L818" s="64"/>
      <c r="M818" s="64"/>
      <c r="N818" s="64"/>
      <c r="O818" s="64"/>
      <c r="P818" s="64"/>
      <c r="Q818" s="64"/>
      <c r="R818" s="65" t="str">
        <f>IF($A818="","",IFERROR(MINIFS(Candidates!$K$2:$K$2000,Candidates!$A$2:$A$2000,$A818),""))</f>
        <v/>
      </c>
      <c r="S818" s="65" t="str">
        <f>IF($A818="","",IFERROR(MAXIFS(Candidates!$AA$2:$AA$2000,Candidates!$A$2:$A$2000,$A818),""))</f>
        <v/>
      </c>
      <c r="T818" s="64" t="str">
        <f>IFERROR(__xludf.DUMMYFUNCTION("IF($A818="""","""",IFERROR(TEXTJOIN("", "",TRUE,UNIQUE(FILTER(Candidates!$B$2:$B$2000,Candidates!$A$2:$A$2000=$A818))),""""))"),"")</f>
        <v/>
      </c>
      <c r="U818" s="66" t="str">
        <f>IF($A818="","",COUNTIF(Candidates!$A$2:$A$2000,$A818))</f>
        <v/>
      </c>
      <c r="V818" s="64" t="str">
        <f>IFERROR(__xludf.DUMMYFUNCTION("IF($A818="""","""",IFERROR(INDEX(FILTER(Candidates!$S$2:$S$2000,Candidates!$A$2:$A$2000=$A818),COUNTIF(Candidates!$A$2:$A$2000,$A818)),""""))"),"")</f>
        <v/>
      </c>
      <c r="W818" s="64" t="str">
        <f>IFERROR(__xludf.DUMMYFUNCTION("IF($A818="""","""",IFERROR(INDEX(FILTER(Candidates!$T$2:$T$2000,Candidates!$A$2:$A$2000=$A818),COUNTIF(Candidates!$A$2:$A$2000,$A818)),""""))"),"")</f>
        <v/>
      </c>
      <c r="X818" s="64"/>
      <c r="Y818" s="64"/>
      <c r="Z818" s="65"/>
      <c r="AA818" s="65"/>
      <c r="AB818" s="65"/>
      <c r="AC818" s="65"/>
    </row>
    <row r="819">
      <c r="A819" s="64"/>
      <c r="B819" s="64"/>
      <c r="C819" s="64"/>
      <c r="D819" s="64"/>
      <c r="E819" s="64"/>
      <c r="F819" s="64"/>
      <c r="G819" s="64"/>
      <c r="H819" s="63"/>
      <c r="I819" s="64"/>
      <c r="J819" s="64"/>
      <c r="K819" s="64"/>
      <c r="L819" s="64"/>
      <c r="M819" s="64"/>
      <c r="N819" s="64"/>
      <c r="O819" s="64"/>
      <c r="P819" s="64"/>
      <c r="Q819" s="64"/>
      <c r="R819" s="65" t="str">
        <f>IF($A819="","",IFERROR(MINIFS(Candidates!$K$2:$K$2000,Candidates!$A$2:$A$2000,$A819),""))</f>
        <v/>
      </c>
      <c r="S819" s="65" t="str">
        <f>IF($A819="","",IFERROR(MAXIFS(Candidates!$AA$2:$AA$2000,Candidates!$A$2:$A$2000,$A819),""))</f>
        <v/>
      </c>
      <c r="T819" s="64" t="str">
        <f>IFERROR(__xludf.DUMMYFUNCTION("IF($A819="""","""",IFERROR(TEXTJOIN("", "",TRUE,UNIQUE(FILTER(Candidates!$B$2:$B$2000,Candidates!$A$2:$A$2000=$A819))),""""))"),"")</f>
        <v/>
      </c>
      <c r="U819" s="66" t="str">
        <f>IF($A819="","",COUNTIF(Candidates!$A$2:$A$2000,$A819))</f>
        <v/>
      </c>
      <c r="V819" s="64" t="str">
        <f>IFERROR(__xludf.DUMMYFUNCTION("IF($A819="""","""",IFERROR(INDEX(FILTER(Candidates!$S$2:$S$2000,Candidates!$A$2:$A$2000=$A819),COUNTIF(Candidates!$A$2:$A$2000,$A819)),""""))"),"")</f>
        <v/>
      </c>
      <c r="W819" s="64" t="str">
        <f>IFERROR(__xludf.DUMMYFUNCTION("IF($A819="""","""",IFERROR(INDEX(FILTER(Candidates!$T$2:$T$2000,Candidates!$A$2:$A$2000=$A819),COUNTIF(Candidates!$A$2:$A$2000,$A819)),""""))"),"")</f>
        <v/>
      </c>
      <c r="X819" s="64"/>
      <c r="Y819" s="64"/>
      <c r="Z819" s="65"/>
      <c r="AA819" s="65"/>
      <c r="AB819" s="65"/>
      <c r="AC819" s="65"/>
    </row>
    <row r="820">
      <c r="A820" s="64"/>
      <c r="B820" s="64"/>
      <c r="C820" s="64"/>
      <c r="D820" s="64"/>
      <c r="E820" s="64"/>
      <c r="F820" s="64"/>
      <c r="G820" s="64"/>
      <c r="H820" s="63"/>
      <c r="I820" s="64"/>
      <c r="J820" s="64"/>
      <c r="K820" s="64"/>
      <c r="L820" s="64"/>
      <c r="M820" s="64"/>
      <c r="N820" s="64"/>
      <c r="O820" s="64"/>
      <c r="P820" s="64"/>
      <c r="Q820" s="64"/>
      <c r="R820" s="65" t="str">
        <f>IF($A820="","",IFERROR(MINIFS(Candidates!$K$2:$K$2000,Candidates!$A$2:$A$2000,$A820),""))</f>
        <v/>
      </c>
      <c r="S820" s="65" t="str">
        <f>IF($A820="","",IFERROR(MAXIFS(Candidates!$AA$2:$AA$2000,Candidates!$A$2:$A$2000,$A820),""))</f>
        <v/>
      </c>
      <c r="T820" s="64" t="str">
        <f>IFERROR(__xludf.DUMMYFUNCTION("IF($A820="""","""",IFERROR(TEXTJOIN("", "",TRUE,UNIQUE(FILTER(Candidates!$B$2:$B$2000,Candidates!$A$2:$A$2000=$A820))),""""))"),"")</f>
        <v/>
      </c>
      <c r="U820" s="66" t="str">
        <f>IF($A820="","",COUNTIF(Candidates!$A$2:$A$2000,$A820))</f>
        <v/>
      </c>
      <c r="V820" s="64" t="str">
        <f>IFERROR(__xludf.DUMMYFUNCTION("IF($A820="""","""",IFERROR(INDEX(FILTER(Candidates!$S$2:$S$2000,Candidates!$A$2:$A$2000=$A820),COUNTIF(Candidates!$A$2:$A$2000,$A820)),""""))"),"")</f>
        <v/>
      </c>
      <c r="W820" s="64" t="str">
        <f>IFERROR(__xludf.DUMMYFUNCTION("IF($A820="""","""",IFERROR(INDEX(FILTER(Candidates!$T$2:$T$2000,Candidates!$A$2:$A$2000=$A820),COUNTIF(Candidates!$A$2:$A$2000,$A820)),""""))"),"")</f>
        <v/>
      </c>
      <c r="X820" s="64"/>
      <c r="Y820" s="64"/>
      <c r="Z820" s="65"/>
      <c r="AA820" s="65"/>
      <c r="AB820" s="65"/>
      <c r="AC820" s="65"/>
    </row>
    <row r="821">
      <c r="A821" s="64"/>
      <c r="B821" s="64"/>
      <c r="C821" s="64"/>
      <c r="D821" s="64"/>
      <c r="E821" s="64"/>
      <c r="F821" s="64"/>
      <c r="G821" s="64"/>
      <c r="H821" s="63"/>
      <c r="I821" s="64"/>
      <c r="J821" s="64"/>
      <c r="K821" s="64"/>
      <c r="L821" s="64"/>
      <c r="M821" s="64"/>
      <c r="N821" s="64"/>
      <c r="O821" s="64"/>
      <c r="P821" s="64"/>
      <c r="Q821" s="64"/>
      <c r="R821" s="65" t="str">
        <f>IF($A821="","",IFERROR(MINIFS(Candidates!$K$2:$K$2000,Candidates!$A$2:$A$2000,$A821),""))</f>
        <v/>
      </c>
      <c r="S821" s="65" t="str">
        <f>IF($A821="","",IFERROR(MAXIFS(Candidates!$AA$2:$AA$2000,Candidates!$A$2:$A$2000,$A821),""))</f>
        <v/>
      </c>
      <c r="T821" s="64" t="str">
        <f>IFERROR(__xludf.DUMMYFUNCTION("IF($A821="""","""",IFERROR(TEXTJOIN("", "",TRUE,UNIQUE(FILTER(Candidates!$B$2:$B$2000,Candidates!$A$2:$A$2000=$A821))),""""))"),"")</f>
        <v/>
      </c>
      <c r="U821" s="66" t="str">
        <f>IF($A821="","",COUNTIF(Candidates!$A$2:$A$2000,$A821))</f>
        <v/>
      </c>
      <c r="V821" s="64" t="str">
        <f>IFERROR(__xludf.DUMMYFUNCTION("IF($A821="""","""",IFERROR(INDEX(FILTER(Candidates!$S$2:$S$2000,Candidates!$A$2:$A$2000=$A821),COUNTIF(Candidates!$A$2:$A$2000,$A821)),""""))"),"")</f>
        <v/>
      </c>
      <c r="W821" s="64" t="str">
        <f>IFERROR(__xludf.DUMMYFUNCTION("IF($A821="""","""",IFERROR(INDEX(FILTER(Candidates!$T$2:$T$2000,Candidates!$A$2:$A$2000=$A821),COUNTIF(Candidates!$A$2:$A$2000,$A821)),""""))"),"")</f>
        <v/>
      </c>
      <c r="X821" s="64"/>
      <c r="Y821" s="64"/>
      <c r="Z821" s="65"/>
      <c r="AA821" s="65"/>
      <c r="AB821" s="65"/>
      <c r="AC821" s="65"/>
    </row>
    <row r="822">
      <c r="A822" s="64"/>
      <c r="B822" s="64"/>
      <c r="C822" s="64"/>
      <c r="D822" s="64"/>
      <c r="E822" s="64"/>
      <c r="F822" s="64"/>
      <c r="G822" s="64"/>
      <c r="H822" s="63"/>
      <c r="I822" s="64"/>
      <c r="J822" s="64"/>
      <c r="K822" s="64"/>
      <c r="L822" s="64"/>
      <c r="M822" s="64"/>
      <c r="N822" s="64"/>
      <c r="O822" s="64"/>
      <c r="P822" s="64"/>
      <c r="Q822" s="64"/>
      <c r="R822" s="65" t="str">
        <f>IF($A822="","",IFERROR(MINIFS(Candidates!$K$2:$K$2000,Candidates!$A$2:$A$2000,$A822),""))</f>
        <v/>
      </c>
      <c r="S822" s="65" t="str">
        <f>IF($A822="","",IFERROR(MAXIFS(Candidates!$AA$2:$AA$2000,Candidates!$A$2:$A$2000,$A822),""))</f>
        <v/>
      </c>
      <c r="T822" s="64" t="str">
        <f>IFERROR(__xludf.DUMMYFUNCTION("IF($A822="""","""",IFERROR(TEXTJOIN("", "",TRUE,UNIQUE(FILTER(Candidates!$B$2:$B$2000,Candidates!$A$2:$A$2000=$A822))),""""))"),"")</f>
        <v/>
      </c>
      <c r="U822" s="66" t="str">
        <f>IF($A822="","",COUNTIF(Candidates!$A$2:$A$2000,$A822))</f>
        <v/>
      </c>
      <c r="V822" s="64" t="str">
        <f>IFERROR(__xludf.DUMMYFUNCTION("IF($A822="""","""",IFERROR(INDEX(FILTER(Candidates!$S$2:$S$2000,Candidates!$A$2:$A$2000=$A822),COUNTIF(Candidates!$A$2:$A$2000,$A822)),""""))"),"")</f>
        <v/>
      </c>
      <c r="W822" s="64" t="str">
        <f>IFERROR(__xludf.DUMMYFUNCTION("IF($A822="""","""",IFERROR(INDEX(FILTER(Candidates!$T$2:$T$2000,Candidates!$A$2:$A$2000=$A822),COUNTIF(Candidates!$A$2:$A$2000,$A822)),""""))"),"")</f>
        <v/>
      </c>
      <c r="X822" s="64"/>
      <c r="Y822" s="64"/>
      <c r="Z822" s="65"/>
      <c r="AA822" s="65"/>
      <c r="AB822" s="65"/>
      <c r="AC822" s="65"/>
    </row>
    <row r="823">
      <c r="A823" s="64"/>
      <c r="B823" s="64"/>
      <c r="C823" s="64"/>
      <c r="D823" s="64"/>
      <c r="E823" s="64"/>
      <c r="F823" s="64"/>
      <c r="G823" s="64"/>
      <c r="H823" s="63"/>
      <c r="I823" s="64"/>
      <c r="J823" s="64"/>
      <c r="K823" s="64"/>
      <c r="L823" s="64"/>
      <c r="M823" s="64"/>
      <c r="N823" s="64"/>
      <c r="O823" s="64"/>
      <c r="P823" s="64"/>
      <c r="Q823" s="64"/>
      <c r="R823" s="65" t="str">
        <f>IF($A823="","",IFERROR(MINIFS(Candidates!$K$2:$K$2000,Candidates!$A$2:$A$2000,$A823),""))</f>
        <v/>
      </c>
      <c r="S823" s="65" t="str">
        <f>IF($A823="","",IFERROR(MAXIFS(Candidates!$AA$2:$AA$2000,Candidates!$A$2:$A$2000,$A823),""))</f>
        <v/>
      </c>
      <c r="T823" s="64" t="str">
        <f>IFERROR(__xludf.DUMMYFUNCTION("IF($A823="""","""",IFERROR(TEXTJOIN("", "",TRUE,UNIQUE(FILTER(Candidates!$B$2:$B$2000,Candidates!$A$2:$A$2000=$A823))),""""))"),"")</f>
        <v/>
      </c>
      <c r="U823" s="66" t="str">
        <f>IF($A823="","",COUNTIF(Candidates!$A$2:$A$2000,$A823))</f>
        <v/>
      </c>
      <c r="V823" s="64" t="str">
        <f>IFERROR(__xludf.DUMMYFUNCTION("IF($A823="""","""",IFERROR(INDEX(FILTER(Candidates!$S$2:$S$2000,Candidates!$A$2:$A$2000=$A823),COUNTIF(Candidates!$A$2:$A$2000,$A823)),""""))"),"")</f>
        <v/>
      </c>
      <c r="W823" s="64" t="str">
        <f>IFERROR(__xludf.DUMMYFUNCTION("IF($A823="""","""",IFERROR(INDEX(FILTER(Candidates!$T$2:$T$2000,Candidates!$A$2:$A$2000=$A823),COUNTIF(Candidates!$A$2:$A$2000,$A823)),""""))"),"")</f>
        <v/>
      </c>
      <c r="X823" s="64"/>
      <c r="Y823" s="64"/>
      <c r="Z823" s="65"/>
      <c r="AA823" s="65"/>
      <c r="AB823" s="65"/>
      <c r="AC823" s="65"/>
    </row>
    <row r="824">
      <c r="A824" s="64"/>
      <c r="B824" s="64"/>
      <c r="C824" s="64"/>
      <c r="D824" s="64"/>
      <c r="E824" s="64"/>
      <c r="F824" s="64"/>
      <c r="G824" s="64"/>
      <c r="H824" s="63"/>
      <c r="I824" s="64"/>
      <c r="J824" s="64"/>
      <c r="K824" s="64"/>
      <c r="L824" s="64"/>
      <c r="M824" s="64"/>
      <c r="N824" s="64"/>
      <c r="O824" s="64"/>
      <c r="P824" s="64"/>
      <c r="Q824" s="64"/>
      <c r="R824" s="65" t="str">
        <f>IF($A824="","",IFERROR(MINIFS(Candidates!$K$2:$K$2000,Candidates!$A$2:$A$2000,$A824),""))</f>
        <v/>
      </c>
      <c r="S824" s="65" t="str">
        <f>IF($A824="","",IFERROR(MAXIFS(Candidates!$AA$2:$AA$2000,Candidates!$A$2:$A$2000,$A824),""))</f>
        <v/>
      </c>
      <c r="T824" s="64" t="str">
        <f>IFERROR(__xludf.DUMMYFUNCTION("IF($A824="""","""",IFERROR(TEXTJOIN("", "",TRUE,UNIQUE(FILTER(Candidates!$B$2:$B$2000,Candidates!$A$2:$A$2000=$A824))),""""))"),"")</f>
        <v/>
      </c>
      <c r="U824" s="66" t="str">
        <f>IF($A824="","",COUNTIF(Candidates!$A$2:$A$2000,$A824))</f>
        <v/>
      </c>
      <c r="V824" s="64" t="str">
        <f>IFERROR(__xludf.DUMMYFUNCTION("IF($A824="""","""",IFERROR(INDEX(FILTER(Candidates!$S$2:$S$2000,Candidates!$A$2:$A$2000=$A824),COUNTIF(Candidates!$A$2:$A$2000,$A824)),""""))"),"")</f>
        <v/>
      </c>
      <c r="W824" s="64" t="str">
        <f>IFERROR(__xludf.DUMMYFUNCTION("IF($A824="""","""",IFERROR(INDEX(FILTER(Candidates!$T$2:$T$2000,Candidates!$A$2:$A$2000=$A824),COUNTIF(Candidates!$A$2:$A$2000,$A824)),""""))"),"")</f>
        <v/>
      </c>
      <c r="X824" s="64"/>
      <c r="Y824" s="64"/>
      <c r="Z824" s="65"/>
      <c r="AA824" s="65"/>
      <c r="AB824" s="65"/>
      <c r="AC824" s="65"/>
    </row>
    <row r="825">
      <c r="A825" s="64"/>
      <c r="B825" s="64"/>
      <c r="C825" s="64"/>
      <c r="D825" s="64"/>
      <c r="E825" s="64"/>
      <c r="F825" s="64"/>
      <c r="G825" s="64"/>
      <c r="H825" s="63"/>
      <c r="I825" s="64"/>
      <c r="J825" s="64"/>
      <c r="K825" s="64"/>
      <c r="L825" s="64"/>
      <c r="M825" s="64"/>
      <c r="N825" s="64"/>
      <c r="O825" s="64"/>
      <c r="P825" s="64"/>
      <c r="Q825" s="64"/>
      <c r="R825" s="65" t="str">
        <f>IF($A825="","",IFERROR(MINIFS(Candidates!$K$2:$K$2000,Candidates!$A$2:$A$2000,$A825),""))</f>
        <v/>
      </c>
      <c r="S825" s="65" t="str">
        <f>IF($A825="","",IFERROR(MAXIFS(Candidates!$AA$2:$AA$2000,Candidates!$A$2:$A$2000,$A825),""))</f>
        <v/>
      </c>
      <c r="T825" s="64" t="str">
        <f>IFERROR(__xludf.DUMMYFUNCTION("IF($A825="""","""",IFERROR(TEXTJOIN("", "",TRUE,UNIQUE(FILTER(Candidates!$B$2:$B$2000,Candidates!$A$2:$A$2000=$A825))),""""))"),"")</f>
        <v/>
      </c>
      <c r="U825" s="66" t="str">
        <f>IF($A825="","",COUNTIF(Candidates!$A$2:$A$2000,$A825))</f>
        <v/>
      </c>
      <c r="V825" s="64" t="str">
        <f>IFERROR(__xludf.DUMMYFUNCTION("IF($A825="""","""",IFERROR(INDEX(FILTER(Candidates!$S$2:$S$2000,Candidates!$A$2:$A$2000=$A825),COUNTIF(Candidates!$A$2:$A$2000,$A825)),""""))"),"")</f>
        <v/>
      </c>
      <c r="W825" s="64" t="str">
        <f>IFERROR(__xludf.DUMMYFUNCTION("IF($A825="""","""",IFERROR(INDEX(FILTER(Candidates!$T$2:$T$2000,Candidates!$A$2:$A$2000=$A825),COUNTIF(Candidates!$A$2:$A$2000,$A825)),""""))"),"")</f>
        <v/>
      </c>
      <c r="X825" s="64"/>
      <c r="Y825" s="64"/>
      <c r="Z825" s="65"/>
      <c r="AA825" s="65"/>
      <c r="AB825" s="65"/>
      <c r="AC825" s="65"/>
    </row>
    <row r="826">
      <c r="A826" s="64"/>
      <c r="B826" s="64"/>
      <c r="C826" s="64"/>
      <c r="D826" s="64"/>
      <c r="E826" s="64"/>
      <c r="F826" s="64"/>
      <c r="G826" s="64"/>
      <c r="H826" s="63"/>
      <c r="I826" s="64"/>
      <c r="J826" s="64"/>
      <c r="K826" s="64"/>
      <c r="L826" s="64"/>
      <c r="M826" s="64"/>
      <c r="N826" s="64"/>
      <c r="O826" s="64"/>
      <c r="P826" s="64"/>
      <c r="Q826" s="64"/>
      <c r="R826" s="65" t="str">
        <f>IF($A826="","",IFERROR(MINIFS(Candidates!$K$2:$K$2000,Candidates!$A$2:$A$2000,$A826),""))</f>
        <v/>
      </c>
      <c r="S826" s="65" t="str">
        <f>IF($A826="","",IFERROR(MAXIFS(Candidates!$AA$2:$AA$2000,Candidates!$A$2:$A$2000,$A826),""))</f>
        <v/>
      </c>
      <c r="T826" s="64" t="str">
        <f>IFERROR(__xludf.DUMMYFUNCTION("IF($A826="""","""",IFERROR(TEXTJOIN("", "",TRUE,UNIQUE(FILTER(Candidates!$B$2:$B$2000,Candidates!$A$2:$A$2000=$A826))),""""))"),"")</f>
        <v/>
      </c>
      <c r="U826" s="66" t="str">
        <f>IF($A826="","",COUNTIF(Candidates!$A$2:$A$2000,$A826))</f>
        <v/>
      </c>
      <c r="V826" s="64" t="str">
        <f>IFERROR(__xludf.DUMMYFUNCTION("IF($A826="""","""",IFERROR(INDEX(FILTER(Candidates!$S$2:$S$2000,Candidates!$A$2:$A$2000=$A826),COUNTIF(Candidates!$A$2:$A$2000,$A826)),""""))"),"")</f>
        <v/>
      </c>
      <c r="W826" s="64" t="str">
        <f>IFERROR(__xludf.DUMMYFUNCTION("IF($A826="""","""",IFERROR(INDEX(FILTER(Candidates!$T$2:$T$2000,Candidates!$A$2:$A$2000=$A826),COUNTIF(Candidates!$A$2:$A$2000,$A826)),""""))"),"")</f>
        <v/>
      </c>
      <c r="X826" s="64"/>
      <c r="Y826" s="64"/>
      <c r="Z826" s="65"/>
      <c r="AA826" s="65"/>
      <c r="AB826" s="65"/>
      <c r="AC826" s="65"/>
    </row>
    <row r="827">
      <c r="A827" s="64"/>
      <c r="B827" s="64"/>
      <c r="C827" s="64"/>
      <c r="D827" s="64"/>
      <c r="E827" s="64"/>
      <c r="F827" s="64"/>
      <c r="G827" s="64"/>
      <c r="H827" s="63"/>
      <c r="I827" s="64"/>
      <c r="J827" s="64"/>
      <c r="K827" s="64"/>
      <c r="L827" s="64"/>
      <c r="M827" s="64"/>
      <c r="N827" s="64"/>
      <c r="O827" s="64"/>
      <c r="P827" s="64"/>
      <c r="Q827" s="64"/>
      <c r="R827" s="65" t="str">
        <f>IF($A827="","",IFERROR(MINIFS(Candidates!$K$2:$K$2000,Candidates!$A$2:$A$2000,$A827),""))</f>
        <v/>
      </c>
      <c r="S827" s="65" t="str">
        <f>IF($A827="","",IFERROR(MAXIFS(Candidates!$AA$2:$AA$2000,Candidates!$A$2:$A$2000,$A827),""))</f>
        <v/>
      </c>
      <c r="T827" s="64" t="str">
        <f>IFERROR(__xludf.DUMMYFUNCTION("IF($A827="""","""",IFERROR(TEXTJOIN("", "",TRUE,UNIQUE(FILTER(Candidates!$B$2:$B$2000,Candidates!$A$2:$A$2000=$A827))),""""))"),"")</f>
        <v/>
      </c>
      <c r="U827" s="66" t="str">
        <f>IF($A827="","",COUNTIF(Candidates!$A$2:$A$2000,$A827))</f>
        <v/>
      </c>
      <c r="V827" s="64" t="str">
        <f>IFERROR(__xludf.DUMMYFUNCTION("IF($A827="""","""",IFERROR(INDEX(FILTER(Candidates!$S$2:$S$2000,Candidates!$A$2:$A$2000=$A827),COUNTIF(Candidates!$A$2:$A$2000,$A827)),""""))"),"")</f>
        <v/>
      </c>
      <c r="W827" s="64" t="str">
        <f>IFERROR(__xludf.DUMMYFUNCTION("IF($A827="""","""",IFERROR(INDEX(FILTER(Candidates!$T$2:$T$2000,Candidates!$A$2:$A$2000=$A827),COUNTIF(Candidates!$A$2:$A$2000,$A827)),""""))"),"")</f>
        <v/>
      </c>
      <c r="X827" s="64"/>
      <c r="Y827" s="64"/>
      <c r="Z827" s="65"/>
      <c r="AA827" s="65"/>
      <c r="AB827" s="65"/>
      <c r="AC827" s="65"/>
    </row>
    <row r="828">
      <c r="A828" s="64"/>
      <c r="B828" s="64"/>
      <c r="C828" s="64"/>
      <c r="D828" s="64"/>
      <c r="E828" s="64"/>
      <c r="F828" s="64"/>
      <c r="G828" s="64"/>
      <c r="H828" s="63"/>
      <c r="I828" s="64"/>
      <c r="J828" s="64"/>
      <c r="K828" s="64"/>
      <c r="L828" s="64"/>
      <c r="M828" s="64"/>
      <c r="N828" s="64"/>
      <c r="O828" s="64"/>
      <c r="P828" s="64"/>
      <c r="Q828" s="64"/>
      <c r="R828" s="65" t="str">
        <f>IF($A828="","",IFERROR(MINIFS(Candidates!$K$2:$K$2000,Candidates!$A$2:$A$2000,$A828),""))</f>
        <v/>
      </c>
      <c r="S828" s="65" t="str">
        <f>IF($A828="","",IFERROR(MAXIFS(Candidates!$AA$2:$AA$2000,Candidates!$A$2:$A$2000,$A828),""))</f>
        <v/>
      </c>
      <c r="T828" s="64" t="str">
        <f>IFERROR(__xludf.DUMMYFUNCTION("IF($A828="""","""",IFERROR(TEXTJOIN("", "",TRUE,UNIQUE(FILTER(Candidates!$B$2:$B$2000,Candidates!$A$2:$A$2000=$A828))),""""))"),"")</f>
        <v/>
      </c>
      <c r="U828" s="66" t="str">
        <f>IF($A828="","",COUNTIF(Candidates!$A$2:$A$2000,$A828))</f>
        <v/>
      </c>
      <c r="V828" s="64" t="str">
        <f>IFERROR(__xludf.DUMMYFUNCTION("IF($A828="""","""",IFERROR(INDEX(FILTER(Candidates!$S$2:$S$2000,Candidates!$A$2:$A$2000=$A828),COUNTIF(Candidates!$A$2:$A$2000,$A828)),""""))"),"")</f>
        <v/>
      </c>
      <c r="W828" s="64" t="str">
        <f>IFERROR(__xludf.DUMMYFUNCTION("IF($A828="""","""",IFERROR(INDEX(FILTER(Candidates!$T$2:$T$2000,Candidates!$A$2:$A$2000=$A828),COUNTIF(Candidates!$A$2:$A$2000,$A828)),""""))"),"")</f>
        <v/>
      </c>
      <c r="X828" s="64"/>
      <c r="Y828" s="64"/>
      <c r="Z828" s="65"/>
      <c r="AA828" s="65"/>
      <c r="AB828" s="65"/>
      <c r="AC828" s="65"/>
    </row>
    <row r="829">
      <c r="A829" s="64"/>
      <c r="B829" s="64"/>
      <c r="C829" s="64"/>
      <c r="D829" s="64"/>
      <c r="E829" s="64"/>
      <c r="F829" s="64"/>
      <c r="G829" s="64"/>
      <c r="H829" s="63"/>
      <c r="I829" s="64"/>
      <c r="J829" s="64"/>
      <c r="K829" s="64"/>
      <c r="L829" s="64"/>
      <c r="M829" s="64"/>
      <c r="N829" s="64"/>
      <c r="O829" s="64"/>
      <c r="P829" s="64"/>
      <c r="Q829" s="64"/>
      <c r="R829" s="65" t="str">
        <f>IF($A829="","",IFERROR(MINIFS(Candidates!$K$2:$K$2000,Candidates!$A$2:$A$2000,$A829),""))</f>
        <v/>
      </c>
      <c r="S829" s="65" t="str">
        <f>IF($A829="","",IFERROR(MAXIFS(Candidates!$AA$2:$AA$2000,Candidates!$A$2:$A$2000,$A829),""))</f>
        <v/>
      </c>
      <c r="T829" s="64" t="str">
        <f>IFERROR(__xludf.DUMMYFUNCTION("IF($A829="""","""",IFERROR(TEXTJOIN("", "",TRUE,UNIQUE(FILTER(Candidates!$B$2:$B$2000,Candidates!$A$2:$A$2000=$A829))),""""))"),"")</f>
        <v/>
      </c>
      <c r="U829" s="66" t="str">
        <f>IF($A829="","",COUNTIF(Candidates!$A$2:$A$2000,$A829))</f>
        <v/>
      </c>
      <c r="V829" s="64" t="str">
        <f>IFERROR(__xludf.DUMMYFUNCTION("IF($A829="""","""",IFERROR(INDEX(FILTER(Candidates!$S$2:$S$2000,Candidates!$A$2:$A$2000=$A829),COUNTIF(Candidates!$A$2:$A$2000,$A829)),""""))"),"")</f>
        <v/>
      </c>
      <c r="W829" s="64" t="str">
        <f>IFERROR(__xludf.DUMMYFUNCTION("IF($A829="""","""",IFERROR(INDEX(FILTER(Candidates!$T$2:$T$2000,Candidates!$A$2:$A$2000=$A829),COUNTIF(Candidates!$A$2:$A$2000,$A829)),""""))"),"")</f>
        <v/>
      </c>
      <c r="X829" s="64"/>
      <c r="Y829" s="64"/>
      <c r="Z829" s="65"/>
      <c r="AA829" s="65"/>
      <c r="AB829" s="65"/>
      <c r="AC829" s="65"/>
    </row>
    <row r="830">
      <c r="A830" s="64"/>
      <c r="B830" s="64"/>
      <c r="C830" s="64"/>
      <c r="D830" s="64"/>
      <c r="E830" s="64"/>
      <c r="F830" s="64"/>
      <c r="G830" s="64"/>
      <c r="H830" s="63"/>
      <c r="I830" s="64"/>
      <c r="J830" s="64"/>
      <c r="K830" s="64"/>
      <c r="L830" s="64"/>
      <c r="M830" s="64"/>
      <c r="N830" s="64"/>
      <c r="O830" s="64"/>
      <c r="P830" s="64"/>
      <c r="Q830" s="64"/>
      <c r="R830" s="65" t="str">
        <f>IF($A830="","",IFERROR(MINIFS(Candidates!$K$2:$K$2000,Candidates!$A$2:$A$2000,$A830),""))</f>
        <v/>
      </c>
      <c r="S830" s="65" t="str">
        <f>IF($A830="","",IFERROR(MAXIFS(Candidates!$AA$2:$AA$2000,Candidates!$A$2:$A$2000,$A830),""))</f>
        <v/>
      </c>
      <c r="T830" s="64" t="str">
        <f>IFERROR(__xludf.DUMMYFUNCTION("IF($A830="""","""",IFERROR(TEXTJOIN("", "",TRUE,UNIQUE(FILTER(Candidates!$B$2:$B$2000,Candidates!$A$2:$A$2000=$A830))),""""))"),"")</f>
        <v/>
      </c>
      <c r="U830" s="66" t="str">
        <f>IF($A830="","",COUNTIF(Candidates!$A$2:$A$2000,$A830))</f>
        <v/>
      </c>
      <c r="V830" s="64" t="str">
        <f>IFERROR(__xludf.DUMMYFUNCTION("IF($A830="""","""",IFERROR(INDEX(FILTER(Candidates!$S$2:$S$2000,Candidates!$A$2:$A$2000=$A830),COUNTIF(Candidates!$A$2:$A$2000,$A830)),""""))"),"")</f>
        <v/>
      </c>
      <c r="W830" s="64" t="str">
        <f>IFERROR(__xludf.DUMMYFUNCTION("IF($A830="""","""",IFERROR(INDEX(FILTER(Candidates!$T$2:$T$2000,Candidates!$A$2:$A$2000=$A830),COUNTIF(Candidates!$A$2:$A$2000,$A830)),""""))"),"")</f>
        <v/>
      </c>
      <c r="X830" s="64"/>
      <c r="Y830" s="64"/>
      <c r="Z830" s="65"/>
      <c r="AA830" s="65"/>
      <c r="AB830" s="65"/>
      <c r="AC830" s="65"/>
    </row>
    <row r="831">
      <c r="A831" s="64"/>
      <c r="B831" s="64"/>
      <c r="C831" s="64"/>
      <c r="D831" s="64"/>
      <c r="E831" s="64"/>
      <c r="F831" s="64"/>
      <c r="G831" s="64"/>
      <c r="H831" s="63"/>
      <c r="I831" s="64"/>
      <c r="J831" s="64"/>
      <c r="K831" s="64"/>
      <c r="L831" s="64"/>
      <c r="M831" s="64"/>
      <c r="N831" s="64"/>
      <c r="O831" s="64"/>
      <c r="P831" s="64"/>
      <c r="Q831" s="64"/>
      <c r="R831" s="65" t="str">
        <f>IF($A831="","",IFERROR(MINIFS(Candidates!$K$2:$K$2000,Candidates!$A$2:$A$2000,$A831),""))</f>
        <v/>
      </c>
      <c r="S831" s="65" t="str">
        <f>IF($A831="","",IFERROR(MAXIFS(Candidates!$AA$2:$AA$2000,Candidates!$A$2:$A$2000,$A831),""))</f>
        <v/>
      </c>
      <c r="T831" s="64" t="str">
        <f>IFERROR(__xludf.DUMMYFUNCTION("IF($A831="""","""",IFERROR(TEXTJOIN("", "",TRUE,UNIQUE(FILTER(Candidates!$B$2:$B$2000,Candidates!$A$2:$A$2000=$A831))),""""))"),"")</f>
        <v/>
      </c>
      <c r="U831" s="66" t="str">
        <f>IF($A831="","",COUNTIF(Candidates!$A$2:$A$2000,$A831))</f>
        <v/>
      </c>
      <c r="V831" s="64" t="str">
        <f>IFERROR(__xludf.DUMMYFUNCTION("IF($A831="""","""",IFERROR(INDEX(FILTER(Candidates!$S$2:$S$2000,Candidates!$A$2:$A$2000=$A831),COUNTIF(Candidates!$A$2:$A$2000,$A831)),""""))"),"")</f>
        <v/>
      </c>
      <c r="W831" s="64" t="str">
        <f>IFERROR(__xludf.DUMMYFUNCTION("IF($A831="""","""",IFERROR(INDEX(FILTER(Candidates!$T$2:$T$2000,Candidates!$A$2:$A$2000=$A831),COUNTIF(Candidates!$A$2:$A$2000,$A831)),""""))"),"")</f>
        <v/>
      </c>
      <c r="X831" s="64"/>
      <c r="Y831" s="64"/>
      <c r="Z831" s="65"/>
      <c r="AA831" s="65"/>
      <c r="AB831" s="65"/>
      <c r="AC831" s="65"/>
    </row>
    <row r="832">
      <c r="A832" s="64"/>
      <c r="B832" s="64"/>
      <c r="C832" s="64"/>
      <c r="D832" s="64"/>
      <c r="E832" s="64"/>
      <c r="F832" s="64"/>
      <c r="G832" s="64"/>
      <c r="H832" s="63"/>
      <c r="I832" s="64"/>
      <c r="J832" s="64"/>
      <c r="K832" s="64"/>
      <c r="L832" s="64"/>
      <c r="M832" s="64"/>
      <c r="N832" s="64"/>
      <c r="O832" s="64"/>
      <c r="P832" s="64"/>
      <c r="Q832" s="64"/>
      <c r="R832" s="65" t="str">
        <f>IF($A832="","",IFERROR(MINIFS(Candidates!$K$2:$K$2000,Candidates!$A$2:$A$2000,$A832),""))</f>
        <v/>
      </c>
      <c r="S832" s="65" t="str">
        <f>IF($A832="","",IFERROR(MAXIFS(Candidates!$AA$2:$AA$2000,Candidates!$A$2:$A$2000,$A832),""))</f>
        <v/>
      </c>
      <c r="T832" s="64" t="str">
        <f>IFERROR(__xludf.DUMMYFUNCTION("IF($A832="""","""",IFERROR(TEXTJOIN("", "",TRUE,UNIQUE(FILTER(Candidates!$B$2:$B$2000,Candidates!$A$2:$A$2000=$A832))),""""))"),"")</f>
        <v/>
      </c>
      <c r="U832" s="66" t="str">
        <f>IF($A832="","",COUNTIF(Candidates!$A$2:$A$2000,$A832))</f>
        <v/>
      </c>
      <c r="V832" s="64" t="str">
        <f>IFERROR(__xludf.DUMMYFUNCTION("IF($A832="""","""",IFERROR(INDEX(FILTER(Candidates!$S$2:$S$2000,Candidates!$A$2:$A$2000=$A832),COUNTIF(Candidates!$A$2:$A$2000,$A832)),""""))"),"")</f>
        <v/>
      </c>
      <c r="W832" s="64" t="str">
        <f>IFERROR(__xludf.DUMMYFUNCTION("IF($A832="""","""",IFERROR(INDEX(FILTER(Candidates!$T$2:$T$2000,Candidates!$A$2:$A$2000=$A832),COUNTIF(Candidates!$A$2:$A$2000,$A832)),""""))"),"")</f>
        <v/>
      </c>
      <c r="X832" s="64"/>
      <c r="Y832" s="64"/>
      <c r="Z832" s="65"/>
      <c r="AA832" s="65"/>
      <c r="AB832" s="65"/>
      <c r="AC832" s="65"/>
    </row>
    <row r="833">
      <c r="A833" s="64"/>
      <c r="B833" s="64"/>
      <c r="C833" s="64"/>
      <c r="D833" s="64"/>
      <c r="E833" s="64"/>
      <c r="F833" s="64"/>
      <c r="G833" s="64"/>
      <c r="H833" s="63"/>
      <c r="I833" s="64"/>
      <c r="J833" s="64"/>
      <c r="K833" s="64"/>
      <c r="L833" s="64"/>
      <c r="M833" s="64"/>
      <c r="N833" s="64"/>
      <c r="O833" s="64"/>
      <c r="P833" s="64"/>
      <c r="Q833" s="64"/>
      <c r="R833" s="65" t="str">
        <f>IF($A833="","",IFERROR(MINIFS(Candidates!$K$2:$K$2000,Candidates!$A$2:$A$2000,$A833),""))</f>
        <v/>
      </c>
      <c r="S833" s="65" t="str">
        <f>IF($A833="","",IFERROR(MAXIFS(Candidates!$AA$2:$AA$2000,Candidates!$A$2:$A$2000,$A833),""))</f>
        <v/>
      </c>
      <c r="T833" s="64" t="str">
        <f>IFERROR(__xludf.DUMMYFUNCTION("IF($A833="""","""",IFERROR(TEXTJOIN("", "",TRUE,UNIQUE(FILTER(Candidates!$B$2:$B$2000,Candidates!$A$2:$A$2000=$A833))),""""))"),"")</f>
        <v/>
      </c>
      <c r="U833" s="66" t="str">
        <f>IF($A833="","",COUNTIF(Candidates!$A$2:$A$2000,$A833))</f>
        <v/>
      </c>
      <c r="V833" s="64" t="str">
        <f>IFERROR(__xludf.DUMMYFUNCTION("IF($A833="""","""",IFERROR(INDEX(FILTER(Candidates!$S$2:$S$2000,Candidates!$A$2:$A$2000=$A833),COUNTIF(Candidates!$A$2:$A$2000,$A833)),""""))"),"")</f>
        <v/>
      </c>
      <c r="W833" s="64" t="str">
        <f>IFERROR(__xludf.DUMMYFUNCTION("IF($A833="""","""",IFERROR(INDEX(FILTER(Candidates!$T$2:$T$2000,Candidates!$A$2:$A$2000=$A833),COUNTIF(Candidates!$A$2:$A$2000,$A833)),""""))"),"")</f>
        <v/>
      </c>
      <c r="X833" s="64"/>
      <c r="Y833" s="64"/>
      <c r="Z833" s="65"/>
      <c r="AA833" s="65"/>
      <c r="AB833" s="65"/>
      <c r="AC833" s="65"/>
    </row>
    <row r="834">
      <c r="A834" s="64"/>
      <c r="B834" s="64"/>
      <c r="C834" s="64"/>
      <c r="D834" s="64"/>
      <c r="E834" s="64"/>
      <c r="F834" s="64"/>
      <c r="G834" s="64"/>
      <c r="H834" s="63"/>
      <c r="I834" s="64"/>
      <c r="J834" s="64"/>
      <c r="K834" s="64"/>
      <c r="L834" s="64"/>
      <c r="M834" s="64"/>
      <c r="N834" s="64"/>
      <c r="O834" s="64"/>
      <c r="P834" s="64"/>
      <c r="Q834" s="64"/>
      <c r="R834" s="65" t="str">
        <f>IF($A834="","",IFERROR(MINIFS(Candidates!$K$2:$K$2000,Candidates!$A$2:$A$2000,$A834),""))</f>
        <v/>
      </c>
      <c r="S834" s="65" t="str">
        <f>IF($A834="","",IFERROR(MAXIFS(Candidates!$AA$2:$AA$2000,Candidates!$A$2:$A$2000,$A834),""))</f>
        <v/>
      </c>
      <c r="T834" s="64" t="str">
        <f>IFERROR(__xludf.DUMMYFUNCTION("IF($A834="""","""",IFERROR(TEXTJOIN("", "",TRUE,UNIQUE(FILTER(Candidates!$B$2:$B$2000,Candidates!$A$2:$A$2000=$A834))),""""))"),"")</f>
        <v/>
      </c>
      <c r="U834" s="66" t="str">
        <f>IF($A834="","",COUNTIF(Candidates!$A$2:$A$2000,$A834))</f>
        <v/>
      </c>
      <c r="V834" s="64" t="str">
        <f>IFERROR(__xludf.DUMMYFUNCTION("IF($A834="""","""",IFERROR(INDEX(FILTER(Candidates!$S$2:$S$2000,Candidates!$A$2:$A$2000=$A834),COUNTIF(Candidates!$A$2:$A$2000,$A834)),""""))"),"")</f>
        <v/>
      </c>
      <c r="W834" s="64" t="str">
        <f>IFERROR(__xludf.DUMMYFUNCTION("IF($A834="""","""",IFERROR(INDEX(FILTER(Candidates!$T$2:$T$2000,Candidates!$A$2:$A$2000=$A834),COUNTIF(Candidates!$A$2:$A$2000,$A834)),""""))"),"")</f>
        <v/>
      </c>
      <c r="X834" s="64"/>
      <c r="Y834" s="64"/>
      <c r="Z834" s="65"/>
      <c r="AA834" s="65"/>
      <c r="AB834" s="65"/>
      <c r="AC834" s="65"/>
    </row>
    <row r="835">
      <c r="A835" s="64"/>
      <c r="B835" s="64"/>
      <c r="C835" s="64"/>
      <c r="D835" s="64"/>
      <c r="E835" s="64"/>
      <c r="F835" s="64"/>
      <c r="G835" s="64"/>
      <c r="H835" s="63"/>
      <c r="I835" s="64"/>
      <c r="J835" s="64"/>
      <c r="K835" s="64"/>
      <c r="L835" s="64"/>
      <c r="M835" s="64"/>
      <c r="N835" s="64"/>
      <c r="O835" s="64"/>
      <c r="P835" s="64"/>
      <c r="Q835" s="64"/>
      <c r="R835" s="65" t="str">
        <f>IF($A835="","",IFERROR(MINIFS(Candidates!$K$2:$K$2000,Candidates!$A$2:$A$2000,$A835),""))</f>
        <v/>
      </c>
      <c r="S835" s="65" t="str">
        <f>IF($A835="","",IFERROR(MAXIFS(Candidates!$AA$2:$AA$2000,Candidates!$A$2:$A$2000,$A835),""))</f>
        <v/>
      </c>
      <c r="T835" s="64" t="str">
        <f>IFERROR(__xludf.DUMMYFUNCTION("IF($A835="""","""",IFERROR(TEXTJOIN("", "",TRUE,UNIQUE(FILTER(Candidates!$B$2:$B$2000,Candidates!$A$2:$A$2000=$A835))),""""))"),"")</f>
        <v/>
      </c>
      <c r="U835" s="66" t="str">
        <f>IF($A835="","",COUNTIF(Candidates!$A$2:$A$2000,$A835))</f>
        <v/>
      </c>
      <c r="V835" s="64" t="str">
        <f>IFERROR(__xludf.DUMMYFUNCTION("IF($A835="""","""",IFERROR(INDEX(FILTER(Candidates!$S$2:$S$2000,Candidates!$A$2:$A$2000=$A835),COUNTIF(Candidates!$A$2:$A$2000,$A835)),""""))"),"")</f>
        <v/>
      </c>
      <c r="W835" s="64" t="str">
        <f>IFERROR(__xludf.DUMMYFUNCTION("IF($A835="""","""",IFERROR(INDEX(FILTER(Candidates!$T$2:$T$2000,Candidates!$A$2:$A$2000=$A835),COUNTIF(Candidates!$A$2:$A$2000,$A835)),""""))"),"")</f>
        <v/>
      </c>
      <c r="X835" s="64"/>
      <c r="Y835" s="64"/>
      <c r="Z835" s="65"/>
      <c r="AA835" s="65"/>
      <c r="AB835" s="65"/>
      <c r="AC835" s="65"/>
    </row>
    <row r="836">
      <c r="A836" s="64"/>
      <c r="B836" s="64"/>
      <c r="C836" s="64"/>
      <c r="D836" s="64"/>
      <c r="E836" s="64"/>
      <c r="F836" s="64"/>
      <c r="G836" s="64"/>
      <c r="H836" s="63"/>
      <c r="I836" s="64"/>
      <c r="J836" s="64"/>
      <c r="K836" s="64"/>
      <c r="L836" s="64"/>
      <c r="M836" s="64"/>
      <c r="N836" s="64"/>
      <c r="O836" s="64"/>
      <c r="P836" s="64"/>
      <c r="Q836" s="64"/>
      <c r="R836" s="65" t="str">
        <f>IF($A836="","",IFERROR(MINIFS(Candidates!$K$2:$K$2000,Candidates!$A$2:$A$2000,$A836),""))</f>
        <v/>
      </c>
      <c r="S836" s="65" t="str">
        <f>IF($A836="","",IFERROR(MAXIFS(Candidates!$AA$2:$AA$2000,Candidates!$A$2:$A$2000,$A836),""))</f>
        <v/>
      </c>
      <c r="T836" s="64" t="str">
        <f>IFERROR(__xludf.DUMMYFUNCTION("IF($A836="""","""",IFERROR(TEXTJOIN("", "",TRUE,UNIQUE(FILTER(Candidates!$B$2:$B$2000,Candidates!$A$2:$A$2000=$A836))),""""))"),"")</f>
        <v/>
      </c>
      <c r="U836" s="66" t="str">
        <f>IF($A836="","",COUNTIF(Candidates!$A$2:$A$2000,$A836))</f>
        <v/>
      </c>
      <c r="V836" s="64" t="str">
        <f>IFERROR(__xludf.DUMMYFUNCTION("IF($A836="""","""",IFERROR(INDEX(FILTER(Candidates!$S$2:$S$2000,Candidates!$A$2:$A$2000=$A836),COUNTIF(Candidates!$A$2:$A$2000,$A836)),""""))"),"")</f>
        <v/>
      </c>
      <c r="W836" s="64" t="str">
        <f>IFERROR(__xludf.DUMMYFUNCTION("IF($A836="""","""",IFERROR(INDEX(FILTER(Candidates!$T$2:$T$2000,Candidates!$A$2:$A$2000=$A836),COUNTIF(Candidates!$A$2:$A$2000,$A836)),""""))"),"")</f>
        <v/>
      </c>
      <c r="X836" s="64"/>
      <c r="Y836" s="64"/>
      <c r="Z836" s="65"/>
      <c r="AA836" s="65"/>
      <c r="AB836" s="65"/>
      <c r="AC836" s="65"/>
    </row>
    <row r="837">
      <c r="A837" s="64"/>
      <c r="B837" s="64"/>
      <c r="C837" s="64"/>
      <c r="D837" s="64"/>
      <c r="E837" s="64"/>
      <c r="F837" s="64"/>
      <c r="G837" s="64"/>
      <c r="H837" s="63"/>
      <c r="I837" s="64"/>
      <c r="J837" s="64"/>
      <c r="K837" s="64"/>
      <c r="L837" s="64"/>
      <c r="M837" s="64"/>
      <c r="N837" s="64"/>
      <c r="O837" s="64"/>
      <c r="P837" s="64"/>
      <c r="Q837" s="64"/>
      <c r="R837" s="65" t="str">
        <f>IF($A837="","",IFERROR(MINIFS(Candidates!$K$2:$K$2000,Candidates!$A$2:$A$2000,$A837),""))</f>
        <v/>
      </c>
      <c r="S837" s="65" t="str">
        <f>IF($A837="","",IFERROR(MAXIFS(Candidates!$AA$2:$AA$2000,Candidates!$A$2:$A$2000,$A837),""))</f>
        <v/>
      </c>
      <c r="T837" s="64" t="str">
        <f>IFERROR(__xludf.DUMMYFUNCTION("IF($A837="""","""",IFERROR(TEXTJOIN("", "",TRUE,UNIQUE(FILTER(Candidates!$B$2:$B$2000,Candidates!$A$2:$A$2000=$A837))),""""))"),"")</f>
        <v/>
      </c>
      <c r="U837" s="66" t="str">
        <f>IF($A837="","",COUNTIF(Candidates!$A$2:$A$2000,$A837))</f>
        <v/>
      </c>
      <c r="V837" s="64" t="str">
        <f>IFERROR(__xludf.DUMMYFUNCTION("IF($A837="""","""",IFERROR(INDEX(FILTER(Candidates!$S$2:$S$2000,Candidates!$A$2:$A$2000=$A837),COUNTIF(Candidates!$A$2:$A$2000,$A837)),""""))"),"")</f>
        <v/>
      </c>
      <c r="W837" s="64" t="str">
        <f>IFERROR(__xludf.DUMMYFUNCTION("IF($A837="""","""",IFERROR(INDEX(FILTER(Candidates!$T$2:$T$2000,Candidates!$A$2:$A$2000=$A837),COUNTIF(Candidates!$A$2:$A$2000,$A837)),""""))"),"")</f>
        <v/>
      </c>
      <c r="X837" s="64"/>
      <c r="Y837" s="64"/>
      <c r="Z837" s="65"/>
      <c r="AA837" s="65"/>
      <c r="AB837" s="65"/>
      <c r="AC837" s="65"/>
    </row>
    <row r="838">
      <c r="A838" s="64"/>
      <c r="B838" s="64"/>
      <c r="C838" s="64"/>
      <c r="D838" s="64"/>
      <c r="E838" s="64"/>
      <c r="F838" s="64"/>
      <c r="G838" s="64"/>
      <c r="H838" s="63"/>
      <c r="I838" s="64"/>
      <c r="J838" s="64"/>
      <c r="K838" s="64"/>
      <c r="L838" s="64"/>
      <c r="M838" s="64"/>
      <c r="N838" s="64"/>
      <c r="O838" s="64"/>
      <c r="P838" s="64"/>
      <c r="Q838" s="64"/>
      <c r="R838" s="65" t="str">
        <f>IF($A838="","",IFERROR(MINIFS(Candidates!$K$2:$K$2000,Candidates!$A$2:$A$2000,$A838),""))</f>
        <v/>
      </c>
      <c r="S838" s="65" t="str">
        <f>IF($A838="","",IFERROR(MAXIFS(Candidates!$AA$2:$AA$2000,Candidates!$A$2:$A$2000,$A838),""))</f>
        <v/>
      </c>
      <c r="T838" s="64" t="str">
        <f>IFERROR(__xludf.DUMMYFUNCTION("IF($A838="""","""",IFERROR(TEXTJOIN("", "",TRUE,UNIQUE(FILTER(Candidates!$B$2:$B$2000,Candidates!$A$2:$A$2000=$A838))),""""))"),"")</f>
        <v/>
      </c>
      <c r="U838" s="66" t="str">
        <f>IF($A838="","",COUNTIF(Candidates!$A$2:$A$2000,$A838))</f>
        <v/>
      </c>
      <c r="V838" s="64" t="str">
        <f>IFERROR(__xludf.DUMMYFUNCTION("IF($A838="""","""",IFERROR(INDEX(FILTER(Candidates!$S$2:$S$2000,Candidates!$A$2:$A$2000=$A838),COUNTIF(Candidates!$A$2:$A$2000,$A838)),""""))"),"")</f>
        <v/>
      </c>
      <c r="W838" s="64" t="str">
        <f>IFERROR(__xludf.DUMMYFUNCTION("IF($A838="""","""",IFERROR(INDEX(FILTER(Candidates!$T$2:$T$2000,Candidates!$A$2:$A$2000=$A838),COUNTIF(Candidates!$A$2:$A$2000,$A838)),""""))"),"")</f>
        <v/>
      </c>
      <c r="X838" s="64"/>
      <c r="Y838" s="64"/>
      <c r="Z838" s="65"/>
      <c r="AA838" s="65"/>
      <c r="AB838" s="65"/>
      <c r="AC838" s="65"/>
    </row>
    <row r="839">
      <c r="A839" s="64"/>
      <c r="B839" s="64"/>
      <c r="C839" s="64"/>
      <c r="D839" s="64"/>
      <c r="E839" s="64"/>
      <c r="F839" s="64"/>
      <c r="G839" s="64"/>
      <c r="H839" s="63"/>
      <c r="I839" s="64"/>
      <c r="J839" s="64"/>
      <c r="K839" s="64"/>
      <c r="L839" s="64"/>
      <c r="M839" s="64"/>
      <c r="N839" s="64"/>
      <c r="O839" s="64"/>
      <c r="P839" s="64"/>
      <c r="Q839" s="64"/>
      <c r="R839" s="65" t="str">
        <f>IF($A839="","",IFERROR(MINIFS(Candidates!$K$2:$K$2000,Candidates!$A$2:$A$2000,$A839),""))</f>
        <v/>
      </c>
      <c r="S839" s="65" t="str">
        <f>IF($A839="","",IFERROR(MAXIFS(Candidates!$AA$2:$AA$2000,Candidates!$A$2:$A$2000,$A839),""))</f>
        <v/>
      </c>
      <c r="T839" s="64" t="str">
        <f>IFERROR(__xludf.DUMMYFUNCTION("IF($A839="""","""",IFERROR(TEXTJOIN("", "",TRUE,UNIQUE(FILTER(Candidates!$B$2:$B$2000,Candidates!$A$2:$A$2000=$A839))),""""))"),"")</f>
        <v/>
      </c>
      <c r="U839" s="66" t="str">
        <f>IF($A839="","",COUNTIF(Candidates!$A$2:$A$2000,$A839))</f>
        <v/>
      </c>
      <c r="V839" s="64" t="str">
        <f>IFERROR(__xludf.DUMMYFUNCTION("IF($A839="""","""",IFERROR(INDEX(FILTER(Candidates!$S$2:$S$2000,Candidates!$A$2:$A$2000=$A839),COUNTIF(Candidates!$A$2:$A$2000,$A839)),""""))"),"")</f>
        <v/>
      </c>
      <c r="W839" s="64" t="str">
        <f>IFERROR(__xludf.DUMMYFUNCTION("IF($A839="""","""",IFERROR(INDEX(FILTER(Candidates!$T$2:$T$2000,Candidates!$A$2:$A$2000=$A839),COUNTIF(Candidates!$A$2:$A$2000,$A839)),""""))"),"")</f>
        <v/>
      </c>
      <c r="X839" s="64"/>
      <c r="Y839" s="64"/>
      <c r="Z839" s="65"/>
      <c r="AA839" s="65"/>
      <c r="AB839" s="65"/>
      <c r="AC839" s="65"/>
    </row>
    <row r="840">
      <c r="A840" s="64"/>
      <c r="B840" s="64"/>
      <c r="C840" s="64"/>
      <c r="D840" s="64"/>
      <c r="E840" s="64"/>
      <c r="F840" s="64"/>
      <c r="G840" s="64"/>
      <c r="H840" s="63"/>
      <c r="I840" s="64"/>
      <c r="J840" s="64"/>
      <c r="K840" s="64"/>
      <c r="L840" s="64"/>
      <c r="M840" s="64"/>
      <c r="N840" s="64"/>
      <c r="O840" s="64"/>
      <c r="P840" s="64"/>
      <c r="Q840" s="64"/>
      <c r="R840" s="65" t="str">
        <f>IF($A840="","",IFERROR(MINIFS(Candidates!$K$2:$K$2000,Candidates!$A$2:$A$2000,$A840),""))</f>
        <v/>
      </c>
      <c r="S840" s="65" t="str">
        <f>IF($A840="","",IFERROR(MAXIFS(Candidates!$AA$2:$AA$2000,Candidates!$A$2:$A$2000,$A840),""))</f>
        <v/>
      </c>
      <c r="T840" s="64" t="str">
        <f>IFERROR(__xludf.DUMMYFUNCTION("IF($A840="""","""",IFERROR(TEXTJOIN("", "",TRUE,UNIQUE(FILTER(Candidates!$B$2:$B$2000,Candidates!$A$2:$A$2000=$A840))),""""))"),"")</f>
        <v/>
      </c>
      <c r="U840" s="66" t="str">
        <f>IF($A840="","",COUNTIF(Candidates!$A$2:$A$2000,$A840))</f>
        <v/>
      </c>
      <c r="V840" s="64" t="str">
        <f>IFERROR(__xludf.DUMMYFUNCTION("IF($A840="""","""",IFERROR(INDEX(FILTER(Candidates!$S$2:$S$2000,Candidates!$A$2:$A$2000=$A840),COUNTIF(Candidates!$A$2:$A$2000,$A840)),""""))"),"")</f>
        <v/>
      </c>
      <c r="W840" s="64" t="str">
        <f>IFERROR(__xludf.DUMMYFUNCTION("IF($A840="""","""",IFERROR(INDEX(FILTER(Candidates!$T$2:$T$2000,Candidates!$A$2:$A$2000=$A840),COUNTIF(Candidates!$A$2:$A$2000,$A840)),""""))"),"")</f>
        <v/>
      </c>
      <c r="X840" s="64"/>
      <c r="Y840" s="64"/>
      <c r="Z840" s="65"/>
      <c r="AA840" s="65"/>
      <c r="AB840" s="65"/>
      <c r="AC840" s="65"/>
    </row>
    <row r="841">
      <c r="A841" s="64"/>
      <c r="B841" s="64"/>
      <c r="C841" s="64"/>
      <c r="D841" s="64"/>
      <c r="E841" s="64"/>
      <c r="F841" s="64"/>
      <c r="G841" s="64"/>
      <c r="H841" s="63"/>
      <c r="I841" s="64"/>
      <c r="J841" s="64"/>
      <c r="K841" s="64"/>
      <c r="L841" s="64"/>
      <c r="M841" s="64"/>
      <c r="N841" s="64"/>
      <c r="O841" s="64"/>
      <c r="P841" s="64"/>
      <c r="Q841" s="64"/>
      <c r="R841" s="65" t="str">
        <f>IF($A841="","",IFERROR(MINIFS(Candidates!$K$2:$K$2000,Candidates!$A$2:$A$2000,$A841),""))</f>
        <v/>
      </c>
      <c r="S841" s="65" t="str">
        <f>IF($A841="","",IFERROR(MAXIFS(Candidates!$AA$2:$AA$2000,Candidates!$A$2:$A$2000,$A841),""))</f>
        <v/>
      </c>
      <c r="T841" s="64" t="str">
        <f>IFERROR(__xludf.DUMMYFUNCTION("IF($A841="""","""",IFERROR(TEXTJOIN("", "",TRUE,UNIQUE(FILTER(Candidates!$B$2:$B$2000,Candidates!$A$2:$A$2000=$A841))),""""))"),"")</f>
        <v/>
      </c>
      <c r="U841" s="66" t="str">
        <f>IF($A841="","",COUNTIF(Candidates!$A$2:$A$2000,$A841))</f>
        <v/>
      </c>
      <c r="V841" s="64" t="str">
        <f>IFERROR(__xludf.DUMMYFUNCTION("IF($A841="""","""",IFERROR(INDEX(FILTER(Candidates!$S$2:$S$2000,Candidates!$A$2:$A$2000=$A841),COUNTIF(Candidates!$A$2:$A$2000,$A841)),""""))"),"")</f>
        <v/>
      </c>
      <c r="W841" s="64" t="str">
        <f>IFERROR(__xludf.DUMMYFUNCTION("IF($A841="""","""",IFERROR(INDEX(FILTER(Candidates!$T$2:$T$2000,Candidates!$A$2:$A$2000=$A841),COUNTIF(Candidates!$A$2:$A$2000,$A841)),""""))"),"")</f>
        <v/>
      </c>
      <c r="X841" s="64"/>
      <c r="Y841" s="64"/>
      <c r="Z841" s="65"/>
      <c r="AA841" s="65"/>
      <c r="AB841" s="65"/>
      <c r="AC841" s="65"/>
    </row>
    <row r="842">
      <c r="A842" s="64"/>
      <c r="B842" s="64"/>
      <c r="C842" s="64"/>
      <c r="D842" s="64"/>
      <c r="E842" s="64"/>
      <c r="F842" s="64"/>
      <c r="G842" s="64"/>
      <c r="H842" s="63"/>
      <c r="I842" s="64"/>
      <c r="J842" s="64"/>
      <c r="K842" s="64"/>
      <c r="L842" s="64"/>
      <c r="M842" s="64"/>
      <c r="N842" s="64"/>
      <c r="O842" s="64"/>
      <c r="P842" s="64"/>
      <c r="Q842" s="64"/>
      <c r="R842" s="65" t="str">
        <f>IF($A842="","",IFERROR(MINIFS(Candidates!$K$2:$K$2000,Candidates!$A$2:$A$2000,$A842),""))</f>
        <v/>
      </c>
      <c r="S842" s="65" t="str">
        <f>IF($A842="","",IFERROR(MAXIFS(Candidates!$AA$2:$AA$2000,Candidates!$A$2:$A$2000,$A842),""))</f>
        <v/>
      </c>
      <c r="T842" s="64" t="str">
        <f>IFERROR(__xludf.DUMMYFUNCTION("IF($A842="""","""",IFERROR(TEXTJOIN("", "",TRUE,UNIQUE(FILTER(Candidates!$B$2:$B$2000,Candidates!$A$2:$A$2000=$A842))),""""))"),"")</f>
        <v/>
      </c>
      <c r="U842" s="66" t="str">
        <f>IF($A842="","",COUNTIF(Candidates!$A$2:$A$2000,$A842))</f>
        <v/>
      </c>
      <c r="V842" s="64" t="str">
        <f>IFERROR(__xludf.DUMMYFUNCTION("IF($A842="""","""",IFERROR(INDEX(FILTER(Candidates!$S$2:$S$2000,Candidates!$A$2:$A$2000=$A842),COUNTIF(Candidates!$A$2:$A$2000,$A842)),""""))"),"")</f>
        <v/>
      </c>
      <c r="W842" s="64" t="str">
        <f>IFERROR(__xludf.DUMMYFUNCTION("IF($A842="""","""",IFERROR(INDEX(FILTER(Candidates!$T$2:$T$2000,Candidates!$A$2:$A$2000=$A842),COUNTIF(Candidates!$A$2:$A$2000,$A842)),""""))"),"")</f>
        <v/>
      </c>
      <c r="X842" s="64"/>
      <c r="Y842" s="64"/>
      <c r="Z842" s="65"/>
      <c r="AA842" s="65"/>
      <c r="AB842" s="65"/>
      <c r="AC842" s="65"/>
    </row>
    <row r="843">
      <c r="A843" s="64"/>
      <c r="B843" s="64"/>
      <c r="C843" s="64"/>
      <c r="D843" s="64"/>
      <c r="E843" s="64"/>
      <c r="F843" s="64"/>
      <c r="G843" s="64"/>
      <c r="H843" s="63"/>
      <c r="I843" s="64"/>
      <c r="J843" s="64"/>
      <c r="K843" s="64"/>
      <c r="L843" s="64"/>
      <c r="M843" s="64"/>
      <c r="N843" s="64"/>
      <c r="O843" s="64"/>
      <c r="P843" s="64"/>
      <c r="Q843" s="64"/>
      <c r="R843" s="65" t="str">
        <f>IF($A843="","",IFERROR(MINIFS(Candidates!$K$2:$K$2000,Candidates!$A$2:$A$2000,$A843),""))</f>
        <v/>
      </c>
      <c r="S843" s="65" t="str">
        <f>IF($A843="","",IFERROR(MAXIFS(Candidates!$AA$2:$AA$2000,Candidates!$A$2:$A$2000,$A843),""))</f>
        <v/>
      </c>
      <c r="T843" s="64" t="str">
        <f>IFERROR(__xludf.DUMMYFUNCTION("IF($A843="""","""",IFERROR(TEXTJOIN("", "",TRUE,UNIQUE(FILTER(Candidates!$B$2:$B$2000,Candidates!$A$2:$A$2000=$A843))),""""))"),"")</f>
        <v/>
      </c>
      <c r="U843" s="66" t="str">
        <f>IF($A843="","",COUNTIF(Candidates!$A$2:$A$2000,$A843))</f>
        <v/>
      </c>
      <c r="V843" s="64" t="str">
        <f>IFERROR(__xludf.DUMMYFUNCTION("IF($A843="""","""",IFERROR(INDEX(FILTER(Candidates!$S$2:$S$2000,Candidates!$A$2:$A$2000=$A843),COUNTIF(Candidates!$A$2:$A$2000,$A843)),""""))"),"")</f>
        <v/>
      </c>
      <c r="W843" s="64" t="str">
        <f>IFERROR(__xludf.DUMMYFUNCTION("IF($A843="""","""",IFERROR(INDEX(FILTER(Candidates!$T$2:$T$2000,Candidates!$A$2:$A$2000=$A843),COUNTIF(Candidates!$A$2:$A$2000,$A843)),""""))"),"")</f>
        <v/>
      </c>
      <c r="X843" s="64"/>
      <c r="Y843" s="64"/>
      <c r="Z843" s="65"/>
      <c r="AA843" s="65"/>
      <c r="AB843" s="65"/>
      <c r="AC843" s="65"/>
    </row>
    <row r="844">
      <c r="A844" s="64"/>
      <c r="B844" s="64"/>
      <c r="C844" s="64"/>
      <c r="D844" s="64"/>
      <c r="E844" s="64"/>
      <c r="F844" s="64"/>
      <c r="G844" s="64"/>
      <c r="H844" s="63"/>
      <c r="I844" s="64"/>
      <c r="J844" s="64"/>
      <c r="K844" s="64"/>
      <c r="L844" s="64"/>
      <c r="M844" s="64"/>
      <c r="N844" s="64"/>
      <c r="O844" s="64"/>
      <c r="P844" s="64"/>
      <c r="Q844" s="64"/>
      <c r="R844" s="65" t="str">
        <f>IF($A844="","",IFERROR(MINIFS(Candidates!$K$2:$K$2000,Candidates!$A$2:$A$2000,$A844),""))</f>
        <v/>
      </c>
      <c r="S844" s="65" t="str">
        <f>IF($A844="","",IFERROR(MAXIFS(Candidates!$AA$2:$AA$2000,Candidates!$A$2:$A$2000,$A844),""))</f>
        <v/>
      </c>
      <c r="T844" s="64" t="str">
        <f>IFERROR(__xludf.DUMMYFUNCTION("IF($A844="""","""",IFERROR(TEXTJOIN("", "",TRUE,UNIQUE(FILTER(Candidates!$B$2:$B$2000,Candidates!$A$2:$A$2000=$A844))),""""))"),"")</f>
        <v/>
      </c>
      <c r="U844" s="66" t="str">
        <f>IF($A844="","",COUNTIF(Candidates!$A$2:$A$2000,$A844))</f>
        <v/>
      </c>
      <c r="V844" s="64" t="str">
        <f>IFERROR(__xludf.DUMMYFUNCTION("IF($A844="""","""",IFERROR(INDEX(FILTER(Candidates!$S$2:$S$2000,Candidates!$A$2:$A$2000=$A844),COUNTIF(Candidates!$A$2:$A$2000,$A844)),""""))"),"")</f>
        <v/>
      </c>
      <c r="W844" s="64" t="str">
        <f>IFERROR(__xludf.DUMMYFUNCTION("IF($A844="""","""",IFERROR(INDEX(FILTER(Candidates!$T$2:$T$2000,Candidates!$A$2:$A$2000=$A844),COUNTIF(Candidates!$A$2:$A$2000,$A844)),""""))"),"")</f>
        <v/>
      </c>
      <c r="X844" s="64"/>
      <c r="Y844" s="64"/>
      <c r="Z844" s="65"/>
      <c r="AA844" s="65"/>
      <c r="AB844" s="65"/>
      <c r="AC844" s="65"/>
    </row>
    <row r="845">
      <c r="A845" s="64"/>
      <c r="B845" s="64"/>
      <c r="C845" s="64"/>
      <c r="D845" s="64"/>
      <c r="E845" s="64"/>
      <c r="F845" s="64"/>
      <c r="G845" s="64"/>
      <c r="H845" s="63"/>
      <c r="I845" s="64"/>
      <c r="J845" s="64"/>
      <c r="K845" s="64"/>
      <c r="L845" s="64"/>
      <c r="M845" s="64"/>
      <c r="N845" s="64"/>
      <c r="O845" s="64"/>
      <c r="P845" s="64"/>
      <c r="Q845" s="64"/>
      <c r="R845" s="65" t="str">
        <f>IF($A845="","",IFERROR(MINIFS(Candidates!$K$2:$K$2000,Candidates!$A$2:$A$2000,$A845),""))</f>
        <v/>
      </c>
      <c r="S845" s="65" t="str">
        <f>IF($A845="","",IFERROR(MAXIFS(Candidates!$AA$2:$AA$2000,Candidates!$A$2:$A$2000,$A845),""))</f>
        <v/>
      </c>
      <c r="T845" s="64" t="str">
        <f>IFERROR(__xludf.DUMMYFUNCTION("IF($A845="""","""",IFERROR(TEXTJOIN("", "",TRUE,UNIQUE(FILTER(Candidates!$B$2:$B$2000,Candidates!$A$2:$A$2000=$A845))),""""))"),"")</f>
        <v/>
      </c>
      <c r="U845" s="66" t="str">
        <f>IF($A845="","",COUNTIF(Candidates!$A$2:$A$2000,$A845))</f>
        <v/>
      </c>
      <c r="V845" s="64" t="str">
        <f>IFERROR(__xludf.DUMMYFUNCTION("IF($A845="""","""",IFERROR(INDEX(FILTER(Candidates!$S$2:$S$2000,Candidates!$A$2:$A$2000=$A845),COUNTIF(Candidates!$A$2:$A$2000,$A845)),""""))"),"")</f>
        <v/>
      </c>
      <c r="W845" s="64" t="str">
        <f>IFERROR(__xludf.DUMMYFUNCTION("IF($A845="""","""",IFERROR(INDEX(FILTER(Candidates!$T$2:$T$2000,Candidates!$A$2:$A$2000=$A845),COUNTIF(Candidates!$A$2:$A$2000,$A845)),""""))"),"")</f>
        <v/>
      </c>
      <c r="X845" s="64"/>
      <c r="Y845" s="64"/>
      <c r="Z845" s="65"/>
      <c r="AA845" s="65"/>
      <c r="AB845" s="65"/>
      <c r="AC845" s="65"/>
    </row>
    <row r="846">
      <c r="A846" s="64"/>
      <c r="B846" s="64"/>
      <c r="C846" s="64"/>
      <c r="D846" s="64"/>
      <c r="E846" s="64"/>
      <c r="F846" s="64"/>
      <c r="G846" s="64"/>
      <c r="H846" s="63"/>
      <c r="I846" s="64"/>
      <c r="J846" s="64"/>
      <c r="K846" s="64"/>
      <c r="L846" s="64"/>
      <c r="M846" s="64"/>
      <c r="N846" s="64"/>
      <c r="O846" s="64"/>
      <c r="P846" s="64"/>
      <c r="Q846" s="64"/>
      <c r="R846" s="65" t="str">
        <f>IF($A846="","",IFERROR(MINIFS(Candidates!$K$2:$K$2000,Candidates!$A$2:$A$2000,$A846),""))</f>
        <v/>
      </c>
      <c r="S846" s="65" t="str">
        <f>IF($A846="","",IFERROR(MAXIFS(Candidates!$AA$2:$AA$2000,Candidates!$A$2:$A$2000,$A846),""))</f>
        <v/>
      </c>
      <c r="T846" s="64" t="str">
        <f>IFERROR(__xludf.DUMMYFUNCTION("IF($A846="""","""",IFERROR(TEXTJOIN("", "",TRUE,UNIQUE(FILTER(Candidates!$B$2:$B$2000,Candidates!$A$2:$A$2000=$A846))),""""))"),"")</f>
        <v/>
      </c>
      <c r="U846" s="66" t="str">
        <f>IF($A846="","",COUNTIF(Candidates!$A$2:$A$2000,$A846))</f>
        <v/>
      </c>
      <c r="V846" s="64" t="str">
        <f>IFERROR(__xludf.DUMMYFUNCTION("IF($A846="""","""",IFERROR(INDEX(FILTER(Candidates!$S$2:$S$2000,Candidates!$A$2:$A$2000=$A846),COUNTIF(Candidates!$A$2:$A$2000,$A846)),""""))"),"")</f>
        <v/>
      </c>
      <c r="W846" s="64" t="str">
        <f>IFERROR(__xludf.DUMMYFUNCTION("IF($A846="""","""",IFERROR(INDEX(FILTER(Candidates!$T$2:$T$2000,Candidates!$A$2:$A$2000=$A846),COUNTIF(Candidates!$A$2:$A$2000,$A846)),""""))"),"")</f>
        <v/>
      </c>
      <c r="X846" s="64"/>
      <c r="Y846" s="64"/>
      <c r="Z846" s="65"/>
      <c r="AA846" s="65"/>
      <c r="AB846" s="65"/>
      <c r="AC846" s="65"/>
    </row>
    <row r="847">
      <c r="A847" s="64"/>
      <c r="B847" s="64"/>
      <c r="C847" s="64"/>
      <c r="D847" s="64"/>
      <c r="E847" s="64"/>
      <c r="F847" s="64"/>
      <c r="G847" s="64"/>
      <c r="H847" s="63"/>
      <c r="I847" s="64"/>
      <c r="J847" s="64"/>
      <c r="K847" s="64"/>
      <c r="L847" s="64"/>
      <c r="M847" s="64"/>
      <c r="N847" s="64"/>
      <c r="O847" s="64"/>
      <c r="P847" s="64"/>
      <c r="Q847" s="64"/>
      <c r="R847" s="65" t="str">
        <f>IF($A847="","",IFERROR(MINIFS(Candidates!$K$2:$K$2000,Candidates!$A$2:$A$2000,$A847),""))</f>
        <v/>
      </c>
      <c r="S847" s="65" t="str">
        <f>IF($A847="","",IFERROR(MAXIFS(Candidates!$AA$2:$AA$2000,Candidates!$A$2:$A$2000,$A847),""))</f>
        <v/>
      </c>
      <c r="T847" s="64" t="str">
        <f>IFERROR(__xludf.DUMMYFUNCTION("IF($A847="""","""",IFERROR(TEXTJOIN("", "",TRUE,UNIQUE(FILTER(Candidates!$B$2:$B$2000,Candidates!$A$2:$A$2000=$A847))),""""))"),"")</f>
        <v/>
      </c>
      <c r="U847" s="66" t="str">
        <f>IF($A847="","",COUNTIF(Candidates!$A$2:$A$2000,$A847))</f>
        <v/>
      </c>
      <c r="V847" s="64" t="str">
        <f>IFERROR(__xludf.DUMMYFUNCTION("IF($A847="""","""",IFERROR(INDEX(FILTER(Candidates!$S$2:$S$2000,Candidates!$A$2:$A$2000=$A847),COUNTIF(Candidates!$A$2:$A$2000,$A847)),""""))"),"")</f>
        <v/>
      </c>
      <c r="W847" s="64" t="str">
        <f>IFERROR(__xludf.DUMMYFUNCTION("IF($A847="""","""",IFERROR(INDEX(FILTER(Candidates!$T$2:$T$2000,Candidates!$A$2:$A$2000=$A847),COUNTIF(Candidates!$A$2:$A$2000,$A847)),""""))"),"")</f>
        <v/>
      </c>
      <c r="X847" s="64"/>
      <c r="Y847" s="64"/>
      <c r="Z847" s="65"/>
      <c r="AA847" s="65"/>
      <c r="AB847" s="65"/>
      <c r="AC847" s="65"/>
    </row>
    <row r="848">
      <c r="A848" s="64"/>
      <c r="B848" s="64"/>
      <c r="C848" s="64"/>
      <c r="D848" s="64"/>
      <c r="E848" s="64"/>
      <c r="F848" s="64"/>
      <c r="G848" s="64"/>
      <c r="H848" s="63"/>
      <c r="I848" s="64"/>
      <c r="J848" s="64"/>
      <c r="K848" s="64"/>
      <c r="L848" s="64"/>
      <c r="M848" s="64"/>
      <c r="N848" s="64"/>
      <c r="O848" s="64"/>
      <c r="P848" s="64"/>
      <c r="Q848" s="64"/>
      <c r="R848" s="65" t="str">
        <f>IF($A848="","",IFERROR(MINIFS(Candidates!$K$2:$K$2000,Candidates!$A$2:$A$2000,$A848),""))</f>
        <v/>
      </c>
      <c r="S848" s="65" t="str">
        <f>IF($A848="","",IFERROR(MAXIFS(Candidates!$AA$2:$AA$2000,Candidates!$A$2:$A$2000,$A848),""))</f>
        <v/>
      </c>
      <c r="T848" s="64" t="str">
        <f>IFERROR(__xludf.DUMMYFUNCTION("IF($A848="""","""",IFERROR(TEXTJOIN("", "",TRUE,UNIQUE(FILTER(Candidates!$B$2:$B$2000,Candidates!$A$2:$A$2000=$A848))),""""))"),"")</f>
        <v/>
      </c>
      <c r="U848" s="66" t="str">
        <f>IF($A848="","",COUNTIF(Candidates!$A$2:$A$2000,$A848))</f>
        <v/>
      </c>
      <c r="V848" s="64" t="str">
        <f>IFERROR(__xludf.DUMMYFUNCTION("IF($A848="""","""",IFERROR(INDEX(FILTER(Candidates!$S$2:$S$2000,Candidates!$A$2:$A$2000=$A848),COUNTIF(Candidates!$A$2:$A$2000,$A848)),""""))"),"")</f>
        <v/>
      </c>
      <c r="W848" s="64" t="str">
        <f>IFERROR(__xludf.DUMMYFUNCTION("IF($A848="""","""",IFERROR(INDEX(FILTER(Candidates!$T$2:$T$2000,Candidates!$A$2:$A$2000=$A848),COUNTIF(Candidates!$A$2:$A$2000,$A848)),""""))"),"")</f>
        <v/>
      </c>
      <c r="X848" s="64"/>
      <c r="Y848" s="64"/>
      <c r="Z848" s="65"/>
      <c r="AA848" s="65"/>
      <c r="AB848" s="65"/>
      <c r="AC848" s="65"/>
    </row>
    <row r="849">
      <c r="A849" s="64"/>
      <c r="B849" s="64"/>
      <c r="C849" s="64"/>
      <c r="D849" s="64"/>
      <c r="E849" s="64"/>
      <c r="F849" s="64"/>
      <c r="G849" s="64"/>
      <c r="H849" s="63"/>
      <c r="I849" s="64"/>
      <c r="J849" s="64"/>
      <c r="K849" s="64"/>
      <c r="L849" s="64"/>
      <c r="M849" s="64"/>
      <c r="N849" s="64"/>
      <c r="O849" s="64"/>
      <c r="P849" s="64"/>
      <c r="Q849" s="64"/>
      <c r="R849" s="65" t="str">
        <f>IF($A849="","",IFERROR(MINIFS(Candidates!$K$2:$K$2000,Candidates!$A$2:$A$2000,$A849),""))</f>
        <v/>
      </c>
      <c r="S849" s="65" t="str">
        <f>IF($A849="","",IFERROR(MAXIFS(Candidates!$AA$2:$AA$2000,Candidates!$A$2:$A$2000,$A849),""))</f>
        <v/>
      </c>
      <c r="T849" s="64" t="str">
        <f>IFERROR(__xludf.DUMMYFUNCTION("IF($A849="""","""",IFERROR(TEXTJOIN("", "",TRUE,UNIQUE(FILTER(Candidates!$B$2:$B$2000,Candidates!$A$2:$A$2000=$A849))),""""))"),"")</f>
        <v/>
      </c>
      <c r="U849" s="66" t="str">
        <f>IF($A849="","",COUNTIF(Candidates!$A$2:$A$2000,$A849))</f>
        <v/>
      </c>
      <c r="V849" s="64" t="str">
        <f>IFERROR(__xludf.DUMMYFUNCTION("IF($A849="""","""",IFERROR(INDEX(FILTER(Candidates!$S$2:$S$2000,Candidates!$A$2:$A$2000=$A849),COUNTIF(Candidates!$A$2:$A$2000,$A849)),""""))"),"")</f>
        <v/>
      </c>
      <c r="W849" s="64" t="str">
        <f>IFERROR(__xludf.DUMMYFUNCTION("IF($A849="""","""",IFERROR(INDEX(FILTER(Candidates!$T$2:$T$2000,Candidates!$A$2:$A$2000=$A849),COUNTIF(Candidates!$A$2:$A$2000,$A849)),""""))"),"")</f>
        <v/>
      </c>
      <c r="X849" s="64"/>
      <c r="Y849" s="64"/>
      <c r="Z849" s="65"/>
      <c r="AA849" s="65"/>
      <c r="AB849" s="65"/>
      <c r="AC849" s="65"/>
    </row>
    <row r="850">
      <c r="A850" s="64"/>
      <c r="B850" s="64"/>
      <c r="C850" s="64"/>
      <c r="D850" s="64"/>
      <c r="E850" s="64"/>
      <c r="F850" s="64"/>
      <c r="G850" s="64"/>
      <c r="H850" s="63"/>
      <c r="I850" s="64"/>
      <c r="J850" s="64"/>
      <c r="K850" s="64"/>
      <c r="L850" s="64"/>
      <c r="M850" s="64"/>
      <c r="N850" s="64"/>
      <c r="O850" s="64"/>
      <c r="P850" s="64"/>
      <c r="Q850" s="64"/>
      <c r="R850" s="65" t="str">
        <f>IF($A850="","",IFERROR(MINIFS(Candidates!$K$2:$K$2000,Candidates!$A$2:$A$2000,$A850),""))</f>
        <v/>
      </c>
      <c r="S850" s="65" t="str">
        <f>IF($A850="","",IFERROR(MAXIFS(Candidates!$AA$2:$AA$2000,Candidates!$A$2:$A$2000,$A850),""))</f>
        <v/>
      </c>
      <c r="T850" s="64" t="str">
        <f>IFERROR(__xludf.DUMMYFUNCTION("IF($A850="""","""",IFERROR(TEXTJOIN("", "",TRUE,UNIQUE(FILTER(Candidates!$B$2:$B$2000,Candidates!$A$2:$A$2000=$A850))),""""))"),"")</f>
        <v/>
      </c>
      <c r="U850" s="66" t="str">
        <f>IF($A850="","",COUNTIF(Candidates!$A$2:$A$2000,$A850))</f>
        <v/>
      </c>
      <c r="V850" s="64" t="str">
        <f>IFERROR(__xludf.DUMMYFUNCTION("IF($A850="""","""",IFERROR(INDEX(FILTER(Candidates!$S$2:$S$2000,Candidates!$A$2:$A$2000=$A850),COUNTIF(Candidates!$A$2:$A$2000,$A850)),""""))"),"")</f>
        <v/>
      </c>
      <c r="W850" s="64" t="str">
        <f>IFERROR(__xludf.DUMMYFUNCTION("IF($A850="""","""",IFERROR(INDEX(FILTER(Candidates!$T$2:$T$2000,Candidates!$A$2:$A$2000=$A850),COUNTIF(Candidates!$A$2:$A$2000,$A850)),""""))"),"")</f>
        <v/>
      </c>
      <c r="X850" s="64"/>
      <c r="Y850" s="64"/>
      <c r="Z850" s="65"/>
      <c r="AA850" s="65"/>
      <c r="AB850" s="65"/>
      <c r="AC850" s="65"/>
    </row>
    <row r="851">
      <c r="A851" s="64"/>
      <c r="B851" s="64"/>
      <c r="C851" s="64"/>
      <c r="D851" s="64"/>
      <c r="E851" s="64"/>
      <c r="F851" s="64"/>
      <c r="G851" s="64"/>
      <c r="H851" s="63"/>
      <c r="I851" s="64"/>
      <c r="J851" s="64"/>
      <c r="K851" s="64"/>
      <c r="L851" s="64"/>
      <c r="M851" s="64"/>
      <c r="N851" s="64"/>
      <c r="O851" s="64"/>
      <c r="P851" s="64"/>
      <c r="Q851" s="64"/>
      <c r="R851" s="65" t="str">
        <f>IF($A851="","",IFERROR(MINIFS(Candidates!$K$2:$K$2000,Candidates!$A$2:$A$2000,$A851),""))</f>
        <v/>
      </c>
      <c r="S851" s="65" t="str">
        <f>IF($A851="","",IFERROR(MAXIFS(Candidates!$AA$2:$AA$2000,Candidates!$A$2:$A$2000,$A851),""))</f>
        <v/>
      </c>
      <c r="T851" s="64" t="str">
        <f>IFERROR(__xludf.DUMMYFUNCTION("IF($A851="""","""",IFERROR(TEXTJOIN("", "",TRUE,UNIQUE(FILTER(Candidates!$B$2:$B$2000,Candidates!$A$2:$A$2000=$A851))),""""))"),"")</f>
        <v/>
      </c>
      <c r="U851" s="66" t="str">
        <f>IF($A851="","",COUNTIF(Candidates!$A$2:$A$2000,$A851))</f>
        <v/>
      </c>
      <c r="V851" s="64" t="str">
        <f>IFERROR(__xludf.DUMMYFUNCTION("IF($A851="""","""",IFERROR(INDEX(FILTER(Candidates!$S$2:$S$2000,Candidates!$A$2:$A$2000=$A851),COUNTIF(Candidates!$A$2:$A$2000,$A851)),""""))"),"")</f>
        <v/>
      </c>
      <c r="W851" s="64" t="str">
        <f>IFERROR(__xludf.DUMMYFUNCTION("IF($A851="""","""",IFERROR(INDEX(FILTER(Candidates!$T$2:$T$2000,Candidates!$A$2:$A$2000=$A851),COUNTIF(Candidates!$A$2:$A$2000,$A851)),""""))"),"")</f>
        <v/>
      </c>
      <c r="X851" s="64"/>
      <c r="Y851" s="64"/>
      <c r="Z851" s="65"/>
      <c r="AA851" s="65"/>
      <c r="AB851" s="65"/>
      <c r="AC851" s="65"/>
    </row>
    <row r="852">
      <c r="A852" s="64"/>
      <c r="B852" s="64"/>
      <c r="C852" s="64"/>
      <c r="D852" s="64"/>
      <c r="E852" s="64"/>
      <c r="F852" s="64"/>
      <c r="G852" s="64"/>
      <c r="H852" s="63"/>
      <c r="I852" s="64"/>
      <c r="J852" s="64"/>
      <c r="K852" s="64"/>
      <c r="L852" s="64"/>
      <c r="M852" s="64"/>
      <c r="N852" s="64"/>
      <c r="O852" s="64"/>
      <c r="P852" s="64"/>
      <c r="Q852" s="64"/>
      <c r="R852" s="65" t="str">
        <f>IF($A852="","",IFERROR(MINIFS(Candidates!$K$2:$K$2000,Candidates!$A$2:$A$2000,$A852),""))</f>
        <v/>
      </c>
      <c r="S852" s="65" t="str">
        <f>IF($A852="","",IFERROR(MAXIFS(Candidates!$AA$2:$AA$2000,Candidates!$A$2:$A$2000,$A852),""))</f>
        <v/>
      </c>
      <c r="T852" s="64" t="str">
        <f>IFERROR(__xludf.DUMMYFUNCTION("IF($A852="""","""",IFERROR(TEXTJOIN("", "",TRUE,UNIQUE(FILTER(Candidates!$B$2:$B$2000,Candidates!$A$2:$A$2000=$A852))),""""))"),"")</f>
        <v/>
      </c>
      <c r="U852" s="66" t="str">
        <f>IF($A852="","",COUNTIF(Candidates!$A$2:$A$2000,$A852))</f>
        <v/>
      </c>
      <c r="V852" s="64" t="str">
        <f>IFERROR(__xludf.DUMMYFUNCTION("IF($A852="""","""",IFERROR(INDEX(FILTER(Candidates!$S$2:$S$2000,Candidates!$A$2:$A$2000=$A852),COUNTIF(Candidates!$A$2:$A$2000,$A852)),""""))"),"")</f>
        <v/>
      </c>
      <c r="W852" s="64" t="str">
        <f>IFERROR(__xludf.DUMMYFUNCTION("IF($A852="""","""",IFERROR(INDEX(FILTER(Candidates!$T$2:$T$2000,Candidates!$A$2:$A$2000=$A852),COUNTIF(Candidates!$A$2:$A$2000,$A852)),""""))"),"")</f>
        <v/>
      </c>
      <c r="X852" s="64"/>
      <c r="Y852" s="64"/>
      <c r="Z852" s="65"/>
      <c r="AA852" s="65"/>
      <c r="AB852" s="65"/>
      <c r="AC852" s="65"/>
    </row>
    <row r="853">
      <c r="A853" s="64"/>
      <c r="B853" s="64"/>
      <c r="C853" s="64"/>
      <c r="D853" s="64"/>
      <c r="E853" s="64"/>
      <c r="F853" s="64"/>
      <c r="G853" s="64"/>
      <c r="H853" s="63"/>
      <c r="I853" s="64"/>
      <c r="J853" s="64"/>
      <c r="K853" s="64"/>
      <c r="L853" s="64"/>
      <c r="M853" s="64"/>
      <c r="N853" s="64"/>
      <c r="O853" s="64"/>
      <c r="P853" s="64"/>
      <c r="Q853" s="64"/>
      <c r="R853" s="65" t="str">
        <f>IF($A853="","",IFERROR(MINIFS(Candidates!$K$2:$K$2000,Candidates!$A$2:$A$2000,$A853),""))</f>
        <v/>
      </c>
      <c r="S853" s="65" t="str">
        <f>IF($A853="","",IFERROR(MAXIFS(Candidates!$AA$2:$AA$2000,Candidates!$A$2:$A$2000,$A853),""))</f>
        <v/>
      </c>
      <c r="T853" s="64" t="str">
        <f>IFERROR(__xludf.DUMMYFUNCTION("IF($A853="""","""",IFERROR(TEXTJOIN("", "",TRUE,UNIQUE(FILTER(Candidates!$B$2:$B$2000,Candidates!$A$2:$A$2000=$A853))),""""))"),"")</f>
        <v/>
      </c>
      <c r="U853" s="66" t="str">
        <f>IF($A853="","",COUNTIF(Candidates!$A$2:$A$2000,$A853))</f>
        <v/>
      </c>
      <c r="V853" s="64" t="str">
        <f>IFERROR(__xludf.DUMMYFUNCTION("IF($A853="""","""",IFERROR(INDEX(FILTER(Candidates!$S$2:$S$2000,Candidates!$A$2:$A$2000=$A853),COUNTIF(Candidates!$A$2:$A$2000,$A853)),""""))"),"")</f>
        <v/>
      </c>
      <c r="W853" s="64" t="str">
        <f>IFERROR(__xludf.DUMMYFUNCTION("IF($A853="""","""",IFERROR(INDEX(FILTER(Candidates!$T$2:$T$2000,Candidates!$A$2:$A$2000=$A853),COUNTIF(Candidates!$A$2:$A$2000,$A853)),""""))"),"")</f>
        <v/>
      </c>
      <c r="X853" s="64"/>
      <c r="Y853" s="64"/>
      <c r="Z853" s="65"/>
      <c r="AA853" s="65"/>
      <c r="AB853" s="65"/>
      <c r="AC853" s="65"/>
    </row>
    <row r="854">
      <c r="A854" s="64"/>
      <c r="B854" s="64"/>
      <c r="C854" s="64"/>
      <c r="D854" s="64"/>
      <c r="E854" s="64"/>
      <c r="F854" s="64"/>
      <c r="G854" s="64"/>
      <c r="H854" s="63"/>
      <c r="I854" s="64"/>
      <c r="J854" s="64"/>
      <c r="K854" s="64"/>
      <c r="L854" s="64"/>
      <c r="M854" s="64"/>
      <c r="N854" s="64"/>
      <c r="O854" s="64"/>
      <c r="P854" s="64"/>
      <c r="Q854" s="64"/>
      <c r="R854" s="65" t="str">
        <f>IF($A854="","",IFERROR(MINIFS(Candidates!$K$2:$K$2000,Candidates!$A$2:$A$2000,$A854),""))</f>
        <v/>
      </c>
      <c r="S854" s="65" t="str">
        <f>IF($A854="","",IFERROR(MAXIFS(Candidates!$AA$2:$AA$2000,Candidates!$A$2:$A$2000,$A854),""))</f>
        <v/>
      </c>
      <c r="T854" s="64" t="str">
        <f>IFERROR(__xludf.DUMMYFUNCTION("IF($A854="""","""",IFERROR(TEXTJOIN("", "",TRUE,UNIQUE(FILTER(Candidates!$B$2:$B$2000,Candidates!$A$2:$A$2000=$A854))),""""))"),"")</f>
        <v/>
      </c>
      <c r="U854" s="66" t="str">
        <f>IF($A854="","",COUNTIF(Candidates!$A$2:$A$2000,$A854))</f>
        <v/>
      </c>
      <c r="V854" s="64" t="str">
        <f>IFERROR(__xludf.DUMMYFUNCTION("IF($A854="""","""",IFERROR(INDEX(FILTER(Candidates!$S$2:$S$2000,Candidates!$A$2:$A$2000=$A854),COUNTIF(Candidates!$A$2:$A$2000,$A854)),""""))"),"")</f>
        <v/>
      </c>
      <c r="W854" s="64" t="str">
        <f>IFERROR(__xludf.DUMMYFUNCTION("IF($A854="""","""",IFERROR(INDEX(FILTER(Candidates!$T$2:$T$2000,Candidates!$A$2:$A$2000=$A854),COUNTIF(Candidates!$A$2:$A$2000,$A854)),""""))"),"")</f>
        <v/>
      </c>
      <c r="X854" s="64"/>
      <c r="Y854" s="64"/>
      <c r="Z854" s="65"/>
      <c r="AA854" s="65"/>
      <c r="AB854" s="65"/>
      <c r="AC854" s="65"/>
    </row>
    <row r="855">
      <c r="A855" s="64"/>
      <c r="B855" s="64"/>
      <c r="C855" s="64"/>
      <c r="D855" s="64"/>
      <c r="E855" s="64"/>
      <c r="F855" s="64"/>
      <c r="G855" s="64"/>
      <c r="H855" s="63"/>
      <c r="I855" s="64"/>
      <c r="J855" s="64"/>
      <c r="K855" s="64"/>
      <c r="L855" s="64"/>
      <c r="M855" s="64"/>
      <c r="N855" s="64"/>
      <c r="O855" s="64"/>
      <c r="P855" s="64"/>
      <c r="Q855" s="64"/>
      <c r="R855" s="65" t="str">
        <f>IF($A855="","",IFERROR(MINIFS(Candidates!$K$2:$K$2000,Candidates!$A$2:$A$2000,$A855),""))</f>
        <v/>
      </c>
      <c r="S855" s="65" t="str">
        <f>IF($A855="","",IFERROR(MAXIFS(Candidates!$AA$2:$AA$2000,Candidates!$A$2:$A$2000,$A855),""))</f>
        <v/>
      </c>
      <c r="T855" s="64" t="str">
        <f>IFERROR(__xludf.DUMMYFUNCTION("IF($A855="""","""",IFERROR(TEXTJOIN("", "",TRUE,UNIQUE(FILTER(Candidates!$B$2:$B$2000,Candidates!$A$2:$A$2000=$A855))),""""))"),"")</f>
        <v/>
      </c>
      <c r="U855" s="66" t="str">
        <f>IF($A855="","",COUNTIF(Candidates!$A$2:$A$2000,$A855))</f>
        <v/>
      </c>
      <c r="V855" s="64" t="str">
        <f>IFERROR(__xludf.DUMMYFUNCTION("IF($A855="""","""",IFERROR(INDEX(FILTER(Candidates!$S$2:$S$2000,Candidates!$A$2:$A$2000=$A855),COUNTIF(Candidates!$A$2:$A$2000,$A855)),""""))"),"")</f>
        <v/>
      </c>
      <c r="W855" s="64" t="str">
        <f>IFERROR(__xludf.DUMMYFUNCTION("IF($A855="""","""",IFERROR(INDEX(FILTER(Candidates!$T$2:$T$2000,Candidates!$A$2:$A$2000=$A855),COUNTIF(Candidates!$A$2:$A$2000,$A855)),""""))"),"")</f>
        <v/>
      </c>
      <c r="X855" s="64"/>
      <c r="Y855" s="64"/>
      <c r="Z855" s="65"/>
      <c r="AA855" s="65"/>
      <c r="AB855" s="65"/>
      <c r="AC855" s="65"/>
    </row>
    <row r="856">
      <c r="A856" s="64"/>
      <c r="B856" s="64"/>
      <c r="C856" s="64"/>
      <c r="D856" s="64"/>
      <c r="E856" s="64"/>
      <c r="F856" s="64"/>
      <c r="G856" s="64"/>
      <c r="H856" s="63"/>
      <c r="I856" s="64"/>
      <c r="J856" s="64"/>
      <c r="K856" s="64"/>
      <c r="L856" s="64"/>
      <c r="M856" s="64"/>
      <c r="N856" s="64"/>
      <c r="O856" s="64"/>
      <c r="P856" s="64"/>
      <c r="Q856" s="64"/>
      <c r="R856" s="65" t="str">
        <f>IF($A856="","",IFERROR(MINIFS(Candidates!$K$2:$K$2000,Candidates!$A$2:$A$2000,$A856),""))</f>
        <v/>
      </c>
      <c r="S856" s="65" t="str">
        <f>IF($A856="","",IFERROR(MAXIFS(Candidates!$AA$2:$AA$2000,Candidates!$A$2:$A$2000,$A856),""))</f>
        <v/>
      </c>
      <c r="T856" s="64" t="str">
        <f>IFERROR(__xludf.DUMMYFUNCTION("IF($A856="""","""",IFERROR(TEXTJOIN("", "",TRUE,UNIQUE(FILTER(Candidates!$B$2:$B$2000,Candidates!$A$2:$A$2000=$A856))),""""))"),"")</f>
        <v/>
      </c>
      <c r="U856" s="66" t="str">
        <f>IF($A856="","",COUNTIF(Candidates!$A$2:$A$2000,$A856))</f>
        <v/>
      </c>
      <c r="V856" s="64" t="str">
        <f>IFERROR(__xludf.DUMMYFUNCTION("IF($A856="""","""",IFERROR(INDEX(FILTER(Candidates!$S$2:$S$2000,Candidates!$A$2:$A$2000=$A856),COUNTIF(Candidates!$A$2:$A$2000,$A856)),""""))"),"")</f>
        <v/>
      </c>
      <c r="W856" s="64" t="str">
        <f>IFERROR(__xludf.DUMMYFUNCTION("IF($A856="""","""",IFERROR(INDEX(FILTER(Candidates!$T$2:$T$2000,Candidates!$A$2:$A$2000=$A856),COUNTIF(Candidates!$A$2:$A$2000,$A856)),""""))"),"")</f>
        <v/>
      </c>
      <c r="X856" s="64"/>
      <c r="Y856" s="64"/>
      <c r="Z856" s="65"/>
      <c r="AA856" s="65"/>
      <c r="AB856" s="65"/>
      <c r="AC856" s="65"/>
    </row>
    <row r="857">
      <c r="A857" s="64"/>
      <c r="B857" s="64"/>
      <c r="C857" s="64"/>
      <c r="D857" s="64"/>
      <c r="E857" s="64"/>
      <c r="F857" s="64"/>
      <c r="G857" s="64"/>
      <c r="H857" s="63"/>
      <c r="I857" s="64"/>
      <c r="J857" s="64"/>
      <c r="K857" s="64"/>
      <c r="L857" s="64"/>
      <c r="M857" s="64"/>
      <c r="N857" s="64"/>
      <c r="O857" s="64"/>
      <c r="P857" s="64"/>
      <c r="Q857" s="64"/>
      <c r="R857" s="65" t="str">
        <f>IF($A857="","",IFERROR(MINIFS(Candidates!$K$2:$K$2000,Candidates!$A$2:$A$2000,$A857),""))</f>
        <v/>
      </c>
      <c r="S857" s="65" t="str">
        <f>IF($A857="","",IFERROR(MAXIFS(Candidates!$AA$2:$AA$2000,Candidates!$A$2:$A$2000,$A857),""))</f>
        <v/>
      </c>
      <c r="T857" s="64" t="str">
        <f>IFERROR(__xludf.DUMMYFUNCTION("IF($A857="""","""",IFERROR(TEXTJOIN("", "",TRUE,UNIQUE(FILTER(Candidates!$B$2:$B$2000,Candidates!$A$2:$A$2000=$A857))),""""))"),"")</f>
        <v/>
      </c>
      <c r="U857" s="66" t="str">
        <f>IF($A857="","",COUNTIF(Candidates!$A$2:$A$2000,$A857))</f>
        <v/>
      </c>
      <c r="V857" s="64" t="str">
        <f>IFERROR(__xludf.DUMMYFUNCTION("IF($A857="""","""",IFERROR(INDEX(FILTER(Candidates!$S$2:$S$2000,Candidates!$A$2:$A$2000=$A857),COUNTIF(Candidates!$A$2:$A$2000,$A857)),""""))"),"")</f>
        <v/>
      </c>
      <c r="W857" s="64" t="str">
        <f>IFERROR(__xludf.DUMMYFUNCTION("IF($A857="""","""",IFERROR(INDEX(FILTER(Candidates!$T$2:$T$2000,Candidates!$A$2:$A$2000=$A857),COUNTIF(Candidates!$A$2:$A$2000,$A857)),""""))"),"")</f>
        <v/>
      </c>
      <c r="X857" s="64"/>
      <c r="Y857" s="64"/>
      <c r="Z857" s="65"/>
      <c r="AA857" s="65"/>
      <c r="AB857" s="65"/>
      <c r="AC857" s="65"/>
    </row>
    <row r="858">
      <c r="A858" s="64"/>
      <c r="B858" s="64"/>
      <c r="C858" s="64"/>
      <c r="D858" s="64"/>
      <c r="E858" s="64"/>
      <c r="F858" s="64"/>
      <c r="G858" s="64"/>
      <c r="H858" s="63"/>
      <c r="I858" s="64"/>
      <c r="J858" s="64"/>
      <c r="K858" s="64"/>
      <c r="L858" s="64"/>
      <c r="M858" s="64"/>
      <c r="N858" s="64"/>
      <c r="O858" s="64"/>
      <c r="P858" s="64"/>
      <c r="Q858" s="64"/>
      <c r="R858" s="65" t="str">
        <f>IF($A858="","",IFERROR(MINIFS(Candidates!$K$2:$K$2000,Candidates!$A$2:$A$2000,$A858),""))</f>
        <v/>
      </c>
      <c r="S858" s="65" t="str">
        <f>IF($A858="","",IFERROR(MAXIFS(Candidates!$AA$2:$AA$2000,Candidates!$A$2:$A$2000,$A858),""))</f>
        <v/>
      </c>
      <c r="T858" s="64" t="str">
        <f>IFERROR(__xludf.DUMMYFUNCTION("IF($A858="""","""",IFERROR(TEXTJOIN("", "",TRUE,UNIQUE(FILTER(Candidates!$B$2:$B$2000,Candidates!$A$2:$A$2000=$A858))),""""))"),"")</f>
        <v/>
      </c>
      <c r="U858" s="66" t="str">
        <f>IF($A858="","",COUNTIF(Candidates!$A$2:$A$2000,$A858))</f>
        <v/>
      </c>
      <c r="V858" s="64" t="str">
        <f>IFERROR(__xludf.DUMMYFUNCTION("IF($A858="""","""",IFERROR(INDEX(FILTER(Candidates!$S$2:$S$2000,Candidates!$A$2:$A$2000=$A858),COUNTIF(Candidates!$A$2:$A$2000,$A858)),""""))"),"")</f>
        <v/>
      </c>
      <c r="W858" s="64" t="str">
        <f>IFERROR(__xludf.DUMMYFUNCTION("IF($A858="""","""",IFERROR(INDEX(FILTER(Candidates!$T$2:$T$2000,Candidates!$A$2:$A$2000=$A858),COUNTIF(Candidates!$A$2:$A$2000,$A858)),""""))"),"")</f>
        <v/>
      </c>
      <c r="X858" s="64"/>
      <c r="Y858" s="64"/>
      <c r="Z858" s="65"/>
      <c r="AA858" s="65"/>
      <c r="AB858" s="65"/>
      <c r="AC858" s="65"/>
    </row>
    <row r="859">
      <c r="A859" s="64"/>
      <c r="B859" s="64"/>
      <c r="C859" s="64"/>
      <c r="D859" s="64"/>
      <c r="E859" s="64"/>
      <c r="F859" s="64"/>
      <c r="G859" s="64"/>
      <c r="H859" s="63"/>
      <c r="I859" s="64"/>
      <c r="J859" s="64"/>
      <c r="K859" s="64"/>
      <c r="L859" s="64"/>
      <c r="M859" s="64"/>
      <c r="N859" s="64"/>
      <c r="O859" s="64"/>
      <c r="P859" s="64"/>
      <c r="Q859" s="64"/>
      <c r="R859" s="65" t="str">
        <f>IF($A859="","",IFERROR(MINIFS(Candidates!$K$2:$K$2000,Candidates!$A$2:$A$2000,$A859),""))</f>
        <v/>
      </c>
      <c r="S859" s="65" t="str">
        <f>IF($A859="","",IFERROR(MAXIFS(Candidates!$AA$2:$AA$2000,Candidates!$A$2:$A$2000,$A859),""))</f>
        <v/>
      </c>
      <c r="T859" s="64" t="str">
        <f>IFERROR(__xludf.DUMMYFUNCTION("IF($A859="""","""",IFERROR(TEXTJOIN("", "",TRUE,UNIQUE(FILTER(Candidates!$B$2:$B$2000,Candidates!$A$2:$A$2000=$A859))),""""))"),"")</f>
        <v/>
      </c>
      <c r="U859" s="66" t="str">
        <f>IF($A859="","",COUNTIF(Candidates!$A$2:$A$2000,$A859))</f>
        <v/>
      </c>
      <c r="V859" s="64" t="str">
        <f>IFERROR(__xludf.DUMMYFUNCTION("IF($A859="""","""",IFERROR(INDEX(FILTER(Candidates!$S$2:$S$2000,Candidates!$A$2:$A$2000=$A859),COUNTIF(Candidates!$A$2:$A$2000,$A859)),""""))"),"")</f>
        <v/>
      </c>
      <c r="W859" s="64" t="str">
        <f>IFERROR(__xludf.DUMMYFUNCTION("IF($A859="""","""",IFERROR(INDEX(FILTER(Candidates!$T$2:$T$2000,Candidates!$A$2:$A$2000=$A859),COUNTIF(Candidates!$A$2:$A$2000,$A859)),""""))"),"")</f>
        <v/>
      </c>
      <c r="X859" s="64"/>
      <c r="Y859" s="64"/>
      <c r="Z859" s="65"/>
      <c r="AA859" s="65"/>
      <c r="AB859" s="65"/>
      <c r="AC859" s="65"/>
    </row>
    <row r="860">
      <c r="A860" s="64"/>
      <c r="B860" s="64"/>
      <c r="C860" s="64"/>
      <c r="D860" s="64"/>
      <c r="E860" s="64"/>
      <c r="F860" s="64"/>
      <c r="G860" s="64"/>
      <c r="H860" s="63"/>
      <c r="I860" s="64"/>
      <c r="J860" s="64"/>
      <c r="K860" s="64"/>
      <c r="L860" s="64"/>
      <c r="M860" s="64"/>
      <c r="N860" s="64"/>
      <c r="O860" s="64"/>
      <c r="P860" s="64"/>
      <c r="Q860" s="64"/>
      <c r="R860" s="65" t="str">
        <f>IF($A860="","",IFERROR(MINIFS(Candidates!$K$2:$K$2000,Candidates!$A$2:$A$2000,$A860),""))</f>
        <v/>
      </c>
      <c r="S860" s="65" t="str">
        <f>IF($A860="","",IFERROR(MAXIFS(Candidates!$AA$2:$AA$2000,Candidates!$A$2:$A$2000,$A860),""))</f>
        <v/>
      </c>
      <c r="T860" s="64" t="str">
        <f>IFERROR(__xludf.DUMMYFUNCTION("IF($A860="""","""",IFERROR(TEXTJOIN("", "",TRUE,UNIQUE(FILTER(Candidates!$B$2:$B$2000,Candidates!$A$2:$A$2000=$A860))),""""))"),"")</f>
        <v/>
      </c>
      <c r="U860" s="66" t="str">
        <f>IF($A860="","",COUNTIF(Candidates!$A$2:$A$2000,$A860))</f>
        <v/>
      </c>
      <c r="V860" s="64" t="str">
        <f>IFERROR(__xludf.DUMMYFUNCTION("IF($A860="""","""",IFERROR(INDEX(FILTER(Candidates!$S$2:$S$2000,Candidates!$A$2:$A$2000=$A860),COUNTIF(Candidates!$A$2:$A$2000,$A860)),""""))"),"")</f>
        <v/>
      </c>
      <c r="W860" s="64" t="str">
        <f>IFERROR(__xludf.DUMMYFUNCTION("IF($A860="""","""",IFERROR(INDEX(FILTER(Candidates!$T$2:$T$2000,Candidates!$A$2:$A$2000=$A860),COUNTIF(Candidates!$A$2:$A$2000,$A860)),""""))"),"")</f>
        <v/>
      </c>
      <c r="X860" s="64"/>
      <c r="Y860" s="64"/>
      <c r="Z860" s="65"/>
      <c r="AA860" s="65"/>
      <c r="AB860" s="65"/>
      <c r="AC860" s="65"/>
    </row>
    <row r="861">
      <c r="A861" s="64"/>
      <c r="B861" s="64"/>
      <c r="C861" s="64"/>
      <c r="D861" s="64"/>
      <c r="E861" s="64"/>
      <c r="F861" s="64"/>
      <c r="G861" s="64"/>
      <c r="H861" s="63"/>
      <c r="I861" s="64"/>
      <c r="J861" s="64"/>
      <c r="K861" s="64"/>
      <c r="L861" s="64"/>
      <c r="M861" s="64"/>
      <c r="N861" s="64"/>
      <c r="O861" s="64"/>
      <c r="P861" s="64"/>
      <c r="Q861" s="64"/>
      <c r="R861" s="65" t="str">
        <f>IF($A861="","",IFERROR(MINIFS(Candidates!$K$2:$K$2000,Candidates!$A$2:$A$2000,$A861),""))</f>
        <v/>
      </c>
      <c r="S861" s="65" t="str">
        <f>IF($A861="","",IFERROR(MAXIFS(Candidates!$AA$2:$AA$2000,Candidates!$A$2:$A$2000,$A861),""))</f>
        <v/>
      </c>
      <c r="T861" s="64" t="str">
        <f>IFERROR(__xludf.DUMMYFUNCTION("IF($A861="""","""",IFERROR(TEXTJOIN("", "",TRUE,UNIQUE(FILTER(Candidates!$B$2:$B$2000,Candidates!$A$2:$A$2000=$A861))),""""))"),"")</f>
        <v/>
      </c>
      <c r="U861" s="66" t="str">
        <f>IF($A861="","",COUNTIF(Candidates!$A$2:$A$2000,$A861))</f>
        <v/>
      </c>
      <c r="V861" s="64" t="str">
        <f>IFERROR(__xludf.DUMMYFUNCTION("IF($A861="""","""",IFERROR(INDEX(FILTER(Candidates!$S$2:$S$2000,Candidates!$A$2:$A$2000=$A861),COUNTIF(Candidates!$A$2:$A$2000,$A861)),""""))"),"")</f>
        <v/>
      </c>
      <c r="W861" s="64" t="str">
        <f>IFERROR(__xludf.DUMMYFUNCTION("IF($A861="""","""",IFERROR(INDEX(FILTER(Candidates!$T$2:$T$2000,Candidates!$A$2:$A$2000=$A861),COUNTIF(Candidates!$A$2:$A$2000,$A861)),""""))"),"")</f>
        <v/>
      </c>
      <c r="X861" s="64"/>
      <c r="Y861" s="64"/>
      <c r="Z861" s="65"/>
      <c r="AA861" s="65"/>
      <c r="AB861" s="65"/>
      <c r="AC861" s="65"/>
    </row>
    <row r="862">
      <c r="A862" s="64"/>
      <c r="B862" s="64"/>
      <c r="C862" s="64"/>
      <c r="D862" s="64"/>
      <c r="E862" s="64"/>
      <c r="F862" s="64"/>
      <c r="G862" s="64"/>
      <c r="H862" s="63"/>
      <c r="I862" s="64"/>
      <c r="J862" s="64"/>
      <c r="K862" s="64"/>
      <c r="L862" s="64"/>
      <c r="M862" s="64"/>
      <c r="N862" s="64"/>
      <c r="O862" s="64"/>
      <c r="P862" s="64"/>
      <c r="Q862" s="64"/>
      <c r="R862" s="65" t="str">
        <f>IF($A862="","",IFERROR(MINIFS(Candidates!$K$2:$K$2000,Candidates!$A$2:$A$2000,$A862),""))</f>
        <v/>
      </c>
      <c r="S862" s="65" t="str">
        <f>IF($A862="","",IFERROR(MAXIFS(Candidates!$AA$2:$AA$2000,Candidates!$A$2:$A$2000,$A862),""))</f>
        <v/>
      </c>
      <c r="T862" s="64" t="str">
        <f>IFERROR(__xludf.DUMMYFUNCTION("IF($A862="""","""",IFERROR(TEXTJOIN("", "",TRUE,UNIQUE(FILTER(Candidates!$B$2:$B$2000,Candidates!$A$2:$A$2000=$A862))),""""))"),"")</f>
        <v/>
      </c>
      <c r="U862" s="66" t="str">
        <f>IF($A862="","",COUNTIF(Candidates!$A$2:$A$2000,$A862))</f>
        <v/>
      </c>
      <c r="V862" s="64" t="str">
        <f>IFERROR(__xludf.DUMMYFUNCTION("IF($A862="""","""",IFERROR(INDEX(FILTER(Candidates!$S$2:$S$2000,Candidates!$A$2:$A$2000=$A862),COUNTIF(Candidates!$A$2:$A$2000,$A862)),""""))"),"")</f>
        <v/>
      </c>
      <c r="W862" s="64" t="str">
        <f>IFERROR(__xludf.DUMMYFUNCTION("IF($A862="""","""",IFERROR(INDEX(FILTER(Candidates!$T$2:$T$2000,Candidates!$A$2:$A$2000=$A862),COUNTIF(Candidates!$A$2:$A$2000,$A862)),""""))"),"")</f>
        <v/>
      </c>
      <c r="X862" s="64"/>
      <c r="Y862" s="64"/>
      <c r="Z862" s="65"/>
      <c r="AA862" s="65"/>
      <c r="AB862" s="65"/>
      <c r="AC862" s="65"/>
    </row>
    <row r="863">
      <c r="A863" s="64"/>
      <c r="B863" s="64"/>
      <c r="C863" s="64"/>
      <c r="D863" s="64"/>
      <c r="E863" s="64"/>
      <c r="F863" s="64"/>
      <c r="G863" s="64"/>
      <c r="H863" s="63"/>
      <c r="I863" s="64"/>
      <c r="J863" s="64"/>
      <c r="K863" s="64"/>
      <c r="L863" s="64"/>
      <c r="M863" s="64"/>
      <c r="N863" s="64"/>
      <c r="O863" s="64"/>
      <c r="P863" s="64"/>
      <c r="Q863" s="64"/>
      <c r="R863" s="65" t="str">
        <f>IF($A863="","",IFERROR(MINIFS(Candidates!$K$2:$K$2000,Candidates!$A$2:$A$2000,$A863),""))</f>
        <v/>
      </c>
      <c r="S863" s="65" t="str">
        <f>IF($A863="","",IFERROR(MAXIFS(Candidates!$AA$2:$AA$2000,Candidates!$A$2:$A$2000,$A863),""))</f>
        <v/>
      </c>
      <c r="T863" s="64" t="str">
        <f>IFERROR(__xludf.DUMMYFUNCTION("IF($A863="""","""",IFERROR(TEXTJOIN("", "",TRUE,UNIQUE(FILTER(Candidates!$B$2:$B$2000,Candidates!$A$2:$A$2000=$A863))),""""))"),"")</f>
        <v/>
      </c>
      <c r="U863" s="66" t="str">
        <f>IF($A863="","",COUNTIF(Candidates!$A$2:$A$2000,$A863))</f>
        <v/>
      </c>
      <c r="V863" s="64" t="str">
        <f>IFERROR(__xludf.DUMMYFUNCTION("IF($A863="""","""",IFERROR(INDEX(FILTER(Candidates!$S$2:$S$2000,Candidates!$A$2:$A$2000=$A863),COUNTIF(Candidates!$A$2:$A$2000,$A863)),""""))"),"")</f>
        <v/>
      </c>
      <c r="W863" s="64" t="str">
        <f>IFERROR(__xludf.DUMMYFUNCTION("IF($A863="""","""",IFERROR(INDEX(FILTER(Candidates!$T$2:$T$2000,Candidates!$A$2:$A$2000=$A863),COUNTIF(Candidates!$A$2:$A$2000,$A863)),""""))"),"")</f>
        <v/>
      </c>
      <c r="X863" s="64"/>
      <c r="Y863" s="64"/>
      <c r="Z863" s="65"/>
      <c r="AA863" s="65"/>
      <c r="AB863" s="65"/>
      <c r="AC863" s="65"/>
    </row>
    <row r="864">
      <c r="A864" s="64"/>
      <c r="B864" s="64"/>
      <c r="C864" s="64"/>
      <c r="D864" s="64"/>
      <c r="E864" s="64"/>
      <c r="F864" s="64"/>
      <c r="G864" s="64"/>
      <c r="H864" s="63"/>
      <c r="I864" s="64"/>
      <c r="J864" s="64"/>
      <c r="K864" s="64"/>
      <c r="L864" s="64"/>
      <c r="M864" s="64"/>
      <c r="N864" s="64"/>
      <c r="O864" s="64"/>
      <c r="P864" s="64"/>
      <c r="Q864" s="64"/>
      <c r="R864" s="65" t="str">
        <f>IF($A864="","",IFERROR(MINIFS(Candidates!$K$2:$K$2000,Candidates!$A$2:$A$2000,$A864),""))</f>
        <v/>
      </c>
      <c r="S864" s="65" t="str">
        <f>IF($A864="","",IFERROR(MAXIFS(Candidates!$AA$2:$AA$2000,Candidates!$A$2:$A$2000,$A864),""))</f>
        <v/>
      </c>
      <c r="T864" s="64" t="str">
        <f>IFERROR(__xludf.DUMMYFUNCTION("IF($A864="""","""",IFERROR(TEXTJOIN("", "",TRUE,UNIQUE(FILTER(Candidates!$B$2:$B$2000,Candidates!$A$2:$A$2000=$A864))),""""))"),"")</f>
        <v/>
      </c>
      <c r="U864" s="66" t="str">
        <f>IF($A864="","",COUNTIF(Candidates!$A$2:$A$2000,$A864))</f>
        <v/>
      </c>
      <c r="V864" s="64" t="str">
        <f>IFERROR(__xludf.DUMMYFUNCTION("IF($A864="""","""",IFERROR(INDEX(FILTER(Candidates!$S$2:$S$2000,Candidates!$A$2:$A$2000=$A864),COUNTIF(Candidates!$A$2:$A$2000,$A864)),""""))"),"")</f>
        <v/>
      </c>
      <c r="W864" s="64" t="str">
        <f>IFERROR(__xludf.DUMMYFUNCTION("IF($A864="""","""",IFERROR(INDEX(FILTER(Candidates!$T$2:$T$2000,Candidates!$A$2:$A$2000=$A864),COUNTIF(Candidates!$A$2:$A$2000,$A864)),""""))"),"")</f>
        <v/>
      </c>
      <c r="X864" s="64"/>
      <c r="Y864" s="64"/>
      <c r="Z864" s="65"/>
      <c r="AA864" s="65"/>
      <c r="AB864" s="65"/>
      <c r="AC864" s="65"/>
    </row>
    <row r="865">
      <c r="A865" s="64"/>
      <c r="B865" s="64"/>
      <c r="C865" s="64"/>
      <c r="D865" s="64"/>
      <c r="E865" s="64"/>
      <c r="F865" s="64"/>
      <c r="G865" s="64"/>
      <c r="H865" s="63"/>
      <c r="I865" s="64"/>
      <c r="J865" s="64"/>
      <c r="K865" s="64"/>
      <c r="L865" s="64"/>
      <c r="M865" s="64"/>
      <c r="N865" s="64"/>
      <c r="O865" s="64"/>
      <c r="P865" s="64"/>
      <c r="Q865" s="64"/>
      <c r="R865" s="65" t="str">
        <f>IF($A865="","",IFERROR(MINIFS(Candidates!$K$2:$K$2000,Candidates!$A$2:$A$2000,$A865),""))</f>
        <v/>
      </c>
      <c r="S865" s="65" t="str">
        <f>IF($A865="","",IFERROR(MAXIFS(Candidates!$AA$2:$AA$2000,Candidates!$A$2:$A$2000,$A865),""))</f>
        <v/>
      </c>
      <c r="T865" s="64" t="str">
        <f>IFERROR(__xludf.DUMMYFUNCTION("IF($A865="""","""",IFERROR(TEXTJOIN("", "",TRUE,UNIQUE(FILTER(Candidates!$B$2:$B$2000,Candidates!$A$2:$A$2000=$A865))),""""))"),"")</f>
        <v/>
      </c>
      <c r="U865" s="66" t="str">
        <f>IF($A865="","",COUNTIF(Candidates!$A$2:$A$2000,$A865))</f>
        <v/>
      </c>
      <c r="V865" s="64" t="str">
        <f>IFERROR(__xludf.DUMMYFUNCTION("IF($A865="""","""",IFERROR(INDEX(FILTER(Candidates!$S$2:$S$2000,Candidates!$A$2:$A$2000=$A865),COUNTIF(Candidates!$A$2:$A$2000,$A865)),""""))"),"")</f>
        <v/>
      </c>
      <c r="W865" s="64" t="str">
        <f>IFERROR(__xludf.DUMMYFUNCTION("IF($A865="""","""",IFERROR(INDEX(FILTER(Candidates!$T$2:$T$2000,Candidates!$A$2:$A$2000=$A865),COUNTIF(Candidates!$A$2:$A$2000,$A865)),""""))"),"")</f>
        <v/>
      </c>
      <c r="X865" s="64"/>
      <c r="Y865" s="64"/>
      <c r="Z865" s="65"/>
      <c r="AA865" s="65"/>
      <c r="AB865" s="65"/>
      <c r="AC865" s="65"/>
    </row>
    <row r="866">
      <c r="A866" s="64"/>
      <c r="B866" s="64"/>
      <c r="C866" s="64"/>
      <c r="D866" s="64"/>
      <c r="E866" s="64"/>
      <c r="F866" s="64"/>
      <c r="G866" s="64"/>
      <c r="H866" s="63"/>
      <c r="I866" s="64"/>
      <c r="J866" s="64"/>
      <c r="K866" s="64"/>
      <c r="L866" s="64"/>
      <c r="M866" s="64"/>
      <c r="N866" s="64"/>
      <c r="O866" s="64"/>
      <c r="P866" s="64"/>
      <c r="Q866" s="64"/>
      <c r="R866" s="65" t="str">
        <f>IF($A866="","",IFERROR(MINIFS(Candidates!$K$2:$K$2000,Candidates!$A$2:$A$2000,$A866),""))</f>
        <v/>
      </c>
      <c r="S866" s="65" t="str">
        <f>IF($A866="","",IFERROR(MAXIFS(Candidates!$AA$2:$AA$2000,Candidates!$A$2:$A$2000,$A866),""))</f>
        <v/>
      </c>
      <c r="T866" s="64" t="str">
        <f>IFERROR(__xludf.DUMMYFUNCTION("IF($A866="""","""",IFERROR(TEXTJOIN("", "",TRUE,UNIQUE(FILTER(Candidates!$B$2:$B$2000,Candidates!$A$2:$A$2000=$A866))),""""))"),"")</f>
        <v/>
      </c>
      <c r="U866" s="66" t="str">
        <f>IF($A866="","",COUNTIF(Candidates!$A$2:$A$2000,$A866))</f>
        <v/>
      </c>
      <c r="V866" s="64" t="str">
        <f>IFERROR(__xludf.DUMMYFUNCTION("IF($A866="""","""",IFERROR(INDEX(FILTER(Candidates!$S$2:$S$2000,Candidates!$A$2:$A$2000=$A866),COUNTIF(Candidates!$A$2:$A$2000,$A866)),""""))"),"")</f>
        <v/>
      </c>
      <c r="W866" s="64" t="str">
        <f>IFERROR(__xludf.DUMMYFUNCTION("IF($A866="""","""",IFERROR(INDEX(FILTER(Candidates!$T$2:$T$2000,Candidates!$A$2:$A$2000=$A866),COUNTIF(Candidates!$A$2:$A$2000,$A866)),""""))"),"")</f>
        <v/>
      </c>
      <c r="X866" s="64"/>
      <c r="Y866" s="64"/>
      <c r="Z866" s="65"/>
      <c r="AA866" s="65"/>
      <c r="AB866" s="65"/>
      <c r="AC866" s="65"/>
    </row>
    <row r="867">
      <c r="A867" s="64"/>
      <c r="B867" s="64"/>
      <c r="C867" s="64"/>
      <c r="D867" s="64"/>
      <c r="E867" s="64"/>
      <c r="F867" s="64"/>
      <c r="G867" s="64"/>
      <c r="H867" s="63"/>
      <c r="I867" s="64"/>
      <c r="J867" s="64"/>
      <c r="K867" s="64"/>
      <c r="L867" s="64"/>
      <c r="M867" s="64"/>
      <c r="N867" s="64"/>
      <c r="O867" s="64"/>
      <c r="P867" s="64"/>
      <c r="Q867" s="64"/>
      <c r="R867" s="65" t="str">
        <f>IF($A867="","",IFERROR(MINIFS(Candidates!$K$2:$K$2000,Candidates!$A$2:$A$2000,$A867),""))</f>
        <v/>
      </c>
      <c r="S867" s="65" t="str">
        <f>IF($A867="","",IFERROR(MAXIFS(Candidates!$AA$2:$AA$2000,Candidates!$A$2:$A$2000,$A867),""))</f>
        <v/>
      </c>
      <c r="T867" s="64" t="str">
        <f>IFERROR(__xludf.DUMMYFUNCTION("IF($A867="""","""",IFERROR(TEXTJOIN("", "",TRUE,UNIQUE(FILTER(Candidates!$B$2:$B$2000,Candidates!$A$2:$A$2000=$A867))),""""))"),"")</f>
        <v/>
      </c>
      <c r="U867" s="66" t="str">
        <f>IF($A867="","",COUNTIF(Candidates!$A$2:$A$2000,$A867))</f>
        <v/>
      </c>
      <c r="V867" s="64" t="str">
        <f>IFERROR(__xludf.DUMMYFUNCTION("IF($A867="""","""",IFERROR(INDEX(FILTER(Candidates!$S$2:$S$2000,Candidates!$A$2:$A$2000=$A867),COUNTIF(Candidates!$A$2:$A$2000,$A867)),""""))"),"")</f>
        <v/>
      </c>
      <c r="W867" s="64" t="str">
        <f>IFERROR(__xludf.DUMMYFUNCTION("IF($A867="""","""",IFERROR(INDEX(FILTER(Candidates!$T$2:$T$2000,Candidates!$A$2:$A$2000=$A867),COUNTIF(Candidates!$A$2:$A$2000,$A867)),""""))"),"")</f>
        <v/>
      </c>
      <c r="X867" s="64"/>
      <c r="Y867" s="64"/>
      <c r="Z867" s="65"/>
      <c r="AA867" s="65"/>
      <c r="AB867" s="65"/>
      <c r="AC867" s="65"/>
    </row>
    <row r="868">
      <c r="A868" s="64"/>
      <c r="B868" s="64"/>
      <c r="C868" s="64"/>
      <c r="D868" s="64"/>
      <c r="E868" s="64"/>
      <c r="F868" s="64"/>
      <c r="G868" s="64"/>
      <c r="H868" s="63"/>
      <c r="I868" s="64"/>
      <c r="J868" s="64"/>
      <c r="K868" s="64"/>
      <c r="L868" s="64"/>
      <c r="M868" s="64"/>
      <c r="N868" s="64"/>
      <c r="O868" s="64"/>
      <c r="P868" s="64"/>
      <c r="Q868" s="64"/>
      <c r="R868" s="65" t="str">
        <f>IF($A868="","",IFERROR(MINIFS(Candidates!$K$2:$K$2000,Candidates!$A$2:$A$2000,$A868),""))</f>
        <v/>
      </c>
      <c r="S868" s="65" t="str">
        <f>IF($A868="","",IFERROR(MAXIFS(Candidates!$AA$2:$AA$2000,Candidates!$A$2:$A$2000,$A868),""))</f>
        <v/>
      </c>
      <c r="T868" s="64" t="str">
        <f>IFERROR(__xludf.DUMMYFUNCTION("IF($A868="""","""",IFERROR(TEXTJOIN("", "",TRUE,UNIQUE(FILTER(Candidates!$B$2:$B$2000,Candidates!$A$2:$A$2000=$A868))),""""))"),"")</f>
        <v/>
      </c>
      <c r="U868" s="66" t="str">
        <f>IF($A868="","",COUNTIF(Candidates!$A$2:$A$2000,$A868))</f>
        <v/>
      </c>
      <c r="V868" s="64" t="str">
        <f>IFERROR(__xludf.DUMMYFUNCTION("IF($A868="""","""",IFERROR(INDEX(FILTER(Candidates!$S$2:$S$2000,Candidates!$A$2:$A$2000=$A868),COUNTIF(Candidates!$A$2:$A$2000,$A868)),""""))"),"")</f>
        <v/>
      </c>
      <c r="W868" s="64" t="str">
        <f>IFERROR(__xludf.DUMMYFUNCTION("IF($A868="""","""",IFERROR(INDEX(FILTER(Candidates!$T$2:$T$2000,Candidates!$A$2:$A$2000=$A868),COUNTIF(Candidates!$A$2:$A$2000,$A868)),""""))"),"")</f>
        <v/>
      </c>
      <c r="X868" s="64"/>
      <c r="Y868" s="64"/>
      <c r="Z868" s="65"/>
      <c r="AA868" s="65"/>
      <c r="AB868" s="65"/>
      <c r="AC868" s="65"/>
    </row>
    <row r="869">
      <c r="A869" s="64"/>
      <c r="B869" s="64"/>
      <c r="C869" s="64"/>
      <c r="D869" s="64"/>
      <c r="E869" s="64"/>
      <c r="F869" s="64"/>
      <c r="G869" s="64"/>
      <c r="H869" s="63"/>
      <c r="I869" s="64"/>
      <c r="J869" s="64"/>
      <c r="K869" s="64"/>
      <c r="L869" s="64"/>
      <c r="M869" s="64"/>
      <c r="N869" s="64"/>
      <c r="O869" s="64"/>
      <c r="P869" s="64"/>
      <c r="Q869" s="64"/>
      <c r="R869" s="65" t="str">
        <f>IF($A869="","",IFERROR(MINIFS(Candidates!$K$2:$K$2000,Candidates!$A$2:$A$2000,$A869),""))</f>
        <v/>
      </c>
      <c r="S869" s="65" t="str">
        <f>IF($A869="","",IFERROR(MAXIFS(Candidates!$AA$2:$AA$2000,Candidates!$A$2:$A$2000,$A869),""))</f>
        <v/>
      </c>
      <c r="T869" s="64" t="str">
        <f>IFERROR(__xludf.DUMMYFUNCTION("IF($A869="""","""",IFERROR(TEXTJOIN("", "",TRUE,UNIQUE(FILTER(Candidates!$B$2:$B$2000,Candidates!$A$2:$A$2000=$A869))),""""))"),"")</f>
        <v/>
      </c>
      <c r="U869" s="66" t="str">
        <f>IF($A869="","",COUNTIF(Candidates!$A$2:$A$2000,$A869))</f>
        <v/>
      </c>
      <c r="V869" s="64" t="str">
        <f>IFERROR(__xludf.DUMMYFUNCTION("IF($A869="""","""",IFERROR(INDEX(FILTER(Candidates!$S$2:$S$2000,Candidates!$A$2:$A$2000=$A869),COUNTIF(Candidates!$A$2:$A$2000,$A869)),""""))"),"")</f>
        <v/>
      </c>
      <c r="W869" s="64" t="str">
        <f>IFERROR(__xludf.DUMMYFUNCTION("IF($A869="""","""",IFERROR(INDEX(FILTER(Candidates!$T$2:$T$2000,Candidates!$A$2:$A$2000=$A869),COUNTIF(Candidates!$A$2:$A$2000,$A869)),""""))"),"")</f>
        <v/>
      </c>
      <c r="X869" s="64"/>
      <c r="Y869" s="64"/>
      <c r="Z869" s="65"/>
      <c r="AA869" s="65"/>
      <c r="AB869" s="65"/>
      <c r="AC869" s="65"/>
    </row>
    <row r="870">
      <c r="A870" s="64"/>
      <c r="B870" s="64"/>
      <c r="C870" s="64"/>
      <c r="D870" s="64"/>
      <c r="E870" s="64"/>
      <c r="F870" s="64"/>
      <c r="G870" s="64"/>
      <c r="H870" s="63"/>
      <c r="I870" s="64"/>
      <c r="J870" s="64"/>
      <c r="K870" s="64"/>
      <c r="L870" s="64"/>
      <c r="M870" s="64"/>
      <c r="N870" s="64"/>
      <c r="O870" s="64"/>
      <c r="P870" s="64"/>
      <c r="Q870" s="64"/>
      <c r="R870" s="65" t="str">
        <f>IF($A870="","",IFERROR(MINIFS(Candidates!$K$2:$K$2000,Candidates!$A$2:$A$2000,$A870),""))</f>
        <v/>
      </c>
      <c r="S870" s="65" t="str">
        <f>IF($A870="","",IFERROR(MAXIFS(Candidates!$AA$2:$AA$2000,Candidates!$A$2:$A$2000,$A870),""))</f>
        <v/>
      </c>
      <c r="T870" s="64" t="str">
        <f>IFERROR(__xludf.DUMMYFUNCTION("IF($A870="""","""",IFERROR(TEXTJOIN("", "",TRUE,UNIQUE(FILTER(Candidates!$B$2:$B$2000,Candidates!$A$2:$A$2000=$A870))),""""))"),"")</f>
        <v/>
      </c>
      <c r="U870" s="66" t="str">
        <f>IF($A870="","",COUNTIF(Candidates!$A$2:$A$2000,$A870))</f>
        <v/>
      </c>
      <c r="V870" s="64" t="str">
        <f>IFERROR(__xludf.DUMMYFUNCTION("IF($A870="""","""",IFERROR(INDEX(FILTER(Candidates!$S$2:$S$2000,Candidates!$A$2:$A$2000=$A870),COUNTIF(Candidates!$A$2:$A$2000,$A870)),""""))"),"")</f>
        <v/>
      </c>
      <c r="W870" s="64" t="str">
        <f>IFERROR(__xludf.DUMMYFUNCTION("IF($A870="""","""",IFERROR(INDEX(FILTER(Candidates!$T$2:$T$2000,Candidates!$A$2:$A$2000=$A870),COUNTIF(Candidates!$A$2:$A$2000,$A870)),""""))"),"")</f>
        <v/>
      </c>
      <c r="X870" s="64"/>
      <c r="Y870" s="64"/>
      <c r="Z870" s="65"/>
      <c r="AA870" s="65"/>
      <c r="AB870" s="65"/>
      <c r="AC870" s="65"/>
    </row>
    <row r="871">
      <c r="A871" s="64"/>
      <c r="B871" s="64"/>
      <c r="C871" s="64"/>
      <c r="D871" s="64"/>
      <c r="E871" s="64"/>
      <c r="F871" s="64"/>
      <c r="G871" s="64"/>
      <c r="H871" s="63"/>
      <c r="I871" s="64"/>
      <c r="J871" s="64"/>
      <c r="K871" s="64"/>
      <c r="L871" s="64"/>
      <c r="M871" s="64"/>
      <c r="N871" s="64"/>
      <c r="O871" s="64"/>
      <c r="P871" s="64"/>
      <c r="Q871" s="64"/>
      <c r="R871" s="65" t="str">
        <f>IF($A871="","",IFERROR(MINIFS(Candidates!$K$2:$K$2000,Candidates!$A$2:$A$2000,$A871),""))</f>
        <v/>
      </c>
      <c r="S871" s="65" t="str">
        <f>IF($A871="","",IFERROR(MAXIFS(Candidates!$AA$2:$AA$2000,Candidates!$A$2:$A$2000,$A871),""))</f>
        <v/>
      </c>
      <c r="T871" s="64" t="str">
        <f>IFERROR(__xludf.DUMMYFUNCTION("IF($A871="""","""",IFERROR(TEXTJOIN("", "",TRUE,UNIQUE(FILTER(Candidates!$B$2:$B$2000,Candidates!$A$2:$A$2000=$A871))),""""))"),"")</f>
        <v/>
      </c>
      <c r="U871" s="66" t="str">
        <f>IF($A871="","",COUNTIF(Candidates!$A$2:$A$2000,$A871))</f>
        <v/>
      </c>
      <c r="V871" s="64" t="str">
        <f>IFERROR(__xludf.DUMMYFUNCTION("IF($A871="""","""",IFERROR(INDEX(FILTER(Candidates!$S$2:$S$2000,Candidates!$A$2:$A$2000=$A871),COUNTIF(Candidates!$A$2:$A$2000,$A871)),""""))"),"")</f>
        <v/>
      </c>
      <c r="W871" s="64" t="str">
        <f>IFERROR(__xludf.DUMMYFUNCTION("IF($A871="""","""",IFERROR(INDEX(FILTER(Candidates!$T$2:$T$2000,Candidates!$A$2:$A$2000=$A871),COUNTIF(Candidates!$A$2:$A$2000,$A871)),""""))"),"")</f>
        <v/>
      </c>
      <c r="X871" s="64"/>
      <c r="Y871" s="64"/>
      <c r="Z871" s="65"/>
      <c r="AA871" s="65"/>
      <c r="AB871" s="65"/>
      <c r="AC871" s="65"/>
    </row>
    <row r="872">
      <c r="A872" s="64"/>
      <c r="B872" s="64"/>
      <c r="C872" s="64"/>
      <c r="D872" s="64"/>
      <c r="E872" s="64"/>
      <c r="F872" s="64"/>
      <c r="G872" s="64"/>
      <c r="H872" s="63"/>
      <c r="I872" s="64"/>
      <c r="J872" s="64"/>
      <c r="K872" s="64"/>
      <c r="L872" s="64"/>
      <c r="M872" s="64"/>
      <c r="N872" s="64"/>
      <c r="O872" s="64"/>
      <c r="P872" s="64"/>
      <c r="Q872" s="64"/>
      <c r="R872" s="65" t="str">
        <f>IF($A872="","",IFERROR(MINIFS(Candidates!$K$2:$K$2000,Candidates!$A$2:$A$2000,$A872),""))</f>
        <v/>
      </c>
      <c r="S872" s="65" t="str">
        <f>IF($A872="","",IFERROR(MAXIFS(Candidates!$AA$2:$AA$2000,Candidates!$A$2:$A$2000,$A872),""))</f>
        <v/>
      </c>
      <c r="T872" s="64" t="str">
        <f>IFERROR(__xludf.DUMMYFUNCTION("IF($A872="""","""",IFERROR(TEXTJOIN("", "",TRUE,UNIQUE(FILTER(Candidates!$B$2:$B$2000,Candidates!$A$2:$A$2000=$A872))),""""))"),"")</f>
        <v/>
      </c>
      <c r="U872" s="66" t="str">
        <f>IF($A872="","",COUNTIF(Candidates!$A$2:$A$2000,$A872))</f>
        <v/>
      </c>
      <c r="V872" s="64" t="str">
        <f>IFERROR(__xludf.DUMMYFUNCTION("IF($A872="""","""",IFERROR(INDEX(FILTER(Candidates!$S$2:$S$2000,Candidates!$A$2:$A$2000=$A872),COUNTIF(Candidates!$A$2:$A$2000,$A872)),""""))"),"")</f>
        <v/>
      </c>
      <c r="W872" s="64" t="str">
        <f>IFERROR(__xludf.DUMMYFUNCTION("IF($A872="""","""",IFERROR(INDEX(FILTER(Candidates!$T$2:$T$2000,Candidates!$A$2:$A$2000=$A872),COUNTIF(Candidates!$A$2:$A$2000,$A872)),""""))"),"")</f>
        <v/>
      </c>
      <c r="X872" s="64"/>
      <c r="Y872" s="64"/>
      <c r="Z872" s="65"/>
      <c r="AA872" s="65"/>
      <c r="AB872" s="65"/>
      <c r="AC872" s="65"/>
    </row>
    <row r="873">
      <c r="A873" s="64"/>
      <c r="B873" s="64"/>
      <c r="C873" s="64"/>
      <c r="D873" s="64"/>
      <c r="E873" s="64"/>
      <c r="F873" s="64"/>
      <c r="G873" s="64"/>
      <c r="H873" s="63"/>
      <c r="I873" s="64"/>
      <c r="J873" s="64"/>
      <c r="K873" s="64"/>
      <c r="L873" s="64"/>
      <c r="M873" s="64"/>
      <c r="N873" s="64"/>
      <c r="O873" s="64"/>
      <c r="P873" s="64"/>
      <c r="Q873" s="64"/>
      <c r="R873" s="65" t="str">
        <f>IF($A873="","",IFERROR(MINIFS(Candidates!$K$2:$K$2000,Candidates!$A$2:$A$2000,$A873),""))</f>
        <v/>
      </c>
      <c r="S873" s="65" t="str">
        <f>IF($A873="","",IFERROR(MAXIFS(Candidates!$AA$2:$AA$2000,Candidates!$A$2:$A$2000,$A873),""))</f>
        <v/>
      </c>
      <c r="T873" s="64" t="str">
        <f>IFERROR(__xludf.DUMMYFUNCTION("IF($A873="""","""",IFERROR(TEXTJOIN("", "",TRUE,UNIQUE(FILTER(Candidates!$B$2:$B$2000,Candidates!$A$2:$A$2000=$A873))),""""))"),"")</f>
        <v/>
      </c>
      <c r="U873" s="66" t="str">
        <f>IF($A873="","",COUNTIF(Candidates!$A$2:$A$2000,$A873))</f>
        <v/>
      </c>
      <c r="V873" s="64" t="str">
        <f>IFERROR(__xludf.DUMMYFUNCTION("IF($A873="""","""",IFERROR(INDEX(FILTER(Candidates!$S$2:$S$2000,Candidates!$A$2:$A$2000=$A873),COUNTIF(Candidates!$A$2:$A$2000,$A873)),""""))"),"")</f>
        <v/>
      </c>
      <c r="W873" s="64" t="str">
        <f>IFERROR(__xludf.DUMMYFUNCTION("IF($A873="""","""",IFERROR(INDEX(FILTER(Candidates!$T$2:$T$2000,Candidates!$A$2:$A$2000=$A873),COUNTIF(Candidates!$A$2:$A$2000,$A873)),""""))"),"")</f>
        <v/>
      </c>
      <c r="X873" s="64"/>
      <c r="Y873" s="64"/>
      <c r="Z873" s="65"/>
      <c r="AA873" s="65"/>
      <c r="AB873" s="65"/>
      <c r="AC873" s="65"/>
    </row>
    <row r="874">
      <c r="A874" s="64"/>
      <c r="B874" s="64"/>
      <c r="C874" s="64"/>
      <c r="D874" s="64"/>
      <c r="E874" s="64"/>
      <c r="F874" s="64"/>
      <c r="G874" s="64"/>
      <c r="H874" s="63"/>
      <c r="I874" s="64"/>
      <c r="J874" s="64"/>
      <c r="K874" s="64"/>
      <c r="L874" s="64"/>
      <c r="M874" s="64"/>
      <c r="N874" s="64"/>
      <c r="O874" s="64"/>
      <c r="P874" s="64"/>
      <c r="Q874" s="64"/>
      <c r="R874" s="65" t="str">
        <f>IF($A874="","",IFERROR(MINIFS(Candidates!$K$2:$K$2000,Candidates!$A$2:$A$2000,$A874),""))</f>
        <v/>
      </c>
      <c r="S874" s="65" t="str">
        <f>IF($A874="","",IFERROR(MAXIFS(Candidates!$AA$2:$AA$2000,Candidates!$A$2:$A$2000,$A874),""))</f>
        <v/>
      </c>
      <c r="T874" s="64" t="str">
        <f>IFERROR(__xludf.DUMMYFUNCTION("IF($A874="""","""",IFERROR(TEXTJOIN("", "",TRUE,UNIQUE(FILTER(Candidates!$B$2:$B$2000,Candidates!$A$2:$A$2000=$A874))),""""))"),"")</f>
        <v/>
      </c>
      <c r="U874" s="66" t="str">
        <f>IF($A874="","",COUNTIF(Candidates!$A$2:$A$2000,$A874))</f>
        <v/>
      </c>
      <c r="V874" s="64" t="str">
        <f>IFERROR(__xludf.DUMMYFUNCTION("IF($A874="""","""",IFERROR(INDEX(FILTER(Candidates!$S$2:$S$2000,Candidates!$A$2:$A$2000=$A874),COUNTIF(Candidates!$A$2:$A$2000,$A874)),""""))"),"")</f>
        <v/>
      </c>
      <c r="W874" s="64" t="str">
        <f>IFERROR(__xludf.DUMMYFUNCTION("IF($A874="""","""",IFERROR(INDEX(FILTER(Candidates!$T$2:$T$2000,Candidates!$A$2:$A$2000=$A874),COUNTIF(Candidates!$A$2:$A$2000,$A874)),""""))"),"")</f>
        <v/>
      </c>
      <c r="X874" s="64"/>
      <c r="Y874" s="64"/>
      <c r="Z874" s="65"/>
      <c r="AA874" s="65"/>
      <c r="AB874" s="65"/>
      <c r="AC874" s="65"/>
    </row>
    <row r="875">
      <c r="A875" s="64"/>
      <c r="B875" s="64"/>
      <c r="C875" s="64"/>
      <c r="D875" s="64"/>
      <c r="E875" s="64"/>
      <c r="F875" s="64"/>
      <c r="G875" s="64"/>
      <c r="H875" s="63"/>
      <c r="I875" s="64"/>
      <c r="J875" s="64"/>
      <c r="K875" s="64"/>
      <c r="L875" s="64"/>
      <c r="M875" s="64"/>
      <c r="N875" s="64"/>
      <c r="O875" s="64"/>
      <c r="P875" s="64"/>
      <c r="Q875" s="64"/>
      <c r="R875" s="65" t="str">
        <f>IF($A875="","",IFERROR(MINIFS(Candidates!$K$2:$K$2000,Candidates!$A$2:$A$2000,$A875),""))</f>
        <v/>
      </c>
      <c r="S875" s="65" t="str">
        <f>IF($A875="","",IFERROR(MAXIFS(Candidates!$AA$2:$AA$2000,Candidates!$A$2:$A$2000,$A875),""))</f>
        <v/>
      </c>
      <c r="T875" s="64" t="str">
        <f>IFERROR(__xludf.DUMMYFUNCTION("IF($A875="""","""",IFERROR(TEXTJOIN("", "",TRUE,UNIQUE(FILTER(Candidates!$B$2:$B$2000,Candidates!$A$2:$A$2000=$A875))),""""))"),"")</f>
        <v/>
      </c>
      <c r="U875" s="66" t="str">
        <f>IF($A875="","",COUNTIF(Candidates!$A$2:$A$2000,$A875))</f>
        <v/>
      </c>
      <c r="V875" s="64" t="str">
        <f>IFERROR(__xludf.DUMMYFUNCTION("IF($A875="""","""",IFERROR(INDEX(FILTER(Candidates!$S$2:$S$2000,Candidates!$A$2:$A$2000=$A875),COUNTIF(Candidates!$A$2:$A$2000,$A875)),""""))"),"")</f>
        <v/>
      </c>
      <c r="W875" s="64" t="str">
        <f>IFERROR(__xludf.DUMMYFUNCTION("IF($A875="""","""",IFERROR(INDEX(FILTER(Candidates!$T$2:$T$2000,Candidates!$A$2:$A$2000=$A875),COUNTIF(Candidates!$A$2:$A$2000,$A875)),""""))"),"")</f>
        <v/>
      </c>
      <c r="X875" s="64"/>
      <c r="Y875" s="64"/>
      <c r="Z875" s="65"/>
      <c r="AA875" s="65"/>
      <c r="AB875" s="65"/>
      <c r="AC875" s="65"/>
    </row>
    <row r="876">
      <c r="A876" s="64"/>
      <c r="B876" s="64"/>
      <c r="C876" s="64"/>
      <c r="D876" s="64"/>
      <c r="E876" s="64"/>
      <c r="F876" s="64"/>
      <c r="G876" s="64"/>
      <c r="H876" s="63"/>
      <c r="I876" s="64"/>
      <c r="J876" s="64"/>
      <c r="K876" s="64"/>
      <c r="L876" s="64"/>
      <c r="M876" s="64"/>
      <c r="N876" s="64"/>
      <c r="O876" s="64"/>
      <c r="P876" s="64"/>
      <c r="Q876" s="64"/>
      <c r="R876" s="65" t="str">
        <f>IF($A876="","",IFERROR(MINIFS(Candidates!$K$2:$K$2000,Candidates!$A$2:$A$2000,$A876),""))</f>
        <v/>
      </c>
      <c r="S876" s="65" t="str">
        <f>IF($A876="","",IFERROR(MAXIFS(Candidates!$AA$2:$AA$2000,Candidates!$A$2:$A$2000,$A876),""))</f>
        <v/>
      </c>
      <c r="T876" s="64" t="str">
        <f>IFERROR(__xludf.DUMMYFUNCTION("IF($A876="""","""",IFERROR(TEXTJOIN("", "",TRUE,UNIQUE(FILTER(Candidates!$B$2:$B$2000,Candidates!$A$2:$A$2000=$A876))),""""))"),"")</f>
        <v/>
      </c>
      <c r="U876" s="66" t="str">
        <f>IF($A876="","",COUNTIF(Candidates!$A$2:$A$2000,$A876))</f>
        <v/>
      </c>
      <c r="V876" s="64" t="str">
        <f>IFERROR(__xludf.DUMMYFUNCTION("IF($A876="""","""",IFERROR(INDEX(FILTER(Candidates!$S$2:$S$2000,Candidates!$A$2:$A$2000=$A876),COUNTIF(Candidates!$A$2:$A$2000,$A876)),""""))"),"")</f>
        <v/>
      </c>
      <c r="W876" s="64" t="str">
        <f>IFERROR(__xludf.DUMMYFUNCTION("IF($A876="""","""",IFERROR(INDEX(FILTER(Candidates!$T$2:$T$2000,Candidates!$A$2:$A$2000=$A876),COUNTIF(Candidates!$A$2:$A$2000,$A876)),""""))"),"")</f>
        <v/>
      </c>
      <c r="X876" s="64"/>
      <c r="Y876" s="64"/>
      <c r="Z876" s="65"/>
      <c r="AA876" s="65"/>
      <c r="AB876" s="65"/>
      <c r="AC876" s="65"/>
    </row>
    <row r="877">
      <c r="A877" s="64"/>
      <c r="B877" s="64"/>
      <c r="C877" s="64"/>
      <c r="D877" s="64"/>
      <c r="E877" s="64"/>
      <c r="F877" s="64"/>
      <c r="G877" s="64"/>
      <c r="H877" s="63"/>
      <c r="I877" s="64"/>
      <c r="J877" s="64"/>
      <c r="K877" s="64"/>
      <c r="L877" s="64"/>
      <c r="M877" s="64"/>
      <c r="N877" s="64"/>
      <c r="O877" s="64"/>
      <c r="P877" s="64"/>
      <c r="Q877" s="64"/>
      <c r="R877" s="65" t="str">
        <f>IF($A877="","",IFERROR(MINIFS(Candidates!$K$2:$K$2000,Candidates!$A$2:$A$2000,$A877),""))</f>
        <v/>
      </c>
      <c r="S877" s="65" t="str">
        <f>IF($A877="","",IFERROR(MAXIFS(Candidates!$AA$2:$AA$2000,Candidates!$A$2:$A$2000,$A877),""))</f>
        <v/>
      </c>
      <c r="T877" s="64" t="str">
        <f>IFERROR(__xludf.DUMMYFUNCTION("IF($A877="""","""",IFERROR(TEXTJOIN("", "",TRUE,UNIQUE(FILTER(Candidates!$B$2:$B$2000,Candidates!$A$2:$A$2000=$A877))),""""))"),"")</f>
        <v/>
      </c>
      <c r="U877" s="66" t="str">
        <f>IF($A877="","",COUNTIF(Candidates!$A$2:$A$2000,$A877))</f>
        <v/>
      </c>
      <c r="V877" s="64" t="str">
        <f>IFERROR(__xludf.DUMMYFUNCTION("IF($A877="""","""",IFERROR(INDEX(FILTER(Candidates!$S$2:$S$2000,Candidates!$A$2:$A$2000=$A877),COUNTIF(Candidates!$A$2:$A$2000,$A877)),""""))"),"")</f>
        <v/>
      </c>
      <c r="W877" s="64" t="str">
        <f>IFERROR(__xludf.DUMMYFUNCTION("IF($A877="""","""",IFERROR(INDEX(FILTER(Candidates!$T$2:$T$2000,Candidates!$A$2:$A$2000=$A877),COUNTIF(Candidates!$A$2:$A$2000,$A877)),""""))"),"")</f>
        <v/>
      </c>
      <c r="X877" s="64"/>
      <c r="Y877" s="64"/>
      <c r="Z877" s="65"/>
      <c r="AA877" s="65"/>
      <c r="AB877" s="65"/>
      <c r="AC877" s="65"/>
    </row>
    <row r="878">
      <c r="A878" s="64"/>
      <c r="B878" s="64"/>
      <c r="C878" s="64"/>
      <c r="D878" s="64"/>
      <c r="E878" s="64"/>
      <c r="F878" s="64"/>
      <c r="G878" s="64"/>
      <c r="H878" s="63"/>
      <c r="I878" s="64"/>
      <c r="J878" s="64"/>
      <c r="K878" s="64"/>
      <c r="L878" s="64"/>
      <c r="M878" s="64"/>
      <c r="N878" s="64"/>
      <c r="O878" s="64"/>
      <c r="P878" s="64"/>
      <c r="Q878" s="64"/>
      <c r="R878" s="65" t="str">
        <f>IF($A878="","",IFERROR(MINIFS(Candidates!$K$2:$K$2000,Candidates!$A$2:$A$2000,$A878),""))</f>
        <v/>
      </c>
      <c r="S878" s="65" t="str">
        <f>IF($A878="","",IFERROR(MAXIFS(Candidates!$AA$2:$AA$2000,Candidates!$A$2:$A$2000,$A878),""))</f>
        <v/>
      </c>
      <c r="T878" s="64" t="str">
        <f>IFERROR(__xludf.DUMMYFUNCTION("IF($A878="""","""",IFERROR(TEXTJOIN("", "",TRUE,UNIQUE(FILTER(Candidates!$B$2:$B$2000,Candidates!$A$2:$A$2000=$A878))),""""))"),"")</f>
        <v/>
      </c>
      <c r="U878" s="66" t="str">
        <f>IF($A878="","",COUNTIF(Candidates!$A$2:$A$2000,$A878))</f>
        <v/>
      </c>
      <c r="V878" s="64" t="str">
        <f>IFERROR(__xludf.DUMMYFUNCTION("IF($A878="""","""",IFERROR(INDEX(FILTER(Candidates!$S$2:$S$2000,Candidates!$A$2:$A$2000=$A878),COUNTIF(Candidates!$A$2:$A$2000,$A878)),""""))"),"")</f>
        <v/>
      </c>
      <c r="W878" s="64" t="str">
        <f>IFERROR(__xludf.DUMMYFUNCTION("IF($A878="""","""",IFERROR(INDEX(FILTER(Candidates!$T$2:$T$2000,Candidates!$A$2:$A$2000=$A878),COUNTIF(Candidates!$A$2:$A$2000,$A878)),""""))"),"")</f>
        <v/>
      </c>
      <c r="X878" s="64"/>
      <c r="Y878" s="64"/>
      <c r="Z878" s="65"/>
      <c r="AA878" s="65"/>
      <c r="AB878" s="65"/>
      <c r="AC878" s="65"/>
    </row>
    <row r="879">
      <c r="A879" s="64"/>
      <c r="B879" s="64"/>
      <c r="C879" s="64"/>
      <c r="D879" s="64"/>
      <c r="E879" s="64"/>
      <c r="F879" s="64"/>
      <c r="G879" s="64"/>
      <c r="H879" s="63"/>
      <c r="I879" s="64"/>
      <c r="J879" s="64"/>
      <c r="K879" s="64"/>
      <c r="L879" s="64"/>
      <c r="M879" s="64"/>
      <c r="N879" s="64"/>
      <c r="O879" s="64"/>
      <c r="P879" s="64"/>
      <c r="Q879" s="64"/>
      <c r="R879" s="65" t="str">
        <f>IF($A879="","",IFERROR(MINIFS(Candidates!$K$2:$K$2000,Candidates!$A$2:$A$2000,$A879),""))</f>
        <v/>
      </c>
      <c r="S879" s="65" t="str">
        <f>IF($A879="","",IFERROR(MAXIFS(Candidates!$AA$2:$AA$2000,Candidates!$A$2:$A$2000,$A879),""))</f>
        <v/>
      </c>
      <c r="T879" s="64" t="str">
        <f>IFERROR(__xludf.DUMMYFUNCTION("IF($A879="""","""",IFERROR(TEXTJOIN("", "",TRUE,UNIQUE(FILTER(Candidates!$B$2:$B$2000,Candidates!$A$2:$A$2000=$A879))),""""))"),"")</f>
        <v/>
      </c>
      <c r="U879" s="66" t="str">
        <f>IF($A879="","",COUNTIF(Candidates!$A$2:$A$2000,$A879))</f>
        <v/>
      </c>
      <c r="V879" s="64" t="str">
        <f>IFERROR(__xludf.DUMMYFUNCTION("IF($A879="""","""",IFERROR(INDEX(FILTER(Candidates!$S$2:$S$2000,Candidates!$A$2:$A$2000=$A879),COUNTIF(Candidates!$A$2:$A$2000,$A879)),""""))"),"")</f>
        <v/>
      </c>
      <c r="W879" s="64" t="str">
        <f>IFERROR(__xludf.DUMMYFUNCTION("IF($A879="""","""",IFERROR(INDEX(FILTER(Candidates!$T$2:$T$2000,Candidates!$A$2:$A$2000=$A879),COUNTIF(Candidates!$A$2:$A$2000,$A879)),""""))"),"")</f>
        <v/>
      </c>
      <c r="X879" s="64"/>
      <c r="Y879" s="64"/>
      <c r="Z879" s="65"/>
      <c r="AA879" s="65"/>
      <c r="AB879" s="65"/>
      <c r="AC879" s="65"/>
    </row>
    <row r="880">
      <c r="A880" s="64"/>
      <c r="B880" s="64"/>
      <c r="C880" s="64"/>
      <c r="D880" s="64"/>
      <c r="E880" s="64"/>
      <c r="F880" s="64"/>
      <c r="G880" s="64"/>
      <c r="H880" s="63"/>
      <c r="I880" s="64"/>
      <c r="J880" s="64"/>
      <c r="K880" s="64"/>
      <c r="L880" s="64"/>
      <c r="M880" s="64"/>
      <c r="N880" s="64"/>
      <c r="O880" s="64"/>
      <c r="P880" s="64"/>
      <c r="Q880" s="64"/>
      <c r="R880" s="65" t="str">
        <f>IF($A880="","",IFERROR(MINIFS(Candidates!$K$2:$K$2000,Candidates!$A$2:$A$2000,$A880),""))</f>
        <v/>
      </c>
      <c r="S880" s="65" t="str">
        <f>IF($A880="","",IFERROR(MAXIFS(Candidates!$AA$2:$AA$2000,Candidates!$A$2:$A$2000,$A880),""))</f>
        <v/>
      </c>
      <c r="T880" s="64" t="str">
        <f>IFERROR(__xludf.DUMMYFUNCTION("IF($A880="""","""",IFERROR(TEXTJOIN("", "",TRUE,UNIQUE(FILTER(Candidates!$B$2:$B$2000,Candidates!$A$2:$A$2000=$A880))),""""))"),"")</f>
        <v/>
      </c>
      <c r="U880" s="66" t="str">
        <f>IF($A880="","",COUNTIF(Candidates!$A$2:$A$2000,$A880))</f>
        <v/>
      </c>
      <c r="V880" s="64" t="str">
        <f>IFERROR(__xludf.DUMMYFUNCTION("IF($A880="""","""",IFERROR(INDEX(FILTER(Candidates!$S$2:$S$2000,Candidates!$A$2:$A$2000=$A880),COUNTIF(Candidates!$A$2:$A$2000,$A880)),""""))"),"")</f>
        <v/>
      </c>
      <c r="W880" s="64" t="str">
        <f>IFERROR(__xludf.DUMMYFUNCTION("IF($A880="""","""",IFERROR(INDEX(FILTER(Candidates!$T$2:$T$2000,Candidates!$A$2:$A$2000=$A880),COUNTIF(Candidates!$A$2:$A$2000,$A880)),""""))"),"")</f>
        <v/>
      </c>
      <c r="X880" s="64"/>
      <c r="Y880" s="64"/>
      <c r="Z880" s="65"/>
      <c r="AA880" s="65"/>
      <c r="AB880" s="65"/>
      <c r="AC880" s="65"/>
    </row>
    <row r="881">
      <c r="A881" s="64"/>
      <c r="B881" s="64"/>
      <c r="C881" s="64"/>
      <c r="D881" s="64"/>
      <c r="E881" s="64"/>
      <c r="F881" s="64"/>
      <c r="G881" s="64"/>
      <c r="H881" s="63"/>
      <c r="I881" s="64"/>
      <c r="J881" s="64"/>
      <c r="K881" s="64"/>
      <c r="L881" s="64"/>
      <c r="M881" s="64"/>
      <c r="N881" s="64"/>
      <c r="O881" s="64"/>
      <c r="P881" s="64"/>
      <c r="Q881" s="64"/>
      <c r="R881" s="65" t="str">
        <f>IF($A881="","",IFERROR(MINIFS(Candidates!$K$2:$K$2000,Candidates!$A$2:$A$2000,$A881),""))</f>
        <v/>
      </c>
      <c r="S881" s="65" t="str">
        <f>IF($A881="","",IFERROR(MAXIFS(Candidates!$AA$2:$AA$2000,Candidates!$A$2:$A$2000,$A881),""))</f>
        <v/>
      </c>
      <c r="T881" s="64" t="str">
        <f>IFERROR(__xludf.DUMMYFUNCTION("IF($A881="""","""",IFERROR(TEXTJOIN("", "",TRUE,UNIQUE(FILTER(Candidates!$B$2:$B$2000,Candidates!$A$2:$A$2000=$A881))),""""))"),"")</f>
        <v/>
      </c>
      <c r="U881" s="66" t="str">
        <f>IF($A881="","",COUNTIF(Candidates!$A$2:$A$2000,$A881))</f>
        <v/>
      </c>
      <c r="V881" s="64" t="str">
        <f>IFERROR(__xludf.DUMMYFUNCTION("IF($A881="""","""",IFERROR(INDEX(FILTER(Candidates!$S$2:$S$2000,Candidates!$A$2:$A$2000=$A881),COUNTIF(Candidates!$A$2:$A$2000,$A881)),""""))"),"")</f>
        <v/>
      </c>
      <c r="W881" s="64" t="str">
        <f>IFERROR(__xludf.DUMMYFUNCTION("IF($A881="""","""",IFERROR(INDEX(FILTER(Candidates!$T$2:$T$2000,Candidates!$A$2:$A$2000=$A881),COUNTIF(Candidates!$A$2:$A$2000,$A881)),""""))"),"")</f>
        <v/>
      </c>
      <c r="X881" s="64"/>
      <c r="Y881" s="64"/>
      <c r="Z881" s="65"/>
      <c r="AA881" s="65"/>
      <c r="AB881" s="65"/>
      <c r="AC881" s="65"/>
    </row>
    <row r="882">
      <c r="A882" s="64"/>
      <c r="B882" s="64"/>
      <c r="C882" s="64"/>
      <c r="D882" s="64"/>
      <c r="E882" s="64"/>
      <c r="F882" s="64"/>
      <c r="G882" s="64"/>
      <c r="H882" s="63"/>
      <c r="I882" s="64"/>
      <c r="J882" s="64"/>
      <c r="K882" s="64"/>
      <c r="L882" s="64"/>
      <c r="M882" s="64"/>
      <c r="N882" s="64"/>
      <c r="O882" s="64"/>
      <c r="P882" s="64"/>
      <c r="Q882" s="64"/>
      <c r="R882" s="65" t="str">
        <f>IF($A882="","",IFERROR(MINIFS(Candidates!$K$2:$K$2000,Candidates!$A$2:$A$2000,$A882),""))</f>
        <v/>
      </c>
      <c r="S882" s="65" t="str">
        <f>IF($A882="","",IFERROR(MAXIFS(Candidates!$AA$2:$AA$2000,Candidates!$A$2:$A$2000,$A882),""))</f>
        <v/>
      </c>
      <c r="T882" s="64" t="str">
        <f>IFERROR(__xludf.DUMMYFUNCTION("IF($A882="""","""",IFERROR(TEXTJOIN("", "",TRUE,UNIQUE(FILTER(Candidates!$B$2:$B$2000,Candidates!$A$2:$A$2000=$A882))),""""))"),"")</f>
        <v/>
      </c>
      <c r="U882" s="66" t="str">
        <f>IF($A882="","",COUNTIF(Candidates!$A$2:$A$2000,$A882))</f>
        <v/>
      </c>
      <c r="V882" s="64" t="str">
        <f>IFERROR(__xludf.DUMMYFUNCTION("IF($A882="""","""",IFERROR(INDEX(FILTER(Candidates!$S$2:$S$2000,Candidates!$A$2:$A$2000=$A882),COUNTIF(Candidates!$A$2:$A$2000,$A882)),""""))"),"")</f>
        <v/>
      </c>
      <c r="W882" s="64" t="str">
        <f>IFERROR(__xludf.DUMMYFUNCTION("IF($A882="""","""",IFERROR(INDEX(FILTER(Candidates!$T$2:$T$2000,Candidates!$A$2:$A$2000=$A882),COUNTIF(Candidates!$A$2:$A$2000,$A882)),""""))"),"")</f>
        <v/>
      </c>
      <c r="X882" s="64"/>
      <c r="Y882" s="64"/>
      <c r="Z882" s="65"/>
      <c r="AA882" s="65"/>
      <c r="AB882" s="65"/>
      <c r="AC882" s="65"/>
    </row>
    <row r="883">
      <c r="A883" s="64"/>
      <c r="B883" s="64"/>
      <c r="C883" s="64"/>
      <c r="D883" s="64"/>
      <c r="E883" s="64"/>
      <c r="F883" s="64"/>
      <c r="G883" s="64"/>
      <c r="H883" s="63"/>
      <c r="I883" s="64"/>
      <c r="J883" s="64"/>
      <c r="K883" s="64"/>
      <c r="L883" s="64"/>
      <c r="M883" s="64"/>
      <c r="N883" s="64"/>
      <c r="O883" s="64"/>
      <c r="P883" s="64"/>
      <c r="Q883" s="64"/>
      <c r="R883" s="65" t="str">
        <f>IF($A883="","",IFERROR(MINIFS(Candidates!$K$2:$K$2000,Candidates!$A$2:$A$2000,$A883),""))</f>
        <v/>
      </c>
      <c r="S883" s="65" t="str">
        <f>IF($A883="","",IFERROR(MAXIFS(Candidates!$AA$2:$AA$2000,Candidates!$A$2:$A$2000,$A883),""))</f>
        <v/>
      </c>
      <c r="T883" s="64" t="str">
        <f>IFERROR(__xludf.DUMMYFUNCTION("IF($A883="""","""",IFERROR(TEXTJOIN("", "",TRUE,UNIQUE(FILTER(Candidates!$B$2:$B$2000,Candidates!$A$2:$A$2000=$A883))),""""))"),"")</f>
        <v/>
      </c>
      <c r="U883" s="66" t="str">
        <f>IF($A883="","",COUNTIF(Candidates!$A$2:$A$2000,$A883))</f>
        <v/>
      </c>
      <c r="V883" s="64" t="str">
        <f>IFERROR(__xludf.DUMMYFUNCTION("IF($A883="""","""",IFERROR(INDEX(FILTER(Candidates!$S$2:$S$2000,Candidates!$A$2:$A$2000=$A883),COUNTIF(Candidates!$A$2:$A$2000,$A883)),""""))"),"")</f>
        <v/>
      </c>
      <c r="W883" s="64" t="str">
        <f>IFERROR(__xludf.DUMMYFUNCTION("IF($A883="""","""",IFERROR(INDEX(FILTER(Candidates!$T$2:$T$2000,Candidates!$A$2:$A$2000=$A883),COUNTIF(Candidates!$A$2:$A$2000,$A883)),""""))"),"")</f>
        <v/>
      </c>
      <c r="X883" s="64"/>
      <c r="Y883" s="64"/>
      <c r="Z883" s="65"/>
      <c r="AA883" s="65"/>
      <c r="AB883" s="65"/>
      <c r="AC883" s="65"/>
    </row>
    <row r="884">
      <c r="A884" s="64"/>
      <c r="B884" s="64"/>
      <c r="C884" s="64"/>
      <c r="D884" s="64"/>
      <c r="E884" s="64"/>
      <c r="F884" s="64"/>
      <c r="G884" s="64"/>
      <c r="H884" s="63"/>
      <c r="I884" s="64"/>
      <c r="J884" s="64"/>
      <c r="K884" s="64"/>
      <c r="L884" s="64"/>
      <c r="M884" s="64"/>
      <c r="N884" s="64"/>
      <c r="O884" s="64"/>
      <c r="P884" s="64"/>
      <c r="Q884" s="64"/>
      <c r="R884" s="65" t="str">
        <f>IF($A884="","",IFERROR(MINIFS(Candidates!$K$2:$K$2000,Candidates!$A$2:$A$2000,$A884),""))</f>
        <v/>
      </c>
      <c r="S884" s="65" t="str">
        <f>IF($A884="","",IFERROR(MAXIFS(Candidates!$AA$2:$AA$2000,Candidates!$A$2:$A$2000,$A884),""))</f>
        <v/>
      </c>
      <c r="T884" s="64" t="str">
        <f>IFERROR(__xludf.DUMMYFUNCTION("IF($A884="""","""",IFERROR(TEXTJOIN("", "",TRUE,UNIQUE(FILTER(Candidates!$B$2:$B$2000,Candidates!$A$2:$A$2000=$A884))),""""))"),"")</f>
        <v/>
      </c>
      <c r="U884" s="66" t="str">
        <f>IF($A884="","",COUNTIF(Candidates!$A$2:$A$2000,$A884))</f>
        <v/>
      </c>
      <c r="V884" s="64" t="str">
        <f>IFERROR(__xludf.DUMMYFUNCTION("IF($A884="""","""",IFERROR(INDEX(FILTER(Candidates!$S$2:$S$2000,Candidates!$A$2:$A$2000=$A884),COUNTIF(Candidates!$A$2:$A$2000,$A884)),""""))"),"")</f>
        <v/>
      </c>
      <c r="W884" s="64" t="str">
        <f>IFERROR(__xludf.DUMMYFUNCTION("IF($A884="""","""",IFERROR(INDEX(FILTER(Candidates!$T$2:$T$2000,Candidates!$A$2:$A$2000=$A884),COUNTIF(Candidates!$A$2:$A$2000,$A884)),""""))"),"")</f>
        <v/>
      </c>
      <c r="X884" s="64"/>
      <c r="Y884" s="64"/>
      <c r="Z884" s="65"/>
      <c r="AA884" s="65"/>
      <c r="AB884" s="65"/>
      <c r="AC884" s="65"/>
    </row>
    <row r="885">
      <c r="A885" s="64"/>
      <c r="B885" s="64"/>
      <c r="C885" s="64"/>
      <c r="D885" s="64"/>
      <c r="E885" s="64"/>
      <c r="F885" s="64"/>
      <c r="G885" s="64"/>
      <c r="H885" s="63"/>
      <c r="I885" s="64"/>
      <c r="J885" s="64"/>
      <c r="K885" s="64"/>
      <c r="L885" s="64"/>
      <c r="M885" s="64"/>
      <c r="N885" s="64"/>
      <c r="O885" s="64"/>
      <c r="P885" s="64"/>
      <c r="Q885" s="64"/>
      <c r="R885" s="65" t="str">
        <f>IF($A885="","",IFERROR(MINIFS(Candidates!$K$2:$K$2000,Candidates!$A$2:$A$2000,$A885),""))</f>
        <v/>
      </c>
      <c r="S885" s="65" t="str">
        <f>IF($A885="","",IFERROR(MAXIFS(Candidates!$AA$2:$AA$2000,Candidates!$A$2:$A$2000,$A885),""))</f>
        <v/>
      </c>
      <c r="T885" s="64" t="str">
        <f>IFERROR(__xludf.DUMMYFUNCTION("IF($A885="""","""",IFERROR(TEXTJOIN("", "",TRUE,UNIQUE(FILTER(Candidates!$B$2:$B$2000,Candidates!$A$2:$A$2000=$A885))),""""))"),"")</f>
        <v/>
      </c>
      <c r="U885" s="66" t="str">
        <f>IF($A885="","",COUNTIF(Candidates!$A$2:$A$2000,$A885))</f>
        <v/>
      </c>
      <c r="V885" s="64" t="str">
        <f>IFERROR(__xludf.DUMMYFUNCTION("IF($A885="""","""",IFERROR(INDEX(FILTER(Candidates!$S$2:$S$2000,Candidates!$A$2:$A$2000=$A885),COUNTIF(Candidates!$A$2:$A$2000,$A885)),""""))"),"")</f>
        <v/>
      </c>
      <c r="W885" s="64" t="str">
        <f>IFERROR(__xludf.DUMMYFUNCTION("IF($A885="""","""",IFERROR(INDEX(FILTER(Candidates!$T$2:$T$2000,Candidates!$A$2:$A$2000=$A885),COUNTIF(Candidates!$A$2:$A$2000,$A885)),""""))"),"")</f>
        <v/>
      </c>
      <c r="X885" s="64"/>
      <c r="Y885" s="64"/>
      <c r="Z885" s="65"/>
      <c r="AA885" s="65"/>
      <c r="AB885" s="65"/>
      <c r="AC885" s="65"/>
    </row>
    <row r="886">
      <c r="A886" s="64"/>
      <c r="B886" s="64"/>
      <c r="C886" s="64"/>
      <c r="D886" s="64"/>
      <c r="E886" s="64"/>
      <c r="F886" s="64"/>
      <c r="G886" s="64"/>
      <c r="H886" s="63"/>
      <c r="I886" s="64"/>
      <c r="J886" s="64"/>
      <c r="K886" s="64"/>
      <c r="L886" s="64"/>
      <c r="M886" s="64"/>
      <c r="N886" s="64"/>
      <c r="O886" s="64"/>
      <c r="P886" s="64"/>
      <c r="Q886" s="64"/>
      <c r="R886" s="65" t="str">
        <f>IF($A886="","",IFERROR(MINIFS(Candidates!$K$2:$K$2000,Candidates!$A$2:$A$2000,$A886),""))</f>
        <v/>
      </c>
      <c r="S886" s="65" t="str">
        <f>IF($A886="","",IFERROR(MAXIFS(Candidates!$AA$2:$AA$2000,Candidates!$A$2:$A$2000,$A886),""))</f>
        <v/>
      </c>
      <c r="T886" s="64" t="str">
        <f>IFERROR(__xludf.DUMMYFUNCTION("IF($A886="""","""",IFERROR(TEXTJOIN("", "",TRUE,UNIQUE(FILTER(Candidates!$B$2:$B$2000,Candidates!$A$2:$A$2000=$A886))),""""))"),"")</f>
        <v/>
      </c>
      <c r="U886" s="66" t="str">
        <f>IF($A886="","",COUNTIF(Candidates!$A$2:$A$2000,$A886))</f>
        <v/>
      </c>
      <c r="V886" s="64" t="str">
        <f>IFERROR(__xludf.DUMMYFUNCTION("IF($A886="""","""",IFERROR(INDEX(FILTER(Candidates!$S$2:$S$2000,Candidates!$A$2:$A$2000=$A886),COUNTIF(Candidates!$A$2:$A$2000,$A886)),""""))"),"")</f>
        <v/>
      </c>
      <c r="W886" s="64" t="str">
        <f>IFERROR(__xludf.DUMMYFUNCTION("IF($A886="""","""",IFERROR(INDEX(FILTER(Candidates!$T$2:$T$2000,Candidates!$A$2:$A$2000=$A886),COUNTIF(Candidates!$A$2:$A$2000,$A886)),""""))"),"")</f>
        <v/>
      </c>
      <c r="X886" s="64"/>
      <c r="Y886" s="64"/>
      <c r="Z886" s="65"/>
      <c r="AA886" s="65"/>
      <c r="AB886" s="65"/>
      <c r="AC886" s="65"/>
    </row>
    <row r="887">
      <c r="A887" s="64"/>
      <c r="B887" s="64"/>
      <c r="C887" s="64"/>
      <c r="D887" s="64"/>
      <c r="E887" s="64"/>
      <c r="F887" s="64"/>
      <c r="G887" s="64"/>
      <c r="H887" s="63"/>
      <c r="I887" s="64"/>
      <c r="J887" s="64"/>
      <c r="K887" s="64"/>
      <c r="L887" s="64"/>
      <c r="M887" s="64"/>
      <c r="N887" s="64"/>
      <c r="O887" s="64"/>
      <c r="P887" s="64"/>
      <c r="Q887" s="64"/>
      <c r="R887" s="65" t="str">
        <f>IF($A887="","",IFERROR(MINIFS(Candidates!$K$2:$K$2000,Candidates!$A$2:$A$2000,$A887),""))</f>
        <v/>
      </c>
      <c r="S887" s="65" t="str">
        <f>IF($A887="","",IFERROR(MAXIFS(Candidates!$AA$2:$AA$2000,Candidates!$A$2:$A$2000,$A887),""))</f>
        <v/>
      </c>
      <c r="T887" s="64" t="str">
        <f>IFERROR(__xludf.DUMMYFUNCTION("IF($A887="""","""",IFERROR(TEXTJOIN("", "",TRUE,UNIQUE(FILTER(Candidates!$B$2:$B$2000,Candidates!$A$2:$A$2000=$A887))),""""))"),"")</f>
        <v/>
      </c>
      <c r="U887" s="66" t="str">
        <f>IF($A887="","",COUNTIF(Candidates!$A$2:$A$2000,$A887))</f>
        <v/>
      </c>
      <c r="V887" s="64" t="str">
        <f>IFERROR(__xludf.DUMMYFUNCTION("IF($A887="""","""",IFERROR(INDEX(FILTER(Candidates!$S$2:$S$2000,Candidates!$A$2:$A$2000=$A887),COUNTIF(Candidates!$A$2:$A$2000,$A887)),""""))"),"")</f>
        <v/>
      </c>
      <c r="W887" s="64" t="str">
        <f>IFERROR(__xludf.DUMMYFUNCTION("IF($A887="""","""",IFERROR(INDEX(FILTER(Candidates!$T$2:$T$2000,Candidates!$A$2:$A$2000=$A887),COUNTIF(Candidates!$A$2:$A$2000,$A887)),""""))"),"")</f>
        <v/>
      </c>
      <c r="X887" s="64"/>
      <c r="Y887" s="64"/>
      <c r="Z887" s="65"/>
      <c r="AA887" s="65"/>
      <c r="AB887" s="65"/>
      <c r="AC887" s="65"/>
    </row>
    <row r="888">
      <c r="A888" s="64"/>
      <c r="B888" s="64"/>
      <c r="C888" s="64"/>
      <c r="D888" s="64"/>
      <c r="E888" s="64"/>
      <c r="F888" s="64"/>
      <c r="G888" s="64"/>
      <c r="H888" s="63"/>
      <c r="I888" s="64"/>
      <c r="J888" s="64"/>
      <c r="K888" s="64"/>
      <c r="L888" s="64"/>
      <c r="M888" s="64"/>
      <c r="N888" s="64"/>
      <c r="O888" s="64"/>
      <c r="P888" s="64"/>
      <c r="Q888" s="64"/>
      <c r="R888" s="65" t="str">
        <f>IF($A888="","",IFERROR(MINIFS(Candidates!$K$2:$K$2000,Candidates!$A$2:$A$2000,$A888),""))</f>
        <v/>
      </c>
      <c r="S888" s="65" t="str">
        <f>IF($A888="","",IFERROR(MAXIFS(Candidates!$AA$2:$AA$2000,Candidates!$A$2:$A$2000,$A888),""))</f>
        <v/>
      </c>
      <c r="T888" s="64" t="str">
        <f>IFERROR(__xludf.DUMMYFUNCTION("IF($A888="""","""",IFERROR(TEXTJOIN("", "",TRUE,UNIQUE(FILTER(Candidates!$B$2:$B$2000,Candidates!$A$2:$A$2000=$A888))),""""))"),"")</f>
        <v/>
      </c>
      <c r="U888" s="66" t="str">
        <f>IF($A888="","",COUNTIF(Candidates!$A$2:$A$2000,$A888))</f>
        <v/>
      </c>
      <c r="V888" s="64" t="str">
        <f>IFERROR(__xludf.DUMMYFUNCTION("IF($A888="""","""",IFERROR(INDEX(FILTER(Candidates!$S$2:$S$2000,Candidates!$A$2:$A$2000=$A888),COUNTIF(Candidates!$A$2:$A$2000,$A888)),""""))"),"")</f>
        <v/>
      </c>
      <c r="W888" s="64" t="str">
        <f>IFERROR(__xludf.DUMMYFUNCTION("IF($A888="""","""",IFERROR(INDEX(FILTER(Candidates!$T$2:$T$2000,Candidates!$A$2:$A$2000=$A888),COUNTIF(Candidates!$A$2:$A$2000,$A888)),""""))"),"")</f>
        <v/>
      </c>
      <c r="X888" s="64"/>
      <c r="Y888" s="64"/>
      <c r="Z888" s="65"/>
      <c r="AA888" s="65"/>
      <c r="AB888" s="65"/>
      <c r="AC888" s="65"/>
    </row>
    <row r="889">
      <c r="A889" s="64"/>
      <c r="B889" s="64"/>
      <c r="C889" s="64"/>
      <c r="D889" s="64"/>
      <c r="E889" s="64"/>
      <c r="F889" s="64"/>
      <c r="G889" s="64"/>
      <c r="H889" s="63"/>
      <c r="I889" s="64"/>
      <c r="J889" s="64"/>
      <c r="K889" s="64"/>
      <c r="L889" s="64"/>
      <c r="M889" s="64"/>
      <c r="N889" s="64"/>
      <c r="O889" s="64"/>
      <c r="P889" s="64"/>
      <c r="Q889" s="64"/>
      <c r="R889" s="65" t="str">
        <f>IF($A889="","",IFERROR(MINIFS(Candidates!$K$2:$K$2000,Candidates!$A$2:$A$2000,$A889),""))</f>
        <v/>
      </c>
      <c r="S889" s="65" t="str">
        <f>IF($A889="","",IFERROR(MAXIFS(Candidates!$AA$2:$AA$2000,Candidates!$A$2:$A$2000,$A889),""))</f>
        <v/>
      </c>
      <c r="T889" s="64" t="str">
        <f>IFERROR(__xludf.DUMMYFUNCTION("IF($A889="""","""",IFERROR(TEXTJOIN("", "",TRUE,UNIQUE(FILTER(Candidates!$B$2:$B$2000,Candidates!$A$2:$A$2000=$A889))),""""))"),"")</f>
        <v/>
      </c>
      <c r="U889" s="66" t="str">
        <f>IF($A889="","",COUNTIF(Candidates!$A$2:$A$2000,$A889))</f>
        <v/>
      </c>
      <c r="V889" s="64" t="str">
        <f>IFERROR(__xludf.DUMMYFUNCTION("IF($A889="""","""",IFERROR(INDEX(FILTER(Candidates!$S$2:$S$2000,Candidates!$A$2:$A$2000=$A889),COUNTIF(Candidates!$A$2:$A$2000,$A889)),""""))"),"")</f>
        <v/>
      </c>
      <c r="W889" s="64" t="str">
        <f>IFERROR(__xludf.DUMMYFUNCTION("IF($A889="""","""",IFERROR(INDEX(FILTER(Candidates!$T$2:$T$2000,Candidates!$A$2:$A$2000=$A889),COUNTIF(Candidates!$A$2:$A$2000,$A889)),""""))"),"")</f>
        <v/>
      </c>
      <c r="X889" s="64"/>
      <c r="Y889" s="64"/>
      <c r="Z889" s="65"/>
      <c r="AA889" s="65"/>
      <c r="AB889" s="65"/>
      <c r="AC889" s="65"/>
    </row>
    <row r="890">
      <c r="A890" s="64"/>
      <c r="B890" s="64"/>
      <c r="C890" s="64"/>
      <c r="D890" s="64"/>
      <c r="E890" s="64"/>
      <c r="F890" s="64"/>
      <c r="G890" s="64"/>
      <c r="H890" s="63"/>
      <c r="I890" s="64"/>
      <c r="J890" s="64"/>
      <c r="K890" s="64"/>
      <c r="L890" s="64"/>
      <c r="M890" s="64"/>
      <c r="N890" s="64"/>
      <c r="O890" s="64"/>
      <c r="P890" s="64"/>
      <c r="Q890" s="64"/>
      <c r="R890" s="65" t="str">
        <f>IF($A890="","",IFERROR(MINIFS(Candidates!$K$2:$K$2000,Candidates!$A$2:$A$2000,$A890),""))</f>
        <v/>
      </c>
      <c r="S890" s="65" t="str">
        <f>IF($A890="","",IFERROR(MAXIFS(Candidates!$AA$2:$AA$2000,Candidates!$A$2:$A$2000,$A890),""))</f>
        <v/>
      </c>
      <c r="T890" s="64" t="str">
        <f>IFERROR(__xludf.DUMMYFUNCTION("IF($A890="""","""",IFERROR(TEXTJOIN("", "",TRUE,UNIQUE(FILTER(Candidates!$B$2:$B$2000,Candidates!$A$2:$A$2000=$A890))),""""))"),"")</f>
        <v/>
      </c>
      <c r="U890" s="66" t="str">
        <f>IF($A890="","",COUNTIF(Candidates!$A$2:$A$2000,$A890))</f>
        <v/>
      </c>
      <c r="V890" s="64" t="str">
        <f>IFERROR(__xludf.DUMMYFUNCTION("IF($A890="""","""",IFERROR(INDEX(FILTER(Candidates!$S$2:$S$2000,Candidates!$A$2:$A$2000=$A890),COUNTIF(Candidates!$A$2:$A$2000,$A890)),""""))"),"")</f>
        <v/>
      </c>
      <c r="W890" s="64" t="str">
        <f>IFERROR(__xludf.DUMMYFUNCTION("IF($A890="""","""",IFERROR(INDEX(FILTER(Candidates!$T$2:$T$2000,Candidates!$A$2:$A$2000=$A890),COUNTIF(Candidates!$A$2:$A$2000,$A890)),""""))"),"")</f>
        <v/>
      </c>
      <c r="X890" s="64"/>
      <c r="Y890" s="64"/>
      <c r="Z890" s="65"/>
      <c r="AA890" s="65"/>
      <c r="AB890" s="65"/>
      <c r="AC890" s="65"/>
    </row>
    <row r="891">
      <c r="A891" s="64"/>
      <c r="B891" s="64"/>
      <c r="C891" s="64"/>
      <c r="D891" s="64"/>
      <c r="E891" s="64"/>
      <c r="F891" s="64"/>
      <c r="G891" s="64"/>
      <c r="H891" s="63"/>
      <c r="I891" s="64"/>
      <c r="J891" s="64"/>
      <c r="K891" s="64"/>
      <c r="L891" s="64"/>
      <c r="M891" s="64"/>
      <c r="N891" s="64"/>
      <c r="O891" s="64"/>
      <c r="P891" s="64"/>
      <c r="Q891" s="64"/>
      <c r="R891" s="65" t="str">
        <f>IF($A891="","",IFERROR(MINIFS(Candidates!$K$2:$K$2000,Candidates!$A$2:$A$2000,$A891),""))</f>
        <v/>
      </c>
      <c r="S891" s="65" t="str">
        <f>IF($A891="","",IFERROR(MAXIFS(Candidates!$AA$2:$AA$2000,Candidates!$A$2:$A$2000,$A891),""))</f>
        <v/>
      </c>
      <c r="T891" s="64" t="str">
        <f>IFERROR(__xludf.DUMMYFUNCTION("IF($A891="""","""",IFERROR(TEXTJOIN("", "",TRUE,UNIQUE(FILTER(Candidates!$B$2:$B$2000,Candidates!$A$2:$A$2000=$A891))),""""))"),"")</f>
        <v/>
      </c>
      <c r="U891" s="66" t="str">
        <f>IF($A891="","",COUNTIF(Candidates!$A$2:$A$2000,$A891))</f>
        <v/>
      </c>
      <c r="V891" s="64" t="str">
        <f>IFERROR(__xludf.DUMMYFUNCTION("IF($A891="""","""",IFERROR(INDEX(FILTER(Candidates!$S$2:$S$2000,Candidates!$A$2:$A$2000=$A891),COUNTIF(Candidates!$A$2:$A$2000,$A891)),""""))"),"")</f>
        <v/>
      </c>
      <c r="W891" s="64" t="str">
        <f>IFERROR(__xludf.DUMMYFUNCTION("IF($A891="""","""",IFERROR(INDEX(FILTER(Candidates!$T$2:$T$2000,Candidates!$A$2:$A$2000=$A891),COUNTIF(Candidates!$A$2:$A$2000,$A891)),""""))"),"")</f>
        <v/>
      </c>
      <c r="X891" s="64"/>
      <c r="Y891" s="64"/>
      <c r="Z891" s="65"/>
      <c r="AA891" s="65"/>
      <c r="AB891" s="65"/>
      <c r="AC891" s="65"/>
    </row>
    <row r="892">
      <c r="A892" s="64"/>
      <c r="B892" s="64"/>
      <c r="C892" s="64"/>
      <c r="D892" s="64"/>
      <c r="E892" s="64"/>
      <c r="F892" s="64"/>
      <c r="G892" s="64"/>
      <c r="H892" s="63"/>
      <c r="I892" s="64"/>
      <c r="J892" s="64"/>
      <c r="K892" s="64"/>
      <c r="L892" s="64"/>
      <c r="M892" s="64"/>
      <c r="N892" s="64"/>
      <c r="O892" s="64"/>
      <c r="P892" s="64"/>
      <c r="Q892" s="64"/>
      <c r="R892" s="65" t="str">
        <f>IF($A892="","",IFERROR(MINIFS(Candidates!$K$2:$K$2000,Candidates!$A$2:$A$2000,$A892),""))</f>
        <v/>
      </c>
      <c r="S892" s="65" t="str">
        <f>IF($A892="","",IFERROR(MAXIFS(Candidates!$AA$2:$AA$2000,Candidates!$A$2:$A$2000,$A892),""))</f>
        <v/>
      </c>
      <c r="T892" s="64" t="str">
        <f>IFERROR(__xludf.DUMMYFUNCTION("IF($A892="""","""",IFERROR(TEXTJOIN("", "",TRUE,UNIQUE(FILTER(Candidates!$B$2:$B$2000,Candidates!$A$2:$A$2000=$A892))),""""))"),"")</f>
        <v/>
      </c>
      <c r="U892" s="66" t="str">
        <f>IF($A892="","",COUNTIF(Candidates!$A$2:$A$2000,$A892))</f>
        <v/>
      </c>
      <c r="V892" s="64" t="str">
        <f>IFERROR(__xludf.DUMMYFUNCTION("IF($A892="""","""",IFERROR(INDEX(FILTER(Candidates!$S$2:$S$2000,Candidates!$A$2:$A$2000=$A892),COUNTIF(Candidates!$A$2:$A$2000,$A892)),""""))"),"")</f>
        <v/>
      </c>
      <c r="W892" s="64" t="str">
        <f>IFERROR(__xludf.DUMMYFUNCTION("IF($A892="""","""",IFERROR(INDEX(FILTER(Candidates!$T$2:$T$2000,Candidates!$A$2:$A$2000=$A892),COUNTIF(Candidates!$A$2:$A$2000,$A892)),""""))"),"")</f>
        <v/>
      </c>
      <c r="X892" s="64"/>
      <c r="Y892" s="64"/>
      <c r="Z892" s="65"/>
      <c r="AA892" s="65"/>
      <c r="AB892" s="65"/>
      <c r="AC892" s="65"/>
    </row>
    <row r="893">
      <c r="A893" s="64"/>
      <c r="B893" s="64"/>
      <c r="C893" s="64"/>
      <c r="D893" s="64"/>
      <c r="E893" s="64"/>
      <c r="F893" s="64"/>
      <c r="G893" s="64"/>
      <c r="H893" s="63"/>
      <c r="I893" s="64"/>
      <c r="J893" s="64"/>
      <c r="K893" s="64"/>
      <c r="L893" s="64"/>
      <c r="M893" s="64"/>
      <c r="N893" s="64"/>
      <c r="O893" s="64"/>
      <c r="P893" s="64"/>
      <c r="Q893" s="64"/>
      <c r="R893" s="65" t="str">
        <f>IF($A893="","",IFERROR(MINIFS(Candidates!$K$2:$K$2000,Candidates!$A$2:$A$2000,$A893),""))</f>
        <v/>
      </c>
      <c r="S893" s="65" t="str">
        <f>IF($A893="","",IFERROR(MAXIFS(Candidates!$AA$2:$AA$2000,Candidates!$A$2:$A$2000,$A893),""))</f>
        <v/>
      </c>
      <c r="T893" s="64" t="str">
        <f>IFERROR(__xludf.DUMMYFUNCTION("IF($A893="""","""",IFERROR(TEXTJOIN("", "",TRUE,UNIQUE(FILTER(Candidates!$B$2:$B$2000,Candidates!$A$2:$A$2000=$A893))),""""))"),"")</f>
        <v/>
      </c>
      <c r="U893" s="66" t="str">
        <f>IF($A893="","",COUNTIF(Candidates!$A$2:$A$2000,$A893))</f>
        <v/>
      </c>
      <c r="V893" s="64" t="str">
        <f>IFERROR(__xludf.DUMMYFUNCTION("IF($A893="""","""",IFERROR(INDEX(FILTER(Candidates!$S$2:$S$2000,Candidates!$A$2:$A$2000=$A893),COUNTIF(Candidates!$A$2:$A$2000,$A893)),""""))"),"")</f>
        <v/>
      </c>
      <c r="W893" s="64" t="str">
        <f>IFERROR(__xludf.DUMMYFUNCTION("IF($A893="""","""",IFERROR(INDEX(FILTER(Candidates!$T$2:$T$2000,Candidates!$A$2:$A$2000=$A893),COUNTIF(Candidates!$A$2:$A$2000,$A893)),""""))"),"")</f>
        <v/>
      </c>
      <c r="X893" s="64"/>
      <c r="Y893" s="64"/>
      <c r="Z893" s="65"/>
      <c r="AA893" s="65"/>
      <c r="AB893" s="65"/>
      <c r="AC893" s="65"/>
    </row>
    <row r="894">
      <c r="A894" s="64"/>
      <c r="B894" s="64"/>
      <c r="C894" s="64"/>
      <c r="D894" s="64"/>
      <c r="E894" s="64"/>
      <c r="F894" s="64"/>
      <c r="G894" s="64"/>
      <c r="H894" s="63"/>
      <c r="I894" s="64"/>
      <c r="J894" s="64"/>
      <c r="K894" s="64"/>
      <c r="L894" s="64"/>
      <c r="M894" s="64"/>
      <c r="N894" s="64"/>
      <c r="O894" s="64"/>
      <c r="P894" s="64"/>
      <c r="Q894" s="64"/>
      <c r="R894" s="65" t="str">
        <f>IF($A894="","",IFERROR(MINIFS(Candidates!$K$2:$K$2000,Candidates!$A$2:$A$2000,$A894),""))</f>
        <v/>
      </c>
      <c r="S894" s="65" t="str">
        <f>IF($A894="","",IFERROR(MAXIFS(Candidates!$AA$2:$AA$2000,Candidates!$A$2:$A$2000,$A894),""))</f>
        <v/>
      </c>
      <c r="T894" s="64" t="str">
        <f>IFERROR(__xludf.DUMMYFUNCTION("IF($A894="""","""",IFERROR(TEXTJOIN("", "",TRUE,UNIQUE(FILTER(Candidates!$B$2:$B$2000,Candidates!$A$2:$A$2000=$A894))),""""))"),"")</f>
        <v/>
      </c>
      <c r="U894" s="66" t="str">
        <f>IF($A894="","",COUNTIF(Candidates!$A$2:$A$2000,$A894))</f>
        <v/>
      </c>
      <c r="V894" s="64" t="str">
        <f>IFERROR(__xludf.DUMMYFUNCTION("IF($A894="""","""",IFERROR(INDEX(FILTER(Candidates!$S$2:$S$2000,Candidates!$A$2:$A$2000=$A894),COUNTIF(Candidates!$A$2:$A$2000,$A894)),""""))"),"")</f>
        <v/>
      </c>
      <c r="W894" s="64" t="str">
        <f>IFERROR(__xludf.DUMMYFUNCTION("IF($A894="""","""",IFERROR(INDEX(FILTER(Candidates!$T$2:$T$2000,Candidates!$A$2:$A$2000=$A894),COUNTIF(Candidates!$A$2:$A$2000,$A894)),""""))"),"")</f>
        <v/>
      </c>
      <c r="X894" s="64"/>
      <c r="Y894" s="64"/>
      <c r="Z894" s="65"/>
      <c r="AA894" s="65"/>
      <c r="AB894" s="65"/>
      <c r="AC894" s="65"/>
    </row>
    <row r="895">
      <c r="A895" s="64"/>
      <c r="B895" s="64"/>
      <c r="C895" s="64"/>
      <c r="D895" s="64"/>
      <c r="E895" s="64"/>
      <c r="F895" s="64"/>
      <c r="G895" s="64"/>
      <c r="H895" s="63"/>
      <c r="I895" s="64"/>
      <c r="J895" s="64"/>
      <c r="K895" s="64"/>
      <c r="L895" s="64"/>
      <c r="M895" s="64"/>
      <c r="N895" s="64"/>
      <c r="O895" s="64"/>
      <c r="P895" s="64"/>
      <c r="Q895" s="64"/>
      <c r="R895" s="65" t="str">
        <f>IF($A895="","",IFERROR(MINIFS(Candidates!$K$2:$K$2000,Candidates!$A$2:$A$2000,$A895),""))</f>
        <v/>
      </c>
      <c r="S895" s="65" t="str">
        <f>IF($A895="","",IFERROR(MAXIFS(Candidates!$AA$2:$AA$2000,Candidates!$A$2:$A$2000,$A895),""))</f>
        <v/>
      </c>
      <c r="T895" s="64" t="str">
        <f>IFERROR(__xludf.DUMMYFUNCTION("IF($A895="""","""",IFERROR(TEXTJOIN("", "",TRUE,UNIQUE(FILTER(Candidates!$B$2:$B$2000,Candidates!$A$2:$A$2000=$A895))),""""))"),"")</f>
        <v/>
      </c>
      <c r="U895" s="66" t="str">
        <f>IF($A895="","",COUNTIF(Candidates!$A$2:$A$2000,$A895))</f>
        <v/>
      </c>
      <c r="V895" s="64" t="str">
        <f>IFERROR(__xludf.DUMMYFUNCTION("IF($A895="""","""",IFERROR(INDEX(FILTER(Candidates!$S$2:$S$2000,Candidates!$A$2:$A$2000=$A895),COUNTIF(Candidates!$A$2:$A$2000,$A895)),""""))"),"")</f>
        <v/>
      </c>
      <c r="W895" s="64" t="str">
        <f>IFERROR(__xludf.DUMMYFUNCTION("IF($A895="""","""",IFERROR(INDEX(FILTER(Candidates!$T$2:$T$2000,Candidates!$A$2:$A$2000=$A895),COUNTIF(Candidates!$A$2:$A$2000,$A895)),""""))"),"")</f>
        <v/>
      </c>
      <c r="X895" s="64"/>
      <c r="Y895" s="64"/>
      <c r="Z895" s="65"/>
      <c r="AA895" s="65"/>
      <c r="AB895" s="65"/>
      <c r="AC895" s="65"/>
    </row>
    <row r="896">
      <c r="A896" s="64"/>
      <c r="B896" s="64"/>
      <c r="C896" s="64"/>
      <c r="D896" s="64"/>
      <c r="E896" s="64"/>
      <c r="F896" s="64"/>
      <c r="G896" s="64"/>
      <c r="H896" s="63"/>
      <c r="I896" s="64"/>
      <c r="J896" s="64"/>
      <c r="K896" s="64"/>
      <c r="L896" s="64"/>
      <c r="M896" s="64"/>
      <c r="N896" s="64"/>
      <c r="O896" s="64"/>
      <c r="P896" s="64"/>
      <c r="Q896" s="64"/>
      <c r="R896" s="65" t="str">
        <f>IF($A896="","",IFERROR(MINIFS(Candidates!$K$2:$K$2000,Candidates!$A$2:$A$2000,$A896),""))</f>
        <v/>
      </c>
      <c r="S896" s="65" t="str">
        <f>IF($A896="","",IFERROR(MAXIFS(Candidates!$AA$2:$AA$2000,Candidates!$A$2:$A$2000,$A896),""))</f>
        <v/>
      </c>
      <c r="T896" s="64" t="str">
        <f>IFERROR(__xludf.DUMMYFUNCTION("IF($A896="""","""",IFERROR(TEXTJOIN("", "",TRUE,UNIQUE(FILTER(Candidates!$B$2:$B$2000,Candidates!$A$2:$A$2000=$A896))),""""))"),"")</f>
        <v/>
      </c>
      <c r="U896" s="66" t="str">
        <f>IF($A896="","",COUNTIF(Candidates!$A$2:$A$2000,$A896))</f>
        <v/>
      </c>
      <c r="V896" s="64" t="str">
        <f>IFERROR(__xludf.DUMMYFUNCTION("IF($A896="""","""",IFERROR(INDEX(FILTER(Candidates!$S$2:$S$2000,Candidates!$A$2:$A$2000=$A896),COUNTIF(Candidates!$A$2:$A$2000,$A896)),""""))"),"")</f>
        <v/>
      </c>
      <c r="W896" s="64" t="str">
        <f>IFERROR(__xludf.DUMMYFUNCTION("IF($A896="""","""",IFERROR(INDEX(FILTER(Candidates!$T$2:$T$2000,Candidates!$A$2:$A$2000=$A896),COUNTIF(Candidates!$A$2:$A$2000,$A896)),""""))"),"")</f>
        <v/>
      </c>
      <c r="X896" s="64"/>
      <c r="Y896" s="64"/>
      <c r="Z896" s="65"/>
      <c r="AA896" s="65"/>
      <c r="AB896" s="65"/>
      <c r="AC896" s="65"/>
    </row>
    <row r="897">
      <c r="A897" s="64"/>
      <c r="B897" s="64"/>
      <c r="C897" s="64"/>
      <c r="D897" s="64"/>
      <c r="E897" s="64"/>
      <c r="F897" s="64"/>
      <c r="G897" s="64"/>
      <c r="H897" s="63"/>
      <c r="I897" s="64"/>
      <c r="J897" s="64"/>
      <c r="K897" s="64"/>
      <c r="L897" s="64"/>
      <c r="M897" s="64"/>
      <c r="N897" s="64"/>
      <c r="O897" s="64"/>
      <c r="P897" s="64"/>
      <c r="Q897" s="64"/>
      <c r="R897" s="65" t="str">
        <f>IF($A897="","",IFERROR(MINIFS(Candidates!$K$2:$K$2000,Candidates!$A$2:$A$2000,$A897),""))</f>
        <v/>
      </c>
      <c r="S897" s="65" t="str">
        <f>IF($A897="","",IFERROR(MAXIFS(Candidates!$AA$2:$AA$2000,Candidates!$A$2:$A$2000,$A897),""))</f>
        <v/>
      </c>
      <c r="T897" s="64" t="str">
        <f>IFERROR(__xludf.DUMMYFUNCTION("IF($A897="""","""",IFERROR(TEXTJOIN("", "",TRUE,UNIQUE(FILTER(Candidates!$B$2:$B$2000,Candidates!$A$2:$A$2000=$A897))),""""))"),"")</f>
        <v/>
      </c>
      <c r="U897" s="66" t="str">
        <f>IF($A897="","",COUNTIF(Candidates!$A$2:$A$2000,$A897))</f>
        <v/>
      </c>
      <c r="V897" s="64" t="str">
        <f>IFERROR(__xludf.DUMMYFUNCTION("IF($A897="""","""",IFERROR(INDEX(FILTER(Candidates!$S$2:$S$2000,Candidates!$A$2:$A$2000=$A897),COUNTIF(Candidates!$A$2:$A$2000,$A897)),""""))"),"")</f>
        <v/>
      </c>
      <c r="W897" s="64" t="str">
        <f>IFERROR(__xludf.DUMMYFUNCTION("IF($A897="""","""",IFERROR(INDEX(FILTER(Candidates!$T$2:$T$2000,Candidates!$A$2:$A$2000=$A897),COUNTIF(Candidates!$A$2:$A$2000,$A897)),""""))"),"")</f>
        <v/>
      </c>
      <c r="X897" s="64"/>
      <c r="Y897" s="64"/>
      <c r="Z897" s="65"/>
      <c r="AA897" s="65"/>
      <c r="AB897" s="65"/>
      <c r="AC897" s="65"/>
    </row>
    <row r="898">
      <c r="A898" s="64"/>
      <c r="B898" s="64"/>
      <c r="C898" s="64"/>
      <c r="D898" s="64"/>
      <c r="E898" s="64"/>
      <c r="F898" s="64"/>
      <c r="G898" s="64"/>
      <c r="H898" s="63"/>
      <c r="I898" s="64"/>
      <c r="J898" s="64"/>
      <c r="K898" s="64"/>
      <c r="L898" s="64"/>
      <c r="M898" s="64"/>
      <c r="N898" s="64"/>
      <c r="O898" s="64"/>
      <c r="P898" s="64"/>
      <c r="Q898" s="64"/>
      <c r="R898" s="65" t="str">
        <f>IF($A898="","",IFERROR(MINIFS(Candidates!$K$2:$K$2000,Candidates!$A$2:$A$2000,$A898),""))</f>
        <v/>
      </c>
      <c r="S898" s="65" t="str">
        <f>IF($A898="","",IFERROR(MAXIFS(Candidates!$AA$2:$AA$2000,Candidates!$A$2:$A$2000,$A898),""))</f>
        <v/>
      </c>
      <c r="T898" s="64" t="str">
        <f>IFERROR(__xludf.DUMMYFUNCTION("IF($A898="""","""",IFERROR(TEXTJOIN("", "",TRUE,UNIQUE(FILTER(Candidates!$B$2:$B$2000,Candidates!$A$2:$A$2000=$A898))),""""))"),"")</f>
        <v/>
      </c>
      <c r="U898" s="66" t="str">
        <f>IF($A898="","",COUNTIF(Candidates!$A$2:$A$2000,$A898))</f>
        <v/>
      </c>
      <c r="V898" s="64" t="str">
        <f>IFERROR(__xludf.DUMMYFUNCTION("IF($A898="""","""",IFERROR(INDEX(FILTER(Candidates!$S$2:$S$2000,Candidates!$A$2:$A$2000=$A898),COUNTIF(Candidates!$A$2:$A$2000,$A898)),""""))"),"")</f>
        <v/>
      </c>
      <c r="W898" s="64" t="str">
        <f>IFERROR(__xludf.DUMMYFUNCTION("IF($A898="""","""",IFERROR(INDEX(FILTER(Candidates!$T$2:$T$2000,Candidates!$A$2:$A$2000=$A898),COUNTIF(Candidates!$A$2:$A$2000,$A898)),""""))"),"")</f>
        <v/>
      </c>
      <c r="X898" s="64"/>
      <c r="Y898" s="64"/>
      <c r="Z898" s="65"/>
      <c r="AA898" s="65"/>
      <c r="AB898" s="65"/>
      <c r="AC898" s="65"/>
    </row>
    <row r="899">
      <c r="A899" s="64"/>
      <c r="B899" s="64"/>
      <c r="C899" s="64"/>
      <c r="D899" s="64"/>
      <c r="E899" s="64"/>
      <c r="F899" s="64"/>
      <c r="G899" s="64"/>
      <c r="H899" s="63"/>
      <c r="I899" s="64"/>
      <c r="J899" s="64"/>
      <c r="K899" s="64"/>
      <c r="L899" s="64"/>
      <c r="M899" s="64"/>
      <c r="N899" s="64"/>
      <c r="O899" s="64"/>
      <c r="P899" s="64"/>
      <c r="Q899" s="64"/>
      <c r="R899" s="65" t="str">
        <f>IF($A899="","",IFERROR(MINIFS(Candidates!$K$2:$K$2000,Candidates!$A$2:$A$2000,$A899),""))</f>
        <v/>
      </c>
      <c r="S899" s="65" t="str">
        <f>IF($A899="","",IFERROR(MAXIFS(Candidates!$AA$2:$AA$2000,Candidates!$A$2:$A$2000,$A899),""))</f>
        <v/>
      </c>
      <c r="T899" s="64" t="str">
        <f>IFERROR(__xludf.DUMMYFUNCTION("IF($A899="""","""",IFERROR(TEXTJOIN("", "",TRUE,UNIQUE(FILTER(Candidates!$B$2:$B$2000,Candidates!$A$2:$A$2000=$A899))),""""))"),"")</f>
        <v/>
      </c>
      <c r="U899" s="66" t="str">
        <f>IF($A899="","",COUNTIF(Candidates!$A$2:$A$2000,$A899))</f>
        <v/>
      </c>
      <c r="V899" s="64" t="str">
        <f>IFERROR(__xludf.DUMMYFUNCTION("IF($A899="""","""",IFERROR(INDEX(FILTER(Candidates!$S$2:$S$2000,Candidates!$A$2:$A$2000=$A899),COUNTIF(Candidates!$A$2:$A$2000,$A899)),""""))"),"")</f>
        <v/>
      </c>
      <c r="W899" s="64" t="str">
        <f>IFERROR(__xludf.DUMMYFUNCTION("IF($A899="""","""",IFERROR(INDEX(FILTER(Candidates!$T$2:$T$2000,Candidates!$A$2:$A$2000=$A899),COUNTIF(Candidates!$A$2:$A$2000,$A899)),""""))"),"")</f>
        <v/>
      </c>
      <c r="X899" s="64"/>
      <c r="Y899" s="64"/>
      <c r="Z899" s="65"/>
      <c r="AA899" s="65"/>
      <c r="AB899" s="65"/>
      <c r="AC899" s="65"/>
    </row>
    <row r="900">
      <c r="A900" s="64"/>
      <c r="B900" s="64"/>
      <c r="C900" s="64"/>
      <c r="D900" s="64"/>
      <c r="E900" s="64"/>
      <c r="F900" s="64"/>
      <c r="G900" s="64"/>
      <c r="H900" s="63"/>
      <c r="I900" s="64"/>
      <c r="J900" s="64"/>
      <c r="K900" s="64"/>
      <c r="L900" s="64"/>
      <c r="M900" s="64"/>
      <c r="N900" s="64"/>
      <c r="O900" s="64"/>
      <c r="P900" s="64"/>
      <c r="Q900" s="64"/>
      <c r="R900" s="65" t="str">
        <f>IF($A900="","",IFERROR(MINIFS(Candidates!$K$2:$K$2000,Candidates!$A$2:$A$2000,$A900),""))</f>
        <v/>
      </c>
      <c r="S900" s="65" t="str">
        <f>IF($A900="","",IFERROR(MAXIFS(Candidates!$AA$2:$AA$2000,Candidates!$A$2:$A$2000,$A900),""))</f>
        <v/>
      </c>
      <c r="T900" s="64" t="str">
        <f>IFERROR(__xludf.DUMMYFUNCTION("IF($A900="""","""",IFERROR(TEXTJOIN("", "",TRUE,UNIQUE(FILTER(Candidates!$B$2:$B$2000,Candidates!$A$2:$A$2000=$A900))),""""))"),"")</f>
        <v/>
      </c>
      <c r="U900" s="66" t="str">
        <f>IF($A900="","",COUNTIF(Candidates!$A$2:$A$2000,$A900))</f>
        <v/>
      </c>
      <c r="V900" s="64" t="str">
        <f>IFERROR(__xludf.DUMMYFUNCTION("IF($A900="""","""",IFERROR(INDEX(FILTER(Candidates!$S$2:$S$2000,Candidates!$A$2:$A$2000=$A900),COUNTIF(Candidates!$A$2:$A$2000,$A900)),""""))"),"")</f>
        <v/>
      </c>
      <c r="W900" s="64" t="str">
        <f>IFERROR(__xludf.DUMMYFUNCTION("IF($A900="""","""",IFERROR(INDEX(FILTER(Candidates!$T$2:$T$2000,Candidates!$A$2:$A$2000=$A900),COUNTIF(Candidates!$A$2:$A$2000,$A900)),""""))"),"")</f>
        <v/>
      </c>
      <c r="X900" s="64"/>
      <c r="Y900" s="64"/>
      <c r="Z900" s="65"/>
      <c r="AA900" s="65"/>
      <c r="AB900" s="65"/>
      <c r="AC900" s="65"/>
    </row>
    <row r="901">
      <c r="A901" s="64"/>
      <c r="B901" s="64"/>
      <c r="C901" s="64"/>
      <c r="D901" s="64"/>
      <c r="E901" s="64"/>
      <c r="F901" s="64"/>
      <c r="G901" s="64"/>
      <c r="H901" s="63"/>
      <c r="I901" s="64"/>
      <c r="J901" s="64"/>
      <c r="K901" s="64"/>
      <c r="L901" s="64"/>
      <c r="M901" s="64"/>
      <c r="N901" s="64"/>
      <c r="O901" s="64"/>
      <c r="P901" s="64"/>
      <c r="Q901" s="64"/>
      <c r="R901" s="65" t="str">
        <f>IF($A901="","",IFERROR(MINIFS(Candidates!$K$2:$K$2000,Candidates!$A$2:$A$2000,$A901),""))</f>
        <v/>
      </c>
      <c r="S901" s="65" t="str">
        <f>IF($A901="","",IFERROR(MAXIFS(Candidates!$AA$2:$AA$2000,Candidates!$A$2:$A$2000,$A901),""))</f>
        <v/>
      </c>
      <c r="T901" s="64" t="str">
        <f>IFERROR(__xludf.DUMMYFUNCTION("IF($A901="""","""",IFERROR(TEXTJOIN("", "",TRUE,UNIQUE(FILTER(Candidates!$B$2:$B$2000,Candidates!$A$2:$A$2000=$A901))),""""))"),"")</f>
        <v/>
      </c>
      <c r="U901" s="66" t="str">
        <f>IF($A901="","",COUNTIF(Candidates!$A$2:$A$2000,$A901))</f>
        <v/>
      </c>
      <c r="V901" s="64" t="str">
        <f>IFERROR(__xludf.DUMMYFUNCTION("IF($A901="""","""",IFERROR(INDEX(FILTER(Candidates!$S$2:$S$2000,Candidates!$A$2:$A$2000=$A901),COUNTIF(Candidates!$A$2:$A$2000,$A901)),""""))"),"")</f>
        <v/>
      </c>
      <c r="W901" s="64" t="str">
        <f>IFERROR(__xludf.DUMMYFUNCTION("IF($A901="""","""",IFERROR(INDEX(FILTER(Candidates!$T$2:$T$2000,Candidates!$A$2:$A$2000=$A901),COUNTIF(Candidates!$A$2:$A$2000,$A901)),""""))"),"")</f>
        <v/>
      </c>
      <c r="X901" s="64"/>
      <c r="Y901" s="64"/>
      <c r="Z901" s="65"/>
      <c r="AA901" s="65"/>
      <c r="AB901" s="65"/>
      <c r="AC901" s="65"/>
    </row>
    <row r="902">
      <c r="A902" s="64"/>
      <c r="B902" s="64"/>
      <c r="C902" s="64"/>
      <c r="D902" s="64"/>
      <c r="E902" s="64"/>
      <c r="F902" s="64"/>
      <c r="G902" s="64"/>
      <c r="H902" s="63"/>
      <c r="I902" s="64"/>
      <c r="J902" s="64"/>
      <c r="K902" s="64"/>
      <c r="L902" s="64"/>
      <c r="M902" s="64"/>
      <c r="N902" s="64"/>
      <c r="O902" s="64"/>
      <c r="P902" s="64"/>
      <c r="Q902" s="64"/>
      <c r="R902" s="65" t="str">
        <f>IF($A902="","",IFERROR(MINIFS(Candidates!$K$2:$K$2000,Candidates!$A$2:$A$2000,$A902),""))</f>
        <v/>
      </c>
      <c r="S902" s="65" t="str">
        <f>IF($A902="","",IFERROR(MAXIFS(Candidates!$AA$2:$AA$2000,Candidates!$A$2:$A$2000,$A902),""))</f>
        <v/>
      </c>
      <c r="T902" s="64" t="str">
        <f>IFERROR(__xludf.DUMMYFUNCTION("IF($A902="""","""",IFERROR(TEXTJOIN("", "",TRUE,UNIQUE(FILTER(Candidates!$B$2:$B$2000,Candidates!$A$2:$A$2000=$A902))),""""))"),"")</f>
        <v/>
      </c>
      <c r="U902" s="66" t="str">
        <f>IF($A902="","",COUNTIF(Candidates!$A$2:$A$2000,$A902))</f>
        <v/>
      </c>
      <c r="V902" s="64" t="str">
        <f>IFERROR(__xludf.DUMMYFUNCTION("IF($A902="""","""",IFERROR(INDEX(FILTER(Candidates!$S$2:$S$2000,Candidates!$A$2:$A$2000=$A902),COUNTIF(Candidates!$A$2:$A$2000,$A902)),""""))"),"")</f>
        <v/>
      </c>
      <c r="W902" s="64" t="str">
        <f>IFERROR(__xludf.DUMMYFUNCTION("IF($A902="""","""",IFERROR(INDEX(FILTER(Candidates!$T$2:$T$2000,Candidates!$A$2:$A$2000=$A902),COUNTIF(Candidates!$A$2:$A$2000,$A902)),""""))"),"")</f>
        <v/>
      </c>
      <c r="X902" s="64"/>
      <c r="Y902" s="64"/>
      <c r="Z902" s="65"/>
      <c r="AA902" s="65"/>
      <c r="AB902" s="65"/>
      <c r="AC902" s="65"/>
    </row>
    <row r="903">
      <c r="A903" s="64"/>
      <c r="B903" s="64"/>
      <c r="C903" s="64"/>
      <c r="D903" s="64"/>
      <c r="E903" s="64"/>
      <c r="F903" s="64"/>
      <c r="G903" s="64"/>
      <c r="H903" s="63"/>
      <c r="I903" s="64"/>
      <c r="J903" s="64"/>
      <c r="K903" s="64"/>
      <c r="L903" s="64"/>
      <c r="M903" s="64"/>
      <c r="N903" s="64"/>
      <c r="O903" s="64"/>
      <c r="P903" s="64"/>
      <c r="Q903" s="64"/>
      <c r="R903" s="65" t="str">
        <f>IF($A903="","",IFERROR(MINIFS(Candidates!$K$2:$K$2000,Candidates!$A$2:$A$2000,$A903),""))</f>
        <v/>
      </c>
      <c r="S903" s="65" t="str">
        <f>IF($A903="","",IFERROR(MAXIFS(Candidates!$AA$2:$AA$2000,Candidates!$A$2:$A$2000,$A903),""))</f>
        <v/>
      </c>
      <c r="T903" s="64" t="str">
        <f>IFERROR(__xludf.DUMMYFUNCTION("IF($A903="""","""",IFERROR(TEXTJOIN("", "",TRUE,UNIQUE(FILTER(Candidates!$B$2:$B$2000,Candidates!$A$2:$A$2000=$A903))),""""))"),"")</f>
        <v/>
      </c>
      <c r="U903" s="66" t="str">
        <f>IF($A903="","",COUNTIF(Candidates!$A$2:$A$2000,$A903))</f>
        <v/>
      </c>
      <c r="V903" s="64" t="str">
        <f>IFERROR(__xludf.DUMMYFUNCTION("IF($A903="""","""",IFERROR(INDEX(FILTER(Candidates!$S$2:$S$2000,Candidates!$A$2:$A$2000=$A903),COUNTIF(Candidates!$A$2:$A$2000,$A903)),""""))"),"")</f>
        <v/>
      </c>
      <c r="W903" s="64" t="str">
        <f>IFERROR(__xludf.DUMMYFUNCTION("IF($A903="""","""",IFERROR(INDEX(FILTER(Candidates!$T$2:$T$2000,Candidates!$A$2:$A$2000=$A903),COUNTIF(Candidates!$A$2:$A$2000,$A903)),""""))"),"")</f>
        <v/>
      </c>
      <c r="X903" s="64"/>
      <c r="Y903" s="64"/>
      <c r="Z903" s="65"/>
      <c r="AA903" s="65"/>
      <c r="AB903" s="65"/>
      <c r="AC903" s="65"/>
    </row>
    <row r="904">
      <c r="A904" s="64"/>
      <c r="B904" s="64"/>
      <c r="C904" s="64"/>
      <c r="D904" s="64"/>
      <c r="E904" s="64"/>
      <c r="F904" s="64"/>
      <c r="G904" s="64"/>
      <c r="H904" s="63"/>
      <c r="I904" s="64"/>
      <c r="J904" s="64"/>
      <c r="K904" s="64"/>
      <c r="L904" s="64"/>
      <c r="M904" s="64"/>
      <c r="N904" s="64"/>
      <c r="O904" s="64"/>
      <c r="P904" s="64"/>
      <c r="Q904" s="64"/>
      <c r="R904" s="65" t="str">
        <f>IF($A904="","",IFERROR(MINIFS(Candidates!$K$2:$K$2000,Candidates!$A$2:$A$2000,$A904),""))</f>
        <v/>
      </c>
      <c r="S904" s="65" t="str">
        <f>IF($A904="","",IFERROR(MAXIFS(Candidates!$AA$2:$AA$2000,Candidates!$A$2:$A$2000,$A904),""))</f>
        <v/>
      </c>
      <c r="T904" s="64" t="str">
        <f>IFERROR(__xludf.DUMMYFUNCTION("IF($A904="""","""",IFERROR(TEXTJOIN("", "",TRUE,UNIQUE(FILTER(Candidates!$B$2:$B$2000,Candidates!$A$2:$A$2000=$A904))),""""))"),"")</f>
        <v/>
      </c>
      <c r="U904" s="66" t="str">
        <f>IF($A904="","",COUNTIF(Candidates!$A$2:$A$2000,$A904))</f>
        <v/>
      </c>
      <c r="V904" s="64" t="str">
        <f>IFERROR(__xludf.DUMMYFUNCTION("IF($A904="""","""",IFERROR(INDEX(FILTER(Candidates!$S$2:$S$2000,Candidates!$A$2:$A$2000=$A904),COUNTIF(Candidates!$A$2:$A$2000,$A904)),""""))"),"")</f>
        <v/>
      </c>
      <c r="W904" s="64" t="str">
        <f>IFERROR(__xludf.DUMMYFUNCTION("IF($A904="""","""",IFERROR(INDEX(FILTER(Candidates!$T$2:$T$2000,Candidates!$A$2:$A$2000=$A904),COUNTIF(Candidates!$A$2:$A$2000,$A904)),""""))"),"")</f>
        <v/>
      </c>
      <c r="X904" s="64"/>
      <c r="Y904" s="64"/>
      <c r="Z904" s="65"/>
      <c r="AA904" s="65"/>
      <c r="AB904" s="65"/>
      <c r="AC904" s="65"/>
    </row>
    <row r="905">
      <c r="A905" s="64"/>
      <c r="B905" s="64"/>
      <c r="C905" s="64"/>
      <c r="D905" s="64"/>
      <c r="E905" s="64"/>
      <c r="F905" s="64"/>
      <c r="G905" s="64"/>
      <c r="H905" s="63"/>
      <c r="I905" s="64"/>
      <c r="J905" s="64"/>
      <c r="K905" s="64"/>
      <c r="L905" s="64"/>
      <c r="M905" s="64"/>
      <c r="N905" s="64"/>
      <c r="O905" s="64"/>
      <c r="P905" s="64"/>
      <c r="Q905" s="64"/>
      <c r="R905" s="65" t="str">
        <f>IF($A905="","",IFERROR(MINIFS(Candidates!$K$2:$K$2000,Candidates!$A$2:$A$2000,$A905),""))</f>
        <v/>
      </c>
      <c r="S905" s="65" t="str">
        <f>IF($A905="","",IFERROR(MAXIFS(Candidates!$AA$2:$AA$2000,Candidates!$A$2:$A$2000,$A905),""))</f>
        <v/>
      </c>
      <c r="T905" s="64" t="str">
        <f>IFERROR(__xludf.DUMMYFUNCTION("IF($A905="""","""",IFERROR(TEXTJOIN("", "",TRUE,UNIQUE(FILTER(Candidates!$B$2:$B$2000,Candidates!$A$2:$A$2000=$A905))),""""))"),"")</f>
        <v/>
      </c>
      <c r="U905" s="66" t="str">
        <f>IF($A905="","",COUNTIF(Candidates!$A$2:$A$2000,$A905))</f>
        <v/>
      </c>
      <c r="V905" s="64" t="str">
        <f>IFERROR(__xludf.DUMMYFUNCTION("IF($A905="""","""",IFERROR(INDEX(FILTER(Candidates!$S$2:$S$2000,Candidates!$A$2:$A$2000=$A905),COUNTIF(Candidates!$A$2:$A$2000,$A905)),""""))"),"")</f>
        <v/>
      </c>
      <c r="W905" s="64" t="str">
        <f>IFERROR(__xludf.DUMMYFUNCTION("IF($A905="""","""",IFERROR(INDEX(FILTER(Candidates!$T$2:$T$2000,Candidates!$A$2:$A$2000=$A905),COUNTIF(Candidates!$A$2:$A$2000,$A905)),""""))"),"")</f>
        <v/>
      </c>
      <c r="X905" s="64"/>
      <c r="Y905" s="64"/>
      <c r="Z905" s="65"/>
      <c r="AA905" s="65"/>
      <c r="AB905" s="65"/>
      <c r="AC905" s="65"/>
    </row>
    <row r="906">
      <c r="A906" s="64"/>
      <c r="B906" s="64"/>
      <c r="C906" s="64"/>
      <c r="D906" s="64"/>
      <c r="E906" s="64"/>
      <c r="F906" s="64"/>
      <c r="G906" s="64"/>
      <c r="H906" s="63"/>
      <c r="I906" s="64"/>
      <c r="J906" s="64"/>
      <c r="K906" s="64"/>
      <c r="L906" s="64"/>
      <c r="M906" s="64"/>
      <c r="N906" s="64"/>
      <c r="O906" s="64"/>
      <c r="P906" s="64"/>
      <c r="Q906" s="64"/>
      <c r="R906" s="65" t="str">
        <f>IF($A906="","",IFERROR(MINIFS(Candidates!$K$2:$K$2000,Candidates!$A$2:$A$2000,$A906),""))</f>
        <v/>
      </c>
      <c r="S906" s="65" t="str">
        <f>IF($A906="","",IFERROR(MAXIFS(Candidates!$AA$2:$AA$2000,Candidates!$A$2:$A$2000,$A906),""))</f>
        <v/>
      </c>
      <c r="T906" s="64" t="str">
        <f>IFERROR(__xludf.DUMMYFUNCTION("IF($A906="""","""",IFERROR(TEXTJOIN("", "",TRUE,UNIQUE(FILTER(Candidates!$B$2:$B$2000,Candidates!$A$2:$A$2000=$A906))),""""))"),"")</f>
        <v/>
      </c>
      <c r="U906" s="66" t="str">
        <f>IF($A906="","",COUNTIF(Candidates!$A$2:$A$2000,$A906))</f>
        <v/>
      </c>
      <c r="V906" s="64" t="str">
        <f>IFERROR(__xludf.DUMMYFUNCTION("IF($A906="""","""",IFERROR(INDEX(FILTER(Candidates!$S$2:$S$2000,Candidates!$A$2:$A$2000=$A906),COUNTIF(Candidates!$A$2:$A$2000,$A906)),""""))"),"")</f>
        <v/>
      </c>
      <c r="W906" s="64" t="str">
        <f>IFERROR(__xludf.DUMMYFUNCTION("IF($A906="""","""",IFERROR(INDEX(FILTER(Candidates!$T$2:$T$2000,Candidates!$A$2:$A$2000=$A906),COUNTIF(Candidates!$A$2:$A$2000,$A906)),""""))"),"")</f>
        <v/>
      </c>
      <c r="X906" s="64"/>
      <c r="Y906" s="64"/>
      <c r="Z906" s="65"/>
      <c r="AA906" s="65"/>
      <c r="AB906" s="65"/>
      <c r="AC906" s="65"/>
    </row>
    <row r="907">
      <c r="A907" s="64"/>
      <c r="B907" s="64"/>
      <c r="C907" s="64"/>
      <c r="D907" s="64"/>
      <c r="E907" s="64"/>
      <c r="F907" s="64"/>
      <c r="G907" s="64"/>
      <c r="H907" s="63"/>
      <c r="I907" s="64"/>
      <c r="J907" s="64"/>
      <c r="K907" s="64"/>
      <c r="L907" s="64"/>
      <c r="M907" s="64"/>
      <c r="N907" s="64"/>
      <c r="O907" s="64"/>
      <c r="P907" s="64"/>
      <c r="Q907" s="64"/>
      <c r="R907" s="65" t="str">
        <f>IF($A907="","",IFERROR(MINIFS(Candidates!$K$2:$K$2000,Candidates!$A$2:$A$2000,$A907),""))</f>
        <v/>
      </c>
      <c r="S907" s="65" t="str">
        <f>IF($A907="","",IFERROR(MAXIFS(Candidates!$AA$2:$AA$2000,Candidates!$A$2:$A$2000,$A907),""))</f>
        <v/>
      </c>
      <c r="T907" s="64" t="str">
        <f>IFERROR(__xludf.DUMMYFUNCTION("IF($A907="""","""",IFERROR(TEXTJOIN("", "",TRUE,UNIQUE(FILTER(Candidates!$B$2:$B$2000,Candidates!$A$2:$A$2000=$A907))),""""))"),"")</f>
        <v/>
      </c>
      <c r="U907" s="66" t="str">
        <f>IF($A907="","",COUNTIF(Candidates!$A$2:$A$2000,$A907))</f>
        <v/>
      </c>
      <c r="V907" s="64" t="str">
        <f>IFERROR(__xludf.DUMMYFUNCTION("IF($A907="""","""",IFERROR(INDEX(FILTER(Candidates!$S$2:$S$2000,Candidates!$A$2:$A$2000=$A907),COUNTIF(Candidates!$A$2:$A$2000,$A907)),""""))"),"")</f>
        <v/>
      </c>
      <c r="W907" s="64" t="str">
        <f>IFERROR(__xludf.DUMMYFUNCTION("IF($A907="""","""",IFERROR(INDEX(FILTER(Candidates!$T$2:$T$2000,Candidates!$A$2:$A$2000=$A907),COUNTIF(Candidates!$A$2:$A$2000,$A907)),""""))"),"")</f>
        <v/>
      </c>
      <c r="X907" s="64"/>
      <c r="Y907" s="64"/>
      <c r="Z907" s="65"/>
      <c r="AA907" s="65"/>
      <c r="AB907" s="65"/>
      <c r="AC907" s="65"/>
    </row>
    <row r="908">
      <c r="A908" s="64"/>
      <c r="B908" s="64"/>
      <c r="C908" s="64"/>
      <c r="D908" s="64"/>
      <c r="E908" s="64"/>
      <c r="F908" s="64"/>
      <c r="G908" s="64"/>
      <c r="H908" s="63"/>
      <c r="I908" s="64"/>
      <c r="J908" s="64"/>
      <c r="K908" s="64"/>
      <c r="L908" s="64"/>
      <c r="M908" s="64"/>
      <c r="N908" s="64"/>
      <c r="O908" s="64"/>
      <c r="P908" s="64"/>
      <c r="Q908" s="64"/>
      <c r="R908" s="65" t="str">
        <f>IF($A908="","",IFERROR(MINIFS(Candidates!$K$2:$K$2000,Candidates!$A$2:$A$2000,$A908),""))</f>
        <v/>
      </c>
      <c r="S908" s="65" t="str">
        <f>IF($A908="","",IFERROR(MAXIFS(Candidates!$AA$2:$AA$2000,Candidates!$A$2:$A$2000,$A908),""))</f>
        <v/>
      </c>
      <c r="T908" s="64" t="str">
        <f>IFERROR(__xludf.DUMMYFUNCTION("IF($A908="""","""",IFERROR(TEXTJOIN("", "",TRUE,UNIQUE(FILTER(Candidates!$B$2:$B$2000,Candidates!$A$2:$A$2000=$A908))),""""))"),"")</f>
        <v/>
      </c>
      <c r="U908" s="66" t="str">
        <f>IF($A908="","",COUNTIF(Candidates!$A$2:$A$2000,$A908))</f>
        <v/>
      </c>
      <c r="V908" s="64" t="str">
        <f>IFERROR(__xludf.DUMMYFUNCTION("IF($A908="""","""",IFERROR(INDEX(FILTER(Candidates!$S$2:$S$2000,Candidates!$A$2:$A$2000=$A908),COUNTIF(Candidates!$A$2:$A$2000,$A908)),""""))"),"")</f>
        <v/>
      </c>
      <c r="W908" s="64" t="str">
        <f>IFERROR(__xludf.DUMMYFUNCTION("IF($A908="""","""",IFERROR(INDEX(FILTER(Candidates!$T$2:$T$2000,Candidates!$A$2:$A$2000=$A908),COUNTIF(Candidates!$A$2:$A$2000,$A908)),""""))"),"")</f>
        <v/>
      </c>
      <c r="X908" s="64"/>
      <c r="Y908" s="64"/>
      <c r="Z908" s="65"/>
      <c r="AA908" s="65"/>
      <c r="AB908" s="65"/>
      <c r="AC908" s="65"/>
    </row>
    <row r="909">
      <c r="A909" s="64"/>
      <c r="B909" s="64"/>
      <c r="C909" s="64"/>
      <c r="D909" s="64"/>
      <c r="E909" s="64"/>
      <c r="F909" s="64"/>
      <c r="G909" s="64"/>
      <c r="H909" s="63"/>
      <c r="I909" s="64"/>
      <c r="J909" s="64"/>
      <c r="K909" s="64"/>
      <c r="L909" s="64"/>
      <c r="M909" s="64"/>
      <c r="N909" s="64"/>
      <c r="O909" s="64"/>
      <c r="P909" s="64"/>
      <c r="Q909" s="64"/>
      <c r="R909" s="65" t="str">
        <f>IF($A909="","",IFERROR(MINIFS(Candidates!$K$2:$K$2000,Candidates!$A$2:$A$2000,$A909),""))</f>
        <v/>
      </c>
      <c r="S909" s="65" t="str">
        <f>IF($A909="","",IFERROR(MAXIFS(Candidates!$AA$2:$AA$2000,Candidates!$A$2:$A$2000,$A909),""))</f>
        <v/>
      </c>
      <c r="T909" s="64" t="str">
        <f>IFERROR(__xludf.DUMMYFUNCTION("IF($A909="""","""",IFERROR(TEXTJOIN("", "",TRUE,UNIQUE(FILTER(Candidates!$B$2:$B$2000,Candidates!$A$2:$A$2000=$A909))),""""))"),"")</f>
        <v/>
      </c>
      <c r="U909" s="66" t="str">
        <f>IF($A909="","",COUNTIF(Candidates!$A$2:$A$2000,$A909))</f>
        <v/>
      </c>
      <c r="V909" s="64" t="str">
        <f>IFERROR(__xludf.DUMMYFUNCTION("IF($A909="""","""",IFERROR(INDEX(FILTER(Candidates!$S$2:$S$2000,Candidates!$A$2:$A$2000=$A909),COUNTIF(Candidates!$A$2:$A$2000,$A909)),""""))"),"")</f>
        <v/>
      </c>
      <c r="W909" s="64" t="str">
        <f>IFERROR(__xludf.DUMMYFUNCTION("IF($A909="""","""",IFERROR(INDEX(FILTER(Candidates!$T$2:$T$2000,Candidates!$A$2:$A$2000=$A909),COUNTIF(Candidates!$A$2:$A$2000,$A909)),""""))"),"")</f>
        <v/>
      </c>
      <c r="X909" s="64"/>
      <c r="Y909" s="64"/>
      <c r="Z909" s="65"/>
      <c r="AA909" s="65"/>
      <c r="AB909" s="65"/>
      <c r="AC909" s="65"/>
    </row>
    <row r="910">
      <c r="A910" s="64"/>
      <c r="B910" s="64"/>
      <c r="C910" s="64"/>
      <c r="D910" s="64"/>
      <c r="E910" s="64"/>
      <c r="F910" s="64"/>
      <c r="G910" s="64"/>
      <c r="H910" s="63"/>
      <c r="I910" s="64"/>
      <c r="J910" s="64"/>
      <c r="K910" s="64"/>
      <c r="L910" s="64"/>
      <c r="M910" s="64"/>
      <c r="N910" s="64"/>
      <c r="O910" s="64"/>
      <c r="P910" s="64"/>
      <c r="Q910" s="64"/>
      <c r="R910" s="65" t="str">
        <f>IF($A910="","",IFERROR(MINIFS(Candidates!$K$2:$K$2000,Candidates!$A$2:$A$2000,$A910),""))</f>
        <v/>
      </c>
      <c r="S910" s="65" t="str">
        <f>IF($A910="","",IFERROR(MAXIFS(Candidates!$AA$2:$AA$2000,Candidates!$A$2:$A$2000,$A910),""))</f>
        <v/>
      </c>
      <c r="T910" s="64" t="str">
        <f>IFERROR(__xludf.DUMMYFUNCTION("IF($A910="""","""",IFERROR(TEXTJOIN("", "",TRUE,UNIQUE(FILTER(Candidates!$B$2:$B$2000,Candidates!$A$2:$A$2000=$A910))),""""))"),"")</f>
        <v/>
      </c>
      <c r="U910" s="66" t="str">
        <f>IF($A910="","",COUNTIF(Candidates!$A$2:$A$2000,$A910))</f>
        <v/>
      </c>
      <c r="V910" s="64" t="str">
        <f>IFERROR(__xludf.DUMMYFUNCTION("IF($A910="""","""",IFERROR(INDEX(FILTER(Candidates!$S$2:$S$2000,Candidates!$A$2:$A$2000=$A910),COUNTIF(Candidates!$A$2:$A$2000,$A910)),""""))"),"")</f>
        <v/>
      </c>
      <c r="W910" s="64" t="str">
        <f>IFERROR(__xludf.DUMMYFUNCTION("IF($A910="""","""",IFERROR(INDEX(FILTER(Candidates!$T$2:$T$2000,Candidates!$A$2:$A$2000=$A910),COUNTIF(Candidates!$A$2:$A$2000,$A910)),""""))"),"")</f>
        <v/>
      </c>
      <c r="X910" s="64"/>
      <c r="Y910" s="64"/>
      <c r="Z910" s="65"/>
      <c r="AA910" s="65"/>
      <c r="AB910" s="65"/>
      <c r="AC910" s="65"/>
    </row>
    <row r="911">
      <c r="A911" s="64"/>
      <c r="B911" s="64"/>
      <c r="C911" s="64"/>
      <c r="D911" s="64"/>
      <c r="E911" s="64"/>
      <c r="F911" s="64"/>
      <c r="G911" s="64"/>
      <c r="H911" s="63"/>
      <c r="I911" s="64"/>
      <c r="J911" s="64"/>
      <c r="K911" s="64"/>
      <c r="L911" s="64"/>
      <c r="M911" s="64"/>
      <c r="N911" s="64"/>
      <c r="O911" s="64"/>
      <c r="P911" s="64"/>
      <c r="Q911" s="64"/>
      <c r="R911" s="65" t="str">
        <f>IF($A911="","",IFERROR(MINIFS(Candidates!$K$2:$K$2000,Candidates!$A$2:$A$2000,$A911),""))</f>
        <v/>
      </c>
      <c r="S911" s="65" t="str">
        <f>IF($A911="","",IFERROR(MAXIFS(Candidates!$AA$2:$AA$2000,Candidates!$A$2:$A$2000,$A911),""))</f>
        <v/>
      </c>
      <c r="T911" s="64" t="str">
        <f>IFERROR(__xludf.DUMMYFUNCTION("IF($A911="""","""",IFERROR(TEXTJOIN("", "",TRUE,UNIQUE(FILTER(Candidates!$B$2:$B$2000,Candidates!$A$2:$A$2000=$A911))),""""))"),"")</f>
        <v/>
      </c>
      <c r="U911" s="66" t="str">
        <f>IF($A911="","",COUNTIF(Candidates!$A$2:$A$2000,$A911))</f>
        <v/>
      </c>
      <c r="V911" s="64" t="str">
        <f>IFERROR(__xludf.DUMMYFUNCTION("IF($A911="""","""",IFERROR(INDEX(FILTER(Candidates!$S$2:$S$2000,Candidates!$A$2:$A$2000=$A911),COUNTIF(Candidates!$A$2:$A$2000,$A911)),""""))"),"")</f>
        <v/>
      </c>
      <c r="W911" s="64" t="str">
        <f>IFERROR(__xludf.DUMMYFUNCTION("IF($A911="""","""",IFERROR(INDEX(FILTER(Candidates!$T$2:$T$2000,Candidates!$A$2:$A$2000=$A911),COUNTIF(Candidates!$A$2:$A$2000,$A911)),""""))"),"")</f>
        <v/>
      </c>
      <c r="X911" s="64"/>
      <c r="Y911" s="64"/>
      <c r="Z911" s="65"/>
      <c r="AA911" s="65"/>
      <c r="AB911" s="65"/>
      <c r="AC911" s="65"/>
    </row>
    <row r="912">
      <c r="A912" s="64"/>
      <c r="B912" s="64"/>
      <c r="C912" s="64"/>
      <c r="D912" s="64"/>
      <c r="E912" s="64"/>
      <c r="F912" s="64"/>
      <c r="G912" s="64"/>
      <c r="H912" s="63"/>
      <c r="I912" s="64"/>
      <c r="J912" s="64"/>
      <c r="K912" s="64"/>
      <c r="L912" s="64"/>
      <c r="M912" s="64"/>
      <c r="N912" s="64"/>
      <c r="O912" s="64"/>
      <c r="P912" s="64"/>
      <c r="Q912" s="64"/>
      <c r="R912" s="65" t="str">
        <f>IF($A912="","",IFERROR(MINIFS(Candidates!$K$2:$K$2000,Candidates!$A$2:$A$2000,$A912),""))</f>
        <v/>
      </c>
      <c r="S912" s="65" t="str">
        <f>IF($A912="","",IFERROR(MAXIFS(Candidates!$AA$2:$AA$2000,Candidates!$A$2:$A$2000,$A912),""))</f>
        <v/>
      </c>
      <c r="T912" s="64" t="str">
        <f>IFERROR(__xludf.DUMMYFUNCTION("IF($A912="""","""",IFERROR(TEXTJOIN("", "",TRUE,UNIQUE(FILTER(Candidates!$B$2:$B$2000,Candidates!$A$2:$A$2000=$A912))),""""))"),"")</f>
        <v/>
      </c>
      <c r="U912" s="66" t="str">
        <f>IF($A912="","",COUNTIF(Candidates!$A$2:$A$2000,$A912))</f>
        <v/>
      </c>
      <c r="V912" s="64" t="str">
        <f>IFERROR(__xludf.DUMMYFUNCTION("IF($A912="""","""",IFERROR(INDEX(FILTER(Candidates!$S$2:$S$2000,Candidates!$A$2:$A$2000=$A912),COUNTIF(Candidates!$A$2:$A$2000,$A912)),""""))"),"")</f>
        <v/>
      </c>
      <c r="W912" s="64" t="str">
        <f>IFERROR(__xludf.DUMMYFUNCTION("IF($A912="""","""",IFERROR(INDEX(FILTER(Candidates!$T$2:$T$2000,Candidates!$A$2:$A$2000=$A912),COUNTIF(Candidates!$A$2:$A$2000,$A912)),""""))"),"")</f>
        <v/>
      </c>
      <c r="X912" s="64"/>
      <c r="Y912" s="64"/>
      <c r="Z912" s="65"/>
      <c r="AA912" s="65"/>
      <c r="AB912" s="65"/>
      <c r="AC912" s="65"/>
    </row>
    <row r="913">
      <c r="A913" s="64"/>
      <c r="B913" s="64"/>
      <c r="C913" s="64"/>
      <c r="D913" s="64"/>
      <c r="E913" s="64"/>
      <c r="F913" s="64"/>
      <c r="G913" s="64"/>
      <c r="H913" s="63"/>
      <c r="I913" s="64"/>
      <c r="J913" s="64"/>
      <c r="K913" s="64"/>
      <c r="L913" s="64"/>
      <c r="M913" s="64"/>
      <c r="N913" s="64"/>
      <c r="O913" s="64"/>
      <c r="P913" s="64"/>
      <c r="Q913" s="64"/>
      <c r="R913" s="65" t="str">
        <f>IF($A913="","",IFERROR(MINIFS(Candidates!$K$2:$K$2000,Candidates!$A$2:$A$2000,$A913),""))</f>
        <v/>
      </c>
      <c r="S913" s="65" t="str">
        <f>IF($A913="","",IFERROR(MAXIFS(Candidates!$AA$2:$AA$2000,Candidates!$A$2:$A$2000,$A913),""))</f>
        <v/>
      </c>
      <c r="T913" s="64" t="str">
        <f>IFERROR(__xludf.DUMMYFUNCTION("IF($A913="""","""",IFERROR(TEXTJOIN("", "",TRUE,UNIQUE(FILTER(Candidates!$B$2:$B$2000,Candidates!$A$2:$A$2000=$A913))),""""))"),"")</f>
        <v/>
      </c>
      <c r="U913" s="66" t="str">
        <f>IF($A913="","",COUNTIF(Candidates!$A$2:$A$2000,$A913))</f>
        <v/>
      </c>
      <c r="V913" s="64" t="str">
        <f>IFERROR(__xludf.DUMMYFUNCTION("IF($A913="""","""",IFERROR(INDEX(FILTER(Candidates!$S$2:$S$2000,Candidates!$A$2:$A$2000=$A913),COUNTIF(Candidates!$A$2:$A$2000,$A913)),""""))"),"")</f>
        <v/>
      </c>
      <c r="W913" s="64" t="str">
        <f>IFERROR(__xludf.DUMMYFUNCTION("IF($A913="""","""",IFERROR(INDEX(FILTER(Candidates!$T$2:$T$2000,Candidates!$A$2:$A$2000=$A913),COUNTIF(Candidates!$A$2:$A$2000,$A913)),""""))"),"")</f>
        <v/>
      </c>
      <c r="X913" s="64"/>
      <c r="Y913" s="64"/>
      <c r="Z913" s="65"/>
      <c r="AA913" s="65"/>
      <c r="AB913" s="65"/>
      <c r="AC913" s="65"/>
    </row>
    <row r="914">
      <c r="A914" s="64"/>
      <c r="B914" s="64"/>
      <c r="C914" s="64"/>
      <c r="D914" s="64"/>
      <c r="E914" s="64"/>
      <c r="F914" s="64"/>
      <c r="G914" s="64"/>
      <c r="H914" s="63"/>
      <c r="I914" s="64"/>
      <c r="J914" s="64"/>
      <c r="K914" s="64"/>
      <c r="L914" s="64"/>
      <c r="M914" s="64"/>
      <c r="N914" s="64"/>
      <c r="O914" s="64"/>
      <c r="P914" s="64"/>
      <c r="Q914" s="64"/>
      <c r="R914" s="65" t="str">
        <f>IF($A914="","",IFERROR(MINIFS(Candidates!$K$2:$K$2000,Candidates!$A$2:$A$2000,$A914),""))</f>
        <v/>
      </c>
      <c r="S914" s="65" t="str">
        <f>IF($A914="","",IFERROR(MAXIFS(Candidates!$AA$2:$AA$2000,Candidates!$A$2:$A$2000,$A914),""))</f>
        <v/>
      </c>
      <c r="T914" s="64" t="str">
        <f>IFERROR(__xludf.DUMMYFUNCTION("IF($A914="""","""",IFERROR(TEXTJOIN("", "",TRUE,UNIQUE(FILTER(Candidates!$B$2:$B$2000,Candidates!$A$2:$A$2000=$A914))),""""))"),"")</f>
        <v/>
      </c>
      <c r="U914" s="66" t="str">
        <f>IF($A914="","",COUNTIF(Candidates!$A$2:$A$2000,$A914))</f>
        <v/>
      </c>
      <c r="V914" s="64" t="str">
        <f>IFERROR(__xludf.DUMMYFUNCTION("IF($A914="""","""",IFERROR(INDEX(FILTER(Candidates!$S$2:$S$2000,Candidates!$A$2:$A$2000=$A914),COUNTIF(Candidates!$A$2:$A$2000,$A914)),""""))"),"")</f>
        <v/>
      </c>
      <c r="W914" s="64" t="str">
        <f>IFERROR(__xludf.DUMMYFUNCTION("IF($A914="""","""",IFERROR(INDEX(FILTER(Candidates!$T$2:$T$2000,Candidates!$A$2:$A$2000=$A914),COUNTIF(Candidates!$A$2:$A$2000,$A914)),""""))"),"")</f>
        <v/>
      </c>
      <c r="X914" s="64"/>
      <c r="Y914" s="64"/>
      <c r="Z914" s="65"/>
      <c r="AA914" s="65"/>
      <c r="AB914" s="65"/>
      <c r="AC914" s="65"/>
    </row>
    <row r="915">
      <c r="A915" s="64"/>
      <c r="B915" s="64"/>
      <c r="C915" s="64"/>
      <c r="D915" s="64"/>
      <c r="E915" s="64"/>
      <c r="F915" s="64"/>
      <c r="G915" s="64"/>
      <c r="H915" s="63"/>
      <c r="I915" s="64"/>
      <c r="J915" s="64"/>
      <c r="K915" s="64"/>
      <c r="L915" s="64"/>
      <c r="M915" s="64"/>
      <c r="N915" s="64"/>
      <c r="O915" s="64"/>
      <c r="P915" s="64"/>
      <c r="Q915" s="64"/>
      <c r="R915" s="65" t="str">
        <f>IF($A915="","",IFERROR(MINIFS(Candidates!$K$2:$K$2000,Candidates!$A$2:$A$2000,$A915),""))</f>
        <v/>
      </c>
      <c r="S915" s="65" t="str">
        <f>IF($A915="","",IFERROR(MAXIFS(Candidates!$AA$2:$AA$2000,Candidates!$A$2:$A$2000,$A915),""))</f>
        <v/>
      </c>
      <c r="T915" s="64" t="str">
        <f>IFERROR(__xludf.DUMMYFUNCTION("IF($A915="""","""",IFERROR(TEXTJOIN("", "",TRUE,UNIQUE(FILTER(Candidates!$B$2:$B$2000,Candidates!$A$2:$A$2000=$A915))),""""))"),"")</f>
        <v/>
      </c>
      <c r="U915" s="66" t="str">
        <f>IF($A915="","",COUNTIF(Candidates!$A$2:$A$2000,$A915))</f>
        <v/>
      </c>
      <c r="V915" s="64" t="str">
        <f>IFERROR(__xludf.DUMMYFUNCTION("IF($A915="""","""",IFERROR(INDEX(FILTER(Candidates!$S$2:$S$2000,Candidates!$A$2:$A$2000=$A915),COUNTIF(Candidates!$A$2:$A$2000,$A915)),""""))"),"")</f>
        <v/>
      </c>
      <c r="W915" s="64" t="str">
        <f>IFERROR(__xludf.DUMMYFUNCTION("IF($A915="""","""",IFERROR(INDEX(FILTER(Candidates!$T$2:$T$2000,Candidates!$A$2:$A$2000=$A915),COUNTIF(Candidates!$A$2:$A$2000,$A915)),""""))"),"")</f>
        <v/>
      </c>
      <c r="X915" s="64"/>
      <c r="Y915" s="64"/>
      <c r="Z915" s="65"/>
      <c r="AA915" s="65"/>
      <c r="AB915" s="65"/>
      <c r="AC915" s="65"/>
    </row>
    <row r="916">
      <c r="A916" s="64"/>
      <c r="B916" s="64"/>
      <c r="C916" s="64"/>
      <c r="D916" s="64"/>
      <c r="E916" s="64"/>
      <c r="F916" s="64"/>
      <c r="G916" s="64"/>
      <c r="H916" s="63"/>
      <c r="I916" s="64"/>
      <c r="J916" s="64"/>
      <c r="K916" s="64"/>
      <c r="L916" s="64"/>
      <c r="M916" s="64"/>
      <c r="N916" s="64"/>
      <c r="O916" s="64"/>
      <c r="P916" s="64"/>
      <c r="Q916" s="64"/>
      <c r="R916" s="65" t="str">
        <f>IF($A916="","",IFERROR(MINIFS(Candidates!$K$2:$K$2000,Candidates!$A$2:$A$2000,$A916),""))</f>
        <v/>
      </c>
      <c r="S916" s="65" t="str">
        <f>IF($A916="","",IFERROR(MAXIFS(Candidates!$AA$2:$AA$2000,Candidates!$A$2:$A$2000,$A916),""))</f>
        <v/>
      </c>
      <c r="T916" s="64" t="str">
        <f>IFERROR(__xludf.DUMMYFUNCTION("IF($A916="""","""",IFERROR(TEXTJOIN("", "",TRUE,UNIQUE(FILTER(Candidates!$B$2:$B$2000,Candidates!$A$2:$A$2000=$A916))),""""))"),"")</f>
        <v/>
      </c>
      <c r="U916" s="66" t="str">
        <f>IF($A916="","",COUNTIF(Candidates!$A$2:$A$2000,$A916))</f>
        <v/>
      </c>
      <c r="V916" s="64" t="str">
        <f>IFERROR(__xludf.DUMMYFUNCTION("IF($A916="""","""",IFERROR(INDEX(FILTER(Candidates!$S$2:$S$2000,Candidates!$A$2:$A$2000=$A916),COUNTIF(Candidates!$A$2:$A$2000,$A916)),""""))"),"")</f>
        <v/>
      </c>
      <c r="W916" s="64" t="str">
        <f>IFERROR(__xludf.DUMMYFUNCTION("IF($A916="""","""",IFERROR(INDEX(FILTER(Candidates!$T$2:$T$2000,Candidates!$A$2:$A$2000=$A916),COUNTIF(Candidates!$A$2:$A$2000,$A916)),""""))"),"")</f>
        <v/>
      </c>
      <c r="X916" s="64"/>
      <c r="Y916" s="64"/>
      <c r="Z916" s="65"/>
      <c r="AA916" s="65"/>
      <c r="AB916" s="65"/>
      <c r="AC916" s="65"/>
    </row>
    <row r="917">
      <c r="A917" s="64"/>
      <c r="B917" s="64"/>
      <c r="C917" s="64"/>
      <c r="D917" s="64"/>
      <c r="E917" s="64"/>
      <c r="F917" s="64"/>
      <c r="G917" s="64"/>
      <c r="H917" s="63"/>
      <c r="I917" s="64"/>
      <c r="J917" s="64"/>
      <c r="K917" s="64"/>
      <c r="L917" s="64"/>
      <c r="M917" s="64"/>
      <c r="N917" s="64"/>
      <c r="O917" s="64"/>
      <c r="P917" s="64"/>
      <c r="Q917" s="64"/>
      <c r="R917" s="65" t="str">
        <f>IF($A917="","",IFERROR(MINIFS(Candidates!$K$2:$K$2000,Candidates!$A$2:$A$2000,$A917),""))</f>
        <v/>
      </c>
      <c r="S917" s="65" t="str">
        <f>IF($A917="","",IFERROR(MAXIFS(Candidates!$AA$2:$AA$2000,Candidates!$A$2:$A$2000,$A917),""))</f>
        <v/>
      </c>
      <c r="T917" s="64" t="str">
        <f>IFERROR(__xludf.DUMMYFUNCTION("IF($A917="""","""",IFERROR(TEXTJOIN("", "",TRUE,UNIQUE(FILTER(Candidates!$B$2:$B$2000,Candidates!$A$2:$A$2000=$A917))),""""))"),"")</f>
        <v/>
      </c>
      <c r="U917" s="66" t="str">
        <f>IF($A917="","",COUNTIF(Candidates!$A$2:$A$2000,$A917))</f>
        <v/>
      </c>
      <c r="V917" s="64" t="str">
        <f>IFERROR(__xludf.DUMMYFUNCTION("IF($A917="""","""",IFERROR(INDEX(FILTER(Candidates!$S$2:$S$2000,Candidates!$A$2:$A$2000=$A917),COUNTIF(Candidates!$A$2:$A$2000,$A917)),""""))"),"")</f>
        <v/>
      </c>
      <c r="W917" s="64" t="str">
        <f>IFERROR(__xludf.DUMMYFUNCTION("IF($A917="""","""",IFERROR(INDEX(FILTER(Candidates!$T$2:$T$2000,Candidates!$A$2:$A$2000=$A917),COUNTIF(Candidates!$A$2:$A$2000,$A917)),""""))"),"")</f>
        <v/>
      </c>
      <c r="X917" s="64"/>
      <c r="Y917" s="64"/>
      <c r="Z917" s="65"/>
      <c r="AA917" s="65"/>
      <c r="AB917" s="65"/>
      <c r="AC917" s="65"/>
    </row>
    <row r="918">
      <c r="A918" s="64"/>
      <c r="B918" s="64"/>
      <c r="C918" s="64"/>
      <c r="D918" s="64"/>
      <c r="E918" s="64"/>
      <c r="F918" s="64"/>
      <c r="G918" s="64"/>
      <c r="H918" s="63"/>
      <c r="I918" s="64"/>
      <c r="J918" s="64"/>
      <c r="K918" s="64"/>
      <c r="L918" s="64"/>
      <c r="M918" s="64"/>
      <c r="N918" s="64"/>
      <c r="O918" s="64"/>
      <c r="P918" s="64"/>
      <c r="Q918" s="64"/>
      <c r="R918" s="65" t="str">
        <f>IF($A918="","",IFERROR(MINIFS(Candidates!$K$2:$K$2000,Candidates!$A$2:$A$2000,$A918),""))</f>
        <v/>
      </c>
      <c r="S918" s="65" t="str">
        <f>IF($A918="","",IFERROR(MAXIFS(Candidates!$AA$2:$AA$2000,Candidates!$A$2:$A$2000,$A918),""))</f>
        <v/>
      </c>
      <c r="T918" s="64" t="str">
        <f>IFERROR(__xludf.DUMMYFUNCTION("IF($A918="""","""",IFERROR(TEXTJOIN("", "",TRUE,UNIQUE(FILTER(Candidates!$B$2:$B$2000,Candidates!$A$2:$A$2000=$A918))),""""))"),"")</f>
        <v/>
      </c>
      <c r="U918" s="66" t="str">
        <f>IF($A918="","",COUNTIF(Candidates!$A$2:$A$2000,$A918))</f>
        <v/>
      </c>
      <c r="V918" s="64" t="str">
        <f>IFERROR(__xludf.DUMMYFUNCTION("IF($A918="""","""",IFERROR(INDEX(FILTER(Candidates!$S$2:$S$2000,Candidates!$A$2:$A$2000=$A918),COUNTIF(Candidates!$A$2:$A$2000,$A918)),""""))"),"")</f>
        <v/>
      </c>
      <c r="W918" s="64" t="str">
        <f>IFERROR(__xludf.DUMMYFUNCTION("IF($A918="""","""",IFERROR(INDEX(FILTER(Candidates!$T$2:$T$2000,Candidates!$A$2:$A$2000=$A918),COUNTIF(Candidates!$A$2:$A$2000,$A918)),""""))"),"")</f>
        <v/>
      </c>
      <c r="X918" s="64"/>
      <c r="Y918" s="64"/>
      <c r="Z918" s="65"/>
      <c r="AA918" s="65"/>
      <c r="AB918" s="65"/>
      <c r="AC918" s="65"/>
    </row>
    <row r="919">
      <c r="A919" s="64"/>
      <c r="B919" s="64"/>
      <c r="C919" s="64"/>
      <c r="D919" s="64"/>
      <c r="E919" s="64"/>
      <c r="F919" s="64"/>
      <c r="G919" s="64"/>
      <c r="H919" s="63"/>
      <c r="I919" s="64"/>
      <c r="J919" s="64"/>
      <c r="K919" s="64"/>
      <c r="L919" s="64"/>
      <c r="M919" s="64"/>
      <c r="N919" s="64"/>
      <c r="O919" s="64"/>
      <c r="P919" s="64"/>
      <c r="Q919" s="64"/>
      <c r="R919" s="65" t="str">
        <f>IF($A919="","",IFERROR(MINIFS(Candidates!$K$2:$K$2000,Candidates!$A$2:$A$2000,$A919),""))</f>
        <v/>
      </c>
      <c r="S919" s="65" t="str">
        <f>IF($A919="","",IFERROR(MAXIFS(Candidates!$AA$2:$AA$2000,Candidates!$A$2:$A$2000,$A919),""))</f>
        <v/>
      </c>
      <c r="T919" s="64" t="str">
        <f>IFERROR(__xludf.DUMMYFUNCTION("IF($A919="""","""",IFERROR(TEXTJOIN("", "",TRUE,UNIQUE(FILTER(Candidates!$B$2:$B$2000,Candidates!$A$2:$A$2000=$A919))),""""))"),"")</f>
        <v/>
      </c>
      <c r="U919" s="66" t="str">
        <f>IF($A919="","",COUNTIF(Candidates!$A$2:$A$2000,$A919))</f>
        <v/>
      </c>
      <c r="V919" s="64" t="str">
        <f>IFERROR(__xludf.DUMMYFUNCTION("IF($A919="""","""",IFERROR(INDEX(FILTER(Candidates!$S$2:$S$2000,Candidates!$A$2:$A$2000=$A919),COUNTIF(Candidates!$A$2:$A$2000,$A919)),""""))"),"")</f>
        <v/>
      </c>
      <c r="W919" s="64" t="str">
        <f>IFERROR(__xludf.DUMMYFUNCTION("IF($A919="""","""",IFERROR(INDEX(FILTER(Candidates!$T$2:$T$2000,Candidates!$A$2:$A$2000=$A919),COUNTIF(Candidates!$A$2:$A$2000,$A919)),""""))"),"")</f>
        <v/>
      </c>
      <c r="X919" s="64"/>
      <c r="Y919" s="64"/>
      <c r="Z919" s="65"/>
      <c r="AA919" s="65"/>
      <c r="AB919" s="65"/>
      <c r="AC919" s="65"/>
    </row>
    <row r="920">
      <c r="A920" s="64"/>
      <c r="B920" s="64"/>
      <c r="C920" s="64"/>
      <c r="D920" s="64"/>
      <c r="E920" s="64"/>
      <c r="F920" s="64"/>
      <c r="G920" s="64"/>
      <c r="H920" s="63"/>
      <c r="I920" s="64"/>
      <c r="J920" s="64"/>
      <c r="K920" s="64"/>
      <c r="L920" s="64"/>
      <c r="M920" s="64"/>
      <c r="N920" s="64"/>
      <c r="O920" s="64"/>
      <c r="P920" s="64"/>
      <c r="Q920" s="64"/>
      <c r="R920" s="65" t="str">
        <f>IF($A920="","",IFERROR(MINIFS(Candidates!$K$2:$K$2000,Candidates!$A$2:$A$2000,$A920),""))</f>
        <v/>
      </c>
      <c r="S920" s="65" t="str">
        <f>IF($A920="","",IFERROR(MAXIFS(Candidates!$AA$2:$AA$2000,Candidates!$A$2:$A$2000,$A920),""))</f>
        <v/>
      </c>
      <c r="T920" s="64" t="str">
        <f>IFERROR(__xludf.DUMMYFUNCTION("IF($A920="""","""",IFERROR(TEXTJOIN("", "",TRUE,UNIQUE(FILTER(Candidates!$B$2:$B$2000,Candidates!$A$2:$A$2000=$A920))),""""))"),"")</f>
        <v/>
      </c>
      <c r="U920" s="66" t="str">
        <f>IF($A920="","",COUNTIF(Candidates!$A$2:$A$2000,$A920))</f>
        <v/>
      </c>
      <c r="V920" s="64" t="str">
        <f>IFERROR(__xludf.DUMMYFUNCTION("IF($A920="""","""",IFERROR(INDEX(FILTER(Candidates!$S$2:$S$2000,Candidates!$A$2:$A$2000=$A920),COUNTIF(Candidates!$A$2:$A$2000,$A920)),""""))"),"")</f>
        <v/>
      </c>
      <c r="W920" s="64" t="str">
        <f>IFERROR(__xludf.DUMMYFUNCTION("IF($A920="""","""",IFERROR(INDEX(FILTER(Candidates!$T$2:$T$2000,Candidates!$A$2:$A$2000=$A920),COUNTIF(Candidates!$A$2:$A$2000,$A920)),""""))"),"")</f>
        <v/>
      </c>
      <c r="X920" s="64"/>
      <c r="Y920" s="64"/>
      <c r="Z920" s="65"/>
      <c r="AA920" s="65"/>
      <c r="AB920" s="65"/>
      <c r="AC920" s="65"/>
    </row>
    <row r="921">
      <c r="A921" s="64"/>
      <c r="B921" s="64"/>
      <c r="C921" s="64"/>
      <c r="D921" s="64"/>
      <c r="E921" s="64"/>
      <c r="F921" s="64"/>
      <c r="G921" s="64"/>
      <c r="H921" s="63"/>
      <c r="I921" s="64"/>
      <c r="J921" s="64"/>
      <c r="K921" s="64"/>
      <c r="L921" s="64"/>
      <c r="M921" s="64"/>
      <c r="N921" s="64"/>
      <c r="O921" s="64"/>
      <c r="P921" s="64"/>
      <c r="Q921" s="64"/>
      <c r="R921" s="65" t="str">
        <f>IF($A921="","",IFERROR(MINIFS(Candidates!$K$2:$K$2000,Candidates!$A$2:$A$2000,$A921),""))</f>
        <v/>
      </c>
      <c r="S921" s="65" t="str">
        <f>IF($A921="","",IFERROR(MAXIFS(Candidates!$AA$2:$AA$2000,Candidates!$A$2:$A$2000,$A921),""))</f>
        <v/>
      </c>
      <c r="T921" s="64" t="str">
        <f>IFERROR(__xludf.DUMMYFUNCTION("IF($A921="""","""",IFERROR(TEXTJOIN("", "",TRUE,UNIQUE(FILTER(Candidates!$B$2:$B$2000,Candidates!$A$2:$A$2000=$A921))),""""))"),"")</f>
        <v/>
      </c>
      <c r="U921" s="66" t="str">
        <f>IF($A921="","",COUNTIF(Candidates!$A$2:$A$2000,$A921))</f>
        <v/>
      </c>
      <c r="V921" s="64" t="str">
        <f>IFERROR(__xludf.DUMMYFUNCTION("IF($A921="""","""",IFERROR(INDEX(FILTER(Candidates!$S$2:$S$2000,Candidates!$A$2:$A$2000=$A921),COUNTIF(Candidates!$A$2:$A$2000,$A921)),""""))"),"")</f>
        <v/>
      </c>
      <c r="W921" s="64" t="str">
        <f>IFERROR(__xludf.DUMMYFUNCTION("IF($A921="""","""",IFERROR(INDEX(FILTER(Candidates!$T$2:$T$2000,Candidates!$A$2:$A$2000=$A921),COUNTIF(Candidates!$A$2:$A$2000,$A921)),""""))"),"")</f>
        <v/>
      </c>
      <c r="X921" s="64"/>
      <c r="Y921" s="64"/>
      <c r="Z921" s="65"/>
      <c r="AA921" s="65"/>
      <c r="AB921" s="65"/>
      <c r="AC921" s="65"/>
    </row>
    <row r="922">
      <c r="A922" s="64"/>
      <c r="B922" s="64"/>
      <c r="C922" s="64"/>
      <c r="D922" s="64"/>
      <c r="E922" s="64"/>
      <c r="F922" s="64"/>
      <c r="G922" s="64"/>
      <c r="H922" s="63"/>
      <c r="I922" s="64"/>
      <c r="J922" s="64"/>
      <c r="K922" s="64"/>
      <c r="L922" s="64"/>
      <c r="M922" s="64"/>
      <c r="N922" s="64"/>
      <c r="O922" s="64"/>
      <c r="P922" s="64"/>
      <c r="Q922" s="64"/>
      <c r="R922" s="65" t="str">
        <f>IF($A922="","",IFERROR(MINIFS(Candidates!$K$2:$K$2000,Candidates!$A$2:$A$2000,$A922),""))</f>
        <v/>
      </c>
      <c r="S922" s="65" t="str">
        <f>IF($A922="","",IFERROR(MAXIFS(Candidates!$AA$2:$AA$2000,Candidates!$A$2:$A$2000,$A922),""))</f>
        <v/>
      </c>
      <c r="T922" s="64" t="str">
        <f>IFERROR(__xludf.DUMMYFUNCTION("IF($A922="""","""",IFERROR(TEXTJOIN("", "",TRUE,UNIQUE(FILTER(Candidates!$B$2:$B$2000,Candidates!$A$2:$A$2000=$A922))),""""))"),"")</f>
        <v/>
      </c>
      <c r="U922" s="66" t="str">
        <f>IF($A922="","",COUNTIF(Candidates!$A$2:$A$2000,$A922))</f>
        <v/>
      </c>
      <c r="V922" s="64" t="str">
        <f>IFERROR(__xludf.DUMMYFUNCTION("IF($A922="""","""",IFERROR(INDEX(FILTER(Candidates!$S$2:$S$2000,Candidates!$A$2:$A$2000=$A922),COUNTIF(Candidates!$A$2:$A$2000,$A922)),""""))"),"")</f>
        <v/>
      </c>
      <c r="W922" s="64" t="str">
        <f>IFERROR(__xludf.DUMMYFUNCTION("IF($A922="""","""",IFERROR(INDEX(FILTER(Candidates!$T$2:$T$2000,Candidates!$A$2:$A$2000=$A922),COUNTIF(Candidates!$A$2:$A$2000,$A922)),""""))"),"")</f>
        <v/>
      </c>
      <c r="X922" s="64"/>
      <c r="Y922" s="64"/>
      <c r="Z922" s="65"/>
      <c r="AA922" s="65"/>
      <c r="AB922" s="65"/>
      <c r="AC922" s="65"/>
    </row>
    <row r="923">
      <c r="A923" s="64"/>
      <c r="B923" s="64"/>
      <c r="C923" s="64"/>
      <c r="D923" s="64"/>
      <c r="E923" s="64"/>
      <c r="F923" s="64"/>
      <c r="G923" s="64"/>
      <c r="H923" s="63"/>
      <c r="I923" s="64"/>
      <c r="J923" s="64"/>
      <c r="K923" s="64"/>
      <c r="L923" s="64"/>
      <c r="M923" s="64"/>
      <c r="N923" s="64"/>
      <c r="O923" s="64"/>
      <c r="P923" s="64"/>
      <c r="Q923" s="64"/>
      <c r="R923" s="65" t="str">
        <f>IF($A923="","",IFERROR(MINIFS(Candidates!$K$2:$K$2000,Candidates!$A$2:$A$2000,$A923),""))</f>
        <v/>
      </c>
      <c r="S923" s="65" t="str">
        <f>IF($A923="","",IFERROR(MAXIFS(Candidates!$AA$2:$AA$2000,Candidates!$A$2:$A$2000,$A923),""))</f>
        <v/>
      </c>
      <c r="T923" s="64" t="str">
        <f>IFERROR(__xludf.DUMMYFUNCTION("IF($A923="""","""",IFERROR(TEXTJOIN("", "",TRUE,UNIQUE(FILTER(Candidates!$B$2:$B$2000,Candidates!$A$2:$A$2000=$A923))),""""))"),"")</f>
        <v/>
      </c>
      <c r="U923" s="66" t="str">
        <f>IF($A923="","",COUNTIF(Candidates!$A$2:$A$2000,$A923))</f>
        <v/>
      </c>
      <c r="V923" s="64" t="str">
        <f>IFERROR(__xludf.DUMMYFUNCTION("IF($A923="""","""",IFERROR(INDEX(FILTER(Candidates!$S$2:$S$2000,Candidates!$A$2:$A$2000=$A923),COUNTIF(Candidates!$A$2:$A$2000,$A923)),""""))"),"")</f>
        <v/>
      </c>
      <c r="W923" s="64" t="str">
        <f>IFERROR(__xludf.DUMMYFUNCTION("IF($A923="""","""",IFERROR(INDEX(FILTER(Candidates!$T$2:$T$2000,Candidates!$A$2:$A$2000=$A923),COUNTIF(Candidates!$A$2:$A$2000,$A923)),""""))"),"")</f>
        <v/>
      </c>
      <c r="X923" s="64"/>
      <c r="Y923" s="64"/>
      <c r="Z923" s="65"/>
      <c r="AA923" s="65"/>
      <c r="AB923" s="65"/>
      <c r="AC923" s="65"/>
    </row>
    <row r="924">
      <c r="A924" s="64"/>
      <c r="B924" s="64"/>
      <c r="C924" s="64"/>
      <c r="D924" s="64"/>
      <c r="E924" s="64"/>
      <c r="F924" s="64"/>
      <c r="G924" s="64"/>
      <c r="H924" s="63"/>
      <c r="I924" s="64"/>
      <c r="J924" s="64"/>
      <c r="K924" s="64"/>
      <c r="L924" s="64"/>
      <c r="M924" s="64"/>
      <c r="N924" s="64"/>
      <c r="O924" s="64"/>
      <c r="P924" s="64"/>
      <c r="Q924" s="64"/>
      <c r="R924" s="65" t="str">
        <f>IF($A924="","",IFERROR(MINIFS(Candidates!$K$2:$K$2000,Candidates!$A$2:$A$2000,$A924),""))</f>
        <v/>
      </c>
      <c r="S924" s="65" t="str">
        <f>IF($A924="","",IFERROR(MAXIFS(Candidates!$AA$2:$AA$2000,Candidates!$A$2:$A$2000,$A924),""))</f>
        <v/>
      </c>
      <c r="T924" s="64" t="str">
        <f>IFERROR(__xludf.DUMMYFUNCTION("IF($A924="""","""",IFERROR(TEXTJOIN("", "",TRUE,UNIQUE(FILTER(Candidates!$B$2:$B$2000,Candidates!$A$2:$A$2000=$A924))),""""))"),"")</f>
        <v/>
      </c>
      <c r="U924" s="66" t="str">
        <f>IF($A924="","",COUNTIF(Candidates!$A$2:$A$2000,$A924))</f>
        <v/>
      </c>
      <c r="V924" s="64" t="str">
        <f>IFERROR(__xludf.DUMMYFUNCTION("IF($A924="""","""",IFERROR(INDEX(FILTER(Candidates!$S$2:$S$2000,Candidates!$A$2:$A$2000=$A924),COUNTIF(Candidates!$A$2:$A$2000,$A924)),""""))"),"")</f>
        <v/>
      </c>
      <c r="W924" s="64" t="str">
        <f>IFERROR(__xludf.DUMMYFUNCTION("IF($A924="""","""",IFERROR(INDEX(FILTER(Candidates!$T$2:$T$2000,Candidates!$A$2:$A$2000=$A924),COUNTIF(Candidates!$A$2:$A$2000,$A924)),""""))"),"")</f>
        <v/>
      </c>
      <c r="X924" s="64"/>
      <c r="Y924" s="64"/>
      <c r="Z924" s="65"/>
      <c r="AA924" s="65"/>
      <c r="AB924" s="65"/>
      <c r="AC924" s="65"/>
    </row>
    <row r="925">
      <c r="A925" s="64"/>
      <c r="B925" s="64"/>
      <c r="C925" s="64"/>
      <c r="D925" s="64"/>
      <c r="E925" s="64"/>
      <c r="F925" s="64"/>
      <c r="G925" s="64"/>
      <c r="H925" s="63"/>
      <c r="I925" s="64"/>
      <c r="J925" s="64"/>
      <c r="K925" s="64"/>
      <c r="L925" s="64"/>
      <c r="M925" s="64"/>
      <c r="N925" s="64"/>
      <c r="O925" s="64"/>
      <c r="P925" s="64"/>
      <c r="Q925" s="64"/>
      <c r="R925" s="65" t="str">
        <f>IF($A925="","",IFERROR(MINIFS(Candidates!$K$2:$K$2000,Candidates!$A$2:$A$2000,$A925),""))</f>
        <v/>
      </c>
      <c r="S925" s="65" t="str">
        <f>IF($A925="","",IFERROR(MAXIFS(Candidates!$AA$2:$AA$2000,Candidates!$A$2:$A$2000,$A925),""))</f>
        <v/>
      </c>
      <c r="T925" s="64" t="str">
        <f>IFERROR(__xludf.DUMMYFUNCTION("IF($A925="""","""",IFERROR(TEXTJOIN("", "",TRUE,UNIQUE(FILTER(Candidates!$B$2:$B$2000,Candidates!$A$2:$A$2000=$A925))),""""))"),"")</f>
        <v/>
      </c>
      <c r="U925" s="66" t="str">
        <f>IF($A925="","",COUNTIF(Candidates!$A$2:$A$2000,$A925))</f>
        <v/>
      </c>
      <c r="V925" s="64" t="str">
        <f>IFERROR(__xludf.DUMMYFUNCTION("IF($A925="""","""",IFERROR(INDEX(FILTER(Candidates!$S$2:$S$2000,Candidates!$A$2:$A$2000=$A925),COUNTIF(Candidates!$A$2:$A$2000,$A925)),""""))"),"")</f>
        <v/>
      </c>
      <c r="W925" s="64" t="str">
        <f>IFERROR(__xludf.DUMMYFUNCTION("IF($A925="""","""",IFERROR(INDEX(FILTER(Candidates!$T$2:$T$2000,Candidates!$A$2:$A$2000=$A925),COUNTIF(Candidates!$A$2:$A$2000,$A925)),""""))"),"")</f>
        <v/>
      </c>
      <c r="X925" s="64"/>
      <c r="Y925" s="64"/>
      <c r="Z925" s="65"/>
      <c r="AA925" s="65"/>
      <c r="AB925" s="65"/>
      <c r="AC925" s="65"/>
    </row>
    <row r="926">
      <c r="A926" s="64"/>
      <c r="B926" s="64"/>
      <c r="C926" s="64"/>
      <c r="D926" s="64"/>
      <c r="E926" s="64"/>
      <c r="F926" s="64"/>
      <c r="G926" s="64"/>
      <c r="H926" s="63"/>
      <c r="I926" s="64"/>
      <c r="J926" s="64"/>
      <c r="K926" s="64"/>
      <c r="L926" s="64"/>
      <c r="M926" s="64"/>
      <c r="N926" s="64"/>
      <c r="O926" s="64"/>
      <c r="P926" s="64"/>
      <c r="Q926" s="64"/>
      <c r="R926" s="65" t="str">
        <f>IF($A926="","",IFERROR(MINIFS(Candidates!$K$2:$K$2000,Candidates!$A$2:$A$2000,$A926),""))</f>
        <v/>
      </c>
      <c r="S926" s="65" t="str">
        <f>IF($A926="","",IFERROR(MAXIFS(Candidates!$AA$2:$AA$2000,Candidates!$A$2:$A$2000,$A926),""))</f>
        <v/>
      </c>
      <c r="T926" s="64" t="str">
        <f>IFERROR(__xludf.DUMMYFUNCTION("IF($A926="""","""",IFERROR(TEXTJOIN("", "",TRUE,UNIQUE(FILTER(Candidates!$B$2:$B$2000,Candidates!$A$2:$A$2000=$A926))),""""))"),"")</f>
        <v/>
      </c>
      <c r="U926" s="66" t="str">
        <f>IF($A926="","",COUNTIF(Candidates!$A$2:$A$2000,$A926))</f>
        <v/>
      </c>
      <c r="V926" s="64" t="str">
        <f>IFERROR(__xludf.DUMMYFUNCTION("IF($A926="""","""",IFERROR(INDEX(FILTER(Candidates!$S$2:$S$2000,Candidates!$A$2:$A$2000=$A926),COUNTIF(Candidates!$A$2:$A$2000,$A926)),""""))"),"")</f>
        <v/>
      </c>
      <c r="W926" s="64" t="str">
        <f>IFERROR(__xludf.DUMMYFUNCTION("IF($A926="""","""",IFERROR(INDEX(FILTER(Candidates!$T$2:$T$2000,Candidates!$A$2:$A$2000=$A926),COUNTIF(Candidates!$A$2:$A$2000,$A926)),""""))"),"")</f>
        <v/>
      </c>
      <c r="X926" s="64"/>
      <c r="Y926" s="64"/>
      <c r="Z926" s="65"/>
      <c r="AA926" s="65"/>
      <c r="AB926" s="65"/>
      <c r="AC926" s="65"/>
    </row>
    <row r="927">
      <c r="A927" s="64"/>
      <c r="B927" s="64"/>
      <c r="C927" s="64"/>
      <c r="D927" s="64"/>
      <c r="E927" s="64"/>
      <c r="F927" s="64"/>
      <c r="G927" s="64"/>
      <c r="H927" s="63"/>
      <c r="I927" s="64"/>
      <c r="J927" s="64"/>
      <c r="K927" s="64"/>
      <c r="L927" s="64"/>
      <c r="M927" s="64"/>
      <c r="N927" s="64"/>
      <c r="O927" s="64"/>
      <c r="P927" s="64"/>
      <c r="Q927" s="64"/>
      <c r="R927" s="65" t="str">
        <f>IF($A927="","",IFERROR(MINIFS(Candidates!$K$2:$K$2000,Candidates!$A$2:$A$2000,$A927),""))</f>
        <v/>
      </c>
      <c r="S927" s="65" t="str">
        <f>IF($A927="","",IFERROR(MAXIFS(Candidates!$AA$2:$AA$2000,Candidates!$A$2:$A$2000,$A927),""))</f>
        <v/>
      </c>
      <c r="T927" s="64" t="str">
        <f>IFERROR(__xludf.DUMMYFUNCTION("IF($A927="""","""",IFERROR(TEXTJOIN("", "",TRUE,UNIQUE(FILTER(Candidates!$B$2:$B$2000,Candidates!$A$2:$A$2000=$A927))),""""))"),"")</f>
        <v/>
      </c>
      <c r="U927" s="66" t="str">
        <f>IF($A927="","",COUNTIF(Candidates!$A$2:$A$2000,$A927))</f>
        <v/>
      </c>
      <c r="V927" s="64" t="str">
        <f>IFERROR(__xludf.DUMMYFUNCTION("IF($A927="""","""",IFERROR(INDEX(FILTER(Candidates!$S$2:$S$2000,Candidates!$A$2:$A$2000=$A927),COUNTIF(Candidates!$A$2:$A$2000,$A927)),""""))"),"")</f>
        <v/>
      </c>
      <c r="W927" s="64" t="str">
        <f>IFERROR(__xludf.DUMMYFUNCTION("IF($A927="""","""",IFERROR(INDEX(FILTER(Candidates!$T$2:$T$2000,Candidates!$A$2:$A$2000=$A927),COUNTIF(Candidates!$A$2:$A$2000,$A927)),""""))"),"")</f>
        <v/>
      </c>
      <c r="X927" s="64"/>
      <c r="Y927" s="64"/>
      <c r="Z927" s="65"/>
      <c r="AA927" s="65"/>
      <c r="AB927" s="65"/>
      <c r="AC927" s="65"/>
    </row>
    <row r="928">
      <c r="A928" s="64"/>
      <c r="B928" s="64"/>
      <c r="C928" s="64"/>
      <c r="D928" s="64"/>
      <c r="E928" s="64"/>
      <c r="F928" s="64"/>
      <c r="G928" s="64"/>
      <c r="H928" s="63"/>
      <c r="I928" s="64"/>
      <c r="J928" s="64"/>
      <c r="K928" s="64"/>
      <c r="L928" s="64"/>
      <c r="M928" s="64"/>
      <c r="N928" s="64"/>
      <c r="O928" s="64"/>
      <c r="P928" s="64"/>
      <c r="Q928" s="64"/>
      <c r="R928" s="65" t="str">
        <f>IF($A928="","",IFERROR(MINIFS(Candidates!$K$2:$K$2000,Candidates!$A$2:$A$2000,$A928),""))</f>
        <v/>
      </c>
      <c r="S928" s="65" t="str">
        <f>IF($A928="","",IFERROR(MAXIFS(Candidates!$AA$2:$AA$2000,Candidates!$A$2:$A$2000,$A928),""))</f>
        <v/>
      </c>
      <c r="T928" s="64" t="str">
        <f>IFERROR(__xludf.DUMMYFUNCTION("IF($A928="""","""",IFERROR(TEXTJOIN("", "",TRUE,UNIQUE(FILTER(Candidates!$B$2:$B$2000,Candidates!$A$2:$A$2000=$A928))),""""))"),"")</f>
        <v/>
      </c>
      <c r="U928" s="66" t="str">
        <f>IF($A928="","",COUNTIF(Candidates!$A$2:$A$2000,$A928))</f>
        <v/>
      </c>
      <c r="V928" s="64" t="str">
        <f>IFERROR(__xludf.DUMMYFUNCTION("IF($A928="""","""",IFERROR(INDEX(FILTER(Candidates!$S$2:$S$2000,Candidates!$A$2:$A$2000=$A928),COUNTIF(Candidates!$A$2:$A$2000,$A928)),""""))"),"")</f>
        <v/>
      </c>
      <c r="W928" s="64" t="str">
        <f>IFERROR(__xludf.DUMMYFUNCTION("IF($A928="""","""",IFERROR(INDEX(FILTER(Candidates!$T$2:$T$2000,Candidates!$A$2:$A$2000=$A928),COUNTIF(Candidates!$A$2:$A$2000,$A928)),""""))"),"")</f>
        <v/>
      </c>
      <c r="X928" s="64"/>
      <c r="Y928" s="64"/>
      <c r="Z928" s="65"/>
      <c r="AA928" s="65"/>
      <c r="AB928" s="65"/>
      <c r="AC928" s="65"/>
    </row>
    <row r="929">
      <c r="A929" s="64"/>
      <c r="B929" s="64"/>
      <c r="C929" s="64"/>
      <c r="D929" s="64"/>
      <c r="E929" s="64"/>
      <c r="F929" s="64"/>
      <c r="G929" s="64"/>
      <c r="H929" s="63"/>
      <c r="I929" s="64"/>
      <c r="J929" s="64"/>
      <c r="K929" s="64"/>
      <c r="L929" s="64"/>
      <c r="M929" s="64"/>
      <c r="N929" s="64"/>
      <c r="O929" s="64"/>
      <c r="P929" s="64"/>
      <c r="Q929" s="64"/>
      <c r="R929" s="65" t="str">
        <f>IF($A929="","",IFERROR(MINIFS(Candidates!$K$2:$K$2000,Candidates!$A$2:$A$2000,$A929),""))</f>
        <v/>
      </c>
      <c r="S929" s="65" t="str">
        <f>IF($A929="","",IFERROR(MAXIFS(Candidates!$AA$2:$AA$2000,Candidates!$A$2:$A$2000,$A929),""))</f>
        <v/>
      </c>
      <c r="T929" s="64" t="str">
        <f>IFERROR(__xludf.DUMMYFUNCTION("IF($A929="""","""",IFERROR(TEXTJOIN("", "",TRUE,UNIQUE(FILTER(Candidates!$B$2:$B$2000,Candidates!$A$2:$A$2000=$A929))),""""))"),"")</f>
        <v/>
      </c>
      <c r="U929" s="66" t="str">
        <f>IF($A929="","",COUNTIF(Candidates!$A$2:$A$2000,$A929))</f>
        <v/>
      </c>
      <c r="V929" s="64" t="str">
        <f>IFERROR(__xludf.DUMMYFUNCTION("IF($A929="""","""",IFERROR(INDEX(FILTER(Candidates!$S$2:$S$2000,Candidates!$A$2:$A$2000=$A929),COUNTIF(Candidates!$A$2:$A$2000,$A929)),""""))"),"")</f>
        <v/>
      </c>
      <c r="W929" s="64" t="str">
        <f>IFERROR(__xludf.DUMMYFUNCTION("IF($A929="""","""",IFERROR(INDEX(FILTER(Candidates!$T$2:$T$2000,Candidates!$A$2:$A$2000=$A929),COUNTIF(Candidates!$A$2:$A$2000,$A929)),""""))"),"")</f>
        <v/>
      </c>
      <c r="X929" s="64"/>
      <c r="Y929" s="64"/>
      <c r="Z929" s="65"/>
      <c r="AA929" s="65"/>
      <c r="AB929" s="65"/>
      <c r="AC929" s="65"/>
    </row>
    <row r="930">
      <c r="A930" s="64"/>
      <c r="B930" s="64"/>
      <c r="C930" s="64"/>
      <c r="D930" s="64"/>
      <c r="E930" s="64"/>
      <c r="F930" s="64"/>
      <c r="G930" s="64"/>
      <c r="H930" s="63"/>
      <c r="I930" s="64"/>
      <c r="J930" s="64"/>
      <c r="K930" s="64"/>
      <c r="L930" s="64"/>
      <c r="M930" s="64"/>
      <c r="N930" s="64"/>
      <c r="O930" s="64"/>
      <c r="P930" s="64"/>
      <c r="Q930" s="64"/>
      <c r="R930" s="65" t="str">
        <f>IF($A930="","",IFERROR(MINIFS(Candidates!$K$2:$K$2000,Candidates!$A$2:$A$2000,$A930),""))</f>
        <v/>
      </c>
      <c r="S930" s="65" t="str">
        <f>IF($A930="","",IFERROR(MAXIFS(Candidates!$AA$2:$AA$2000,Candidates!$A$2:$A$2000,$A930),""))</f>
        <v/>
      </c>
      <c r="T930" s="64" t="str">
        <f>IFERROR(__xludf.DUMMYFUNCTION("IF($A930="""","""",IFERROR(TEXTJOIN("", "",TRUE,UNIQUE(FILTER(Candidates!$B$2:$B$2000,Candidates!$A$2:$A$2000=$A930))),""""))"),"")</f>
        <v/>
      </c>
      <c r="U930" s="66" t="str">
        <f>IF($A930="","",COUNTIF(Candidates!$A$2:$A$2000,$A930))</f>
        <v/>
      </c>
      <c r="V930" s="64" t="str">
        <f>IFERROR(__xludf.DUMMYFUNCTION("IF($A930="""","""",IFERROR(INDEX(FILTER(Candidates!$S$2:$S$2000,Candidates!$A$2:$A$2000=$A930),COUNTIF(Candidates!$A$2:$A$2000,$A930)),""""))"),"")</f>
        <v/>
      </c>
      <c r="W930" s="64" t="str">
        <f>IFERROR(__xludf.DUMMYFUNCTION("IF($A930="""","""",IFERROR(INDEX(FILTER(Candidates!$T$2:$T$2000,Candidates!$A$2:$A$2000=$A930),COUNTIF(Candidates!$A$2:$A$2000,$A930)),""""))"),"")</f>
        <v/>
      </c>
      <c r="X930" s="64"/>
      <c r="Y930" s="64"/>
      <c r="Z930" s="65"/>
      <c r="AA930" s="65"/>
      <c r="AB930" s="65"/>
      <c r="AC930" s="65"/>
    </row>
    <row r="931">
      <c r="A931" s="64"/>
      <c r="B931" s="64"/>
      <c r="C931" s="64"/>
      <c r="D931" s="64"/>
      <c r="E931" s="64"/>
      <c r="F931" s="64"/>
      <c r="G931" s="64"/>
      <c r="H931" s="63"/>
      <c r="I931" s="64"/>
      <c r="J931" s="64"/>
      <c r="K931" s="64"/>
      <c r="L931" s="64"/>
      <c r="M931" s="64"/>
      <c r="N931" s="64"/>
      <c r="O931" s="64"/>
      <c r="P931" s="64"/>
      <c r="Q931" s="64"/>
      <c r="R931" s="65" t="str">
        <f>IF($A931="","",IFERROR(MINIFS(Candidates!$K$2:$K$2000,Candidates!$A$2:$A$2000,$A931),""))</f>
        <v/>
      </c>
      <c r="S931" s="65" t="str">
        <f>IF($A931="","",IFERROR(MAXIFS(Candidates!$AA$2:$AA$2000,Candidates!$A$2:$A$2000,$A931),""))</f>
        <v/>
      </c>
      <c r="T931" s="64" t="str">
        <f>IFERROR(__xludf.DUMMYFUNCTION("IF($A931="""","""",IFERROR(TEXTJOIN("", "",TRUE,UNIQUE(FILTER(Candidates!$B$2:$B$2000,Candidates!$A$2:$A$2000=$A931))),""""))"),"")</f>
        <v/>
      </c>
      <c r="U931" s="66" t="str">
        <f>IF($A931="","",COUNTIF(Candidates!$A$2:$A$2000,$A931))</f>
        <v/>
      </c>
      <c r="V931" s="64" t="str">
        <f>IFERROR(__xludf.DUMMYFUNCTION("IF($A931="""","""",IFERROR(INDEX(FILTER(Candidates!$S$2:$S$2000,Candidates!$A$2:$A$2000=$A931),COUNTIF(Candidates!$A$2:$A$2000,$A931)),""""))"),"")</f>
        <v/>
      </c>
      <c r="W931" s="64" t="str">
        <f>IFERROR(__xludf.DUMMYFUNCTION("IF($A931="""","""",IFERROR(INDEX(FILTER(Candidates!$T$2:$T$2000,Candidates!$A$2:$A$2000=$A931),COUNTIF(Candidates!$A$2:$A$2000,$A931)),""""))"),"")</f>
        <v/>
      </c>
      <c r="X931" s="64"/>
      <c r="Y931" s="64"/>
      <c r="Z931" s="65"/>
      <c r="AA931" s="65"/>
      <c r="AB931" s="65"/>
      <c r="AC931" s="65"/>
    </row>
    <row r="932">
      <c r="A932" s="64"/>
      <c r="B932" s="64"/>
      <c r="C932" s="64"/>
      <c r="D932" s="64"/>
      <c r="E932" s="64"/>
      <c r="F932" s="64"/>
      <c r="G932" s="64"/>
      <c r="H932" s="63"/>
      <c r="I932" s="64"/>
      <c r="J932" s="64"/>
      <c r="K932" s="64"/>
      <c r="L932" s="64"/>
      <c r="M932" s="64"/>
      <c r="N932" s="64"/>
      <c r="O932" s="64"/>
      <c r="P932" s="64"/>
      <c r="Q932" s="64"/>
      <c r="R932" s="65" t="str">
        <f>IF($A932="","",IFERROR(MINIFS(Candidates!$K$2:$K$2000,Candidates!$A$2:$A$2000,$A932),""))</f>
        <v/>
      </c>
      <c r="S932" s="65" t="str">
        <f>IF($A932="","",IFERROR(MAXIFS(Candidates!$AA$2:$AA$2000,Candidates!$A$2:$A$2000,$A932),""))</f>
        <v/>
      </c>
      <c r="T932" s="64" t="str">
        <f>IFERROR(__xludf.DUMMYFUNCTION("IF($A932="""","""",IFERROR(TEXTJOIN("", "",TRUE,UNIQUE(FILTER(Candidates!$B$2:$B$2000,Candidates!$A$2:$A$2000=$A932))),""""))"),"")</f>
        <v/>
      </c>
      <c r="U932" s="66" t="str">
        <f>IF($A932="","",COUNTIF(Candidates!$A$2:$A$2000,$A932))</f>
        <v/>
      </c>
      <c r="V932" s="64" t="str">
        <f>IFERROR(__xludf.DUMMYFUNCTION("IF($A932="""","""",IFERROR(INDEX(FILTER(Candidates!$S$2:$S$2000,Candidates!$A$2:$A$2000=$A932),COUNTIF(Candidates!$A$2:$A$2000,$A932)),""""))"),"")</f>
        <v/>
      </c>
      <c r="W932" s="64" t="str">
        <f>IFERROR(__xludf.DUMMYFUNCTION("IF($A932="""","""",IFERROR(INDEX(FILTER(Candidates!$T$2:$T$2000,Candidates!$A$2:$A$2000=$A932),COUNTIF(Candidates!$A$2:$A$2000,$A932)),""""))"),"")</f>
        <v/>
      </c>
      <c r="X932" s="64"/>
      <c r="Y932" s="64"/>
      <c r="Z932" s="65"/>
      <c r="AA932" s="65"/>
      <c r="AB932" s="65"/>
      <c r="AC932" s="65"/>
    </row>
    <row r="933">
      <c r="A933" s="64"/>
      <c r="B933" s="64"/>
      <c r="C933" s="64"/>
      <c r="D933" s="64"/>
      <c r="E933" s="64"/>
      <c r="F933" s="64"/>
      <c r="G933" s="64"/>
      <c r="H933" s="63"/>
      <c r="I933" s="64"/>
      <c r="J933" s="64"/>
      <c r="K933" s="64"/>
      <c r="L933" s="64"/>
      <c r="M933" s="64"/>
      <c r="N933" s="64"/>
      <c r="O933" s="64"/>
      <c r="P933" s="64"/>
      <c r="Q933" s="64"/>
      <c r="R933" s="65" t="str">
        <f>IF($A933="","",IFERROR(MINIFS(Candidates!$K$2:$K$2000,Candidates!$A$2:$A$2000,$A933),""))</f>
        <v/>
      </c>
      <c r="S933" s="65" t="str">
        <f>IF($A933="","",IFERROR(MAXIFS(Candidates!$AA$2:$AA$2000,Candidates!$A$2:$A$2000,$A933),""))</f>
        <v/>
      </c>
      <c r="T933" s="64" t="str">
        <f>IFERROR(__xludf.DUMMYFUNCTION("IF($A933="""","""",IFERROR(TEXTJOIN("", "",TRUE,UNIQUE(FILTER(Candidates!$B$2:$B$2000,Candidates!$A$2:$A$2000=$A933))),""""))"),"")</f>
        <v/>
      </c>
      <c r="U933" s="66" t="str">
        <f>IF($A933="","",COUNTIF(Candidates!$A$2:$A$2000,$A933))</f>
        <v/>
      </c>
      <c r="V933" s="64" t="str">
        <f>IFERROR(__xludf.DUMMYFUNCTION("IF($A933="""","""",IFERROR(INDEX(FILTER(Candidates!$S$2:$S$2000,Candidates!$A$2:$A$2000=$A933),COUNTIF(Candidates!$A$2:$A$2000,$A933)),""""))"),"")</f>
        <v/>
      </c>
      <c r="W933" s="64" t="str">
        <f>IFERROR(__xludf.DUMMYFUNCTION("IF($A933="""","""",IFERROR(INDEX(FILTER(Candidates!$T$2:$T$2000,Candidates!$A$2:$A$2000=$A933),COUNTIF(Candidates!$A$2:$A$2000,$A933)),""""))"),"")</f>
        <v/>
      </c>
      <c r="X933" s="64"/>
      <c r="Y933" s="64"/>
      <c r="Z933" s="65"/>
      <c r="AA933" s="65"/>
      <c r="AB933" s="65"/>
      <c r="AC933" s="65"/>
    </row>
    <row r="934">
      <c r="A934" s="64"/>
      <c r="B934" s="64"/>
      <c r="C934" s="64"/>
      <c r="D934" s="64"/>
      <c r="E934" s="64"/>
      <c r="F934" s="64"/>
      <c r="G934" s="64"/>
      <c r="H934" s="63"/>
      <c r="I934" s="64"/>
      <c r="J934" s="64"/>
      <c r="K934" s="64"/>
      <c r="L934" s="64"/>
      <c r="M934" s="64"/>
      <c r="N934" s="64"/>
      <c r="O934" s="64"/>
      <c r="P934" s="64"/>
      <c r="Q934" s="64"/>
      <c r="R934" s="65" t="str">
        <f>IF($A934="","",IFERROR(MINIFS(Candidates!$K$2:$K$2000,Candidates!$A$2:$A$2000,$A934),""))</f>
        <v/>
      </c>
      <c r="S934" s="65" t="str">
        <f>IF($A934="","",IFERROR(MAXIFS(Candidates!$AA$2:$AA$2000,Candidates!$A$2:$A$2000,$A934),""))</f>
        <v/>
      </c>
      <c r="T934" s="64" t="str">
        <f>IFERROR(__xludf.DUMMYFUNCTION("IF($A934="""","""",IFERROR(TEXTJOIN("", "",TRUE,UNIQUE(FILTER(Candidates!$B$2:$B$2000,Candidates!$A$2:$A$2000=$A934))),""""))"),"")</f>
        <v/>
      </c>
      <c r="U934" s="66" t="str">
        <f>IF($A934="","",COUNTIF(Candidates!$A$2:$A$2000,$A934))</f>
        <v/>
      </c>
      <c r="V934" s="64" t="str">
        <f>IFERROR(__xludf.DUMMYFUNCTION("IF($A934="""","""",IFERROR(INDEX(FILTER(Candidates!$S$2:$S$2000,Candidates!$A$2:$A$2000=$A934),COUNTIF(Candidates!$A$2:$A$2000,$A934)),""""))"),"")</f>
        <v/>
      </c>
      <c r="W934" s="64" t="str">
        <f>IFERROR(__xludf.DUMMYFUNCTION("IF($A934="""","""",IFERROR(INDEX(FILTER(Candidates!$T$2:$T$2000,Candidates!$A$2:$A$2000=$A934),COUNTIF(Candidates!$A$2:$A$2000,$A934)),""""))"),"")</f>
        <v/>
      </c>
      <c r="X934" s="64"/>
      <c r="Y934" s="64"/>
      <c r="Z934" s="65"/>
      <c r="AA934" s="65"/>
      <c r="AB934" s="65"/>
      <c r="AC934" s="65"/>
    </row>
    <row r="935">
      <c r="A935" s="64"/>
      <c r="B935" s="64"/>
      <c r="C935" s="64"/>
      <c r="D935" s="64"/>
      <c r="E935" s="64"/>
      <c r="F935" s="64"/>
      <c r="G935" s="64"/>
      <c r="H935" s="63"/>
      <c r="I935" s="64"/>
      <c r="J935" s="64"/>
      <c r="K935" s="64"/>
      <c r="L935" s="64"/>
      <c r="M935" s="64"/>
      <c r="N935" s="64"/>
      <c r="O935" s="64"/>
      <c r="P935" s="64"/>
      <c r="Q935" s="64"/>
      <c r="R935" s="65" t="str">
        <f>IF($A935="","",IFERROR(MINIFS(Candidates!$K$2:$K$2000,Candidates!$A$2:$A$2000,$A935),""))</f>
        <v/>
      </c>
      <c r="S935" s="65" t="str">
        <f>IF($A935="","",IFERROR(MAXIFS(Candidates!$AA$2:$AA$2000,Candidates!$A$2:$A$2000,$A935),""))</f>
        <v/>
      </c>
      <c r="T935" s="64" t="str">
        <f>IFERROR(__xludf.DUMMYFUNCTION("IF($A935="""","""",IFERROR(TEXTJOIN("", "",TRUE,UNIQUE(FILTER(Candidates!$B$2:$B$2000,Candidates!$A$2:$A$2000=$A935))),""""))"),"")</f>
        <v/>
      </c>
      <c r="U935" s="66" t="str">
        <f>IF($A935="","",COUNTIF(Candidates!$A$2:$A$2000,$A935))</f>
        <v/>
      </c>
      <c r="V935" s="64" t="str">
        <f>IFERROR(__xludf.DUMMYFUNCTION("IF($A935="""","""",IFERROR(INDEX(FILTER(Candidates!$S$2:$S$2000,Candidates!$A$2:$A$2000=$A935),COUNTIF(Candidates!$A$2:$A$2000,$A935)),""""))"),"")</f>
        <v/>
      </c>
      <c r="W935" s="64" t="str">
        <f>IFERROR(__xludf.DUMMYFUNCTION("IF($A935="""","""",IFERROR(INDEX(FILTER(Candidates!$T$2:$T$2000,Candidates!$A$2:$A$2000=$A935),COUNTIF(Candidates!$A$2:$A$2000,$A935)),""""))"),"")</f>
        <v/>
      </c>
      <c r="X935" s="64"/>
      <c r="Y935" s="64"/>
      <c r="Z935" s="65"/>
      <c r="AA935" s="65"/>
      <c r="AB935" s="65"/>
      <c r="AC935" s="65"/>
    </row>
    <row r="936">
      <c r="A936" s="64"/>
      <c r="B936" s="64"/>
      <c r="C936" s="64"/>
      <c r="D936" s="64"/>
      <c r="E936" s="64"/>
      <c r="F936" s="64"/>
      <c r="G936" s="64"/>
      <c r="H936" s="63"/>
      <c r="I936" s="64"/>
      <c r="J936" s="64"/>
      <c r="K936" s="64"/>
      <c r="L936" s="64"/>
      <c r="M936" s="64"/>
      <c r="N936" s="64"/>
      <c r="O936" s="64"/>
      <c r="P936" s="64"/>
      <c r="Q936" s="64"/>
      <c r="R936" s="65" t="str">
        <f>IF($A936="","",IFERROR(MINIFS(Candidates!$K$2:$K$2000,Candidates!$A$2:$A$2000,$A936),""))</f>
        <v/>
      </c>
      <c r="S936" s="65" t="str">
        <f>IF($A936="","",IFERROR(MAXIFS(Candidates!$AA$2:$AA$2000,Candidates!$A$2:$A$2000,$A936),""))</f>
        <v/>
      </c>
      <c r="T936" s="64" t="str">
        <f>IFERROR(__xludf.DUMMYFUNCTION("IF($A936="""","""",IFERROR(TEXTJOIN("", "",TRUE,UNIQUE(FILTER(Candidates!$B$2:$B$2000,Candidates!$A$2:$A$2000=$A936))),""""))"),"")</f>
        <v/>
      </c>
      <c r="U936" s="66" t="str">
        <f>IF($A936="","",COUNTIF(Candidates!$A$2:$A$2000,$A936))</f>
        <v/>
      </c>
      <c r="V936" s="64" t="str">
        <f>IFERROR(__xludf.DUMMYFUNCTION("IF($A936="""","""",IFERROR(INDEX(FILTER(Candidates!$S$2:$S$2000,Candidates!$A$2:$A$2000=$A936),COUNTIF(Candidates!$A$2:$A$2000,$A936)),""""))"),"")</f>
        <v/>
      </c>
      <c r="W936" s="64" t="str">
        <f>IFERROR(__xludf.DUMMYFUNCTION("IF($A936="""","""",IFERROR(INDEX(FILTER(Candidates!$T$2:$T$2000,Candidates!$A$2:$A$2000=$A936),COUNTIF(Candidates!$A$2:$A$2000,$A936)),""""))"),"")</f>
        <v/>
      </c>
      <c r="X936" s="64"/>
      <c r="Y936" s="64"/>
      <c r="Z936" s="65"/>
      <c r="AA936" s="65"/>
      <c r="AB936" s="65"/>
      <c r="AC936" s="65"/>
    </row>
    <row r="937">
      <c r="A937" s="64"/>
      <c r="B937" s="64"/>
      <c r="C937" s="64"/>
      <c r="D937" s="64"/>
      <c r="E937" s="64"/>
      <c r="F937" s="64"/>
      <c r="G937" s="64"/>
      <c r="H937" s="63"/>
      <c r="I937" s="64"/>
      <c r="J937" s="64"/>
      <c r="K937" s="64"/>
      <c r="L937" s="64"/>
      <c r="M937" s="64"/>
      <c r="N937" s="64"/>
      <c r="O937" s="64"/>
      <c r="P937" s="64"/>
      <c r="Q937" s="64"/>
      <c r="R937" s="65" t="str">
        <f>IF($A937="","",IFERROR(MINIFS(Candidates!$K$2:$K$2000,Candidates!$A$2:$A$2000,$A937),""))</f>
        <v/>
      </c>
      <c r="S937" s="65" t="str">
        <f>IF($A937="","",IFERROR(MAXIFS(Candidates!$AA$2:$AA$2000,Candidates!$A$2:$A$2000,$A937),""))</f>
        <v/>
      </c>
      <c r="T937" s="64" t="str">
        <f>IFERROR(__xludf.DUMMYFUNCTION("IF($A937="""","""",IFERROR(TEXTJOIN("", "",TRUE,UNIQUE(FILTER(Candidates!$B$2:$B$2000,Candidates!$A$2:$A$2000=$A937))),""""))"),"")</f>
        <v/>
      </c>
      <c r="U937" s="66" t="str">
        <f>IF($A937="","",COUNTIF(Candidates!$A$2:$A$2000,$A937))</f>
        <v/>
      </c>
      <c r="V937" s="64" t="str">
        <f>IFERROR(__xludf.DUMMYFUNCTION("IF($A937="""","""",IFERROR(INDEX(FILTER(Candidates!$S$2:$S$2000,Candidates!$A$2:$A$2000=$A937),COUNTIF(Candidates!$A$2:$A$2000,$A937)),""""))"),"")</f>
        <v/>
      </c>
      <c r="W937" s="64" t="str">
        <f>IFERROR(__xludf.DUMMYFUNCTION("IF($A937="""","""",IFERROR(INDEX(FILTER(Candidates!$T$2:$T$2000,Candidates!$A$2:$A$2000=$A937),COUNTIF(Candidates!$A$2:$A$2000,$A937)),""""))"),"")</f>
        <v/>
      </c>
      <c r="X937" s="64"/>
      <c r="Y937" s="64"/>
      <c r="Z937" s="65"/>
      <c r="AA937" s="65"/>
      <c r="AB937" s="65"/>
      <c r="AC937" s="65"/>
    </row>
    <row r="938">
      <c r="A938" s="64"/>
      <c r="B938" s="64"/>
      <c r="C938" s="64"/>
      <c r="D938" s="64"/>
      <c r="E938" s="64"/>
      <c r="F938" s="64"/>
      <c r="G938" s="64"/>
      <c r="H938" s="63"/>
      <c r="I938" s="64"/>
      <c r="J938" s="64"/>
      <c r="K938" s="64"/>
      <c r="L938" s="64"/>
      <c r="M938" s="64"/>
      <c r="N938" s="64"/>
      <c r="O938" s="64"/>
      <c r="P938" s="64"/>
      <c r="Q938" s="64"/>
      <c r="R938" s="65" t="str">
        <f>IF($A938="","",IFERROR(MINIFS(Candidates!$K$2:$K$2000,Candidates!$A$2:$A$2000,$A938),""))</f>
        <v/>
      </c>
      <c r="S938" s="65" t="str">
        <f>IF($A938="","",IFERROR(MAXIFS(Candidates!$AA$2:$AA$2000,Candidates!$A$2:$A$2000,$A938),""))</f>
        <v/>
      </c>
      <c r="T938" s="64" t="str">
        <f>IFERROR(__xludf.DUMMYFUNCTION("IF($A938="""","""",IFERROR(TEXTJOIN("", "",TRUE,UNIQUE(FILTER(Candidates!$B$2:$B$2000,Candidates!$A$2:$A$2000=$A938))),""""))"),"")</f>
        <v/>
      </c>
      <c r="U938" s="66" t="str">
        <f>IF($A938="","",COUNTIF(Candidates!$A$2:$A$2000,$A938))</f>
        <v/>
      </c>
      <c r="V938" s="64" t="str">
        <f>IFERROR(__xludf.DUMMYFUNCTION("IF($A938="""","""",IFERROR(INDEX(FILTER(Candidates!$S$2:$S$2000,Candidates!$A$2:$A$2000=$A938),COUNTIF(Candidates!$A$2:$A$2000,$A938)),""""))"),"")</f>
        <v/>
      </c>
      <c r="W938" s="64" t="str">
        <f>IFERROR(__xludf.DUMMYFUNCTION("IF($A938="""","""",IFERROR(INDEX(FILTER(Candidates!$T$2:$T$2000,Candidates!$A$2:$A$2000=$A938),COUNTIF(Candidates!$A$2:$A$2000,$A938)),""""))"),"")</f>
        <v/>
      </c>
      <c r="X938" s="64"/>
      <c r="Y938" s="64"/>
      <c r="Z938" s="65"/>
      <c r="AA938" s="65"/>
      <c r="AB938" s="65"/>
      <c r="AC938" s="65"/>
    </row>
    <row r="939">
      <c r="A939" s="64"/>
      <c r="B939" s="64"/>
      <c r="C939" s="64"/>
      <c r="D939" s="64"/>
      <c r="E939" s="64"/>
      <c r="F939" s="64"/>
      <c r="G939" s="64"/>
      <c r="H939" s="63"/>
      <c r="I939" s="64"/>
      <c r="J939" s="64"/>
      <c r="K939" s="64"/>
      <c r="L939" s="64"/>
      <c r="M939" s="64"/>
      <c r="N939" s="64"/>
      <c r="O939" s="64"/>
      <c r="P939" s="64"/>
      <c r="Q939" s="64"/>
      <c r="R939" s="65" t="str">
        <f>IF($A939="","",IFERROR(MINIFS(Candidates!$K$2:$K$2000,Candidates!$A$2:$A$2000,$A939),""))</f>
        <v/>
      </c>
      <c r="S939" s="65" t="str">
        <f>IF($A939="","",IFERROR(MAXIFS(Candidates!$AA$2:$AA$2000,Candidates!$A$2:$A$2000,$A939),""))</f>
        <v/>
      </c>
      <c r="T939" s="64" t="str">
        <f>IFERROR(__xludf.DUMMYFUNCTION("IF($A939="""","""",IFERROR(TEXTJOIN("", "",TRUE,UNIQUE(FILTER(Candidates!$B$2:$B$2000,Candidates!$A$2:$A$2000=$A939))),""""))"),"")</f>
        <v/>
      </c>
      <c r="U939" s="66" t="str">
        <f>IF($A939="","",COUNTIF(Candidates!$A$2:$A$2000,$A939))</f>
        <v/>
      </c>
      <c r="V939" s="64" t="str">
        <f>IFERROR(__xludf.DUMMYFUNCTION("IF($A939="""","""",IFERROR(INDEX(FILTER(Candidates!$S$2:$S$2000,Candidates!$A$2:$A$2000=$A939),COUNTIF(Candidates!$A$2:$A$2000,$A939)),""""))"),"")</f>
        <v/>
      </c>
      <c r="W939" s="64" t="str">
        <f>IFERROR(__xludf.DUMMYFUNCTION("IF($A939="""","""",IFERROR(INDEX(FILTER(Candidates!$T$2:$T$2000,Candidates!$A$2:$A$2000=$A939),COUNTIF(Candidates!$A$2:$A$2000,$A939)),""""))"),"")</f>
        <v/>
      </c>
      <c r="X939" s="64"/>
      <c r="Y939" s="64"/>
      <c r="Z939" s="65"/>
      <c r="AA939" s="65"/>
      <c r="AB939" s="65"/>
      <c r="AC939" s="65"/>
    </row>
    <row r="940">
      <c r="A940" s="64"/>
      <c r="B940" s="64"/>
      <c r="C940" s="64"/>
      <c r="D940" s="64"/>
      <c r="E940" s="64"/>
      <c r="F940" s="64"/>
      <c r="G940" s="64"/>
      <c r="H940" s="63"/>
      <c r="I940" s="64"/>
      <c r="J940" s="64"/>
      <c r="K940" s="64"/>
      <c r="L940" s="64"/>
      <c r="M940" s="64"/>
      <c r="N940" s="64"/>
      <c r="O940" s="64"/>
      <c r="P940" s="64"/>
      <c r="Q940" s="64"/>
      <c r="R940" s="65" t="str">
        <f>IF($A940="","",IFERROR(MINIFS(Candidates!$K$2:$K$2000,Candidates!$A$2:$A$2000,$A940),""))</f>
        <v/>
      </c>
      <c r="S940" s="65" t="str">
        <f>IF($A940="","",IFERROR(MAXIFS(Candidates!$AA$2:$AA$2000,Candidates!$A$2:$A$2000,$A940),""))</f>
        <v/>
      </c>
      <c r="T940" s="64" t="str">
        <f>IFERROR(__xludf.DUMMYFUNCTION("IF($A940="""","""",IFERROR(TEXTJOIN("", "",TRUE,UNIQUE(FILTER(Candidates!$B$2:$B$2000,Candidates!$A$2:$A$2000=$A940))),""""))"),"")</f>
        <v/>
      </c>
      <c r="U940" s="66" t="str">
        <f>IF($A940="","",COUNTIF(Candidates!$A$2:$A$2000,$A940))</f>
        <v/>
      </c>
      <c r="V940" s="64" t="str">
        <f>IFERROR(__xludf.DUMMYFUNCTION("IF($A940="""","""",IFERROR(INDEX(FILTER(Candidates!$S$2:$S$2000,Candidates!$A$2:$A$2000=$A940),COUNTIF(Candidates!$A$2:$A$2000,$A940)),""""))"),"")</f>
        <v/>
      </c>
      <c r="W940" s="64" t="str">
        <f>IFERROR(__xludf.DUMMYFUNCTION("IF($A940="""","""",IFERROR(INDEX(FILTER(Candidates!$T$2:$T$2000,Candidates!$A$2:$A$2000=$A940),COUNTIF(Candidates!$A$2:$A$2000,$A940)),""""))"),"")</f>
        <v/>
      </c>
      <c r="X940" s="64"/>
      <c r="Y940" s="64"/>
      <c r="Z940" s="65"/>
      <c r="AA940" s="65"/>
      <c r="AB940" s="65"/>
      <c r="AC940" s="65"/>
    </row>
    <row r="941">
      <c r="A941" s="64"/>
      <c r="B941" s="64"/>
      <c r="C941" s="64"/>
      <c r="D941" s="64"/>
      <c r="E941" s="64"/>
      <c r="F941" s="64"/>
      <c r="G941" s="64"/>
      <c r="H941" s="63"/>
      <c r="I941" s="64"/>
      <c r="J941" s="64"/>
      <c r="K941" s="64"/>
      <c r="L941" s="64"/>
      <c r="M941" s="64"/>
      <c r="N941" s="64"/>
      <c r="O941" s="64"/>
      <c r="P941" s="64"/>
      <c r="Q941" s="64"/>
      <c r="R941" s="65" t="str">
        <f>IF($A941="","",IFERROR(MINIFS(Candidates!$K$2:$K$2000,Candidates!$A$2:$A$2000,$A941),""))</f>
        <v/>
      </c>
      <c r="S941" s="65" t="str">
        <f>IF($A941="","",IFERROR(MAXIFS(Candidates!$AA$2:$AA$2000,Candidates!$A$2:$A$2000,$A941),""))</f>
        <v/>
      </c>
      <c r="T941" s="64" t="str">
        <f>IFERROR(__xludf.DUMMYFUNCTION("IF($A941="""","""",IFERROR(TEXTJOIN("", "",TRUE,UNIQUE(FILTER(Candidates!$B$2:$B$2000,Candidates!$A$2:$A$2000=$A941))),""""))"),"")</f>
        <v/>
      </c>
      <c r="U941" s="66" t="str">
        <f>IF($A941="","",COUNTIF(Candidates!$A$2:$A$2000,$A941))</f>
        <v/>
      </c>
      <c r="V941" s="64" t="str">
        <f>IFERROR(__xludf.DUMMYFUNCTION("IF($A941="""","""",IFERROR(INDEX(FILTER(Candidates!$S$2:$S$2000,Candidates!$A$2:$A$2000=$A941),COUNTIF(Candidates!$A$2:$A$2000,$A941)),""""))"),"")</f>
        <v/>
      </c>
      <c r="W941" s="64" t="str">
        <f>IFERROR(__xludf.DUMMYFUNCTION("IF($A941="""","""",IFERROR(INDEX(FILTER(Candidates!$T$2:$T$2000,Candidates!$A$2:$A$2000=$A941),COUNTIF(Candidates!$A$2:$A$2000,$A941)),""""))"),"")</f>
        <v/>
      </c>
      <c r="X941" s="64"/>
      <c r="Y941" s="64"/>
      <c r="Z941" s="65"/>
      <c r="AA941" s="65"/>
      <c r="AB941" s="65"/>
      <c r="AC941" s="65"/>
    </row>
    <row r="942">
      <c r="A942" s="64"/>
      <c r="B942" s="64"/>
      <c r="C942" s="64"/>
      <c r="D942" s="64"/>
      <c r="E942" s="64"/>
      <c r="F942" s="64"/>
      <c r="G942" s="64"/>
      <c r="H942" s="63"/>
      <c r="I942" s="64"/>
      <c r="J942" s="64"/>
      <c r="K942" s="64"/>
      <c r="L942" s="64"/>
      <c r="M942" s="64"/>
      <c r="N942" s="64"/>
      <c r="O942" s="64"/>
      <c r="P942" s="64"/>
      <c r="Q942" s="64"/>
      <c r="R942" s="65" t="str">
        <f>IF($A942="","",IFERROR(MINIFS(Candidates!$K$2:$K$2000,Candidates!$A$2:$A$2000,$A942),""))</f>
        <v/>
      </c>
      <c r="S942" s="65" t="str">
        <f>IF($A942="","",IFERROR(MAXIFS(Candidates!$AA$2:$AA$2000,Candidates!$A$2:$A$2000,$A942),""))</f>
        <v/>
      </c>
      <c r="T942" s="64" t="str">
        <f>IFERROR(__xludf.DUMMYFUNCTION("IF($A942="""","""",IFERROR(TEXTJOIN("", "",TRUE,UNIQUE(FILTER(Candidates!$B$2:$B$2000,Candidates!$A$2:$A$2000=$A942))),""""))"),"")</f>
        <v/>
      </c>
      <c r="U942" s="66" t="str">
        <f>IF($A942="","",COUNTIF(Candidates!$A$2:$A$2000,$A942))</f>
        <v/>
      </c>
      <c r="V942" s="64" t="str">
        <f>IFERROR(__xludf.DUMMYFUNCTION("IF($A942="""","""",IFERROR(INDEX(FILTER(Candidates!$S$2:$S$2000,Candidates!$A$2:$A$2000=$A942),COUNTIF(Candidates!$A$2:$A$2000,$A942)),""""))"),"")</f>
        <v/>
      </c>
      <c r="W942" s="64" t="str">
        <f>IFERROR(__xludf.DUMMYFUNCTION("IF($A942="""","""",IFERROR(INDEX(FILTER(Candidates!$T$2:$T$2000,Candidates!$A$2:$A$2000=$A942),COUNTIF(Candidates!$A$2:$A$2000,$A942)),""""))"),"")</f>
        <v/>
      </c>
      <c r="X942" s="64"/>
      <c r="Y942" s="64"/>
      <c r="Z942" s="65"/>
      <c r="AA942" s="65"/>
      <c r="AB942" s="65"/>
      <c r="AC942" s="65"/>
    </row>
    <row r="943">
      <c r="A943" s="64"/>
      <c r="B943" s="64"/>
      <c r="C943" s="64"/>
      <c r="D943" s="64"/>
      <c r="E943" s="64"/>
      <c r="F943" s="64"/>
      <c r="G943" s="64"/>
      <c r="H943" s="63"/>
      <c r="I943" s="64"/>
      <c r="J943" s="64"/>
      <c r="K943" s="64"/>
      <c r="L943" s="64"/>
      <c r="M943" s="64"/>
      <c r="N943" s="64"/>
      <c r="O943" s="64"/>
      <c r="P943" s="64"/>
      <c r="Q943" s="64"/>
      <c r="R943" s="65" t="str">
        <f>IF($A943="","",IFERROR(MINIFS(Candidates!$K$2:$K$2000,Candidates!$A$2:$A$2000,$A943),""))</f>
        <v/>
      </c>
      <c r="S943" s="65" t="str">
        <f>IF($A943="","",IFERROR(MAXIFS(Candidates!$AA$2:$AA$2000,Candidates!$A$2:$A$2000,$A943),""))</f>
        <v/>
      </c>
      <c r="T943" s="64" t="str">
        <f>IFERROR(__xludf.DUMMYFUNCTION("IF($A943="""","""",IFERROR(TEXTJOIN("", "",TRUE,UNIQUE(FILTER(Candidates!$B$2:$B$2000,Candidates!$A$2:$A$2000=$A943))),""""))"),"")</f>
        <v/>
      </c>
      <c r="U943" s="66" t="str">
        <f>IF($A943="","",COUNTIF(Candidates!$A$2:$A$2000,$A943))</f>
        <v/>
      </c>
      <c r="V943" s="64" t="str">
        <f>IFERROR(__xludf.DUMMYFUNCTION("IF($A943="""","""",IFERROR(INDEX(FILTER(Candidates!$S$2:$S$2000,Candidates!$A$2:$A$2000=$A943),COUNTIF(Candidates!$A$2:$A$2000,$A943)),""""))"),"")</f>
        <v/>
      </c>
      <c r="W943" s="64" t="str">
        <f>IFERROR(__xludf.DUMMYFUNCTION("IF($A943="""","""",IFERROR(INDEX(FILTER(Candidates!$T$2:$T$2000,Candidates!$A$2:$A$2000=$A943),COUNTIF(Candidates!$A$2:$A$2000,$A943)),""""))"),"")</f>
        <v/>
      </c>
      <c r="X943" s="64"/>
      <c r="Y943" s="64"/>
      <c r="Z943" s="65"/>
      <c r="AA943" s="65"/>
      <c r="AB943" s="65"/>
      <c r="AC943" s="65"/>
    </row>
    <row r="944">
      <c r="A944" s="64"/>
      <c r="B944" s="64"/>
      <c r="C944" s="64"/>
      <c r="D944" s="64"/>
      <c r="E944" s="64"/>
      <c r="F944" s="64"/>
      <c r="G944" s="64"/>
      <c r="H944" s="63"/>
      <c r="I944" s="64"/>
      <c r="J944" s="64"/>
      <c r="K944" s="64"/>
      <c r="L944" s="64"/>
      <c r="M944" s="64"/>
      <c r="N944" s="64"/>
      <c r="O944" s="64"/>
      <c r="P944" s="64"/>
      <c r="Q944" s="64"/>
      <c r="R944" s="65" t="str">
        <f>IF($A944="","",IFERROR(MINIFS(Candidates!$K$2:$K$2000,Candidates!$A$2:$A$2000,$A944),""))</f>
        <v/>
      </c>
      <c r="S944" s="65" t="str">
        <f>IF($A944="","",IFERROR(MAXIFS(Candidates!$AA$2:$AA$2000,Candidates!$A$2:$A$2000,$A944),""))</f>
        <v/>
      </c>
      <c r="T944" s="64" t="str">
        <f>IFERROR(__xludf.DUMMYFUNCTION("IF($A944="""","""",IFERROR(TEXTJOIN("", "",TRUE,UNIQUE(FILTER(Candidates!$B$2:$B$2000,Candidates!$A$2:$A$2000=$A944))),""""))"),"")</f>
        <v/>
      </c>
      <c r="U944" s="66" t="str">
        <f>IF($A944="","",COUNTIF(Candidates!$A$2:$A$2000,$A944))</f>
        <v/>
      </c>
      <c r="V944" s="64" t="str">
        <f>IFERROR(__xludf.DUMMYFUNCTION("IF($A944="""","""",IFERROR(INDEX(FILTER(Candidates!$S$2:$S$2000,Candidates!$A$2:$A$2000=$A944),COUNTIF(Candidates!$A$2:$A$2000,$A944)),""""))"),"")</f>
        <v/>
      </c>
      <c r="W944" s="64" t="str">
        <f>IFERROR(__xludf.DUMMYFUNCTION("IF($A944="""","""",IFERROR(INDEX(FILTER(Candidates!$T$2:$T$2000,Candidates!$A$2:$A$2000=$A944),COUNTIF(Candidates!$A$2:$A$2000,$A944)),""""))"),"")</f>
        <v/>
      </c>
      <c r="X944" s="64"/>
      <c r="Y944" s="64"/>
      <c r="Z944" s="65"/>
      <c r="AA944" s="65"/>
      <c r="AB944" s="65"/>
      <c r="AC944" s="65"/>
    </row>
    <row r="945">
      <c r="A945" s="64"/>
      <c r="B945" s="64"/>
      <c r="C945" s="64"/>
      <c r="D945" s="64"/>
      <c r="E945" s="64"/>
      <c r="F945" s="64"/>
      <c r="G945" s="64"/>
      <c r="H945" s="63"/>
      <c r="I945" s="64"/>
      <c r="J945" s="64"/>
      <c r="K945" s="64"/>
      <c r="L945" s="64"/>
      <c r="M945" s="64"/>
      <c r="N945" s="64"/>
      <c r="O945" s="64"/>
      <c r="P945" s="64"/>
      <c r="Q945" s="64"/>
      <c r="R945" s="65" t="str">
        <f>IF($A945="","",IFERROR(MINIFS(Candidates!$K$2:$K$2000,Candidates!$A$2:$A$2000,$A945),""))</f>
        <v/>
      </c>
      <c r="S945" s="65" t="str">
        <f>IF($A945="","",IFERROR(MAXIFS(Candidates!$AA$2:$AA$2000,Candidates!$A$2:$A$2000,$A945),""))</f>
        <v/>
      </c>
      <c r="T945" s="64" t="str">
        <f>IFERROR(__xludf.DUMMYFUNCTION("IF($A945="""","""",IFERROR(TEXTJOIN("", "",TRUE,UNIQUE(FILTER(Candidates!$B$2:$B$2000,Candidates!$A$2:$A$2000=$A945))),""""))"),"")</f>
        <v/>
      </c>
      <c r="U945" s="66" t="str">
        <f>IF($A945="","",COUNTIF(Candidates!$A$2:$A$2000,$A945))</f>
        <v/>
      </c>
      <c r="V945" s="64" t="str">
        <f>IFERROR(__xludf.DUMMYFUNCTION("IF($A945="""","""",IFERROR(INDEX(FILTER(Candidates!$S$2:$S$2000,Candidates!$A$2:$A$2000=$A945),COUNTIF(Candidates!$A$2:$A$2000,$A945)),""""))"),"")</f>
        <v/>
      </c>
      <c r="W945" s="64" t="str">
        <f>IFERROR(__xludf.DUMMYFUNCTION("IF($A945="""","""",IFERROR(INDEX(FILTER(Candidates!$T$2:$T$2000,Candidates!$A$2:$A$2000=$A945),COUNTIF(Candidates!$A$2:$A$2000,$A945)),""""))"),"")</f>
        <v/>
      </c>
      <c r="X945" s="64"/>
      <c r="Y945" s="64"/>
      <c r="Z945" s="65"/>
      <c r="AA945" s="65"/>
      <c r="AB945" s="65"/>
      <c r="AC945" s="65"/>
    </row>
    <row r="946">
      <c r="A946" s="64"/>
      <c r="B946" s="64"/>
      <c r="C946" s="64"/>
      <c r="D946" s="64"/>
      <c r="E946" s="64"/>
      <c r="F946" s="64"/>
      <c r="G946" s="64"/>
      <c r="H946" s="63"/>
      <c r="I946" s="64"/>
      <c r="J946" s="64"/>
      <c r="K946" s="64"/>
      <c r="L946" s="64"/>
      <c r="M946" s="64"/>
      <c r="N946" s="64"/>
      <c r="O946" s="64"/>
      <c r="P946" s="64"/>
      <c r="Q946" s="64"/>
      <c r="R946" s="65" t="str">
        <f>IF($A946="","",IFERROR(MINIFS(Candidates!$K$2:$K$2000,Candidates!$A$2:$A$2000,$A946),""))</f>
        <v/>
      </c>
      <c r="S946" s="65" t="str">
        <f>IF($A946="","",IFERROR(MAXIFS(Candidates!$AA$2:$AA$2000,Candidates!$A$2:$A$2000,$A946),""))</f>
        <v/>
      </c>
      <c r="T946" s="64" t="str">
        <f>IFERROR(__xludf.DUMMYFUNCTION("IF($A946="""","""",IFERROR(TEXTJOIN("", "",TRUE,UNIQUE(FILTER(Candidates!$B$2:$B$2000,Candidates!$A$2:$A$2000=$A946))),""""))"),"")</f>
        <v/>
      </c>
      <c r="U946" s="66" t="str">
        <f>IF($A946="","",COUNTIF(Candidates!$A$2:$A$2000,$A946))</f>
        <v/>
      </c>
      <c r="V946" s="64" t="str">
        <f>IFERROR(__xludf.DUMMYFUNCTION("IF($A946="""","""",IFERROR(INDEX(FILTER(Candidates!$S$2:$S$2000,Candidates!$A$2:$A$2000=$A946),COUNTIF(Candidates!$A$2:$A$2000,$A946)),""""))"),"")</f>
        <v/>
      </c>
      <c r="W946" s="64" t="str">
        <f>IFERROR(__xludf.DUMMYFUNCTION("IF($A946="""","""",IFERROR(INDEX(FILTER(Candidates!$T$2:$T$2000,Candidates!$A$2:$A$2000=$A946),COUNTIF(Candidates!$A$2:$A$2000,$A946)),""""))"),"")</f>
        <v/>
      </c>
      <c r="X946" s="64"/>
      <c r="Y946" s="64"/>
      <c r="Z946" s="65"/>
      <c r="AA946" s="65"/>
      <c r="AB946" s="65"/>
      <c r="AC946" s="65"/>
    </row>
    <row r="947">
      <c r="A947" s="64"/>
      <c r="B947" s="64"/>
      <c r="C947" s="64"/>
      <c r="D947" s="64"/>
      <c r="E947" s="64"/>
      <c r="F947" s="64"/>
      <c r="G947" s="64"/>
      <c r="H947" s="63"/>
      <c r="I947" s="64"/>
      <c r="J947" s="64"/>
      <c r="K947" s="64"/>
      <c r="L947" s="64"/>
      <c r="M947" s="64"/>
      <c r="N947" s="64"/>
      <c r="O947" s="64"/>
      <c r="P947" s="64"/>
      <c r="Q947" s="64"/>
      <c r="R947" s="65" t="str">
        <f>IF($A947="","",IFERROR(MINIFS(Candidates!$K$2:$K$2000,Candidates!$A$2:$A$2000,$A947),""))</f>
        <v/>
      </c>
      <c r="S947" s="65" t="str">
        <f>IF($A947="","",IFERROR(MAXIFS(Candidates!$AA$2:$AA$2000,Candidates!$A$2:$A$2000,$A947),""))</f>
        <v/>
      </c>
      <c r="T947" s="64" t="str">
        <f>IFERROR(__xludf.DUMMYFUNCTION("IF($A947="""","""",IFERROR(TEXTJOIN("", "",TRUE,UNIQUE(FILTER(Candidates!$B$2:$B$2000,Candidates!$A$2:$A$2000=$A947))),""""))"),"")</f>
        <v/>
      </c>
      <c r="U947" s="66" t="str">
        <f>IF($A947="","",COUNTIF(Candidates!$A$2:$A$2000,$A947))</f>
        <v/>
      </c>
      <c r="V947" s="64" t="str">
        <f>IFERROR(__xludf.DUMMYFUNCTION("IF($A947="""","""",IFERROR(INDEX(FILTER(Candidates!$S$2:$S$2000,Candidates!$A$2:$A$2000=$A947),COUNTIF(Candidates!$A$2:$A$2000,$A947)),""""))"),"")</f>
        <v/>
      </c>
      <c r="W947" s="64" t="str">
        <f>IFERROR(__xludf.DUMMYFUNCTION("IF($A947="""","""",IFERROR(INDEX(FILTER(Candidates!$T$2:$T$2000,Candidates!$A$2:$A$2000=$A947),COUNTIF(Candidates!$A$2:$A$2000,$A947)),""""))"),"")</f>
        <v/>
      </c>
      <c r="X947" s="64"/>
      <c r="Y947" s="64"/>
      <c r="Z947" s="65"/>
      <c r="AA947" s="65"/>
      <c r="AB947" s="65"/>
      <c r="AC947" s="65"/>
    </row>
    <row r="948">
      <c r="A948" s="64"/>
      <c r="B948" s="64"/>
      <c r="C948" s="64"/>
      <c r="D948" s="64"/>
      <c r="E948" s="64"/>
      <c r="F948" s="64"/>
      <c r="G948" s="64"/>
      <c r="H948" s="63"/>
      <c r="I948" s="64"/>
      <c r="J948" s="64"/>
      <c r="K948" s="64"/>
      <c r="L948" s="64"/>
      <c r="M948" s="64"/>
      <c r="N948" s="64"/>
      <c r="O948" s="64"/>
      <c r="P948" s="64"/>
      <c r="Q948" s="64"/>
      <c r="R948" s="65" t="str">
        <f>IF($A948="","",IFERROR(MINIFS(Candidates!$K$2:$K$2000,Candidates!$A$2:$A$2000,$A948),""))</f>
        <v/>
      </c>
      <c r="S948" s="65" t="str">
        <f>IF($A948="","",IFERROR(MAXIFS(Candidates!$AA$2:$AA$2000,Candidates!$A$2:$A$2000,$A948),""))</f>
        <v/>
      </c>
      <c r="T948" s="64" t="str">
        <f>IFERROR(__xludf.DUMMYFUNCTION("IF($A948="""","""",IFERROR(TEXTJOIN("", "",TRUE,UNIQUE(FILTER(Candidates!$B$2:$B$2000,Candidates!$A$2:$A$2000=$A948))),""""))"),"")</f>
        <v/>
      </c>
      <c r="U948" s="66" t="str">
        <f>IF($A948="","",COUNTIF(Candidates!$A$2:$A$2000,$A948))</f>
        <v/>
      </c>
      <c r="V948" s="64" t="str">
        <f>IFERROR(__xludf.DUMMYFUNCTION("IF($A948="""","""",IFERROR(INDEX(FILTER(Candidates!$S$2:$S$2000,Candidates!$A$2:$A$2000=$A948),COUNTIF(Candidates!$A$2:$A$2000,$A948)),""""))"),"")</f>
        <v/>
      </c>
      <c r="W948" s="64" t="str">
        <f>IFERROR(__xludf.DUMMYFUNCTION("IF($A948="""","""",IFERROR(INDEX(FILTER(Candidates!$T$2:$T$2000,Candidates!$A$2:$A$2000=$A948),COUNTIF(Candidates!$A$2:$A$2000,$A948)),""""))"),"")</f>
        <v/>
      </c>
      <c r="X948" s="64"/>
      <c r="Y948" s="64"/>
      <c r="Z948" s="65"/>
      <c r="AA948" s="65"/>
      <c r="AB948" s="65"/>
      <c r="AC948" s="65"/>
    </row>
    <row r="949">
      <c r="A949" s="64"/>
      <c r="B949" s="64"/>
      <c r="C949" s="64"/>
      <c r="D949" s="64"/>
      <c r="E949" s="64"/>
      <c r="F949" s="64"/>
      <c r="G949" s="64"/>
      <c r="H949" s="63"/>
      <c r="I949" s="64"/>
      <c r="J949" s="64"/>
      <c r="K949" s="64"/>
      <c r="L949" s="64"/>
      <c r="M949" s="64"/>
      <c r="N949" s="64"/>
      <c r="O949" s="64"/>
      <c r="P949" s="64"/>
      <c r="Q949" s="64"/>
      <c r="R949" s="65" t="str">
        <f>IF($A949="","",IFERROR(MINIFS(Candidates!$K$2:$K$2000,Candidates!$A$2:$A$2000,$A949),""))</f>
        <v/>
      </c>
      <c r="S949" s="65" t="str">
        <f>IF($A949="","",IFERROR(MAXIFS(Candidates!$AA$2:$AA$2000,Candidates!$A$2:$A$2000,$A949),""))</f>
        <v/>
      </c>
      <c r="T949" s="64" t="str">
        <f>IFERROR(__xludf.DUMMYFUNCTION("IF($A949="""","""",IFERROR(TEXTJOIN("", "",TRUE,UNIQUE(FILTER(Candidates!$B$2:$B$2000,Candidates!$A$2:$A$2000=$A949))),""""))"),"")</f>
        <v/>
      </c>
      <c r="U949" s="66" t="str">
        <f>IF($A949="","",COUNTIF(Candidates!$A$2:$A$2000,$A949))</f>
        <v/>
      </c>
      <c r="V949" s="64" t="str">
        <f>IFERROR(__xludf.DUMMYFUNCTION("IF($A949="""","""",IFERROR(INDEX(FILTER(Candidates!$S$2:$S$2000,Candidates!$A$2:$A$2000=$A949),COUNTIF(Candidates!$A$2:$A$2000,$A949)),""""))"),"")</f>
        <v/>
      </c>
      <c r="W949" s="64" t="str">
        <f>IFERROR(__xludf.DUMMYFUNCTION("IF($A949="""","""",IFERROR(INDEX(FILTER(Candidates!$T$2:$T$2000,Candidates!$A$2:$A$2000=$A949),COUNTIF(Candidates!$A$2:$A$2000,$A949)),""""))"),"")</f>
        <v/>
      </c>
      <c r="X949" s="64"/>
      <c r="Y949" s="64"/>
      <c r="Z949" s="65"/>
      <c r="AA949" s="65"/>
      <c r="AB949" s="65"/>
      <c r="AC949" s="65"/>
    </row>
    <row r="950">
      <c r="A950" s="64"/>
      <c r="B950" s="64"/>
      <c r="C950" s="64"/>
      <c r="D950" s="64"/>
      <c r="E950" s="64"/>
      <c r="F950" s="64"/>
      <c r="G950" s="64"/>
      <c r="H950" s="63"/>
      <c r="I950" s="64"/>
      <c r="J950" s="64"/>
      <c r="K950" s="64"/>
      <c r="L950" s="64"/>
      <c r="M950" s="64"/>
      <c r="N950" s="64"/>
      <c r="O950" s="64"/>
      <c r="P950" s="64"/>
      <c r="Q950" s="64"/>
      <c r="R950" s="65" t="str">
        <f>IF($A950="","",IFERROR(MINIFS(Candidates!$K$2:$K$2000,Candidates!$A$2:$A$2000,$A950),""))</f>
        <v/>
      </c>
      <c r="S950" s="65" t="str">
        <f>IF($A950="","",IFERROR(MAXIFS(Candidates!$AA$2:$AA$2000,Candidates!$A$2:$A$2000,$A950),""))</f>
        <v/>
      </c>
      <c r="T950" s="64" t="str">
        <f>IFERROR(__xludf.DUMMYFUNCTION("IF($A950="""","""",IFERROR(TEXTJOIN("", "",TRUE,UNIQUE(FILTER(Candidates!$B$2:$B$2000,Candidates!$A$2:$A$2000=$A950))),""""))"),"")</f>
        <v/>
      </c>
      <c r="U950" s="66" t="str">
        <f>IF($A950="","",COUNTIF(Candidates!$A$2:$A$2000,$A950))</f>
        <v/>
      </c>
      <c r="V950" s="64" t="str">
        <f>IFERROR(__xludf.DUMMYFUNCTION("IF($A950="""","""",IFERROR(INDEX(FILTER(Candidates!$S$2:$S$2000,Candidates!$A$2:$A$2000=$A950),COUNTIF(Candidates!$A$2:$A$2000,$A950)),""""))"),"")</f>
        <v/>
      </c>
      <c r="W950" s="64" t="str">
        <f>IFERROR(__xludf.DUMMYFUNCTION("IF($A950="""","""",IFERROR(INDEX(FILTER(Candidates!$T$2:$T$2000,Candidates!$A$2:$A$2000=$A950),COUNTIF(Candidates!$A$2:$A$2000,$A950)),""""))"),"")</f>
        <v/>
      </c>
      <c r="X950" s="64"/>
      <c r="Y950" s="64"/>
      <c r="Z950" s="65"/>
      <c r="AA950" s="65"/>
      <c r="AB950" s="65"/>
      <c r="AC950" s="65"/>
    </row>
    <row r="951">
      <c r="A951" s="64"/>
      <c r="B951" s="64"/>
      <c r="C951" s="64"/>
      <c r="D951" s="64"/>
      <c r="E951" s="64"/>
      <c r="F951" s="64"/>
      <c r="G951" s="64"/>
      <c r="H951" s="63"/>
      <c r="I951" s="64"/>
      <c r="J951" s="64"/>
      <c r="K951" s="64"/>
      <c r="L951" s="64"/>
      <c r="M951" s="64"/>
      <c r="N951" s="64"/>
      <c r="O951" s="64"/>
      <c r="P951" s="64"/>
      <c r="Q951" s="64"/>
      <c r="R951" s="65" t="str">
        <f>IF($A951="","",IFERROR(MINIFS(Candidates!$K$2:$K$2000,Candidates!$A$2:$A$2000,$A951),""))</f>
        <v/>
      </c>
      <c r="S951" s="65" t="str">
        <f>IF($A951="","",IFERROR(MAXIFS(Candidates!$AA$2:$AA$2000,Candidates!$A$2:$A$2000,$A951),""))</f>
        <v/>
      </c>
      <c r="T951" s="64" t="str">
        <f>IFERROR(__xludf.DUMMYFUNCTION("IF($A951="""","""",IFERROR(TEXTJOIN("", "",TRUE,UNIQUE(FILTER(Candidates!$B$2:$B$2000,Candidates!$A$2:$A$2000=$A951))),""""))"),"")</f>
        <v/>
      </c>
      <c r="U951" s="66" t="str">
        <f>IF($A951="","",COUNTIF(Candidates!$A$2:$A$2000,$A951))</f>
        <v/>
      </c>
      <c r="V951" s="64" t="str">
        <f>IFERROR(__xludf.DUMMYFUNCTION("IF($A951="""","""",IFERROR(INDEX(FILTER(Candidates!$S$2:$S$2000,Candidates!$A$2:$A$2000=$A951),COUNTIF(Candidates!$A$2:$A$2000,$A951)),""""))"),"")</f>
        <v/>
      </c>
      <c r="W951" s="64" t="str">
        <f>IFERROR(__xludf.DUMMYFUNCTION("IF($A951="""","""",IFERROR(INDEX(FILTER(Candidates!$T$2:$T$2000,Candidates!$A$2:$A$2000=$A951),COUNTIF(Candidates!$A$2:$A$2000,$A951)),""""))"),"")</f>
        <v/>
      </c>
      <c r="X951" s="64"/>
      <c r="Y951" s="64"/>
      <c r="Z951" s="65"/>
      <c r="AA951" s="65"/>
      <c r="AB951" s="65"/>
      <c r="AC951" s="65"/>
    </row>
    <row r="952">
      <c r="A952" s="64"/>
      <c r="B952" s="64"/>
      <c r="C952" s="64"/>
      <c r="D952" s="64"/>
      <c r="E952" s="64"/>
      <c r="F952" s="64"/>
      <c r="G952" s="64"/>
      <c r="H952" s="63"/>
      <c r="I952" s="64"/>
      <c r="J952" s="64"/>
      <c r="K952" s="64"/>
      <c r="L952" s="64"/>
      <c r="M952" s="64"/>
      <c r="N952" s="64"/>
      <c r="O952" s="64"/>
      <c r="P952" s="64"/>
      <c r="Q952" s="64"/>
      <c r="R952" s="65" t="str">
        <f>IF($A952="","",IFERROR(MINIFS(Candidates!$K$2:$K$2000,Candidates!$A$2:$A$2000,$A952),""))</f>
        <v/>
      </c>
      <c r="S952" s="65" t="str">
        <f>IF($A952="","",IFERROR(MAXIFS(Candidates!$AA$2:$AA$2000,Candidates!$A$2:$A$2000,$A952),""))</f>
        <v/>
      </c>
      <c r="T952" s="64" t="str">
        <f>IFERROR(__xludf.DUMMYFUNCTION("IF($A952="""","""",IFERROR(TEXTJOIN("", "",TRUE,UNIQUE(FILTER(Candidates!$B$2:$B$2000,Candidates!$A$2:$A$2000=$A952))),""""))"),"")</f>
        <v/>
      </c>
      <c r="U952" s="66" t="str">
        <f>IF($A952="","",COUNTIF(Candidates!$A$2:$A$2000,$A952))</f>
        <v/>
      </c>
      <c r="V952" s="64" t="str">
        <f>IFERROR(__xludf.DUMMYFUNCTION("IF($A952="""","""",IFERROR(INDEX(FILTER(Candidates!$S$2:$S$2000,Candidates!$A$2:$A$2000=$A952),COUNTIF(Candidates!$A$2:$A$2000,$A952)),""""))"),"")</f>
        <v/>
      </c>
      <c r="W952" s="64" t="str">
        <f>IFERROR(__xludf.DUMMYFUNCTION("IF($A952="""","""",IFERROR(INDEX(FILTER(Candidates!$T$2:$T$2000,Candidates!$A$2:$A$2000=$A952),COUNTIF(Candidates!$A$2:$A$2000,$A952)),""""))"),"")</f>
        <v/>
      </c>
      <c r="X952" s="64"/>
      <c r="Y952" s="64"/>
      <c r="Z952" s="65"/>
      <c r="AA952" s="65"/>
      <c r="AB952" s="65"/>
      <c r="AC952" s="65"/>
    </row>
    <row r="953">
      <c r="A953" s="64"/>
      <c r="B953" s="64"/>
      <c r="C953" s="64"/>
      <c r="D953" s="64"/>
      <c r="E953" s="64"/>
      <c r="F953" s="64"/>
      <c r="G953" s="64"/>
      <c r="H953" s="63"/>
      <c r="I953" s="64"/>
      <c r="J953" s="64"/>
      <c r="K953" s="64"/>
      <c r="L953" s="64"/>
      <c r="M953" s="64"/>
      <c r="N953" s="64"/>
      <c r="O953" s="64"/>
      <c r="P953" s="64"/>
      <c r="Q953" s="64"/>
      <c r="R953" s="65" t="str">
        <f>IF($A953="","",IFERROR(MINIFS(Candidates!$K$2:$K$2000,Candidates!$A$2:$A$2000,$A953),""))</f>
        <v/>
      </c>
      <c r="S953" s="65" t="str">
        <f>IF($A953="","",IFERROR(MAXIFS(Candidates!$AA$2:$AA$2000,Candidates!$A$2:$A$2000,$A953),""))</f>
        <v/>
      </c>
      <c r="T953" s="64" t="str">
        <f>IFERROR(__xludf.DUMMYFUNCTION("IF($A953="""","""",IFERROR(TEXTJOIN("", "",TRUE,UNIQUE(FILTER(Candidates!$B$2:$B$2000,Candidates!$A$2:$A$2000=$A953))),""""))"),"")</f>
        <v/>
      </c>
      <c r="U953" s="66" t="str">
        <f>IF($A953="","",COUNTIF(Candidates!$A$2:$A$2000,$A953))</f>
        <v/>
      </c>
      <c r="V953" s="64" t="str">
        <f>IFERROR(__xludf.DUMMYFUNCTION("IF($A953="""","""",IFERROR(INDEX(FILTER(Candidates!$S$2:$S$2000,Candidates!$A$2:$A$2000=$A953),COUNTIF(Candidates!$A$2:$A$2000,$A953)),""""))"),"")</f>
        <v/>
      </c>
      <c r="W953" s="64" t="str">
        <f>IFERROR(__xludf.DUMMYFUNCTION("IF($A953="""","""",IFERROR(INDEX(FILTER(Candidates!$T$2:$T$2000,Candidates!$A$2:$A$2000=$A953),COUNTIF(Candidates!$A$2:$A$2000,$A953)),""""))"),"")</f>
        <v/>
      </c>
      <c r="X953" s="64"/>
      <c r="Y953" s="64"/>
      <c r="Z953" s="65"/>
      <c r="AA953" s="65"/>
      <c r="AB953" s="65"/>
      <c r="AC953" s="65"/>
    </row>
    <row r="954">
      <c r="A954" s="64"/>
      <c r="B954" s="64"/>
      <c r="C954" s="64"/>
      <c r="D954" s="64"/>
      <c r="E954" s="64"/>
      <c r="F954" s="64"/>
      <c r="G954" s="64"/>
      <c r="H954" s="63"/>
      <c r="I954" s="64"/>
      <c r="J954" s="64"/>
      <c r="K954" s="64"/>
      <c r="L954" s="64"/>
      <c r="M954" s="64"/>
      <c r="N954" s="64"/>
      <c r="O954" s="64"/>
      <c r="P954" s="64"/>
      <c r="Q954" s="64"/>
      <c r="R954" s="65" t="str">
        <f>IF($A954="","",IFERROR(MINIFS(Candidates!$K$2:$K$2000,Candidates!$A$2:$A$2000,$A954),""))</f>
        <v/>
      </c>
      <c r="S954" s="65" t="str">
        <f>IF($A954="","",IFERROR(MAXIFS(Candidates!$AA$2:$AA$2000,Candidates!$A$2:$A$2000,$A954),""))</f>
        <v/>
      </c>
      <c r="T954" s="64" t="str">
        <f>IFERROR(__xludf.DUMMYFUNCTION("IF($A954="""","""",IFERROR(TEXTJOIN("", "",TRUE,UNIQUE(FILTER(Candidates!$B$2:$B$2000,Candidates!$A$2:$A$2000=$A954))),""""))"),"")</f>
        <v/>
      </c>
      <c r="U954" s="66" t="str">
        <f>IF($A954="","",COUNTIF(Candidates!$A$2:$A$2000,$A954))</f>
        <v/>
      </c>
      <c r="V954" s="64" t="str">
        <f>IFERROR(__xludf.DUMMYFUNCTION("IF($A954="""","""",IFERROR(INDEX(FILTER(Candidates!$S$2:$S$2000,Candidates!$A$2:$A$2000=$A954),COUNTIF(Candidates!$A$2:$A$2000,$A954)),""""))"),"")</f>
        <v/>
      </c>
      <c r="W954" s="64" t="str">
        <f>IFERROR(__xludf.DUMMYFUNCTION("IF($A954="""","""",IFERROR(INDEX(FILTER(Candidates!$T$2:$T$2000,Candidates!$A$2:$A$2000=$A954),COUNTIF(Candidates!$A$2:$A$2000,$A954)),""""))"),"")</f>
        <v/>
      </c>
      <c r="X954" s="64"/>
      <c r="Y954" s="64"/>
      <c r="Z954" s="65"/>
      <c r="AA954" s="65"/>
      <c r="AB954" s="65"/>
      <c r="AC954" s="65"/>
    </row>
    <row r="955">
      <c r="A955" s="64"/>
      <c r="B955" s="64"/>
      <c r="C955" s="64"/>
      <c r="D955" s="64"/>
      <c r="E955" s="64"/>
      <c r="F955" s="64"/>
      <c r="G955" s="64"/>
      <c r="H955" s="63"/>
      <c r="I955" s="64"/>
      <c r="J955" s="64"/>
      <c r="K955" s="64"/>
      <c r="L955" s="64"/>
      <c r="M955" s="64"/>
      <c r="N955" s="64"/>
      <c r="O955" s="64"/>
      <c r="P955" s="64"/>
      <c r="Q955" s="64"/>
      <c r="R955" s="65" t="str">
        <f>IF($A955="","",IFERROR(MINIFS(Candidates!$K$2:$K$2000,Candidates!$A$2:$A$2000,$A955),""))</f>
        <v/>
      </c>
      <c r="S955" s="65" t="str">
        <f>IF($A955="","",IFERROR(MAXIFS(Candidates!$AA$2:$AA$2000,Candidates!$A$2:$A$2000,$A955),""))</f>
        <v/>
      </c>
      <c r="T955" s="64" t="str">
        <f>IFERROR(__xludf.DUMMYFUNCTION("IF($A955="""","""",IFERROR(TEXTJOIN("", "",TRUE,UNIQUE(FILTER(Candidates!$B$2:$B$2000,Candidates!$A$2:$A$2000=$A955))),""""))"),"")</f>
        <v/>
      </c>
      <c r="U955" s="66" t="str">
        <f>IF($A955="","",COUNTIF(Candidates!$A$2:$A$2000,$A955))</f>
        <v/>
      </c>
      <c r="V955" s="64" t="str">
        <f>IFERROR(__xludf.DUMMYFUNCTION("IF($A955="""","""",IFERROR(INDEX(FILTER(Candidates!$S$2:$S$2000,Candidates!$A$2:$A$2000=$A955),COUNTIF(Candidates!$A$2:$A$2000,$A955)),""""))"),"")</f>
        <v/>
      </c>
      <c r="W955" s="64" t="str">
        <f>IFERROR(__xludf.DUMMYFUNCTION("IF($A955="""","""",IFERROR(INDEX(FILTER(Candidates!$T$2:$T$2000,Candidates!$A$2:$A$2000=$A955),COUNTIF(Candidates!$A$2:$A$2000,$A955)),""""))"),"")</f>
        <v/>
      </c>
      <c r="X955" s="64"/>
      <c r="Y955" s="64"/>
      <c r="Z955" s="65"/>
      <c r="AA955" s="65"/>
      <c r="AB955" s="65"/>
      <c r="AC955" s="65"/>
    </row>
    <row r="956">
      <c r="A956" s="64"/>
      <c r="B956" s="64"/>
      <c r="C956" s="64"/>
      <c r="D956" s="64"/>
      <c r="E956" s="64"/>
      <c r="F956" s="64"/>
      <c r="G956" s="64"/>
      <c r="H956" s="63"/>
      <c r="I956" s="64"/>
      <c r="J956" s="64"/>
      <c r="K956" s="64"/>
      <c r="L956" s="64"/>
      <c r="M956" s="64"/>
      <c r="N956" s="64"/>
      <c r="O956" s="64"/>
      <c r="P956" s="64"/>
      <c r="Q956" s="64"/>
      <c r="R956" s="65" t="str">
        <f>IF($A956="","",IFERROR(MINIFS(Candidates!$K$2:$K$2000,Candidates!$A$2:$A$2000,$A956),""))</f>
        <v/>
      </c>
      <c r="S956" s="65" t="str">
        <f>IF($A956="","",IFERROR(MAXIFS(Candidates!$AA$2:$AA$2000,Candidates!$A$2:$A$2000,$A956),""))</f>
        <v/>
      </c>
      <c r="T956" s="64" t="str">
        <f>IFERROR(__xludf.DUMMYFUNCTION("IF($A956="""","""",IFERROR(TEXTJOIN("", "",TRUE,UNIQUE(FILTER(Candidates!$B$2:$B$2000,Candidates!$A$2:$A$2000=$A956))),""""))"),"")</f>
        <v/>
      </c>
      <c r="U956" s="66" t="str">
        <f>IF($A956="","",COUNTIF(Candidates!$A$2:$A$2000,$A956))</f>
        <v/>
      </c>
      <c r="V956" s="64" t="str">
        <f>IFERROR(__xludf.DUMMYFUNCTION("IF($A956="""","""",IFERROR(INDEX(FILTER(Candidates!$S$2:$S$2000,Candidates!$A$2:$A$2000=$A956),COUNTIF(Candidates!$A$2:$A$2000,$A956)),""""))"),"")</f>
        <v/>
      </c>
      <c r="W956" s="64" t="str">
        <f>IFERROR(__xludf.DUMMYFUNCTION("IF($A956="""","""",IFERROR(INDEX(FILTER(Candidates!$T$2:$T$2000,Candidates!$A$2:$A$2000=$A956),COUNTIF(Candidates!$A$2:$A$2000,$A956)),""""))"),"")</f>
        <v/>
      </c>
      <c r="X956" s="64"/>
      <c r="Y956" s="64"/>
      <c r="Z956" s="65"/>
      <c r="AA956" s="65"/>
      <c r="AB956" s="65"/>
      <c r="AC956" s="65"/>
    </row>
    <row r="957">
      <c r="A957" s="64"/>
      <c r="B957" s="64"/>
      <c r="C957" s="64"/>
      <c r="D957" s="64"/>
      <c r="E957" s="64"/>
      <c r="F957" s="64"/>
      <c r="G957" s="64"/>
      <c r="H957" s="63"/>
      <c r="I957" s="64"/>
      <c r="J957" s="64"/>
      <c r="K957" s="64"/>
      <c r="L957" s="64"/>
      <c r="M957" s="64"/>
      <c r="N957" s="64"/>
      <c r="O957" s="64"/>
      <c r="P957" s="64"/>
      <c r="Q957" s="64"/>
      <c r="R957" s="65" t="str">
        <f>IF($A957="","",IFERROR(MINIFS(Candidates!$K$2:$K$2000,Candidates!$A$2:$A$2000,$A957),""))</f>
        <v/>
      </c>
      <c r="S957" s="65" t="str">
        <f>IF($A957="","",IFERROR(MAXIFS(Candidates!$AA$2:$AA$2000,Candidates!$A$2:$A$2000,$A957),""))</f>
        <v/>
      </c>
      <c r="T957" s="64" t="str">
        <f>IFERROR(__xludf.DUMMYFUNCTION("IF($A957="""","""",IFERROR(TEXTJOIN("", "",TRUE,UNIQUE(FILTER(Candidates!$B$2:$B$2000,Candidates!$A$2:$A$2000=$A957))),""""))"),"")</f>
        <v/>
      </c>
      <c r="U957" s="66" t="str">
        <f>IF($A957="","",COUNTIF(Candidates!$A$2:$A$2000,$A957))</f>
        <v/>
      </c>
      <c r="V957" s="64" t="str">
        <f>IFERROR(__xludf.DUMMYFUNCTION("IF($A957="""","""",IFERROR(INDEX(FILTER(Candidates!$S$2:$S$2000,Candidates!$A$2:$A$2000=$A957),COUNTIF(Candidates!$A$2:$A$2000,$A957)),""""))"),"")</f>
        <v/>
      </c>
      <c r="W957" s="64" t="str">
        <f>IFERROR(__xludf.DUMMYFUNCTION("IF($A957="""","""",IFERROR(INDEX(FILTER(Candidates!$T$2:$T$2000,Candidates!$A$2:$A$2000=$A957),COUNTIF(Candidates!$A$2:$A$2000,$A957)),""""))"),"")</f>
        <v/>
      </c>
      <c r="X957" s="64"/>
      <c r="Y957" s="64"/>
      <c r="Z957" s="65"/>
      <c r="AA957" s="65"/>
      <c r="AB957" s="65"/>
      <c r="AC957" s="65"/>
    </row>
    <row r="958">
      <c r="A958" s="64"/>
      <c r="B958" s="64"/>
      <c r="C958" s="64"/>
      <c r="D958" s="64"/>
      <c r="E958" s="64"/>
      <c r="F958" s="64"/>
      <c r="G958" s="64"/>
      <c r="H958" s="63"/>
      <c r="I958" s="64"/>
      <c r="J958" s="64"/>
      <c r="K958" s="64"/>
      <c r="L958" s="64"/>
      <c r="M958" s="64"/>
      <c r="N958" s="64"/>
      <c r="O958" s="64"/>
      <c r="P958" s="64"/>
      <c r="Q958" s="64"/>
      <c r="R958" s="65" t="str">
        <f>IF($A958="","",IFERROR(MINIFS(Candidates!$K$2:$K$2000,Candidates!$A$2:$A$2000,$A958),""))</f>
        <v/>
      </c>
      <c r="S958" s="65" t="str">
        <f>IF($A958="","",IFERROR(MAXIFS(Candidates!$AA$2:$AA$2000,Candidates!$A$2:$A$2000,$A958),""))</f>
        <v/>
      </c>
      <c r="T958" s="64" t="str">
        <f>IFERROR(__xludf.DUMMYFUNCTION("IF($A958="""","""",IFERROR(TEXTJOIN("", "",TRUE,UNIQUE(FILTER(Candidates!$B$2:$B$2000,Candidates!$A$2:$A$2000=$A958))),""""))"),"")</f>
        <v/>
      </c>
      <c r="U958" s="66" t="str">
        <f>IF($A958="","",COUNTIF(Candidates!$A$2:$A$2000,$A958))</f>
        <v/>
      </c>
      <c r="V958" s="64" t="str">
        <f>IFERROR(__xludf.DUMMYFUNCTION("IF($A958="""","""",IFERROR(INDEX(FILTER(Candidates!$S$2:$S$2000,Candidates!$A$2:$A$2000=$A958),COUNTIF(Candidates!$A$2:$A$2000,$A958)),""""))"),"")</f>
        <v/>
      </c>
      <c r="W958" s="64" t="str">
        <f>IFERROR(__xludf.DUMMYFUNCTION("IF($A958="""","""",IFERROR(INDEX(FILTER(Candidates!$T$2:$T$2000,Candidates!$A$2:$A$2000=$A958),COUNTIF(Candidates!$A$2:$A$2000,$A958)),""""))"),"")</f>
        <v/>
      </c>
      <c r="X958" s="64"/>
      <c r="Y958" s="64"/>
      <c r="Z958" s="65"/>
      <c r="AA958" s="65"/>
      <c r="AB958" s="65"/>
      <c r="AC958" s="65"/>
    </row>
    <row r="959">
      <c r="A959" s="64"/>
      <c r="B959" s="64"/>
      <c r="C959" s="64"/>
      <c r="D959" s="64"/>
      <c r="E959" s="64"/>
      <c r="F959" s="64"/>
      <c r="G959" s="64"/>
      <c r="H959" s="63"/>
      <c r="I959" s="64"/>
      <c r="J959" s="64"/>
      <c r="K959" s="64"/>
      <c r="L959" s="64"/>
      <c r="M959" s="64"/>
      <c r="N959" s="64"/>
      <c r="O959" s="64"/>
      <c r="P959" s="64"/>
      <c r="Q959" s="64"/>
      <c r="R959" s="65" t="str">
        <f>IF($A959="","",IFERROR(MINIFS(Candidates!$K$2:$K$2000,Candidates!$A$2:$A$2000,$A959),""))</f>
        <v/>
      </c>
      <c r="S959" s="65" t="str">
        <f>IF($A959="","",IFERROR(MAXIFS(Candidates!$AA$2:$AA$2000,Candidates!$A$2:$A$2000,$A959),""))</f>
        <v/>
      </c>
      <c r="T959" s="64" t="str">
        <f>IFERROR(__xludf.DUMMYFUNCTION("IF($A959="""","""",IFERROR(TEXTJOIN("", "",TRUE,UNIQUE(FILTER(Candidates!$B$2:$B$2000,Candidates!$A$2:$A$2000=$A959))),""""))"),"")</f>
        <v/>
      </c>
      <c r="U959" s="66" t="str">
        <f>IF($A959="","",COUNTIF(Candidates!$A$2:$A$2000,$A959))</f>
        <v/>
      </c>
      <c r="V959" s="64" t="str">
        <f>IFERROR(__xludf.DUMMYFUNCTION("IF($A959="""","""",IFERROR(INDEX(FILTER(Candidates!$S$2:$S$2000,Candidates!$A$2:$A$2000=$A959),COUNTIF(Candidates!$A$2:$A$2000,$A959)),""""))"),"")</f>
        <v/>
      </c>
      <c r="W959" s="64" t="str">
        <f>IFERROR(__xludf.DUMMYFUNCTION("IF($A959="""","""",IFERROR(INDEX(FILTER(Candidates!$T$2:$T$2000,Candidates!$A$2:$A$2000=$A959),COUNTIF(Candidates!$A$2:$A$2000,$A959)),""""))"),"")</f>
        <v/>
      </c>
      <c r="X959" s="64"/>
      <c r="Y959" s="64"/>
      <c r="Z959" s="65"/>
      <c r="AA959" s="65"/>
      <c r="AB959" s="65"/>
      <c r="AC959" s="65"/>
    </row>
    <row r="960">
      <c r="A960" s="64"/>
      <c r="B960" s="64"/>
      <c r="C960" s="64"/>
      <c r="D960" s="64"/>
      <c r="E960" s="64"/>
      <c r="F960" s="64"/>
      <c r="G960" s="64"/>
      <c r="H960" s="63"/>
      <c r="I960" s="64"/>
      <c r="J960" s="64"/>
      <c r="K960" s="64"/>
      <c r="L960" s="64"/>
      <c r="M960" s="64"/>
      <c r="N960" s="64"/>
      <c r="O960" s="64"/>
      <c r="P960" s="64"/>
      <c r="Q960" s="64"/>
      <c r="R960" s="65" t="str">
        <f>IF($A960="","",IFERROR(MINIFS(Candidates!$K$2:$K$2000,Candidates!$A$2:$A$2000,$A960),""))</f>
        <v/>
      </c>
      <c r="S960" s="65" t="str">
        <f>IF($A960="","",IFERROR(MAXIFS(Candidates!$AA$2:$AA$2000,Candidates!$A$2:$A$2000,$A960),""))</f>
        <v/>
      </c>
      <c r="T960" s="64" t="str">
        <f>IFERROR(__xludf.DUMMYFUNCTION("IF($A960="""","""",IFERROR(TEXTJOIN("", "",TRUE,UNIQUE(FILTER(Candidates!$B$2:$B$2000,Candidates!$A$2:$A$2000=$A960))),""""))"),"")</f>
        <v/>
      </c>
      <c r="U960" s="66" t="str">
        <f>IF($A960="","",COUNTIF(Candidates!$A$2:$A$2000,$A960))</f>
        <v/>
      </c>
      <c r="V960" s="64" t="str">
        <f>IFERROR(__xludf.DUMMYFUNCTION("IF($A960="""","""",IFERROR(INDEX(FILTER(Candidates!$S$2:$S$2000,Candidates!$A$2:$A$2000=$A960),COUNTIF(Candidates!$A$2:$A$2000,$A960)),""""))"),"")</f>
        <v/>
      </c>
      <c r="W960" s="64" t="str">
        <f>IFERROR(__xludf.DUMMYFUNCTION("IF($A960="""","""",IFERROR(INDEX(FILTER(Candidates!$T$2:$T$2000,Candidates!$A$2:$A$2000=$A960),COUNTIF(Candidates!$A$2:$A$2000,$A960)),""""))"),"")</f>
        <v/>
      </c>
      <c r="X960" s="64"/>
      <c r="Y960" s="64"/>
      <c r="Z960" s="65"/>
      <c r="AA960" s="65"/>
      <c r="AB960" s="65"/>
      <c r="AC960" s="65"/>
    </row>
    <row r="961">
      <c r="A961" s="64"/>
      <c r="B961" s="64"/>
      <c r="C961" s="64"/>
      <c r="D961" s="64"/>
      <c r="E961" s="64"/>
      <c r="F961" s="64"/>
      <c r="G961" s="64"/>
      <c r="H961" s="63"/>
      <c r="I961" s="64"/>
      <c r="J961" s="64"/>
      <c r="K961" s="64"/>
      <c r="L961" s="64"/>
      <c r="M961" s="64"/>
      <c r="N961" s="64"/>
      <c r="O961" s="64"/>
      <c r="P961" s="64"/>
      <c r="Q961" s="64"/>
      <c r="R961" s="65" t="str">
        <f>IF($A961="","",IFERROR(MINIFS(Candidates!$K$2:$K$2000,Candidates!$A$2:$A$2000,$A961),""))</f>
        <v/>
      </c>
      <c r="S961" s="65" t="str">
        <f>IF($A961="","",IFERROR(MAXIFS(Candidates!$AA$2:$AA$2000,Candidates!$A$2:$A$2000,$A961),""))</f>
        <v/>
      </c>
      <c r="T961" s="64" t="str">
        <f>IFERROR(__xludf.DUMMYFUNCTION("IF($A961="""","""",IFERROR(TEXTJOIN("", "",TRUE,UNIQUE(FILTER(Candidates!$B$2:$B$2000,Candidates!$A$2:$A$2000=$A961))),""""))"),"")</f>
        <v/>
      </c>
      <c r="U961" s="66" t="str">
        <f>IF($A961="","",COUNTIF(Candidates!$A$2:$A$2000,$A961))</f>
        <v/>
      </c>
      <c r="V961" s="64" t="str">
        <f>IFERROR(__xludf.DUMMYFUNCTION("IF($A961="""","""",IFERROR(INDEX(FILTER(Candidates!$S$2:$S$2000,Candidates!$A$2:$A$2000=$A961),COUNTIF(Candidates!$A$2:$A$2000,$A961)),""""))"),"")</f>
        <v/>
      </c>
      <c r="W961" s="64" t="str">
        <f>IFERROR(__xludf.DUMMYFUNCTION("IF($A961="""","""",IFERROR(INDEX(FILTER(Candidates!$T$2:$T$2000,Candidates!$A$2:$A$2000=$A961),COUNTIF(Candidates!$A$2:$A$2000,$A961)),""""))"),"")</f>
        <v/>
      </c>
      <c r="X961" s="64"/>
      <c r="Y961" s="64"/>
      <c r="Z961" s="65"/>
      <c r="AA961" s="65"/>
      <c r="AB961" s="65"/>
      <c r="AC961" s="65"/>
    </row>
    <row r="962">
      <c r="A962" s="64"/>
      <c r="B962" s="64"/>
      <c r="C962" s="64"/>
      <c r="D962" s="64"/>
      <c r="E962" s="64"/>
      <c r="F962" s="64"/>
      <c r="G962" s="64"/>
      <c r="H962" s="63"/>
      <c r="I962" s="64"/>
      <c r="J962" s="64"/>
      <c r="K962" s="64"/>
      <c r="L962" s="64"/>
      <c r="M962" s="64"/>
      <c r="N962" s="64"/>
      <c r="O962" s="64"/>
      <c r="P962" s="64"/>
      <c r="Q962" s="64"/>
      <c r="R962" s="65" t="str">
        <f>IF($A962="","",IFERROR(MINIFS(Candidates!$K$2:$K$2000,Candidates!$A$2:$A$2000,$A962),""))</f>
        <v/>
      </c>
      <c r="S962" s="65" t="str">
        <f>IF($A962="","",IFERROR(MAXIFS(Candidates!$AA$2:$AA$2000,Candidates!$A$2:$A$2000,$A962),""))</f>
        <v/>
      </c>
      <c r="T962" s="64" t="str">
        <f>IFERROR(__xludf.DUMMYFUNCTION("IF($A962="""","""",IFERROR(TEXTJOIN("", "",TRUE,UNIQUE(FILTER(Candidates!$B$2:$B$2000,Candidates!$A$2:$A$2000=$A962))),""""))"),"")</f>
        <v/>
      </c>
      <c r="U962" s="66" t="str">
        <f>IF($A962="","",COUNTIF(Candidates!$A$2:$A$2000,$A962))</f>
        <v/>
      </c>
      <c r="V962" s="64" t="str">
        <f>IFERROR(__xludf.DUMMYFUNCTION("IF($A962="""","""",IFERROR(INDEX(FILTER(Candidates!$S$2:$S$2000,Candidates!$A$2:$A$2000=$A962),COUNTIF(Candidates!$A$2:$A$2000,$A962)),""""))"),"")</f>
        <v/>
      </c>
      <c r="W962" s="64" t="str">
        <f>IFERROR(__xludf.DUMMYFUNCTION("IF($A962="""","""",IFERROR(INDEX(FILTER(Candidates!$T$2:$T$2000,Candidates!$A$2:$A$2000=$A962),COUNTIF(Candidates!$A$2:$A$2000,$A962)),""""))"),"")</f>
        <v/>
      </c>
      <c r="X962" s="64"/>
      <c r="Y962" s="64"/>
      <c r="Z962" s="65"/>
      <c r="AA962" s="65"/>
      <c r="AB962" s="65"/>
      <c r="AC962" s="65"/>
    </row>
    <row r="963">
      <c r="A963" s="64"/>
      <c r="B963" s="64"/>
      <c r="C963" s="64"/>
      <c r="D963" s="64"/>
      <c r="E963" s="64"/>
      <c r="F963" s="64"/>
      <c r="G963" s="64"/>
      <c r="H963" s="63"/>
      <c r="I963" s="64"/>
      <c r="J963" s="64"/>
      <c r="K963" s="64"/>
      <c r="L963" s="64"/>
      <c r="M963" s="64"/>
      <c r="N963" s="64"/>
      <c r="O963" s="64"/>
      <c r="P963" s="64"/>
      <c r="Q963" s="64"/>
      <c r="R963" s="65" t="str">
        <f>IF($A963="","",IFERROR(MINIFS(Candidates!$K$2:$K$2000,Candidates!$A$2:$A$2000,$A963),""))</f>
        <v/>
      </c>
      <c r="S963" s="65" t="str">
        <f>IF($A963="","",IFERROR(MAXIFS(Candidates!$AA$2:$AA$2000,Candidates!$A$2:$A$2000,$A963),""))</f>
        <v/>
      </c>
      <c r="T963" s="64" t="str">
        <f>IFERROR(__xludf.DUMMYFUNCTION("IF($A963="""","""",IFERROR(TEXTJOIN("", "",TRUE,UNIQUE(FILTER(Candidates!$B$2:$B$2000,Candidates!$A$2:$A$2000=$A963))),""""))"),"")</f>
        <v/>
      </c>
      <c r="U963" s="66" t="str">
        <f>IF($A963="","",COUNTIF(Candidates!$A$2:$A$2000,$A963))</f>
        <v/>
      </c>
      <c r="V963" s="64" t="str">
        <f>IFERROR(__xludf.DUMMYFUNCTION("IF($A963="""","""",IFERROR(INDEX(FILTER(Candidates!$S$2:$S$2000,Candidates!$A$2:$A$2000=$A963),COUNTIF(Candidates!$A$2:$A$2000,$A963)),""""))"),"")</f>
        <v/>
      </c>
      <c r="W963" s="64" t="str">
        <f>IFERROR(__xludf.DUMMYFUNCTION("IF($A963="""","""",IFERROR(INDEX(FILTER(Candidates!$T$2:$T$2000,Candidates!$A$2:$A$2000=$A963),COUNTIF(Candidates!$A$2:$A$2000,$A963)),""""))"),"")</f>
        <v/>
      </c>
      <c r="X963" s="64"/>
      <c r="Y963" s="64"/>
      <c r="Z963" s="65"/>
      <c r="AA963" s="65"/>
      <c r="AB963" s="65"/>
      <c r="AC963" s="65"/>
    </row>
    <row r="964">
      <c r="A964" s="64"/>
      <c r="B964" s="64"/>
      <c r="C964" s="64"/>
      <c r="D964" s="64"/>
      <c r="E964" s="64"/>
      <c r="F964" s="64"/>
      <c r="G964" s="64"/>
      <c r="H964" s="63"/>
      <c r="I964" s="64"/>
      <c r="J964" s="64"/>
      <c r="K964" s="64"/>
      <c r="L964" s="64"/>
      <c r="M964" s="64"/>
      <c r="N964" s="64"/>
      <c r="O964" s="64"/>
      <c r="P964" s="64"/>
      <c r="Q964" s="64"/>
      <c r="R964" s="65" t="str">
        <f>IF($A964="","",IFERROR(MINIFS(Candidates!$K$2:$K$2000,Candidates!$A$2:$A$2000,$A964),""))</f>
        <v/>
      </c>
      <c r="S964" s="65" t="str">
        <f>IF($A964="","",IFERROR(MAXIFS(Candidates!$AA$2:$AA$2000,Candidates!$A$2:$A$2000,$A964),""))</f>
        <v/>
      </c>
      <c r="T964" s="64" t="str">
        <f>IFERROR(__xludf.DUMMYFUNCTION("IF($A964="""","""",IFERROR(TEXTJOIN("", "",TRUE,UNIQUE(FILTER(Candidates!$B$2:$B$2000,Candidates!$A$2:$A$2000=$A964))),""""))"),"")</f>
        <v/>
      </c>
      <c r="U964" s="66" t="str">
        <f>IF($A964="","",COUNTIF(Candidates!$A$2:$A$2000,$A964))</f>
        <v/>
      </c>
      <c r="V964" s="64" t="str">
        <f>IFERROR(__xludf.DUMMYFUNCTION("IF($A964="""","""",IFERROR(INDEX(FILTER(Candidates!$S$2:$S$2000,Candidates!$A$2:$A$2000=$A964),COUNTIF(Candidates!$A$2:$A$2000,$A964)),""""))"),"")</f>
        <v/>
      </c>
      <c r="W964" s="64" t="str">
        <f>IFERROR(__xludf.DUMMYFUNCTION("IF($A964="""","""",IFERROR(INDEX(FILTER(Candidates!$T$2:$T$2000,Candidates!$A$2:$A$2000=$A964),COUNTIF(Candidates!$A$2:$A$2000,$A964)),""""))"),"")</f>
        <v/>
      </c>
      <c r="X964" s="64"/>
      <c r="Y964" s="64"/>
      <c r="Z964" s="65"/>
      <c r="AA964" s="65"/>
      <c r="AB964" s="65"/>
      <c r="AC964" s="65"/>
    </row>
    <row r="965">
      <c r="A965" s="64"/>
      <c r="B965" s="64"/>
      <c r="C965" s="64"/>
      <c r="D965" s="64"/>
      <c r="E965" s="64"/>
      <c r="F965" s="64"/>
      <c r="G965" s="64"/>
      <c r="H965" s="63"/>
      <c r="I965" s="64"/>
      <c r="J965" s="64"/>
      <c r="K965" s="64"/>
      <c r="L965" s="64"/>
      <c r="M965" s="64"/>
      <c r="N965" s="64"/>
      <c r="O965" s="64"/>
      <c r="P965" s="64"/>
      <c r="Q965" s="64"/>
      <c r="R965" s="65" t="str">
        <f>IF($A965="","",IFERROR(MINIFS(Candidates!$K$2:$K$2000,Candidates!$A$2:$A$2000,$A965),""))</f>
        <v/>
      </c>
      <c r="S965" s="65" t="str">
        <f>IF($A965="","",IFERROR(MAXIFS(Candidates!$AA$2:$AA$2000,Candidates!$A$2:$A$2000,$A965),""))</f>
        <v/>
      </c>
      <c r="T965" s="64" t="str">
        <f>IFERROR(__xludf.DUMMYFUNCTION("IF($A965="""","""",IFERROR(TEXTJOIN("", "",TRUE,UNIQUE(FILTER(Candidates!$B$2:$B$2000,Candidates!$A$2:$A$2000=$A965))),""""))"),"")</f>
        <v/>
      </c>
      <c r="U965" s="66" t="str">
        <f>IF($A965="","",COUNTIF(Candidates!$A$2:$A$2000,$A965))</f>
        <v/>
      </c>
      <c r="V965" s="64" t="str">
        <f>IFERROR(__xludf.DUMMYFUNCTION("IF($A965="""","""",IFERROR(INDEX(FILTER(Candidates!$S$2:$S$2000,Candidates!$A$2:$A$2000=$A965),COUNTIF(Candidates!$A$2:$A$2000,$A965)),""""))"),"")</f>
        <v/>
      </c>
      <c r="W965" s="64" t="str">
        <f>IFERROR(__xludf.DUMMYFUNCTION("IF($A965="""","""",IFERROR(INDEX(FILTER(Candidates!$T$2:$T$2000,Candidates!$A$2:$A$2000=$A965),COUNTIF(Candidates!$A$2:$A$2000,$A965)),""""))"),"")</f>
        <v/>
      </c>
      <c r="X965" s="64"/>
      <c r="Y965" s="64"/>
      <c r="Z965" s="65"/>
      <c r="AA965" s="65"/>
      <c r="AB965" s="65"/>
      <c r="AC965" s="65"/>
    </row>
    <row r="966">
      <c r="A966" s="64"/>
      <c r="B966" s="64"/>
      <c r="C966" s="64"/>
      <c r="D966" s="64"/>
      <c r="E966" s="64"/>
      <c r="F966" s="64"/>
      <c r="G966" s="64"/>
      <c r="H966" s="63"/>
      <c r="I966" s="64"/>
      <c r="J966" s="64"/>
      <c r="K966" s="64"/>
      <c r="L966" s="64"/>
      <c r="M966" s="64"/>
      <c r="N966" s="64"/>
      <c r="O966" s="64"/>
      <c r="P966" s="64"/>
      <c r="Q966" s="64"/>
      <c r="R966" s="65" t="str">
        <f>IF($A966="","",IFERROR(MINIFS(Candidates!$K$2:$K$2000,Candidates!$A$2:$A$2000,$A966),""))</f>
        <v/>
      </c>
      <c r="S966" s="65" t="str">
        <f>IF($A966="","",IFERROR(MAXIFS(Candidates!$AA$2:$AA$2000,Candidates!$A$2:$A$2000,$A966),""))</f>
        <v/>
      </c>
      <c r="T966" s="64" t="str">
        <f>IFERROR(__xludf.DUMMYFUNCTION("IF($A966="""","""",IFERROR(TEXTJOIN("", "",TRUE,UNIQUE(FILTER(Candidates!$B$2:$B$2000,Candidates!$A$2:$A$2000=$A966))),""""))"),"")</f>
        <v/>
      </c>
      <c r="U966" s="66" t="str">
        <f>IF($A966="","",COUNTIF(Candidates!$A$2:$A$2000,$A966))</f>
        <v/>
      </c>
      <c r="V966" s="64" t="str">
        <f>IFERROR(__xludf.DUMMYFUNCTION("IF($A966="""","""",IFERROR(INDEX(FILTER(Candidates!$S$2:$S$2000,Candidates!$A$2:$A$2000=$A966),COUNTIF(Candidates!$A$2:$A$2000,$A966)),""""))"),"")</f>
        <v/>
      </c>
      <c r="W966" s="64" t="str">
        <f>IFERROR(__xludf.DUMMYFUNCTION("IF($A966="""","""",IFERROR(INDEX(FILTER(Candidates!$T$2:$T$2000,Candidates!$A$2:$A$2000=$A966),COUNTIF(Candidates!$A$2:$A$2000,$A966)),""""))"),"")</f>
        <v/>
      </c>
      <c r="X966" s="64"/>
      <c r="Y966" s="64"/>
      <c r="Z966" s="65"/>
      <c r="AA966" s="65"/>
      <c r="AB966" s="65"/>
      <c r="AC966" s="65"/>
    </row>
    <row r="967">
      <c r="A967" s="64"/>
      <c r="B967" s="64"/>
      <c r="C967" s="64"/>
      <c r="D967" s="64"/>
      <c r="E967" s="64"/>
      <c r="F967" s="64"/>
      <c r="G967" s="64"/>
      <c r="H967" s="63"/>
      <c r="I967" s="64"/>
      <c r="J967" s="64"/>
      <c r="K967" s="64"/>
      <c r="L967" s="64"/>
      <c r="M967" s="64"/>
      <c r="N967" s="64"/>
      <c r="O967" s="64"/>
      <c r="P967" s="64"/>
      <c r="Q967" s="64"/>
      <c r="R967" s="65" t="str">
        <f>IF($A967="","",IFERROR(MINIFS(Candidates!$K$2:$K$2000,Candidates!$A$2:$A$2000,$A967),""))</f>
        <v/>
      </c>
      <c r="S967" s="65" t="str">
        <f>IF($A967="","",IFERROR(MAXIFS(Candidates!$AA$2:$AA$2000,Candidates!$A$2:$A$2000,$A967),""))</f>
        <v/>
      </c>
      <c r="T967" s="64" t="str">
        <f>IFERROR(__xludf.DUMMYFUNCTION("IF($A967="""","""",IFERROR(TEXTJOIN("", "",TRUE,UNIQUE(FILTER(Candidates!$B$2:$B$2000,Candidates!$A$2:$A$2000=$A967))),""""))"),"")</f>
        <v/>
      </c>
      <c r="U967" s="66" t="str">
        <f>IF($A967="","",COUNTIF(Candidates!$A$2:$A$2000,$A967))</f>
        <v/>
      </c>
      <c r="V967" s="64" t="str">
        <f>IFERROR(__xludf.DUMMYFUNCTION("IF($A967="""","""",IFERROR(INDEX(FILTER(Candidates!$S$2:$S$2000,Candidates!$A$2:$A$2000=$A967),COUNTIF(Candidates!$A$2:$A$2000,$A967)),""""))"),"")</f>
        <v/>
      </c>
      <c r="W967" s="64" t="str">
        <f>IFERROR(__xludf.DUMMYFUNCTION("IF($A967="""","""",IFERROR(INDEX(FILTER(Candidates!$T$2:$T$2000,Candidates!$A$2:$A$2000=$A967),COUNTIF(Candidates!$A$2:$A$2000,$A967)),""""))"),"")</f>
        <v/>
      </c>
      <c r="X967" s="64"/>
      <c r="Y967" s="64"/>
      <c r="Z967" s="65"/>
      <c r="AA967" s="65"/>
      <c r="AB967" s="65"/>
      <c r="AC967" s="65"/>
    </row>
    <row r="968">
      <c r="A968" s="64"/>
      <c r="B968" s="64"/>
      <c r="C968" s="64"/>
      <c r="D968" s="64"/>
      <c r="E968" s="64"/>
      <c r="F968" s="64"/>
      <c r="G968" s="64"/>
      <c r="H968" s="63"/>
      <c r="I968" s="64"/>
      <c r="J968" s="64"/>
      <c r="K968" s="64"/>
      <c r="L968" s="64"/>
      <c r="M968" s="64"/>
      <c r="N968" s="64"/>
      <c r="O968" s="64"/>
      <c r="P968" s="64"/>
      <c r="Q968" s="64"/>
      <c r="R968" s="65" t="str">
        <f>IF($A968="","",IFERROR(MINIFS(Candidates!$K$2:$K$2000,Candidates!$A$2:$A$2000,$A968),""))</f>
        <v/>
      </c>
      <c r="S968" s="65" t="str">
        <f>IF($A968="","",IFERROR(MAXIFS(Candidates!$AA$2:$AA$2000,Candidates!$A$2:$A$2000,$A968),""))</f>
        <v/>
      </c>
      <c r="T968" s="64" t="str">
        <f>IFERROR(__xludf.DUMMYFUNCTION("IF($A968="""","""",IFERROR(TEXTJOIN("", "",TRUE,UNIQUE(FILTER(Candidates!$B$2:$B$2000,Candidates!$A$2:$A$2000=$A968))),""""))"),"")</f>
        <v/>
      </c>
      <c r="U968" s="66" t="str">
        <f>IF($A968="","",COUNTIF(Candidates!$A$2:$A$2000,$A968))</f>
        <v/>
      </c>
      <c r="V968" s="64" t="str">
        <f>IFERROR(__xludf.DUMMYFUNCTION("IF($A968="""","""",IFERROR(INDEX(FILTER(Candidates!$S$2:$S$2000,Candidates!$A$2:$A$2000=$A968),COUNTIF(Candidates!$A$2:$A$2000,$A968)),""""))"),"")</f>
        <v/>
      </c>
      <c r="W968" s="64" t="str">
        <f>IFERROR(__xludf.DUMMYFUNCTION("IF($A968="""","""",IFERROR(INDEX(FILTER(Candidates!$T$2:$T$2000,Candidates!$A$2:$A$2000=$A968),COUNTIF(Candidates!$A$2:$A$2000,$A968)),""""))"),"")</f>
        <v/>
      </c>
      <c r="X968" s="64"/>
      <c r="Y968" s="64"/>
      <c r="Z968" s="65"/>
      <c r="AA968" s="65"/>
      <c r="AB968" s="65"/>
      <c r="AC968" s="65"/>
    </row>
    <row r="969">
      <c r="A969" s="64"/>
      <c r="B969" s="64"/>
      <c r="C969" s="64"/>
      <c r="D969" s="64"/>
      <c r="E969" s="64"/>
      <c r="F969" s="64"/>
      <c r="G969" s="64"/>
      <c r="H969" s="63"/>
      <c r="I969" s="64"/>
      <c r="J969" s="64"/>
      <c r="K969" s="64"/>
      <c r="L969" s="64"/>
      <c r="M969" s="64"/>
      <c r="N969" s="64"/>
      <c r="O969" s="64"/>
      <c r="P969" s="64"/>
      <c r="Q969" s="64"/>
      <c r="R969" s="65" t="str">
        <f>IF($A969="","",IFERROR(MINIFS(Candidates!$K$2:$K$2000,Candidates!$A$2:$A$2000,$A969),""))</f>
        <v/>
      </c>
      <c r="S969" s="65" t="str">
        <f>IF($A969="","",IFERROR(MAXIFS(Candidates!$AA$2:$AA$2000,Candidates!$A$2:$A$2000,$A969),""))</f>
        <v/>
      </c>
      <c r="T969" s="64" t="str">
        <f>IFERROR(__xludf.DUMMYFUNCTION("IF($A969="""","""",IFERROR(TEXTJOIN("", "",TRUE,UNIQUE(FILTER(Candidates!$B$2:$B$2000,Candidates!$A$2:$A$2000=$A969))),""""))"),"")</f>
        <v/>
      </c>
      <c r="U969" s="66" t="str">
        <f>IF($A969="","",COUNTIF(Candidates!$A$2:$A$2000,$A969))</f>
        <v/>
      </c>
      <c r="V969" s="64" t="str">
        <f>IFERROR(__xludf.DUMMYFUNCTION("IF($A969="""","""",IFERROR(INDEX(FILTER(Candidates!$S$2:$S$2000,Candidates!$A$2:$A$2000=$A969),COUNTIF(Candidates!$A$2:$A$2000,$A969)),""""))"),"")</f>
        <v/>
      </c>
      <c r="W969" s="64" t="str">
        <f>IFERROR(__xludf.DUMMYFUNCTION("IF($A969="""","""",IFERROR(INDEX(FILTER(Candidates!$T$2:$T$2000,Candidates!$A$2:$A$2000=$A969),COUNTIF(Candidates!$A$2:$A$2000,$A969)),""""))"),"")</f>
        <v/>
      </c>
      <c r="X969" s="64"/>
      <c r="Y969" s="64"/>
      <c r="Z969" s="65"/>
      <c r="AA969" s="65"/>
      <c r="AB969" s="65"/>
      <c r="AC969" s="65"/>
    </row>
    <row r="970">
      <c r="A970" s="64"/>
      <c r="B970" s="64"/>
      <c r="C970" s="64"/>
      <c r="D970" s="64"/>
      <c r="E970" s="64"/>
      <c r="F970" s="64"/>
      <c r="G970" s="64"/>
      <c r="H970" s="63"/>
      <c r="I970" s="64"/>
      <c r="J970" s="64"/>
      <c r="K970" s="64"/>
      <c r="L970" s="64"/>
      <c r="M970" s="64"/>
      <c r="N970" s="64"/>
      <c r="O970" s="64"/>
      <c r="P970" s="64"/>
      <c r="Q970" s="64"/>
      <c r="R970" s="65" t="str">
        <f>IF($A970="","",IFERROR(MINIFS(Candidates!$K$2:$K$2000,Candidates!$A$2:$A$2000,$A970),""))</f>
        <v/>
      </c>
      <c r="S970" s="65" t="str">
        <f>IF($A970="","",IFERROR(MAXIFS(Candidates!$AA$2:$AA$2000,Candidates!$A$2:$A$2000,$A970),""))</f>
        <v/>
      </c>
      <c r="T970" s="64" t="str">
        <f>IFERROR(__xludf.DUMMYFUNCTION("IF($A970="""","""",IFERROR(TEXTJOIN("", "",TRUE,UNIQUE(FILTER(Candidates!$B$2:$B$2000,Candidates!$A$2:$A$2000=$A970))),""""))"),"")</f>
        <v/>
      </c>
      <c r="U970" s="66" t="str">
        <f>IF($A970="","",COUNTIF(Candidates!$A$2:$A$2000,$A970))</f>
        <v/>
      </c>
      <c r="V970" s="64" t="str">
        <f>IFERROR(__xludf.DUMMYFUNCTION("IF($A970="""","""",IFERROR(INDEX(FILTER(Candidates!$S$2:$S$2000,Candidates!$A$2:$A$2000=$A970),COUNTIF(Candidates!$A$2:$A$2000,$A970)),""""))"),"")</f>
        <v/>
      </c>
      <c r="W970" s="64" t="str">
        <f>IFERROR(__xludf.DUMMYFUNCTION("IF($A970="""","""",IFERROR(INDEX(FILTER(Candidates!$T$2:$T$2000,Candidates!$A$2:$A$2000=$A970),COUNTIF(Candidates!$A$2:$A$2000,$A970)),""""))"),"")</f>
        <v/>
      </c>
      <c r="X970" s="64"/>
      <c r="Y970" s="64"/>
      <c r="Z970" s="65"/>
      <c r="AA970" s="65"/>
      <c r="AB970" s="65"/>
      <c r="AC970" s="65"/>
    </row>
    <row r="971">
      <c r="A971" s="64"/>
      <c r="B971" s="64"/>
      <c r="C971" s="64"/>
      <c r="D971" s="64"/>
      <c r="E971" s="64"/>
      <c r="F971" s="64"/>
      <c r="G971" s="64"/>
      <c r="H971" s="63"/>
      <c r="I971" s="64"/>
      <c r="J971" s="64"/>
      <c r="K971" s="64"/>
      <c r="L971" s="64"/>
      <c r="M971" s="64"/>
      <c r="N971" s="64"/>
      <c r="O971" s="64"/>
      <c r="P971" s="64"/>
      <c r="Q971" s="64"/>
      <c r="R971" s="65" t="str">
        <f>IF($A971="","",IFERROR(MINIFS(Candidates!$K$2:$K$2000,Candidates!$A$2:$A$2000,$A971),""))</f>
        <v/>
      </c>
      <c r="S971" s="65" t="str">
        <f>IF($A971="","",IFERROR(MAXIFS(Candidates!$AA$2:$AA$2000,Candidates!$A$2:$A$2000,$A971),""))</f>
        <v/>
      </c>
      <c r="T971" s="64" t="str">
        <f>IFERROR(__xludf.DUMMYFUNCTION("IF($A971="""","""",IFERROR(TEXTJOIN("", "",TRUE,UNIQUE(FILTER(Candidates!$B$2:$B$2000,Candidates!$A$2:$A$2000=$A971))),""""))"),"")</f>
        <v/>
      </c>
      <c r="U971" s="66" t="str">
        <f>IF($A971="","",COUNTIF(Candidates!$A$2:$A$2000,$A971))</f>
        <v/>
      </c>
      <c r="V971" s="64" t="str">
        <f>IFERROR(__xludf.DUMMYFUNCTION("IF($A971="""","""",IFERROR(INDEX(FILTER(Candidates!$S$2:$S$2000,Candidates!$A$2:$A$2000=$A971),COUNTIF(Candidates!$A$2:$A$2000,$A971)),""""))"),"")</f>
        <v/>
      </c>
      <c r="W971" s="64" t="str">
        <f>IFERROR(__xludf.DUMMYFUNCTION("IF($A971="""","""",IFERROR(INDEX(FILTER(Candidates!$T$2:$T$2000,Candidates!$A$2:$A$2000=$A971),COUNTIF(Candidates!$A$2:$A$2000,$A971)),""""))"),"")</f>
        <v/>
      </c>
      <c r="X971" s="64"/>
      <c r="Y971" s="64"/>
      <c r="Z971" s="65"/>
      <c r="AA971" s="65"/>
      <c r="AB971" s="65"/>
      <c r="AC971" s="65"/>
    </row>
    <row r="972">
      <c r="A972" s="64"/>
      <c r="B972" s="64"/>
      <c r="C972" s="64"/>
      <c r="D972" s="64"/>
      <c r="E972" s="64"/>
      <c r="F972" s="64"/>
      <c r="G972" s="64"/>
      <c r="H972" s="63"/>
      <c r="I972" s="64"/>
      <c r="J972" s="64"/>
      <c r="K972" s="64"/>
      <c r="L972" s="64"/>
      <c r="M972" s="64"/>
      <c r="N972" s="64"/>
      <c r="O972" s="64"/>
      <c r="P972" s="64"/>
      <c r="Q972" s="64"/>
      <c r="R972" s="65" t="str">
        <f>IF($A972="","",IFERROR(MINIFS(Candidates!$K$2:$K$2000,Candidates!$A$2:$A$2000,$A972),""))</f>
        <v/>
      </c>
      <c r="S972" s="65" t="str">
        <f>IF($A972="","",IFERROR(MAXIFS(Candidates!$AA$2:$AA$2000,Candidates!$A$2:$A$2000,$A972),""))</f>
        <v/>
      </c>
      <c r="T972" s="64" t="str">
        <f>IFERROR(__xludf.DUMMYFUNCTION("IF($A972="""","""",IFERROR(TEXTJOIN("", "",TRUE,UNIQUE(FILTER(Candidates!$B$2:$B$2000,Candidates!$A$2:$A$2000=$A972))),""""))"),"")</f>
        <v/>
      </c>
      <c r="U972" s="66" t="str">
        <f>IF($A972="","",COUNTIF(Candidates!$A$2:$A$2000,$A972))</f>
        <v/>
      </c>
      <c r="V972" s="64" t="str">
        <f>IFERROR(__xludf.DUMMYFUNCTION("IF($A972="""","""",IFERROR(INDEX(FILTER(Candidates!$S$2:$S$2000,Candidates!$A$2:$A$2000=$A972),COUNTIF(Candidates!$A$2:$A$2000,$A972)),""""))"),"")</f>
        <v/>
      </c>
      <c r="W972" s="64" t="str">
        <f>IFERROR(__xludf.DUMMYFUNCTION("IF($A972="""","""",IFERROR(INDEX(FILTER(Candidates!$T$2:$T$2000,Candidates!$A$2:$A$2000=$A972),COUNTIF(Candidates!$A$2:$A$2000,$A972)),""""))"),"")</f>
        <v/>
      </c>
      <c r="X972" s="64"/>
      <c r="Y972" s="64"/>
      <c r="Z972" s="65"/>
      <c r="AA972" s="65"/>
      <c r="AB972" s="65"/>
      <c r="AC972" s="65"/>
    </row>
    <row r="973">
      <c r="A973" s="64"/>
      <c r="B973" s="64"/>
      <c r="C973" s="64"/>
      <c r="D973" s="64"/>
      <c r="E973" s="64"/>
      <c r="F973" s="64"/>
      <c r="G973" s="64"/>
      <c r="H973" s="63"/>
      <c r="I973" s="64"/>
      <c r="J973" s="64"/>
      <c r="K973" s="64"/>
      <c r="L973" s="64"/>
      <c r="M973" s="64"/>
      <c r="N973" s="64"/>
      <c r="O973" s="64"/>
      <c r="P973" s="64"/>
      <c r="Q973" s="64"/>
      <c r="R973" s="65" t="str">
        <f>IF($A973="","",IFERROR(MINIFS(Candidates!$K$2:$K$2000,Candidates!$A$2:$A$2000,$A973),""))</f>
        <v/>
      </c>
      <c r="S973" s="65" t="str">
        <f>IF($A973="","",IFERROR(MAXIFS(Candidates!$AA$2:$AA$2000,Candidates!$A$2:$A$2000,$A973),""))</f>
        <v/>
      </c>
      <c r="T973" s="64" t="str">
        <f>IFERROR(__xludf.DUMMYFUNCTION("IF($A973="""","""",IFERROR(TEXTJOIN("", "",TRUE,UNIQUE(FILTER(Candidates!$B$2:$B$2000,Candidates!$A$2:$A$2000=$A973))),""""))"),"")</f>
        <v/>
      </c>
      <c r="U973" s="66" t="str">
        <f>IF($A973="","",COUNTIF(Candidates!$A$2:$A$2000,$A973))</f>
        <v/>
      </c>
      <c r="V973" s="64" t="str">
        <f>IFERROR(__xludf.DUMMYFUNCTION("IF($A973="""","""",IFERROR(INDEX(FILTER(Candidates!$S$2:$S$2000,Candidates!$A$2:$A$2000=$A973),COUNTIF(Candidates!$A$2:$A$2000,$A973)),""""))"),"")</f>
        <v/>
      </c>
      <c r="W973" s="64" t="str">
        <f>IFERROR(__xludf.DUMMYFUNCTION("IF($A973="""","""",IFERROR(INDEX(FILTER(Candidates!$T$2:$T$2000,Candidates!$A$2:$A$2000=$A973),COUNTIF(Candidates!$A$2:$A$2000,$A973)),""""))"),"")</f>
        <v/>
      </c>
      <c r="X973" s="64"/>
      <c r="Y973" s="64"/>
      <c r="Z973" s="65"/>
      <c r="AA973" s="65"/>
      <c r="AB973" s="65"/>
      <c r="AC973" s="65"/>
    </row>
    <row r="974">
      <c r="A974" s="64"/>
      <c r="B974" s="64"/>
      <c r="C974" s="64"/>
      <c r="D974" s="64"/>
      <c r="E974" s="64"/>
      <c r="F974" s="64"/>
      <c r="G974" s="64"/>
      <c r="H974" s="63"/>
      <c r="I974" s="64"/>
      <c r="J974" s="64"/>
      <c r="K974" s="64"/>
      <c r="L974" s="64"/>
      <c r="M974" s="64"/>
      <c r="N974" s="64"/>
      <c r="O974" s="64"/>
      <c r="P974" s="64"/>
      <c r="Q974" s="64"/>
      <c r="R974" s="65" t="str">
        <f>IF($A974="","",IFERROR(MINIFS(Candidates!$K$2:$K$2000,Candidates!$A$2:$A$2000,$A974),""))</f>
        <v/>
      </c>
      <c r="S974" s="65" t="str">
        <f>IF($A974="","",IFERROR(MAXIFS(Candidates!$AA$2:$AA$2000,Candidates!$A$2:$A$2000,$A974),""))</f>
        <v/>
      </c>
      <c r="T974" s="64" t="str">
        <f>IFERROR(__xludf.DUMMYFUNCTION("IF($A974="""","""",IFERROR(TEXTJOIN("", "",TRUE,UNIQUE(FILTER(Candidates!$B$2:$B$2000,Candidates!$A$2:$A$2000=$A974))),""""))"),"")</f>
        <v/>
      </c>
      <c r="U974" s="66" t="str">
        <f>IF($A974="","",COUNTIF(Candidates!$A$2:$A$2000,$A974))</f>
        <v/>
      </c>
      <c r="V974" s="64" t="str">
        <f>IFERROR(__xludf.DUMMYFUNCTION("IF($A974="""","""",IFERROR(INDEX(FILTER(Candidates!$S$2:$S$2000,Candidates!$A$2:$A$2000=$A974),COUNTIF(Candidates!$A$2:$A$2000,$A974)),""""))"),"")</f>
        <v/>
      </c>
      <c r="W974" s="64" t="str">
        <f>IFERROR(__xludf.DUMMYFUNCTION("IF($A974="""","""",IFERROR(INDEX(FILTER(Candidates!$T$2:$T$2000,Candidates!$A$2:$A$2000=$A974),COUNTIF(Candidates!$A$2:$A$2000,$A974)),""""))"),"")</f>
        <v/>
      </c>
      <c r="X974" s="64"/>
      <c r="Y974" s="64"/>
      <c r="Z974" s="65"/>
      <c r="AA974" s="65"/>
      <c r="AB974" s="65"/>
      <c r="AC974" s="65"/>
    </row>
    <row r="975">
      <c r="A975" s="64"/>
      <c r="B975" s="64"/>
      <c r="C975" s="64"/>
      <c r="D975" s="64"/>
      <c r="E975" s="64"/>
      <c r="F975" s="64"/>
      <c r="G975" s="64"/>
      <c r="H975" s="63"/>
      <c r="I975" s="64"/>
      <c r="J975" s="64"/>
      <c r="K975" s="64"/>
      <c r="L975" s="64"/>
      <c r="M975" s="64"/>
      <c r="N975" s="64"/>
      <c r="O975" s="64"/>
      <c r="P975" s="64"/>
      <c r="Q975" s="64"/>
      <c r="R975" s="65" t="str">
        <f>IF($A975="","",IFERROR(MINIFS(Candidates!$K$2:$K$2000,Candidates!$A$2:$A$2000,$A975),""))</f>
        <v/>
      </c>
      <c r="S975" s="65" t="str">
        <f>IF($A975="","",IFERROR(MAXIFS(Candidates!$AA$2:$AA$2000,Candidates!$A$2:$A$2000,$A975),""))</f>
        <v/>
      </c>
      <c r="T975" s="64" t="str">
        <f>IFERROR(__xludf.DUMMYFUNCTION("IF($A975="""","""",IFERROR(TEXTJOIN("", "",TRUE,UNIQUE(FILTER(Candidates!$B$2:$B$2000,Candidates!$A$2:$A$2000=$A975))),""""))"),"")</f>
        <v/>
      </c>
      <c r="U975" s="66" t="str">
        <f>IF($A975="","",COUNTIF(Candidates!$A$2:$A$2000,$A975))</f>
        <v/>
      </c>
      <c r="V975" s="64" t="str">
        <f>IFERROR(__xludf.DUMMYFUNCTION("IF($A975="""","""",IFERROR(INDEX(FILTER(Candidates!$S$2:$S$2000,Candidates!$A$2:$A$2000=$A975),COUNTIF(Candidates!$A$2:$A$2000,$A975)),""""))"),"")</f>
        <v/>
      </c>
      <c r="W975" s="64" t="str">
        <f>IFERROR(__xludf.DUMMYFUNCTION("IF($A975="""","""",IFERROR(INDEX(FILTER(Candidates!$T$2:$T$2000,Candidates!$A$2:$A$2000=$A975),COUNTIF(Candidates!$A$2:$A$2000,$A975)),""""))"),"")</f>
        <v/>
      </c>
      <c r="X975" s="64"/>
      <c r="Y975" s="64"/>
      <c r="Z975" s="65"/>
      <c r="AA975" s="65"/>
      <c r="AB975" s="65"/>
      <c r="AC975" s="65"/>
    </row>
    <row r="976">
      <c r="A976" s="64"/>
      <c r="B976" s="64"/>
      <c r="C976" s="64"/>
      <c r="D976" s="64"/>
      <c r="E976" s="64"/>
      <c r="F976" s="64"/>
      <c r="G976" s="64"/>
      <c r="H976" s="63"/>
      <c r="I976" s="64"/>
      <c r="J976" s="64"/>
      <c r="K976" s="64"/>
      <c r="L976" s="64"/>
      <c r="M976" s="64"/>
      <c r="N976" s="64"/>
      <c r="O976" s="64"/>
      <c r="P976" s="64"/>
      <c r="Q976" s="64"/>
      <c r="R976" s="65" t="str">
        <f>IF($A976="","",IFERROR(MINIFS(Candidates!$K$2:$K$2000,Candidates!$A$2:$A$2000,$A976),""))</f>
        <v/>
      </c>
      <c r="S976" s="65" t="str">
        <f>IF($A976="","",IFERROR(MAXIFS(Candidates!$AA$2:$AA$2000,Candidates!$A$2:$A$2000,$A976),""))</f>
        <v/>
      </c>
      <c r="T976" s="64" t="str">
        <f>IFERROR(__xludf.DUMMYFUNCTION("IF($A976="""","""",IFERROR(TEXTJOIN("", "",TRUE,UNIQUE(FILTER(Candidates!$B$2:$B$2000,Candidates!$A$2:$A$2000=$A976))),""""))"),"")</f>
        <v/>
      </c>
      <c r="U976" s="66" t="str">
        <f>IF($A976="","",COUNTIF(Candidates!$A$2:$A$2000,$A976))</f>
        <v/>
      </c>
      <c r="V976" s="64" t="str">
        <f>IFERROR(__xludf.DUMMYFUNCTION("IF($A976="""","""",IFERROR(INDEX(FILTER(Candidates!$S$2:$S$2000,Candidates!$A$2:$A$2000=$A976),COUNTIF(Candidates!$A$2:$A$2000,$A976)),""""))"),"")</f>
        <v/>
      </c>
      <c r="W976" s="64" t="str">
        <f>IFERROR(__xludf.DUMMYFUNCTION("IF($A976="""","""",IFERROR(INDEX(FILTER(Candidates!$T$2:$T$2000,Candidates!$A$2:$A$2000=$A976),COUNTIF(Candidates!$A$2:$A$2000,$A976)),""""))"),"")</f>
        <v/>
      </c>
      <c r="X976" s="64"/>
      <c r="Y976" s="64"/>
      <c r="Z976" s="65"/>
      <c r="AA976" s="65"/>
      <c r="AB976" s="65"/>
      <c r="AC976" s="65"/>
    </row>
    <row r="977">
      <c r="A977" s="64"/>
      <c r="B977" s="64"/>
      <c r="C977" s="64"/>
      <c r="D977" s="64"/>
      <c r="E977" s="64"/>
      <c r="F977" s="64"/>
      <c r="G977" s="64"/>
      <c r="H977" s="63"/>
      <c r="I977" s="64"/>
      <c r="J977" s="64"/>
      <c r="K977" s="64"/>
      <c r="L977" s="64"/>
      <c r="M977" s="64"/>
      <c r="N977" s="64"/>
      <c r="O977" s="64"/>
      <c r="P977" s="64"/>
      <c r="Q977" s="64"/>
      <c r="R977" s="65" t="str">
        <f>IF($A977="","",IFERROR(MINIFS(Candidates!$K$2:$K$2000,Candidates!$A$2:$A$2000,$A977),""))</f>
        <v/>
      </c>
      <c r="S977" s="65" t="str">
        <f>IF($A977="","",IFERROR(MAXIFS(Candidates!$AA$2:$AA$2000,Candidates!$A$2:$A$2000,$A977),""))</f>
        <v/>
      </c>
      <c r="T977" s="64" t="str">
        <f>IFERROR(__xludf.DUMMYFUNCTION("IF($A977="""","""",IFERROR(TEXTJOIN("", "",TRUE,UNIQUE(FILTER(Candidates!$B$2:$B$2000,Candidates!$A$2:$A$2000=$A977))),""""))"),"")</f>
        <v/>
      </c>
      <c r="U977" s="66" t="str">
        <f>IF($A977="","",COUNTIF(Candidates!$A$2:$A$2000,$A977))</f>
        <v/>
      </c>
      <c r="V977" s="64" t="str">
        <f>IFERROR(__xludf.DUMMYFUNCTION("IF($A977="""","""",IFERROR(INDEX(FILTER(Candidates!$S$2:$S$2000,Candidates!$A$2:$A$2000=$A977),COUNTIF(Candidates!$A$2:$A$2000,$A977)),""""))"),"")</f>
        <v/>
      </c>
      <c r="W977" s="64" t="str">
        <f>IFERROR(__xludf.DUMMYFUNCTION("IF($A977="""","""",IFERROR(INDEX(FILTER(Candidates!$T$2:$T$2000,Candidates!$A$2:$A$2000=$A977),COUNTIF(Candidates!$A$2:$A$2000,$A977)),""""))"),"")</f>
        <v/>
      </c>
      <c r="X977" s="64"/>
      <c r="Y977" s="64"/>
      <c r="Z977" s="65"/>
      <c r="AA977" s="65"/>
      <c r="AB977" s="65"/>
      <c r="AC977" s="65"/>
    </row>
    <row r="978">
      <c r="A978" s="64"/>
      <c r="B978" s="64"/>
      <c r="C978" s="64"/>
      <c r="D978" s="64"/>
      <c r="E978" s="64"/>
      <c r="F978" s="64"/>
      <c r="G978" s="64"/>
      <c r="H978" s="63"/>
      <c r="I978" s="64"/>
      <c r="J978" s="64"/>
      <c r="K978" s="64"/>
      <c r="L978" s="64"/>
      <c r="M978" s="64"/>
      <c r="N978" s="64"/>
      <c r="O978" s="64"/>
      <c r="P978" s="64"/>
      <c r="Q978" s="64"/>
      <c r="R978" s="65" t="str">
        <f>IF($A978="","",IFERROR(MINIFS(Candidates!$K$2:$K$2000,Candidates!$A$2:$A$2000,$A978),""))</f>
        <v/>
      </c>
      <c r="S978" s="65" t="str">
        <f>IF($A978="","",IFERROR(MAXIFS(Candidates!$AA$2:$AA$2000,Candidates!$A$2:$A$2000,$A978),""))</f>
        <v/>
      </c>
      <c r="T978" s="64" t="str">
        <f>IFERROR(__xludf.DUMMYFUNCTION("IF($A978="""","""",IFERROR(TEXTJOIN("", "",TRUE,UNIQUE(FILTER(Candidates!$B$2:$B$2000,Candidates!$A$2:$A$2000=$A978))),""""))"),"")</f>
        <v/>
      </c>
      <c r="U978" s="66" t="str">
        <f>IF($A978="","",COUNTIF(Candidates!$A$2:$A$2000,$A978))</f>
        <v/>
      </c>
      <c r="V978" s="64" t="str">
        <f>IFERROR(__xludf.DUMMYFUNCTION("IF($A978="""","""",IFERROR(INDEX(FILTER(Candidates!$S$2:$S$2000,Candidates!$A$2:$A$2000=$A978),COUNTIF(Candidates!$A$2:$A$2000,$A978)),""""))"),"")</f>
        <v/>
      </c>
      <c r="W978" s="64" t="str">
        <f>IFERROR(__xludf.DUMMYFUNCTION("IF($A978="""","""",IFERROR(INDEX(FILTER(Candidates!$T$2:$T$2000,Candidates!$A$2:$A$2000=$A978),COUNTIF(Candidates!$A$2:$A$2000,$A978)),""""))"),"")</f>
        <v/>
      </c>
      <c r="X978" s="64"/>
      <c r="Y978" s="64"/>
      <c r="Z978" s="65"/>
      <c r="AA978" s="65"/>
      <c r="AB978" s="65"/>
      <c r="AC978" s="65"/>
    </row>
    <row r="979">
      <c r="A979" s="64"/>
      <c r="B979" s="64"/>
      <c r="C979" s="64"/>
      <c r="D979" s="64"/>
      <c r="E979" s="64"/>
      <c r="F979" s="64"/>
      <c r="G979" s="64"/>
      <c r="H979" s="63"/>
      <c r="I979" s="64"/>
      <c r="J979" s="64"/>
      <c r="K979" s="64"/>
      <c r="L979" s="64"/>
      <c r="M979" s="64"/>
      <c r="N979" s="64"/>
      <c r="O979" s="64"/>
      <c r="P979" s="64"/>
      <c r="Q979" s="64"/>
      <c r="R979" s="65" t="str">
        <f>IF($A979="","",IFERROR(MINIFS(Candidates!$K$2:$K$2000,Candidates!$A$2:$A$2000,$A979),""))</f>
        <v/>
      </c>
      <c r="S979" s="65" t="str">
        <f>IF($A979="","",IFERROR(MAXIFS(Candidates!$AA$2:$AA$2000,Candidates!$A$2:$A$2000,$A979),""))</f>
        <v/>
      </c>
      <c r="T979" s="64" t="str">
        <f>IFERROR(__xludf.DUMMYFUNCTION("IF($A979="""","""",IFERROR(TEXTJOIN("", "",TRUE,UNIQUE(FILTER(Candidates!$B$2:$B$2000,Candidates!$A$2:$A$2000=$A979))),""""))"),"")</f>
        <v/>
      </c>
      <c r="U979" s="66" t="str">
        <f>IF($A979="","",COUNTIF(Candidates!$A$2:$A$2000,$A979))</f>
        <v/>
      </c>
      <c r="V979" s="64" t="str">
        <f>IFERROR(__xludf.DUMMYFUNCTION("IF($A979="""","""",IFERROR(INDEX(FILTER(Candidates!$S$2:$S$2000,Candidates!$A$2:$A$2000=$A979),COUNTIF(Candidates!$A$2:$A$2000,$A979)),""""))"),"")</f>
        <v/>
      </c>
      <c r="W979" s="64" t="str">
        <f>IFERROR(__xludf.DUMMYFUNCTION("IF($A979="""","""",IFERROR(INDEX(FILTER(Candidates!$T$2:$T$2000,Candidates!$A$2:$A$2000=$A979),COUNTIF(Candidates!$A$2:$A$2000,$A979)),""""))"),"")</f>
        <v/>
      </c>
      <c r="X979" s="64"/>
      <c r="Y979" s="64"/>
      <c r="Z979" s="65"/>
      <c r="AA979" s="65"/>
      <c r="AB979" s="65"/>
      <c r="AC979" s="65"/>
    </row>
    <row r="980">
      <c r="A980" s="64"/>
      <c r="B980" s="64"/>
      <c r="C980" s="64"/>
      <c r="D980" s="64"/>
      <c r="E980" s="64"/>
      <c r="F980" s="64"/>
      <c r="G980" s="64"/>
      <c r="H980" s="63"/>
      <c r="I980" s="64"/>
      <c r="J980" s="64"/>
      <c r="K980" s="64"/>
      <c r="L980" s="64"/>
      <c r="M980" s="64"/>
      <c r="N980" s="64"/>
      <c r="O980" s="64"/>
      <c r="P980" s="64"/>
      <c r="Q980" s="64"/>
      <c r="R980" s="65" t="str">
        <f>IF($A980="","",IFERROR(MINIFS(Candidates!$K$2:$K$2000,Candidates!$A$2:$A$2000,$A980),""))</f>
        <v/>
      </c>
      <c r="S980" s="65" t="str">
        <f>IF($A980="","",IFERROR(MAXIFS(Candidates!$AA$2:$AA$2000,Candidates!$A$2:$A$2000,$A980),""))</f>
        <v/>
      </c>
      <c r="T980" s="64" t="str">
        <f>IFERROR(__xludf.DUMMYFUNCTION("IF($A980="""","""",IFERROR(TEXTJOIN("", "",TRUE,UNIQUE(FILTER(Candidates!$B$2:$B$2000,Candidates!$A$2:$A$2000=$A980))),""""))"),"")</f>
        <v/>
      </c>
      <c r="U980" s="66" t="str">
        <f>IF($A980="","",COUNTIF(Candidates!$A$2:$A$2000,$A980))</f>
        <v/>
      </c>
      <c r="V980" s="64" t="str">
        <f>IFERROR(__xludf.DUMMYFUNCTION("IF($A980="""","""",IFERROR(INDEX(FILTER(Candidates!$S$2:$S$2000,Candidates!$A$2:$A$2000=$A980),COUNTIF(Candidates!$A$2:$A$2000,$A980)),""""))"),"")</f>
        <v/>
      </c>
      <c r="W980" s="64" t="str">
        <f>IFERROR(__xludf.DUMMYFUNCTION("IF($A980="""","""",IFERROR(INDEX(FILTER(Candidates!$T$2:$T$2000,Candidates!$A$2:$A$2000=$A980),COUNTIF(Candidates!$A$2:$A$2000,$A980)),""""))"),"")</f>
        <v/>
      </c>
      <c r="X980" s="64"/>
      <c r="Y980" s="64"/>
      <c r="Z980" s="65"/>
      <c r="AA980" s="65"/>
      <c r="AB980" s="65"/>
      <c r="AC980" s="65"/>
    </row>
    <row r="981">
      <c r="A981" s="64"/>
      <c r="B981" s="64"/>
      <c r="C981" s="64"/>
      <c r="D981" s="64"/>
      <c r="E981" s="64"/>
      <c r="F981" s="64"/>
      <c r="G981" s="64"/>
      <c r="H981" s="63"/>
      <c r="I981" s="64"/>
      <c r="J981" s="64"/>
      <c r="K981" s="64"/>
      <c r="L981" s="64"/>
      <c r="M981" s="64"/>
      <c r="N981" s="64"/>
      <c r="O981" s="64"/>
      <c r="P981" s="64"/>
      <c r="Q981" s="64"/>
      <c r="R981" s="65" t="str">
        <f>IF($A981="","",IFERROR(MINIFS(Candidates!$K$2:$K$2000,Candidates!$A$2:$A$2000,$A981),""))</f>
        <v/>
      </c>
      <c r="S981" s="65" t="str">
        <f>IF($A981="","",IFERROR(MAXIFS(Candidates!$AA$2:$AA$2000,Candidates!$A$2:$A$2000,$A981),""))</f>
        <v/>
      </c>
      <c r="T981" s="64" t="str">
        <f>IFERROR(__xludf.DUMMYFUNCTION("IF($A981="""","""",IFERROR(TEXTJOIN("", "",TRUE,UNIQUE(FILTER(Candidates!$B$2:$B$2000,Candidates!$A$2:$A$2000=$A981))),""""))"),"")</f>
        <v/>
      </c>
      <c r="U981" s="66" t="str">
        <f>IF($A981="","",COUNTIF(Candidates!$A$2:$A$2000,$A981))</f>
        <v/>
      </c>
      <c r="V981" s="64" t="str">
        <f>IFERROR(__xludf.DUMMYFUNCTION("IF($A981="""","""",IFERROR(INDEX(FILTER(Candidates!$S$2:$S$2000,Candidates!$A$2:$A$2000=$A981),COUNTIF(Candidates!$A$2:$A$2000,$A981)),""""))"),"")</f>
        <v/>
      </c>
      <c r="W981" s="64" t="str">
        <f>IFERROR(__xludf.DUMMYFUNCTION("IF($A981="""","""",IFERROR(INDEX(FILTER(Candidates!$T$2:$T$2000,Candidates!$A$2:$A$2000=$A981),COUNTIF(Candidates!$A$2:$A$2000,$A981)),""""))"),"")</f>
        <v/>
      </c>
      <c r="X981" s="64"/>
      <c r="Y981" s="64"/>
      <c r="Z981" s="65"/>
      <c r="AA981" s="65"/>
      <c r="AB981" s="65"/>
      <c r="AC981" s="65"/>
    </row>
    <row r="982">
      <c r="A982" s="64"/>
      <c r="B982" s="64"/>
      <c r="C982" s="64"/>
      <c r="D982" s="64"/>
      <c r="E982" s="64"/>
      <c r="F982" s="64"/>
      <c r="G982" s="64"/>
      <c r="H982" s="63"/>
      <c r="I982" s="64"/>
      <c r="J982" s="64"/>
      <c r="K982" s="64"/>
      <c r="L982" s="64"/>
      <c r="M982" s="64"/>
      <c r="N982" s="64"/>
      <c r="O982" s="64"/>
      <c r="P982" s="64"/>
      <c r="Q982" s="64"/>
      <c r="R982" s="65" t="str">
        <f>IF($A982="","",IFERROR(MINIFS(Candidates!$K$2:$K$2000,Candidates!$A$2:$A$2000,$A982),""))</f>
        <v/>
      </c>
      <c r="S982" s="65" t="str">
        <f>IF($A982="","",IFERROR(MAXIFS(Candidates!$AA$2:$AA$2000,Candidates!$A$2:$A$2000,$A982),""))</f>
        <v/>
      </c>
      <c r="T982" s="64" t="str">
        <f>IFERROR(__xludf.DUMMYFUNCTION("IF($A982="""","""",IFERROR(TEXTJOIN("", "",TRUE,UNIQUE(FILTER(Candidates!$B$2:$B$2000,Candidates!$A$2:$A$2000=$A982))),""""))"),"")</f>
        <v/>
      </c>
      <c r="U982" s="66" t="str">
        <f>IF($A982="","",COUNTIF(Candidates!$A$2:$A$2000,$A982))</f>
        <v/>
      </c>
      <c r="V982" s="64" t="str">
        <f>IFERROR(__xludf.DUMMYFUNCTION("IF($A982="""","""",IFERROR(INDEX(FILTER(Candidates!$S$2:$S$2000,Candidates!$A$2:$A$2000=$A982),COUNTIF(Candidates!$A$2:$A$2000,$A982)),""""))"),"")</f>
        <v/>
      </c>
      <c r="W982" s="64" t="str">
        <f>IFERROR(__xludf.DUMMYFUNCTION("IF($A982="""","""",IFERROR(INDEX(FILTER(Candidates!$T$2:$T$2000,Candidates!$A$2:$A$2000=$A982),COUNTIF(Candidates!$A$2:$A$2000,$A982)),""""))"),"")</f>
        <v/>
      </c>
      <c r="X982" s="64"/>
      <c r="Y982" s="64"/>
      <c r="Z982" s="65"/>
      <c r="AA982" s="65"/>
      <c r="AB982" s="65"/>
      <c r="AC982" s="65"/>
    </row>
    <row r="983">
      <c r="A983" s="64"/>
      <c r="B983" s="64"/>
      <c r="C983" s="64"/>
      <c r="D983" s="64"/>
      <c r="E983" s="64"/>
      <c r="F983" s="64"/>
      <c r="G983" s="64"/>
      <c r="H983" s="63"/>
      <c r="I983" s="64"/>
      <c r="J983" s="64"/>
      <c r="K983" s="64"/>
      <c r="L983" s="64"/>
      <c r="M983" s="64"/>
      <c r="N983" s="64"/>
      <c r="O983" s="64"/>
      <c r="P983" s="64"/>
      <c r="Q983" s="64"/>
      <c r="R983" s="65" t="str">
        <f>IF($A983="","",IFERROR(MINIFS(Candidates!$K$2:$K$2000,Candidates!$A$2:$A$2000,$A983),""))</f>
        <v/>
      </c>
      <c r="S983" s="65" t="str">
        <f>IF($A983="","",IFERROR(MAXIFS(Candidates!$AA$2:$AA$2000,Candidates!$A$2:$A$2000,$A983),""))</f>
        <v/>
      </c>
      <c r="T983" s="64" t="str">
        <f>IFERROR(__xludf.DUMMYFUNCTION("IF($A983="""","""",IFERROR(TEXTJOIN("", "",TRUE,UNIQUE(FILTER(Candidates!$B$2:$B$2000,Candidates!$A$2:$A$2000=$A983))),""""))"),"")</f>
        <v/>
      </c>
      <c r="U983" s="66" t="str">
        <f>IF($A983="","",COUNTIF(Candidates!$A$2:$A$2000,$A983))</f>
        <v/>
      </c>
      <c r="V983" s="64" t="str">
        <f>IFERROR(__xludf.DUMMYFUNCTION("IF($A983="""","""",IFERROR(INDEX(FILTER(Candidates!$S$2:$S$2000,Candidates!$A$2:$A$2000=$A983),COUNTIF(Candidates!$A$2:$A$2000,$A983)),""""))"),"")</f>
        <v/>
      </c>
      <c r="W983" s="64" t="str">
        <f>IFERROR(__xludf.DUMMYFUNCTION("IF($A983="""","""",IFERROR(INDEX(FILTER(Candidates!$T$2:$T$2000,Candidates!$A$2:$A$2000=$A983),COUNTIF(Candidates!$A$2:$A$2000,$A983)),""""))"),"")</f>
        <v/>
      </c>
      <c r="X983" s="64"/>
      <c r="Y983" s="64"/>
      <c r="Z983" s="65"/>
      <c r="AA983" s="65"/>
      <c r="AB983" s="65"/>
      <c r="AC983" s="65"/>
    </row>
    <row r="984">
      <c r="A984" s="64"/>
      <c r="B984" s="64"/>
      <c r="C984" s="64"/>
      <c r="D984" s="64"/>
      <c r="E984" s="64"/>
      <c r="F984" s="64"/>
      <c r="G984" s="64"/>
      <c r="H984" s="63"/>
      <c r="I984" s="64"/>
      <c r="J984" s="64"/>
      <c r="K984" s="64"/>
      <c r="L984" s="64"/>
      <c r="M984" s="64"/>
      <c r="N984" s="64"/>
      <c r="O984" s="64"/>
      <c r="P984" s="64"/>
      <c r="Q984" s="64"/>
      <c r="R984" s="65" t="str">
        <f>IF($A984="","",IFERROR(MINIFS(Candidates!$K$2:$K$2000,Candidates!$A$2:$A$2000,$A984),""))</f>
        <v/>
      </c>
      <c r="S984" s="65" t="str">
        <f>IF($A984="","",IFERROR(MAXIFS(Candidates!$AA$2:$AA$2000,Candidates!$A$2:$A$2000,$A984),""))</f>
        <v/>
      </c>
      <c r="T984" s="64" t="str">
        <f>IFERROR(__xludf.DUMMYFUNCTION("IF($A984="""","""",IFERROR(TEXTJOIN("", "",TRUE,UNIQUE(FILTER(Candidates!$B$2:$B$2000,Candidates!$A$2:$A$2000=$A984))),""""))"),"")</f>
        <v/>
      </c>
      <c r="U984" s="66" t="str">
        <f>IF($A984="","",COUNTIF(Candidates!$A$2:$A$2000,$A984))</f>
        <v/>
      </c>
      <c r="V984" s="64" t="str">
        <f>IFERROR(__xludf.DUMMYFUNCTION("IF($A984="""","""",IFERROR(INDEX(FILTER(Candidates!$S$2:$S$2000,Candidates!$A$2:$A$2000=$A984),COUNTIF(Candidates!$A$2:$A$2000,$A984)),""""))"),"")</f>
        <v/>
      </c>
      <c r="W984" s="64" t="str">
        <f>IFERROR(__xludf.DUMMYFUNCTION("IF($A984="""","""",IFERROR(INDEX(FILTER(Candidates!$T$2:$T$2000,Candidates!$A$2:$A$2000=$A984),COUNTIF(Candidates!$A$2:$A$2000,$A984)),""""))"),"")</f>
        <v/>
      </c>
      <c r="X984" s="64"/>
      <c r="Y984" s="64"/>
      <c r="Z984" s="65"/>
      <c r="AA984" s="65"/>
      <c r="AB984" s="65"/>
      <c r="AC984" s="65"/>
    </row>
    <row r="985">
      <c r="A985" s="64"/>
      <c r="B985" s="64"/>
      <c r="C985" s="64"/>
      <c r="D985" s="64"/>
      <c r="E985" s="64"/>
      <c r="F985" s="64"/>
      <c r="G985" s="64"/>
      <c r="H985" s="63"/>
      <c r="I985" s="64"/>
      <c r="J985" s="64"/>
      <c r="K985" s="64"/>
      <c r="L985" s="64"/>
      <c r="M985" s="64"/>
      <c r="N985" s="64"/>
      <c r="O985" s="64"/>
      <c r="P985" s="64"/>
      <c r="Q985" s="64"/>
      <c r="R985" s="65" t="str">
        <f>IF($A985="","",IFERROR(MINIFS(Candidates!$K$2:$K$2000,Candidates!$A$2:$A$2000,$A985),""))</f>
        <v/>
      </c>
      <c r="S985" s="65" t="str">
        <f>IF($A985="","",IFERROR(MAXIFS(Candidates!$AA$2:$AA$2000,Candidates!$A$2:$A$2000,$A985),""))</f>
        <v/>
      </c>
      <c r="T985" s="64" t="str">
        <f>IFERROR(__xludf.DUMMYFUNCTION("IF($A985="""","""",IFERROR(TEXTJOIN("", "",TRUE,UNIQUE(FILTER(Candidates!$B$2:$B$2000,Candidates!$A$2:$A$2000=$A985))),""""))"),"")</f>
        <v/>
      </c>
      <c r="U985" s="66" t="str">
        <f>IF($A985="","",COUNTIF(Candidates!$A$2:$A$2000,$A985))</f>
        <v/>
      </c>
      <c r="V985" s="64" t="str">
        <f>IFERROR(__xludf.DUMMYFUNCTION("IF($A985="""","""",IFERROR(INDEX(FILTER(Candidates!$S$2:$S$2000,Candidates!$A$2:$A$2000=$A985),COUNTIF(Candidates!$A$2:$A$2000,$A985)),""""))"),"")</f>
        <v/>
      </c>
      <c r="W985" s="64" t="str">
        <f>IFERROR(__xludf.DUMMYFUNCTION("IF($A985="""","""",IFERROR(INDEX(FILTER(Candidates!$T$2:$T$2000,Candidates!$A$2:$A$2000=$A985),COUNTIF(Candidates!$A$2:$A$2000,$A985)),""""))"),"")</f>
        <v/>
      </c>
      <c r="X985" s="64"/>
      <c r="Y985" s="64"/>
      <c r="Z985" s="65"/>
      <c r="AA985" s="65"/>
      <c r="AB985" s="65"/>
      <c r="AC985" s="65"/>
    </row>
    <row r="986">
      <c r="A986" s="64"/>
      <c r="B986" s="64"/>
      <c r="C986" s="64"/>
      <c r="D986" s="64"/>
      <c r="E986" s="64"/>
      <c r="F986" s="64"/>
      <c r="G986" s="64"/>
      <c r="H986" s="63"/>
      <c r="I986" s="64"/>
      <c r="J986" s="64"/>
      <c r="K986" s="64"/>
      <c r="L986" s="64"/>
      <c r="M986" s="64"/>
      <c r="N986" s="64"/>
      <c r="O986" s="64"/>
      <c r="P986" s="64"/>
      <c r="Q986" s="64"/>
      <c r="R986" s="65" t="str">
        <f>IF($A986="","",IFERROR(MINIFS(Candidates!$K$2:$K$2000,Candidates!$A$2:$A$2000,$A986),""))</f>
        <v/>
      </c>
      <c r="S986" s="65" t="str">
        <f>IF($A986="","",IFERROR(MAXIFS(Candidates!$AA$2:$AA$2000,Candidates!$A$2:$A$2000,$A986),""))</f>
        <v/>
      </c>
      <c r="T986" s="64" t="str">
        <f>IFERROR(__xludf.DUMMYFUNCTION("IF($A986="""","""",IFERROR(TEXTJOIN("", "",TRUE,UNIQUE(FILTER(Candidates!$B$2:$B$2000,Candidates!$A$2:$A$2000=$A986))),""""))"),"")</f>
        <v/>
      </c>
      <c r="U986" s="66" t="str">
        <f>IF($A986="","",COUNTIF(Candidates!$A$2:$A$2000,$A986))</f>
        <v/>
      </c>
      <c r="V986" s="64" t="str">
        <f>IFERROR(__xludf.DUMMYFUNCTION("IF($A986="""","""",IFERROR(INDEX(FILTER(Candidates!$S$2:$S$2000,Candidates!$A$2:$A$2000=$A986),COUNTIF(Candidates!$A$2:$A$2000,$A986)),""""))"),"")</f>
        <v/>
      </c>
      <c r="W986" s="64" t="str">
        <f>IFERROR(__xludf.DUMMYFUNCTION("IF($A986="""","""",IFERROR(INDEX(FILTER(Candidates!$T$2:$T$2000,Candidates!$A$2:$A$2000=$A986),COUNTIF(Candidates!$A$2:$A$2000,$A986)),""""))"),"")</f>
        <v/>
      </c>
      <c r="X986" s="64"/>
      <c r="Y986" s="64"/>
      <c r="Z986" s="65"/>
      <c r="AA986" s="65"/>
      <c r="AB986" s="65"/>
      <c r="AC986" s="65"/>
    </row>
    <row r="987">
      <c r="A987" s="64"/>
      <c r="B987" s="64"/>
      <c r="C987" s="64"/>
      <c r="D987" s="64"/>
      <c r="E987" s="64"/>
      <c r="F987" s="64"/>
      <c r="G987" s="64"/>
      <c r="H987" s="63"/>
      <c r="I987" s="64"/>
      <c r="J987" s="64"/>
      <c r="K987" s="64"/>
      <c r="L987" s="64"/>
      <c r="M987" s="64"/>
      <c r="N987" s="64"/>
      <c r="O987" s="64"/>
      <c r="P987" s="64"/>
      <c r="Q987" s="64"/>
      <c r="R987" s="65" t="str">
        <f>IF($A987="","",IFERROR(MINIFS(Candidates!$K$2:$K$2000,Candidates!$A$2:$A$2000,$A987),""))</f>
        <v/>
      </c>
      <c r="S987" s="65" t="str">
        <f>IF($A987="","",IFERROR(MAXIFS(Candidates!$AA$2:$AA$2000,Candidates!$A$2:$A$2000,$A987),""))</f>
        <v/>
      </c>
      <c r="T987" s="64" t="str">
        <f>IFERROR(__xludf.DUMMYFUNCTION("IF($A987="""","""",IFERROR(TEXTJOIN("", "",TRUE,UNIQUE(FILTER(Candidates!$B$2:$B$2000,Candidates!$A$2:$A$2000=$A987))),""""))"),"")</f>
        <v/>
      </c>
      <c r="U987" s="66" t="str">
        <f>IF($A987="","",COUNTIF(Candidates!$A$2:$A$2000,$A987))</f>
        <v/>
      </c>
      <c r="V987" s="64" t="str">
        <f>IFERROR(__xludf.DUMMYFUNCTION("IF($A987="""","""",IFERROR(INDEX(FILTER(Candidates!$S$2:$S$2000,Candidates!$A$2:$A$2000=$A987),COUNTIF(Candidates!$A$2:$A$2000,$A987)),""""))"),"")</f>
        <v/>
      </c>
      <c r="W987" s="64" t="str">
        <f>IFERROR(__xludf.DUMMYFUNCTION("IF($A987="""","""",IFERROR(INDEX(FILTER(Candidates!$T$2:$T$2000,Candidates!$A$2:$A$2000=$A987),COUNTIF(Candidates!$A$2:$A$2000,$A987)),""""))"),"")</f>
        <v/>
      </c>
      <c r="X987" s="64"/>
      <c r="Y987" s="64"/>
      <c r="Z987" s="65"/>
      <c r="AA987" s="65"/>
      <c r="AB987" s="65"/>
      <c r="AC987" s="65"/>
    </row>
    <row r="988">
      <c r="A988" s="64"/>
      <c r="B988" s="64"/>
      <c r="C988" s="64"/>
      <c r="D988" s="64"/>
      <c r="E988" s="64"/>
      <c r="F988" s="64"/>
      <c r="G988" s="64"/>
      <c r="H988" s="63"/>
      <c r="I988" s="64"/>
      <c r="J988" s="64"/>
      <c r="K988" s="64"/>
      <c r="L988" s="64"/>
      <c r="M988" s="64"/>
      <c r="N988" s="64"/>
      <c r="O988" s="64"/>
      <c r="P988" s="64"/>
      <c r="Q988" s="64"/>
      <c r="R988" s="65" t="str">
        <f>IF($A988="","",IFERROR(MINIFS(Candidates!$K$2:$K$2000,Candidates!$A$2:$A$2000,$A988),""))</f>
        <v/>
      </c>
      <c r="S988" s="65" t="str">
        <f>IF($A988="","",IFERROR(MAXIFS(Candidates!$AA$2:$AA$2000,Candidates!$A$2:$A$2000,$A988),""))</f>
        <v/>
      </c>
      <c r="T988" s="64" t="str">
        <f>IFERROR(__xludf.DUMMYFUNCTION("IF($A988="""","""",IFERROR(TEXTJOIN("", "",TRUE,UNIQUE(FILTER(Candidates!$B$2:$B$2000,Candidates!$A$2:$A$2000=$A988))),""""))"),"")</f>
        <v/>
      </c>
      <c r="U988" s="66" t="str">
        <f>IF($A988="","",COUNTIF(Candidates!$A$2:$A$2000,$A988))</f>
        <v/>
      </c>
      <c r="V988" s="64" t="str">
        <f>IFERROR(__xludf.DUMMYFUNCTION("IF($A988="""","""",IFERROR(INDEX(FILTER(Candidates!$S$2:$S$2000,Candidates!$A$2:$A$2000=$A988),COUNTIF(Candidates!$A$2:$A$2000,$A988)),""""))"),"")</f>
        <v/>
      </c>
      <c r="W988" s="64" t="str">
        <f>IFERROR(__xludf.DUMMYFUNCTION("IF($A988="""","""",IFERROR(INDEX(FILTER(Candidates!$T$2:$T$2000,Candidates!$A$2:$A$2000=$A988),COUNTIF(Candidates!$A$2:$A$2000,$A988)),""""))"),"")</f>
        <v/>
      </c>
      <c r="X988" s="64"/>
      <c r="Y988" s="64"/>
      <c r="Z988" s="65"/>
      <c r="AA988" s="65"/>
      <c r="AB988" s="65"/>
      <c r="AC988" s="65"/>
    </row>
    <row r="989">
      <c r="A989" s="64"/>
      <c r="B989" s="64"/>
      <c r="C989" s="64"/>
      <c r="D989" s="64"/>
      <c r="E989" s="64"/>
      <c r="F989" s="64"/>
      <c r="G989" s="64"/>
      <c r="H989" s="63"/>
      <c r="I989" s="64"/>
      <c r="J989" s="64"/>
      <c r="K989" s="64"/>
      <c r="L989" s="64"/>
      <c r="M989" s="64"/>
      <c r="N989" s="64"/>
      <c r="O989" s="64"/>
      <c r="P989" s="64"/>
      <c r="Q989" s="64"/>
      <c r="R989" s="65" t="str">
        <f>IF($A989="","",IFERROR(MINIFS(Candidates!$K$2:$K$2000,Candidates!$A$2:$A$2000,$A989),""))</f>
        <v/>
      </c>
      <c r="S989" s="65" t="str">
        <f>IF($A989="","",IFERROR(MAXIFS(Candidates!$AA$2:$AA$2000,Candidates!$A$2:$A$2000,$A989),""))</f>
        <v/>
      </c>
      <c r="T989" s="64" t="str">
        <f>IFERROR(__xludf.DUMMYFUNCTION("IF($A989="""","""",IFERROR(TEXTJOIN("", "",TRUE,UNIQUE(FILTER(Candidates!$B$2:$B$2000,Candidates!$A$2:$A$2000=$A989))),""""))"),"")</f>
        <v/>
      </c>
      <c r="U989" s="66" t="str">
        <f>IF($A989="","",COUNTIF(Candidates!$A$2:$A$2000,$A989))</f>
        <v/>
      </c>
      <c r="V989" s="64" t="str">
        <f>IFERROR(__xludf.DUMMYFUNCTION("IF($A989="""","""",IFERROR(INDEX(FILTER(Candidates!$S$2:$S$2000,Candidates!$A$2:$A$2000=$A989),COUNTIF(Candidates!$A$2:$A$2000,$A989)),""""))"),"")</f>
        <v/>
      </c>
      <c r="W989" s="64" t="str">
        <f>IFERROR(__xludf.DUMMYFUNCTION("IF($A989="""","""",IFERROR(INDEX(FILTER(Candidates!$T$2:$T$2000,Candidates!$A$2:$A$2000=$A989),COUNTIF(Candidates!$A$2:$A$2000,$A989)),""""))"),"")</f>
        <v/>
      </c>
      <c r="X989" s="64"/>
      <c r="Y989" s="64"/>
      <c r="Z989" s="65"/>
      <c r="AA989" s="65"/>
      <c r="AB989" s="65"/>
      <c r="AC989" s="65"/>
    </row>
    <row r="990">
      <c r="A990" s="64"/>
      <c r="B990" s="64"/>
      <c r="C990" s="64"/>
      <c r="D990" s="64"/>
      <c r="E990" s="64"/>
      <c r="F990" s="64"/>
      <c r="G990" s="64"/>
      <c r="H990" s="63"/>
      <c r="I990" s="64"/>
      <c r="J990" s="64"/>
      <c r="K990" s="64"/>
      <c r="L990" s="64"/>
      <c r="M990" s="64"/>
      <c r="N990" s="64"/>
      <c r="O990" s="64"/>
      <c r="P990" s="64"/>
      <c r="Q990" s="64"/>
      <c r="R990" s="65" t="str">
        <f>IF($A990="","",IFERROR(MINIFS(Candidates!$K$2:$K$2000,Candidates!$A$2:$A$2000,$A990),""))</f>
        <v/>
      </c>
      <c r="S990" s="65" t="str">
        <f>IF($A990="","",IFERROR(MAXIFS(Candidates!$AA$2:$AA$2000,Candidates!$A$2:$A$2000,$A990),""))</f>
        <v/>
      </c>
      <c r="T990" s="64" t="str">
        <f>IFERROR(__xludf.DUMMYFUNCTION("IF($A990="""","""",IFERROR(TEXTJOIN("", "",TRUE,UNIQUE(FILTER(Candidates!$B$2:$B$2000,Candidates!$A$2:$A$2000=$A990))),""""))"),"")</f>
        <v/>
      </c>
      <c r="U990" s="66" t="str">
        <f>IF($A990="","",COUNTIF(Candidates!$A$2:$A$2000,$A990))</f>
        <v/>
      </c>
      <c r="V990" s="64" t="str">
        <f>IFERROR(__xludf.DUMMYFUNCTION("IF($A990="""","""",IFERROR(INDEX(FILTER(Candidates!$S$2:$S$2000,Candidates!$A$2:$A$2000=$A990),COUNTIF(Candidates!$A$2:$A$2000,$A990)),""""))"),"")</f>
        <v/>
      </c>
      <c r="W990" s="64" t="str">
        <f>IFERROR(__xludf.DUMMYFUNCTION("IF($A990="""","""",IFERROR(INDEX(FILTER(Candidates!$T$2:$T$2000,Candidates!$A$2:$A$2000=$A990),COUNTIF(Candidates!$A$2:$A$2000,$A990)),""""))"),"")</f>
        <v/>
      </c>
      <c r="X990" s="64"/>
      <c r="Y990" s="64"/>
      <c r="Z990" s="65"/>
      <c r="AA990" s="65"/>
      <c r="AB990" s="65"/>
      <c r="AC990" s="65"/>
    </row>
    <row r="991">
      <c r="A991" s="64"/>
      <c r="B991" s="64"/>
      <c r="C991" s="64"/>
      <c r="D991" s="64"/>
      <c r="E991" s="64"/>
      <c r="F991" s="64"/>
      <c r="G991" s="64"/>
      <c r="H991" s="63"/>
      <c r="I991" s="64"/>
      <c r="J991" s="64"/>
      <c r="K991" s="64"/>
      <c r="L991" s="64"/>
      <c r="M991" s="64"/>
      <c r="N991" s="64"/>
      <c r="O991" s="64"/>
      <c r="P991" s="64"/>
      <c r="Q991" s="64"/>
      <c r="R991" s="65" t="str">
        <f>IF($A991="","",IFERROR(MINIFS(Candidates!$K$2:$K$2000,Candidates!$A$2:$A$2000,$A991),""))</f>
        <v/>
      </c>
      <c r="S991" s="65" t="str">
        <f>IF($A991="","",IFERROR(MAXIFS(Candidates!$AA$2:$AA$2000,Candidates!$A$2:$A$2000,$A991),""))</f>
        <v/>
      </c>
      <c r="T991" s="64" t="str">
        <f>IFERROR(__xludf.DUMMYFUNCTION("IF($A991="""","""",IFERROR(TEXTJOIN("", "",TRUE,UNIQUE(FILTER(Candidates!$B$2:$B$2000,Candidates!$A$2:$A$2000=$A991))),""""))"),"")</f>
        <v/>
      </c>
      <c r="U991" s="66" t="str">
        <f>IF($A991="","",COUNTIF(Candidates!$A$2:$A$2000,$A991))</f>
        <v/>
      </c>
      <c r="V991" s="64" t="str">
        <f>IFERROR(__xludf.DUMMYFUNCTION("IF($A991="""","""",IFERROR(INDEX(FILTER(Candidates!$S$2:$S$2000,Candidates!$A$2:$A$2000=$A991),COUNTIF(Candidates!$A$2:$A$2000,$A991)),""""))"),"")</f>
        <v/>
      </c>
      <c r="W991" s="64" t="str">
        <f>IFERROR(__xludf.DUMMYFUNCTION("IF($A991="""","""",IFERROR(INDEX(FILTER(Candidates!$T$2:$T$2000,Candidates!$A$2:$A$2000=$A991),COUNTIF(Candidates!$A$2:$A$2000,$A991)),""""))"),"")</f>
        <v/>
      </c>
      <c r="X991" s="64"/>
      <c r="Y991" s="64"/>
      <c r="Z991" s="65"/>
      <c r="AA991" s="65"/>
      <c r="AB991" s="65"/>
      <c r="AC991" s="65"/>
    </row>
    <row r="992">
      <c r="A992" s="64"/>
      <c r="B992" s="64"/>
      <c r="C992" s="64"/>
      <c r="D992" s="64"/>
      <c r="E992" s="64"/>
      <c r="F992" s="64"/>
      <c r="G992" s="64"/>
      <c r="H992" s="63"/>
      <c r="I992" s="64"/>
      <c r="J992" s="64"/>
      <c r="K992" s="64"/>
      <c r="L992" s="64"/>
      <c r="M992" s="64"/>
      <c r="N992" s="64"/>
      <c r="O992" s="64"/>
      <c r="P992" s="64"/>
      <c r="Q992" s="64"/>
      <c r="R992" s="65" t="str">
        <f>IF($A992="","",IFERROR(MINIFS(Candidates!$K$2:$K$2000,Candidates!$A$2:$A$2000,$A992),""))</f>
        <v/>
      </c>
      <c r="S992" s="65" t="str">
        <f>IF($A992="","",IFERROR(MAXIFS(Candidates!$AA$2:$AA$2000,Candidates!$A$2:$A$2000,$A992),""))</f>
        <v/>
      </c>
      <c r="T992" s="64" t="str">
        <f>IFERROR(__xludf.DUMMYFUNCTION("IF($A992="""","""",IFERROR(TEXTJOIN("", "",TRUE,UNIQUE(FILTER(Candidates!$B$2:$B$2000,Candidates!$A$2:$A$2000=$A992))),""""))"),"")</f>
        <v/>
      </c>
      <c r="U992" s="66" t="str">
        <f>IF($A992="","",COUNTIF(Candidates!$A$2:$A$2000,$A992))</f>
        <v/>
      </c>
      <c r="V992" s="64" t="str">
        <f>IFERROR(__xludf.DUMMYFUNCTION("IF($A992="""","""",IFERROR(INDEX(FILTER(Candidates!$S$2:$S$2000,Candidates!$A$2:$A$2000=$A992),COUNTIF(Candidates!$A$2:$A$2000,$A992)),""""))"),"")</f>
        <v/>
      </c>
      <c r="W992" s="64" t="str">
        <f>IFERROR(__xludf.DUMMYFUNCTION("IF($A992="""","""",IFERROR(INDEX(FILTER(Candidates!$T$2:$T$2000,Candidates!$A$2:$A$2000=$A992),COUNTIF(Candidates!$A$2:$A$2000,$A992)),""""))"),"")</f>
        <v/>
      </c>
      <c r="X992" s="64"/>
      <c r="Y992" s="64"/>
      <c r="Z992" s="65"/>
      <c r="AA992" s="65"/>
      <c r="AB992" s="65"/>
      <c r="AC992" s="65"/>
    </row>
    <row r="993">
      <c r="A993" s="64"/>
      <c r="B993" s="64"/>
      <c r="C993" s="64"/>
      <c r="D993" s="64"/>
      <c r="E993" s="64"/>
      <c r="F993" s="64"/>
      <c r="G993" s="64"/>
      <c r="H993" s="63"/>
      <c r="I993" s="64"/>
      <c r="J993" s="64"/>
      <c r="K993" s="64"/>
      <c r="L993" s="64"/>
      <c r="M993" s="64"/>
      <c r="N993" s="64"/>
      <c r="O993" s="64"/>
      <c r="P993" s="64"/>
      <c r="Q993" s="64"/>
      <c r="R993" s="65" t="str">
        <f>IF($A993="","",IFERROR(MINIFS(Candidates!$K$2:$K$2000,Candidates!$A$2:$A$2000,$A993),""))</f>
        <v/>
      </c>
      <c r="S993" s="65" t="str">
        <f>IF($A993="","",IFERROR(MAXIFS(Candidates!$AA$2:$AA$2000,Candidates!$A$2:$A$2000,$A993),""))</f>
        <v/>
      </c>
      <c r="T993" s="64" t="str">
        <f>IFERROR(__xludf.DUMMYFUNCTION("IF($A993="""","""",IFERROR(TEXTJOIN("", "",TRUE,UNIQUE(FILTER(Candidates!$B$2:$B$2000,Candidates!$A$2:$A$2000=$A993))),""""))"),"")</f>
        <v/>
      </c>
      <c r="U993" s="66" t="str">
        <f>IF($A993="","",COUNTIF(Candidates!$A$2:$A$2000,$A993))</f>
        <v/>
      </c>
      <c r="V993" s="64" t="str">
        <f>IFERROR(__xludf.DUMMYFUNCTION("IF($A993="""","""",IFERROR(INDEX(FILTER(Candidates!$S$2:$S$2000,Candidates!$A$2:$A$2000=$A993),COUNTIF(Candidates!$A$2:$A$2000,$A993)),""""))"),"")</f>
        <v/>
      </c>
      <c r="W993" s="64" t="str">
        <f>IFERROR(__xludf.DUMMYFUNCTION("IF($A993="""","""",IFERROR(INDEX(FILTER(Candidates!$T$2:$T$2000,Candidates!$A$2:$A$2000=$A993),COUNTIF(Candidates!$A$2:$A$2000,$A993)),""""))"),"")</f>
        <v/>
      </c>
      <c r="X993" s="64"/>
      <c r="Y993" s="64"/>
      <c r="Z993" s="65"/>
      <c r="AA993" s="65"/>
      <c r="AB993" s="65"/>
      <c r="AC993" s="65"/>
    </row>
    <row r="994">
      <c r="A994" s="64"/>
      <c r="B994" s="64"/>
      <c r="C994" s="64"/>
      <c r="D994" s="64"/>
      <c r="E994" s="64"/>
      <c r="F994" s="64"/>
      <c r="G994" s="64"/>
      <c r="H994" s="63"/>
      <c r="I994" s="64"/>
      <c r="J994" s="64"/>
      <c r="K994" s="64"/>
      <c r="L994" s="64"/>
      <c r="M994" s="64"/>
      <c r="N994" s="64"/>
      <c r="O994" s="64"/>
      <c r="P994" s="64"/>
      <c r="Q994" s="64"/>
      <c r="R994" s="65" t="str">
        <f>IF($A994="","",IFERROR(MINIFS(Candidates!$K$2:$K$2000,Candidates!$A$2:$A$2000,$A994),""))</f>
        <v/>
      </c>
      <c r="S994" s="65" t="str">
        <f>IF($A994="","",IFERROR(MAXIFS(Candidates!$AA$2:$AA$2000,Candidates!$A$2:$A$2000,$A994),""))</f>
        <v/>
      </c>
      <c r="T994" s="64" t="str">
        <f>IFERROR(__xludf.DUMMYFUNCTION("IF($A994="""","""",IFERROR(TEXTJOIN("", "",TRUE,UNIQUE(FILTER(Candidates!$B$2:$B$2000,Candidates!$A$2:$A$2000=$A994))),""""))"),"")</f>
        <v/>
      </c>
      <c r="U994" s="66" t="str">
        <f>IF($A994="","",COUNTIF(Candidates!$A$2:$A$2000,$A994))</f>
        <v/>
      </c>
      <c r="V994" s="64" t="str">
        <f>IFERROR(__xludf.DUMMYFUNCTION("IF($A994="""","""",IFERROR(INDEX(FILTER(Candidates!$S$2:$S$2000,Candidates!$A$2:$A$2000=$A994),COUNTIF(Candidates!$A$2:$A$2000,$A994)),""""))"),"")</f>
        <v/>
      </c>
      <c r="W994" s="64" t="str">
        <f>IFERROR(__xludf.DUMMYFUNCTION("IF($A994="""","""",IFERROR(INDEX(FILTER(Candidates!$T$2:$T$2000,Candidates!$A$2:$A$2000=$A994),COUNTIF(Candidates!$A$2:$A$2000,$A994)),""""))"),"")</f>
        <v/>
      </c>
      <c r="X994" s="64"/>
      <c r="Y994" s="64"/>
      <c r="Z994" s="65"/>
      <c r="AA994" s="65"/>
      <c r="AB994" s="65"/>
      <c r="AC994" s="65"/>
    </row>
    <row r="995">
      <c r="A995" s="64"/>
      <c r="B995" s="64"/>
      <c r="C995" s="64"/>
      <c r="D995" s="64"/>
      <c r="E995" s="64"/>
      <c r="F995" s="64"/>
      <c r="G995" s="64"/>
      <c r="H995" s="63"/>
      <c r="I995" s="64"/>
      <c r="J995" s="64"/>
      <c r="K995" s="64"/>
      <c r="L995" s="64"/>
      <c r="M995" s="64"/>
      <c r="N995" s="64"/>
      <c r="O995" s="64"/>
      <c r="P995" s="64"/>
      <c r="Q995" s="64"/>
      <c r="R995" s="65" t="str">
        <f>IF($A995="","",IFERROR(MINIFS(Candidates!$K$2:$K$2000,Candidates!$A$2:$A$2000,$A995),""))</f>
        <v/>
      </c>
      <c r="S995" s="65" t="str">
        <f>IF($A995="","",IFERROR(MAXIFS(Candidates!$AA$2:$AA$2000,Candidates!$A$2:$A$2000,$A995),""))</f>
        <v/>
      </c>
      <c r="T995" s="64" t="str">
        <f>IFERROR(__xludf.DUMMYFUNCTION("IF($A995="""","""",IFERROR(TEXTJOIN("", "",TRUE,UNIQUE(FILTER(Candidates!$B$2:$B$2000,Candidates!$A$2:$A$2000=$A995))),""""))"),"")</f>
        <v/>
      </c>
      <c r="U995" s="66" t="str">
        <f>IF($A995="","",COUNTIF(Candidates!$A$2:$A$2000,$A995))</f>
        <v/>
      </c>
      <c r="V995" s="64" t="str">
        <f>IFERROR(__xludf.DUMMYFUNCTION("IF($A995="""","""",IFERROR(INDEX(FILTER(Candidates!$S$2:$S$2000,Candidates!$A$2:$A$2000=$A995),COUNTIF(Candidates!$A$2:$A$2000,$A995)),""""))"),"")</f>
        <v/>
      </c>
      <c r="W995" s="64" t="str">
        <f>IFERROR(__xludf.DUMMYFUNCTION("IF($A995="""","""",IFERROR(INDEX(FILTER(Candidates!$T$2:$T$2000,Candidates!$A$2:$A$2000=$A995),COUNTIF(Candidates!$A$2:$A$2000,$A995)),""""))"),"")</f>
        <v/>
      </c>
      <c r="X995" s="64"/>
      <c r="Y995" s="64"/>
      <c r="Z995" s="65"/>
      <c r="AA995" s="65"/>
      <c r="AB995" s="65"/>
      <c r="AC995" s="65"/>
    </row>
    <row r="996">
      <c r="A996" s="64"/>
      <c r="B996" s="64"/>
      <c r="C996" s="64"/>
      <c r="D996" s="64"/>
      <c r="E996" s="64"/>
      <c r="F996" s="64"/>
      <c r="G996" s="64"/>
      <c r="H996" s="63"/>
      <c r="I996" s="64"/>
      <c r="J996" s="64"/>
      <c r="K996" s="64"/>
      <c r="L996" s="64"/>
      <c r="M996" s="64"/>
      <c r="N996" s="64"/>
      <c r="O996" s="64"/>
      <c r="P996" s="64"/>
      <c r="Q996" s="64"/>
      <c r="R996" s="65" t="str">
        <f>IF($A996="","",IFERROR(MINIFS(Candidates!$K$2:$K$2000,Candidates!$A$2:$A$2000,$A996),""))</f>
        <v/>
      </c>
      <c r="S996" s="65" t="str">
        <f>IF($A996="","",IFERROR(MAXIFS(Candidates!$AA$2:$AA$2000,Candidates!$A$2:$A$2000,$A996),""))</f>
        <v/>
      </c>
      <c r="T996" s="64" t="str">
        <f>IFERROR(__xludf.DUMMYFUNCTION("IF($A996="""","""",IFERROR(TEXTJOIN("", "",TRUE,UNIQUE(FILTER(Candidates!$B$2:$B$2000,Candidates!$A$2:$A$2000=$A996))),""""))"),"")</f>
        <v/>
      </c>
      <c r="U996" s="66" t="str">
        <f>IF($A996="","",COUNTIF(Candidates!$A$2:$A$2000,$A996))</f>
        <v/>
      </c>
      <c r="V996" s="64" t="str">
        <f>IFERROR(__xludf.DUMMYFUNCTION("IF($A996="""","""",IFERROR(INDEX(FILTER(Candidates!$S$2:$S$2000,Candidates!$A$2:$A$2000=$A996),COUNTIF(Candidates!$A$2:$A$2000,$A996)),""""))"),"")</f>
        <v/>
      </c>
      <c r="W996" s="64" t="str">
        <f>IFERROR(__xludf.DUMMYFUNCTION("IF($A996="""","""",IFERROR(INDEX(FILTER(Candidates!$T$2:$T$2000,Candidates!$A$2:$A$2000=$A996),COUNTIF(Candidates!$A$2:$A$2000,$A996)),""""))"),"")</f>
        <v/>
      </c>
      <c r="X996" s="64"/>
      <c r="Y996" s="64"/>
      <c r="Z996" s="65"/>
      <c r="AA996" s="65"/>
      <c r="AB996" s="65"/>
      <c r="AC996" s="65"/>
    </row>
    <row r="997">
      <c r="A997" s="64"/>
      <c r="B997" s="64"/>
      <c r="C997" s="64"/>
      <c r="D997" s="64"/>
      <c r="E997" s="64"/>
      <c r="F997" s="64"/>
      <c r="G997" s="64"/>
      <c r="H997" s="63"/>
      <c r="I997" s="64"/>
      <c r="J997" s="64"/>
      <c r="K997" s="64"/>
      <c r="L997" s="64"/>
      <c r="M997" s="64"/>
      <c r="N997" s="64"/>
      <c r="O997" s="64"/>
      <c r="P997" s="64"/>
      <c r="Q997" s="64"/>
      <c r="R997" s="65" t="str">
        <f>IF($A997="","",IFERROR(MINIFS(Candidates!$K$2:$K$2000,Candidates!$A$2:$A$2000,$A997),""))</f>
        <v/>
      </c>
      <c r="S997" s="65" t="str">
        <f>IF($A997="","",IFERROR(MAXIFS(Candidates!$AA$2:$AA$2000,Candidates!$A$2:$A$2000,$A997),""))</f>
        <v/>
      </c>
      <c r="T997" s="64" t="str">
        <f>IFERROR(__xludf.DUMMYFUNCTION("IF($A997="""","""",IFERROR(TEXTJOIN("", "",TRUE,UNIQUE(FILTER(Candidates!$B$2:$B$2000,Candidates!$A$2:$A$2000=$A997))),""""))"),"")</f>
        <v/>
      </c>
      <c r="U997" s="66" t="str">
        <f>IF($A997="","",COUNTIF(Candidates!$A$2:$A$2000,$A997))</f>
        <v/>
      </c>
      <c r="V997" s="64" t="str">
        <f>IFERROR(__xludf.DUMMYFUNCTION("IF($A997="""","""",IFERROR(INDEX(FILTER(Candidates!$S$2:$S$2000,Candidates!$A$2:$A$2000=$A997),COUNTIF(Candidates!$A$2:$A$2000,$A997)),""""))"),"")</f>
        <v/>
      </c>
      <c r="W997" s="64" t="str">
        <f>IFERROR(__xludf.DUMMYFUNCTION("IF($A997="""","""",IFERROR(INDEX(FILTER(Candidates!$T$2:$T$2000,Candidates!$A$2:$A$2000=$A997),COUNTIF(Candidates!$A$2:$A$2000,$A997)),""""))"),"")</f>
        <v/>
      </c>
      <c r="X997" s="64"/>
      <c r="Y997" s="64"/>
      <c r="Z997" s="65"/>
      <c r="AA997" s="65"/>
      <c r="AB997" s="65"/>
      <c r="AC997" s="65"/>
    </row>
    <row r="998">
      <c r="A998" s="64"/>
      <c r="B998" s="64"/>
      <c r="C998" s="64"/>
      <c r="D998" s="64"/>
      <c r="E998" s="64"/>
      <c r="F998" s="64"/>
      <c r="G998" s="64"/>
      <c r="H998" s="63"/>
      <c r="I998" s="64"/>
      <c r="J998" s="64"/>
      <c r="K998" s="64"/>
      <c r="L998" s="64"/>
      <c r="M998" s="64"/>
      <c r="N998" s="64"/>
      <c r="O998" s="64"/>
      <c r="P998" s="64"/>
      <c r="Q998" s="64"/>
      <c r="R998" s="65" t="str">
        <f>IF($A998="","",IFERROR(MINIFS(Candidates!$K$2:$K$2000,Candidates!$A$2:$A$2000,$A998),""))</f>
        <v/>
      </c>
      <c r="S998" s="65" t="str">
        <f>IF($A998="","",IFERROR(MAXIFS(Candidates!$AA$2:$AA$2000,Candidates!$A$2:$A$2000,$A998),""))</f>
        <v/>
      </c>
      <c r="T998" s="64" t="str">
        <f>IFERROR(__xludf.DUMMYFUNCTION("IF($A998="""","""",IFERROR(TEXTJOIN("", "",TRUE,UNIQUE(FILTER(Candidates!$B$2:$B$2000,Candidates!$A$2:$A$2000=$A998))),""""))"),"")</f>
        <v/>
      </c>
      <c r="U998" s="66" t="str">
        <f>IF($A998="","",COUNTIF(Candidates!$A$2:$A$2000,$A998))</f>
        <v/>
      </c>
      <c r="V998" s="64" t="str">
        <f>IFERROR(__xludf.DUMMYFUNCTION("IF($A998="""","""",IFERROR(INDEX(FILTER(Candidates!$S$2:$S$2000,Candidates!$A$2:$A$2000=$A998),COUNTIF(Candidates!$A$2:$A$2000,$A998)),""""))"),"")</f>
        <v/>
      </c>
      <c r="W998" s="64" t="str">
        <f>IFERROR(__xludf.DUMMYFUNCTION("IF($A998="""","""",IFERROR(INDEX(FILTER(Candidates!$T$2:$T$2000,Candidates!$A$2:$A$2000=$A998),COUNTIF(Candidates!$A$2:$A$2000,$A998)),""""))"),"")</f>
        <v/>
      </c>
      <c r="X998" s="64"/>
      <c r="Y998" s="64"/>
      <c r="Z998" s="65"/>
      <c r="AA998" s="65"/>
      <c r="AB998" s="65"/>
      <c r="AC998" s="65"/>
    </row>
    <row r="999">
      <c r="A999" s="64"/>
      <c r="B999" s="64"/>
      <c r="C999" s="64"/>
      <c r="D999" s="64"/>
      <c r="E999" s="64"/>
      <c r="F999" s="64"/>
      <c r="G999" s="64"/>
      <c r="H999" s="63"/>
      <c r="I999" s="64"/>
      <c r="J999" s="64"/>
      <c r="K999" s="64"/>
      <c r="L999" s="64"/>
      <c r="M999" s="64"/>
      <c r="N999" s="64"/>
      <c r="O999" s="64"/>
      <c r="P999" s="64"/>
      <c r="Q999" s="64"/>
      <c r="R999" s="65" t="str">
        <f>IF($A999="","",IFERROR(MINIFS(Candidates!$K$2:$K$2000,Candidates!$A$2:$A$2000,$A999),""))</f>
        <v/>
      </c>
      <c r="S999" s="65" t="str">
        <f>IF($A999="","",IFERROR(MAXIFS(Candidates!$AA$2:$AA$2000,Candidates!$A$2:$A$2000,$A999),""))</f>
        <v/>
      </c>
      <c r="T999" s="64" t="str">
        <f>IFERROR(__xludf.DUMMYFUNCTION("IF($A999="""","""",IFERROR(TEXTJOIN("", "",TRUE,UNIQUE(FILTER(Candidates!$B$2:$B$2000,Candidates!$A$2:$A$2000=$A999))),""""))"),"")</f>
        <v/>
      </c>
      <c r="U999" s="66" t="str">
        <f>IF($A999="","",COUNTIF(Candidates!$A$2:$A$2000,$A999))</f>
        <v/>
      </c>
      <c r="V999" s="64" t="str">
        <f>IFERROR(__xludf.DUMMYFUNCTION("IF($A999="""","""",IFERROR(INDEX(FILTER(Candidates!$S$2:$S$2000,Candidates!$A$2:$A$2000=$A999),COUNTIF(Candidates!$A$2:$A$2000,$A999)),""""))"),"")</f>
        <v/>
      </c>
      <c r="W999" s="64" t="str">
        <f>IFERROR(__xludf.DUMMYFUNCTION("IF($A999="""","""",IFERROR(INDEX(FILTER(Candidates!$T$2:$T$2000,Candidates!$A$2:$A$2000=$A999),COUNTIF(Candidates!$A$2:$A$2000,$A999)),""""))"),"")</f>
        <v/>
      </c>
      <c r="X999" s="64"/>
      <c r="Y999" s="64"/>
      <c r="Z999" s="65"/>
      <c r="AA999" s="65"/>
      <c r="AB999" s="65"/>
      <c r="AC999" s="65"/>
    </row>
    <row r="1000">
      <c r="A1000" s="64"/>
      <c r="B1000" s="64"/>
      <c r="C1000" s="64"/>
      <c r="D1000" s="64"/>
      <c r="E1000" s="64"/>
      <c r="F1000" s="64"/>
      <c r="G1000" s="64"/>
      <c r="H1000" s="63"/>
      <c r="I1000" s="64"/>
      <c r="J1000" s="64"/>
      <c r="K1000" s="64"/>
      <c r="L1000" s="64"/>
      <c r="M1000" s="64"/>
      <c r="N1000" s="64"/>
      <c r="O1000" s="64"/>
      <c r="P1000" s="64"/>
      <c r="Q1000" s="64"/>
      <c r="R1000" s="65" t="str">
        <f>IF($A1000="","",IFERROR(MINIFS(Candidates!$K$2:$K$2000,Candidates!$A$2:$A$2000,$A1000),""))</f>
        <v/>
      </c>
      <c r="S1000" s="65" t="str">
        <f>IF($A1000="","",IFERROR(MAXIFS(Candidates!$AA$2:$AA$2000,Candidates!$A$2:$A$2000,$A1000),""))</f>
        <v/>
      </c>
      <c r="T1000" s="64" t="str">
        <f>IFERROR(__xludf.DUMMYFUNCTION("IF($A1000="""","""",IFERROR(TEXTJOIN("", "",TRUE,UNIQUE(FILTER(Candidates!$B$2:$B$2000,Candidates!$A$2:$A$2000=$A1000))),""""))"),"")</f>
        <v/>
      </c>
      <c r="U1000" s="66" t="str">
        <f>IF($A1000="","",COUNTIF(Candidates!$A$2:$A$2000,$A1000))</f>
        <v/>
      </c>
      <c r="V1000" s="64" t="str">
        <f>IFERROR(__xludf.DUMMYFUNCTION("IF($A1000="""","""",IFERROR(INDEX(FILTER(Candidates!$S$2:$S$2000,Candidates!$A$2:$A$2000=$A1000),COUNTIF(Candidates!$A$2:$A$2000,$A1000)),""""))"),"")</f>
        <v/>
      </c>
      <c r="W1000" s="64" t="str">
        <f>IFERROR(__xludf.DUMMYFUNCTION("IF($A1000="""","""",IFERROR(INDEX(FILTER(Candidates!$T$2:$T$2000,Candidates!$A$2:$A$2000=$A1000),COUNTIF(Candidates!$A$2:$A$2000,$A1000)),""""))"),"")</f>
        <v/>
      </c>
      <c r="X1000" s="64"/>
      <c r="Y1000" s="64"/>
      <c r="Z1000" s="65"/>
      <c r="AA1000" s="65"/>
      <c r="AB1000" s="65"/>
      <c r="AC1000" s="65"/>
    </row>
    <row r="1001">
      <c r="A1001" s="64"/>
      <c r="B1001" s="64"/>
      <c r="C1001" s="64"/>
      <c r="D1001" s="64"/>
      <c r="E1001" s="64"/>
      <c r="F1001" s="64"/>
      <c r="G1001" s="64"/>
      <c r="H1001" s="63"/>
      <c r="I1001" s="64"/>
      <c r="J1001" s="64"/>
      <c r="K1001" s="64"/>
      <c r="L1001" s="64"/>
      <c r="M1001" s="64"/>
      <c r="N1001" s="64"/>
      <c r="O1001" s="64"/>
      <c r="P1001" s="64"/>
      <c r="Q1001" s="64"/>
      <c r="R1001" s="65" t="str">
        <f>IF($A1001="","",IFERROR(MINIFS(Candidates!$K$2:$K$2000,Candidates!$A$2:$A$2000,$A1001),""))</f>
        <v/>
      </c>
      <c r="S1001" s="65" t="str">
        <f>IF($A1001="","",IFERROR(MAXIFS(Candidates!$AA$2:$AA$2000,Candidates!$A$2:$A$2000,$A1001),""))</f>
        <v/>
      </c>
      <c r="T1001" s="64" t="str">
        <f>IFERROR(__xludf.DUMMYFUNCTION("IF($A1001="""","""",IFERROR(TEXTJOIN("", "",TRUE,UNIQUE(FILTER(Candidates!$B$2:$B$2000,Candidates!$A$2:$A$2000=$A1001))),""""))"),"")</f>
        <v/>
      </c>
      <c r="U1001" s="66" t="str">
        <f>IF($A1001="","",COUNTIF(Candidates!$A$2:$A$2000,$A1001))</f>
        <v/>
      </c>
      <c r="V1001" s="64" t="str">
        <f>IFERROR(__xludf.DUMMYFUNCTION("IF($A1001="""","""",IFERROR(INDEX(FILTER(Candidates!$S$2:$S$2000,Candidates!$A$2:$A$2000=$A1001),COUNTIF(Candidates!$A$2:$A$2000,$A1001)),""""))"),"")</f>
        <v/>
      </c>
      <c r="W1001" s="64" t="str">
        <f>IFERROR(__xludf.DUMMYFUNCTION("IF($A1001="""","""",IFERROR(INDEX(FILTER(Candidates!$T$2:$T$2000,Candidates!$A$2:$A$2000=$A1001),COUNTIF(Candidates!$A$2:$A$2000,$A1001)),""""))"),"")</f>
        <v/>
      </c>
      <c r="X1001" s="64"/>
      <c r="Y1001" s="64"/>
      <c r="Z1001" s="65"/>
      <c r="AA1001" s="65"/>
      <c r="AB1001" s="65"/>
      <c r="AC1001" s="65"/>
    </row>
    <row r="1002">
      <c r="A1002" s="64"/>
      <c r="B1002" s="64"/>
      <c r="C1002" s="64"/>
      <c r="D1002" s="64"/>
      <c r="E1002" s="64"/>
      <c r="F1002" s="64"/>
      <c r="G1002" s="64"/>
      <c r="H1002" s="63"/>
      <c r="I1002" s="64"/>
      <c r="J1002" s="64"/>
      <c r="K1002" s="64"/>
      <c r="L1002" s="64"/>
      <c r="M1002" s="64"/>
      <c r="N1002" s="64"/>
      <c r="O1002" s="64"/>
      <c r="P1002" s="64"/>
      <c r="Q1002" s="64"/>
      <c r="R1002" s="65" t="str">
        <f>IF($A1002="","",IFERROR(MINIFS(Candidates!$K$2:$K$2000,Candidates!$A$2:$A$2000,$A1002),""))</f>
        <v/>
      </c>
      <c r="S1002" s="65" t="str">
        <f>IF($A1002="","",IFERROR(MAXIFS(Candidates!$AA$2:$AA$2000,Candidates!$A$2:$A$2000,$A1002),""))</f>
        <v/>
      </c>
      <c r="T1002" s="64" t="str">
        <f>IFERROR(__xludf.DUMMYFUNCTION("IF($A1002="""","""",IFERROR(TEXTJOIN("", "",TRUE,UNIQUE(FILTER(Candidates!$B$2:$B$2000,Candidates!$A$2:$A$2000=$A1002))),""""))"),"")</f>
        <v/>
      </c>
      <c r="U1002" s="66" t="str">
        <f>IF($A1002="","",COUNTIF(Candidates!$A$2:$A$2000,$A1002))</f>
        <v/>
      </c>
      <c r="V1002" s="64" t="str">
        <f>IFERROR(__xludf.DUMMYFUNCTION("IF($A1002="""","""",IFERROR(INDEX(FILTER(Candidates!$S$2:$S$2000,Candidates!$A$2:$A$2000=$A1002),COUNTIF(Candidates!$A$2:$A$2000,$A1002)),""""))"),"")</f>
        <v/>
      </c>
      <c r="W1002" s="64" t="str">
        <f>IFERROR(__xludf.DUMMYFUNCTION("IF($A1002="""","""",IFERROR(INDEX(FILTER(Candidates!$T$2:$T$2000,Candidates!$A$2:$A$2000=$A1002),COUNTIF(Candidates!$A$2:$A$2000,$A1002)),""""))"),"")</f>
        <v/>
      </c>
      <c r="X1002" s="64"/>
      <c r="Y1002" s="64"/>
      <c r="Z1002" s="65"/>
      <c r="AA1002" s="65"/>
      <c r="AB1002" s="65"/>
      <c r="AC1002" s="65"/>
    </row>
    <row r="1003">
      <c r="A1003" s="64"/>
      <c r="B1003" s="64"/>
      <c r="C1003" s="64"/>
      <c r="D1003" s="64"/>
      <c r="E1003" s="64"/>
      <c r="F1003" s="64"/>
      <c r="G1003" s="64"/>
      <c r="H1003" s="63"/>
      <c r="I1003" s="64"/>
      <c r="J1003" s="64"/>
      <c r="K1003" s="64"/>
      <c r="L1003" s="64"/>
      <c r="M1003" s="64"/>
      <c r="N1003" s="64"/>
      <c r="O1003" s="64"/>
      <c r="P1003" s="64"/>
      <c r="Q1003" s="64"/>
      <c r="R1003" s="65" t="str">
        <f>IF($A1003="","",IFERROR(MINIFS(Candidates!$K$2:$K$2000,Candidates!$A$2:$A$2000,$A1003),""))</f>
        <v/>
      </c>
      <c r="S1003" s="65" t="str">
        <f>IF($A1003="","",IFERROR(MAXIFS(Candidates!$AA$2:$AA$2000,Candidates!$A$2:$A$2000,$A1003),""))</f>
        <v/>
      </c>
      <c r="T1003" s="64" t="str">
        <f>IFERROR(__xludf.DUMMYFUNCTION("IF($A1003="""","""",IFERROR(TEXTJOIN("", "",TRUE,UNIQUE(FILTER(Candidates!$B$2:$B$2000,Candidates!$A$2:$A$2000=$A1003))),""""))"),"")</f>
        <v/>
      </c>
      <c r="U1003" s="66" t="str">
        <f>IF($A1003="","",COUNTIF(Candidates!$A$2:$A$2000,$A1003))</f>
        <v/>
      </c>
      <c r="V1003" s="64" t="str">
        <f>IFERROR(__xludf.DUMMYFUNCTION("IF($A1003="""","""",IFERROR(INDEX(FILTER(Candidates!$S$2:$S$2000,Candidates!$A$2:$A$2000=$A1003),COUNTIF(Candidates!$A$2:$A$2000,$A1003)),""""))"),"")</f>
        <v/>
      </c>
      <c r="W1003" s="64" t="str">
        <f>IFERROR(__xludf.DUMMYFUNCTION("IF($A1003="""","""",IFERROR(INDEX(FILTER(Candidates!$T$2:$T$2000,Candidates!$A$2:$A$2000=$A1003),COUNTIF(Candidates!$A$2:$A$2000,$A1003)),""""))"),"")</f>
        <v/>
      </c>
      <c r="X1003" s="64"/>
      <c r="Y1003" s="64"/>
      <c r="Z1003" s="65"/>
      <c r="AA1003" s="65"/>
      <c r="AB1003" s="65"/>
      <c r="AC1003" s="65"/>
    </row>
    <row r="1004">
      <c r="A1004" s="64"/>
      <c r="B1004" s="64"/>
      <c r="C1004" s="64"/>
      <c r="D1004" s="64"/>
      <c r="E1004" s="64"/>
      <c r="F1004" s="64"/>
      <c r="G1004" s="64"/>
      <c r="H1004" s="63"/>
      <c r="I1004" s="64"/>
      <c r="J1004" s="64"/>
      <c r="K1004" s="64"/>
      <c r="L1004" s="64"/>
      <c r="M1004" s="64"/>
      <c r="N1004" s="64"/>
      <c r="O1004" s="64"/>
      <c r="P1004" s="64"/>
      <c r="Q1004" s="64"/>
      <c r="R1004" s="65" t="str">
        <f>IF($A1004="","",IFERROR(MINIFS(Candidates!$K$2:$K$2000,Candidates!$A$2:$A$2000,$A1004),""))</f>
        <v/>
      </c>
      <c r="S1004" s="65" t="str">
        <f>IF($A1004="","",IFERROR(MAXIFS(Candidates!$AA$2:$AA$2000,Candidates!$A$2:$A$2000,$A1004),""))</f>
        <v/>
      </c>
      <c r="T1004" s="64" t="str">
        <f>IFERROR(__xludf.DUMMYFUNCTION("IF($A1004="""","""",IFERROR(TEXTJOIN("", "",TRUE,UNIQUE(FILTER(Candidates!$B$2:$B$2000,Candidates!$A$2:$A$2000=$A1004))),""""))"),"")</f>
        <v/>
      </c>
      <c r="U1004" s="66" t="str">
        <f>IF($A1004="","",COUNTIF(Candidates!$A$2:$A$2000,$A1004))</f>
        <v/>
      </c>
      <c r="V1004" s="64" t="str">
        <f>IFERROR(__xludf.DUMMYFUNCTION("IF($A1004="""","""",IFERROR(INDEX(FILTER(Candidates!$S$2:$S$2000,Candidates!$A$2:$A$2000=$A1004),COUNTIF(Candidates!$A$2:$A$2000,$A1004)),""""))"),"")</f>
        <v/>
      </c>
      <c r="W1004" s="64" t="str">
        <f>IFERROR(__xludf.DUMMYFUNCTION("IF($A1004="""","""",IFERROR(INDEX(FILTER(Candidates!$T$2:$T$2000,Candidates!$A$2:$A$2000=$A1004),COUNTIF(Candidates!$A$2:$A$2000,$A1004)),""""))"),"")</f>
        <v/>
      </c>
      <c r="X1004" s="64"/>
      <c r="Y1004" s="64"/>
      <c r="Z1004" s="65"/>
      <c r="AA1004" s="65"/>
      <c r="AB1004" s="65"/>
      <c r="AC1004" s="65"/>
    </row>
    <row r="1005">
      <c r="A1005" s="64"/>
      <c r="B1005" s="64"/>
      <c r="C1005" s="64"/>
      <c r="D1005" s="64"/>
      <c r="E1005" s="64"/>
      <c r="F1005" s="64"/>
      <c r="G1005" s="64"/>
      <c r="H1005" s="63"/>
      <c r="I1005" s="64"/>
      <c r="J1005" s="64"/>
      <c r="K1005" s="64"/>
      <c r="L1005" s="64"/>
      <c r="M1005" s="64"/>
      <c r="N1005" s="64"/>
      <c r="O1005" s="64"/>
      <c r="P1005" s="64"/>
      <c r="Q1005" s="64"/>
      <c r="R1005" s="65" t="str">
        <f>IF($A1005="","",IFERROR(MINIFS(Candidates!$K$2:$K$2000,Candidates!$A$2:$A$2000,$A1005),""))</f>
        <v/>
      </c>
      <c r="S1005" s="65" t="str">
        <f>IF($A1005="","",IFERROR(MAXIFS(Candidates!$AA$2:$AA$2000,Candidates!$A$2:$A$2000,$A1005),""))</f>
        <v/>
      </c>
      <c r="T1005" s="64" t="str">
        <f>IFERROR(__xludf.DUMMYFUNCTION("IF($A1005="""","""",IFERROR(TEXTJOIN("", "",TRUE,UNIQUE(FILTER(Candidates!$B$2:$B$2000,Candidates!$A$2:$A$2000=$A1005))),""""))"),"")</f>
        <v/>
      </c>
      <c r="U1005" s="66" t="str">
        <f>IF($A1005="","",COUNTIF(Candidates!$A$2:$A$2000,$A1005))</f>
        <v/>
      </c>
      <c r="V1005" s="64" t="str">
        <f>IFERROR(__xludf.DUMMYFUNCTION("IF($A1005="""","""",IFERROR(INDEX(FILTER(Candidates!$S$2:$S$2000,Candidates!$A$2:$A$2000=$A1005),COUNTIF(Candidates!$A$2:$A$2000,$A1005)),""""))"),"")</f>
        <v/>
      </c>
      <c r="W1005" s="64" t="str">
        <f>IFERROR(__xludf.DUMMYFUNCTION("IF($A1005="""","""",IFERROR(INDEX(FILTER(Candidates!$T$2:$T$2000,Candidates!$A$2:$A$2000=$A1005),COUNTIF(Candidates!$A$2:$A$2000,$A1005)),""""))"),"")</f>
        <v/>
      </c>
      <c r="X1005" s="64"/>
      <c r="Y1005" s="64"/>
      <c r="Z1005" s="65"/>
      <c r="AA1005" s="65"/>
      <c r="AB1005" s="65"/>
      <c r="AC1005" s="65"/>
    </row>
    <row r="1006">
      <c r="A1006" s="64"/>
      <c r="B1006" s="64"/>
      <c r="C1006" s="64"/>
      <c r="D1006" s="64"/>
      <c r="E1006" s="64"/>
      <c r="F1006" s="64"/>
      <c r="G1006" s="64"/>
      <c r="H1006" s="63"/>
      <c r="I1006" s="64"/>
      <c r="J1006" s="64"/>
      <c r="K1006" s="64"/>
      <c r="L1006" s="64"/>
      <c r="M1006" s="64"/>
      <c r="N1006" s="64"/>
      <c r="O1006" s="64"/>
      <c r="P1006" s="64"/>
      <c r="Q1006" s="64"/>
      <c r="R1006" s="65" t="str">
        <f>IF($A1006="","",IFERROR(MINIFS(Candidates!$K$2:$K$2000,Candidates!$A$2:$A$2000,$A1006),""))</f>
        <v/>
      </c>
      <c r="S1006" s="65" t="str">
        <f>IF($A1006="","",IFERROR(MAXIFS(Candidates!$AA$2:$AA$2000,Candidates!$A$2:$A$2000,$A1006),""))</f>
        <v/>
      </c>
      <c r="T1006" s="64" t="str">
        <f>IFERROR(__xludf.DUMMYFUNCTION("IF($A1006="""","""",IFERROR(TEXTJOIN("", "",TRUE,UNIQUE(FILTER(Candidates!$B$2:$B$2000,Candidates!$A$2:$A$2000=$A1006))),""""))"),"")</f>
        <v/>
      </c>
      <c r="U1006" s="66" t="str">
        <f>IF($A1006="","",COUNTIF(Candidates!$A$2:$A$2000,$A1006))</f>
        <v/>
      </c>
      <c r="V1006" s="64" t="str">
        <f>IFERROR(__xludf.DUMMYFUNCTION("IF($A1006="""","""",IFERROR(INDEX(FILTER(Candidates!$S$2:$S$2000,Candidates!$A$2:$A$2000=$A1006),COUNTIF(Candidates!$A$2:$A$2000,$A1006)),""""))"),"")</f>
        <v/>
      </c>
      <c r="W1006" s="64" t="str">
        <f>IFERROR(__xludf.DUMMYFUNCTION("IF($A1006="""","""",IFERROR(INDEX(FILTER(Candidates!$T$2:$T$2000,Candidates!$A$2:$A$2000=$A1006),COUNTIF(Candidates!$A$2:$A$2000,$A1006)),""""))"),"")</f>
        <v/>
      </c>
      <c r="X1006" s="64"/>
      <c r="Y1006" s="64"/>
      <c r="Z1006" s="65"/>
      <c r="AA1006" s="65"/>
      <c r="AB1006" s="65"/>
      <c r="AC1006" s="65"/>
    </row>
    <row r="1007">
      <c r="A1007" s="64"/>
      <c r="B1007" s="64"/>
      <c r="C1007" s="64"/>
      <c r="D1007" s="64"/>
      <c r="E1007" s="64"/>
      <c r="F1007" s="64"/>
      <c r="G1007" s="64"/>
      <c r="H1007" s="63"/>
      <c r="I1007" s="64"/>
      <c r="J1007" s="64"/>
      <c r="K1007" s="64"/>
      <c r="L1007" s="64"/>
      <c r="M1007" s="64"/>
      <c r="N1007" s="64"/>
      <c r="O1007" s="64"/>
      <c r="P1007" s="64"/>
      <c r="Q1007" s="64"/>
      <c r="R1007" s="65" t="str">
        <f>IF($A1007="","",IFERROR(MINIFS(Candidates!$K$2:$K$2000,Candidates!$A$2:$A$2000,$A1007),""))</f>
        <v/>
      </c>
      <c r="S1007" s="65" t="str">
        <f>IF($A1007="","",IFERROR(MAXIFS(Candidates!$AA$2:$AA$2000,Candidates!$A$2:$A$2000,$A1007),""))</f>
        <v/>
      </c>
      <c r="T1007" s="64" t="str">
        <f>IFERROR(__xludf.DUMMYFUNCTION("IF($A1007="""","""",IFERROR(TEXTJOIN("", "",TRUE,UNIQUE(FILTER(Candidates!$B$2:$B$2000,Candidates!$A$2:$A$2000=$A1007))),""""))"),"")</f>
        <v/>
      </c>
      <c r="U1007" s="66" t="str">
        <f>IF($A1007="","",COUNTIF(Candidates!$A$2:$A$2000,$A1007))</f>
        <v/>
      </c>
      <c r="V1007" s="64" t="str">
        <f>IFERROR(__xludf.DUMMYFUNCTION("IF($A1007="""","""",IFERROR(INDEX(FILTER(Candidates!$S$2:$S$2000,Candidates!$A$2:$A$2000=$A1007),COUNTIF(Candidates!$A$2:$A$2000,$A1007)),""""))"),"")</f>
        <v/>
      </c>
      <c r="W1007" s="64" t="str">
        <f>IFERROR(__xludf.DUMMYFUNCTION("IF($A1007="""","""",IFERROR(INDEX(FILTER(Candidates!$T$2:$T$2000,Candidates!$A$2:$A$2000=$A1007),COUNTIF(Candidates!$A$2:$A$2000,$A1007)),""""))"),"")</f>
        <v/>
      </c>
      <c r="X1007" s="64"/>
      <c r="Y1007" s="64"/>
      <c r="Z1007" s="65"/>
      <c r="AA1007" s="65"/>
      <c r="AB1007" s="65"/>
      <c r="AC1007" s="65"/>
    </row>
    <row r="1008">
      <c r="A1008" s="64"/>
      <c r="B1008" s="64"/>
      <c r="C1008" s="64"/>
      <c r="D1008" s="64"/>
      <c r="E1008" s="64"/>
      <c r="F1008" s="64"/>
      <c r="G1008" s="64"/>
      <c r="H1008" s="63"/>
      <c r="I1008" s="64"/>
      <c r="J1008" s="64"/>
      <c r="K1008" s="64"/>
      <c r="L1008" s="64"/>
      <c r="M1008" s="64"/>
      <c r="N1008" s="64"/>
      <c r="O1008" s="64"/>
      <c r="P1008" s="64"/>
      <c r="Q1008" s="64"/>
      <c r="R1008" s="65" t="str">
        <f>IF($A1008="","",IFERROR(MINIFS(Candidates!$K$2:$K$2000,Candidates!$A$2:$A$2000,$A1008),""))</f>
        <v/>
      </c>
      <c r="S1008" s="65" t="str">
        <f>IF($A1008="","",IFERROR(MAXIFS(Candidates!$AA$2:$AA$2000,Candidates!$A$2:$A$2000,$A1008),""))</f>
        <v/>
      </c>
      <c r="T1008" s="64" t="str">
        <f>IFERROR(__xludf.DUMMYFUNCTION("IF($A1008="""","""",IFERROR(TEXTJOIN("", "",TRUE,UNIQUE(FILTER(Candidates!$B$2:$B$2000,Candidates!$A$2:$A$2000=$A1008))),""""))"),"")</f>
        <v/>
      </c>
      <c r="U1008" s="66" t="str">
        <f>IF($A1008="","",COUNTIF(Candidates!$A$2:$A$2000,$A1008))</f>
        <v/>
      </c>
      <c r="V1008" s="64" t="str">
        <f>IFERROR(__xludf.DUMMYFUNCTION("IF($A1008="""","""",IFERROR(INDEX(FILTER(Candidates!$S$2:$S$2000,Candidates!$A$2:$A$2000=$A1008),COUNTIF(Candidates!$A$2:$A$2000,$A1008)),""""))"),"")</f>
        <v/>
      </c>
      <c r="W1008" s="64" t="str">
        <f>IFERROR(__xludf.DUMMYFUNCTION("IF($A1008="""","""",IFERROR(INDEX(FILTER(Candidates!$T$2:$T$2000,Candidates!$A$2:$A$2000=$A1008),COUNTIF(Candidates!$A$2:$A$2000,$A1008)),""""))"),"")</f>
        <v/>
      </c>
      <c r="X1008" s="64"/>
      <c r="Y1008" s="64"/>
      <c r="Z1008" s="65"/>
      <c r="AA1008" s="65"/>
      <c r="AB1008" s="65"/>
      <c r="AC1008" s="65"/>
    </row>
    <row r="1009">
      <c r="A1009" s="64"/>
      <c r="B1009" s="64"/>
      <c r="C1009" s="64"/>
      <c r="D1009" s="64"/>
      <c r="E1009" s="64"/>
      <c r="F1009" s="64"/>
      <c r="G1009" s="64"/>
      <c r="H1009" s="63"/>
      <c r="I1009" s="64"/>
      <c r="J1009" s="64"/>
      <c r="K1009" s="64"/>
      <c r="L1009" s="64"/>
      <c r="M1009" s="64"/>
      <c r="N1009" s="64"/>
      <c r="O1009" s="64"/>
      <c r="P1009" s="64"/>
      <c r="Q1009" s="64"/>
      <c r="R1009" s="65" t="str">
        <f>IF($A1009="","",IFERROR(MINIFS(Candidates!$K$2:$K$2000,Candidates!$A$2:$A$2000,$A1009),""))</f>
        <v/>
      </c>
      <c r="S1009" s="65" t="str">
        <f>IF($A1009="","",IFERROR(MAXIFS(Candidates!$AA$2:$AA$2000,Candidates!$A$2:$A$2000,$A1009),""))</f>
        <v/>
      </c>
      <c r="T1009" s="64" t="str">
        <f>IFERROR(__xludf.DUMMYFUNCTION("IF($A1009="""","""",IFERROR(TEXTJOIN("", "",TRUE,UNIQUE(FILTER(Candidates!$B$2:$B$2000,Candidates!$A$2:$A$2000=$A1009))),""""))"),"")</f>
        <v/>
      </c>
      <c r="U1009" s="66" t="str">
        <f>IF($A1009="","",COUNTIF(Candidates!$A$2:$A$2000,$A1009))</f>
        <v/>
      </c>
      <c r="V1009" s="64" t="str">
        <f>IFERROR(__xludf.DUMMYFUNCTION("IF($A1009="""","""",IFERROR(INDEX(FILTER(Candidates!$S$2:$S$2000,Candidates!$A$2:$A$2000=$A1009),COUNTIF(Candidates!$A$2:$A$2000,$A1009)),""""))"),"")</f>
        <v/>
      </c>
      <c r="W1009" s="64" t="str">
        <f>IFERROR(__xludf.DUMMYFUNCTION("IF($A1009="""","""",IFERROR(INDEX(FILTER(Candidates!$T$2:$T$2000,Candidates!$A$2:$A$2000=$A1009),COUNTIF(Candidates!$A$2:$A$2000,$A1009)),""""))"),"")</f>
        <v/>
      </c>
      <c r="X1009" s="64"/>
      <c r="Y1009" s="64"/>
      <c r="Z1009" s="65"/>
      <c r="AA1009" s="65"/>
      <c r="AB1009" s="65"/>
      <c r="AC1009" s="65"/>
    </row>
    <row r="1010">
      <c r="A1010" s="64"/>
      <c r="B1010" s="64"/>
      <c r="C1010" s="64"/>
      <c r="D1010" s="64"/>
      <c r="E1010" s="64"/>
      <c r="F1010" s="64"/>
      <c r="G1010" s="64"/>
      <c r="H1010" s="63"/>
      <c r="I1010" s="64"/>
      <c r="J1010" s="64"/>
      <c r="K1010" s="64"/>
      <c r="L1010" s="64"/>
      <c r="M1010" s="64"/>
      <c r="N1010" s="64"/>
      <c r="O1010" s="64"/>
      <c r="P1010" s="64"/>
      <c r="Q1010" s="64"/>
      <c r="R1010" s="65" t="str">
        <f>IF($A1010="","",IFERROR(MINIFS(Candidates!$K$2:$K$2000,Candidates!$A$2:$A$2000,$A1010),""))</f>
        <v/>
      </c>
      <c r="S1010" s="65" t="str">
        <f>IF($A1010="","",IFERROR(MAXIFS(Candidates!$AA$2:$AA$2000,Candidates!$A$2:$A$2000,$A1010),""))</f>
        <v/>
      </c>
      <c r="T1010" s="64" t="str">
        <f>IFERROR(__xludf.DUMMYFUNCTION("IF($A1010="""","""",IFERROR(TEXTJOIN("", "",TRUE,UNIQUE(FILTER(Candidates!$B$2:$B$2000,Candidates!$A$2:$A$2000=$A1010))),""""))"),"")</f>
        <v/>
      </c>
      <c r="U1010" s="66" t="str">
        <f>IF($A1010="","",COUNTIF(Candidates!$A$2:$A$2000,$A1010))</f>
        <v/>
      </c>
      <c r="V1010" s="64" t="str">
        <f>IFERROR(__xludf.DUMMYFUNCTION("IF($A1010="""","""",IFERROR(INDEX(FILTER(Candidates!$S$2:$S$2000,Candidates!$A$2:$A$2000=$A1010),COUNTIF(Candidates!$A$2:$A$2000,$A1010)),""""))"),"")</f>
        <v/>
      </c>
      <c r="W1010" s="64" t="str">
        <f>IFERROR(__xludf.DUMMYFUNCTION("IF($A1010="""","""",IFERROR(INDEX(FILTER(Candidates!$T$2:$T$2000,Candidates!$A$2:$A$2000=$A1010),COUNTIF(Candidates!$A$2:$A$2000,$A1010)),""""))"),"")</f>
        <v/>
      </c>
      <c r="X1010" s="64"/>
      <c r="Y1010" s="64"/>
      <c r="Z1010" s="65"/>
      <c r="AA1010" s="65"/>
      <c r="AB1010" s="65"/>
      <c r="AC1010" s="65"/>
    </row>
    <row r="1011">
      <c r="A1011" s="64"/>
      <c r="B1011" s="64"/>
      <c r="C1011" s="64"/>
      <c r="D1011" s="64"/>
      <c r="E1011" s="64"/>
      <c r="F1011" s="64"/>
      <c r="G1011" s="64"/>
      <c r="H1011" s="63"/>
      <c r="I1011" s="64"/>
      <c r="J1011" s="64"/>
      <c r="K1011" s="64"/>
      <c r="L1011" s="64"/>
      <c r="M1011" s="64"/>
      <c r="N1011" s="64"/>
      <c r="O1011" s="64"/>
      <c r="P1011" s="64"/>
      <c r="Q1011" s="64"/>
      <c r="R1011" s="65" t="str">
        <f>IF($A1011="","",IFERROR(MINIFS(Candidates!$K$2:$K$2000,Candidates!$A$2:$A$2000,$A1011),""))</f>
        <v/>
      </c>
      <c r="S1011" s="65" t="str">
        <f>IF($A1011="","",IFERROR(MAXIFS(Candidates!$AA$2:$AA$2000,Candidates!$A$2:$A$2000,$A1011),""))</f>
        <v/>
      </c>
      <c r="T1011" s="64" t="str">
        <f>IFERROR(__xludf.DUMMYFUNCTION("IF($A1011="""","""",IFERROR(TEXTJOIN("", "",TRUE,UNIQUE(FILTER(Candidates!$B$2:$B$2000,Candidates!$A$2:$A$2000=$A1011))),""""))"),"")</f>
        <v/>
      </c>
      <c r="U1011" s="66" t="str">
        <f>IF($A1011="","",COUNTIF(Candidates!$A$2:$A$2000,$A1011))</f>
        <v/>
      </c>
      <c r="V1011" s="64" t="str">
        <f>IFERROR(__xludf.DUMMYFUNCTION("IF($A1011="""","""",IFERROR(INDEX(FILTER(Candidates!$S$2:$S$2000,Candidates!$A$2:$A$2000=$A1011),COUNTIF(Candidates!$A$2:$A$2000,$A1011)),""""))"),"")</f>
        <v/>
      </c>
      <c r="W1011" s="64" t="str">
        <f>IFERROR(__xludf.DUMMYFUNCTION("IF($A1011="""","""",IFERROR(INDEX(FILTER(Candidates!$T$2:$T$2000,Candidates!$A$2:$A$2000=$A1011),COUNTIF(Candidates!$A$2:$A$2000,$A1011)),""""))"),"")</f>
        <v/>
      </c>
      <c r="X1011" s="64"/>
      <c r="Y1011" s="64"/>
      <c r="Z1011" s="65"/>
      <c r="AA1011" s="65"/>
      <c r="AB1011" s="65"/>
      <c r="AC1011" s="65"/>
    </row>
    <row r="1012">
      <c r="A1012" s="64"/>
      <c r="B1012" s="64"/>
      <c r="C1012" s="64"/>
      <c r="D1012" s="64"/>
      <c r="E1012" s="64"/>
      <c r="F1012" s="64"/>
      <c r="G1012" s="64"/>
      <c r="H1012" s="63"/>
      <c r="I1012" s="64"/>
      <c r="J1012" s="64"/>
      <c r="K1012" s="64"/>
      <c r="L1012" s="64"/>
      <c r="M1012" s="64"/>
      <c r="N1012" s="64"/>
      <c r="O1012" s="64"/>
      <c r="P1012" s="64"/>
      <c r="Q1012" s="64"/>
      <c r="R1012" s="65" t="str">
        <f>IF($A1012="","",IFERROR(MINIFS(Candidates!$K$2:$K$2000,Candidates!$A$2:$A$2000,$A1012),""))</f>
        <v/>
      </c>
      <c r="S1012" s="65" t="str">
        <f>IF($A1012="","",IFERROR(MAXIFS(Candidates!$AA$2:$AA$2000,Candidates!$A$2:$A$2000,$A1012),""))</f>
        <v/>
      </c>
      <c r="T1012" s="64" t="str">
        <f>IFERROR(__xludf.DUMMYFUNCTION("IF($A1012="""","""",IFERROR(TEXTJOIN("", "",TRUE,UNIQUE(FILTER(Candidates!$B$2:$B$2000,Candidates!$A$2:$A$2000=$A1012))),""""))"),"")</f>
        <v/>
      </c>
      <c r="U1012" s="66" t="str">
        <f>IF($A1012="","",COUNTIF(Candidates!$A$2:$A$2000,$A1012))</f>
        <v/>
      </c>
      <c r="V1012" s="64" t="str">
        <f>IFERROR(__xludf.DUMMYFUNCTION("IF($A1012="""","""",IFERROR(INDEX(FILTER(Candidates!$S$2:$S$2000,Candidates!$A$2:$A$2000=$A1012),COUNTIF(Candidates!$A$2:$A$2000,$A1012)),""""))"),"")</f>
        <v/>
      </c>
      <c r="W1012" s="64" t="str">
        <f>IFERROR(__xludf.DUMMYFUNCTION("IF($A1012="""","""",IFERROR(INDEX(FILTER(Candidates!$T$2:$T$2000,Candidates!$A$2:$A$2000=$A1012),COUNTIF(Candidates!$A$2:$A$2000,$A1012)),""""))"),"")</f>
        <v/>
      </c>
      <c r="X1012" s="64"/>
      <c r="Y1012" s="64"/>
      <c r="Z1012" s="65"/>
      <c r="AA1012" s="65"/>
      <c r="AB1012" s="65"/>
      <c r="AC1012" s="65"/>
    </row>
    <row r="1013">
      <c r="A1013" s="64"/>
      <c r="B1013" s="64"/>
      <c r="C1013" s="64"/>
      <c r="D1013" s="64"/>
      <c r="E1013" s="64"/>
      <c r="F1013" s="64"/>
      <c r="G1013" s="64"/>
      <c r="H1013" s="63"/>
      <c r="I1013" s="64"/>
      <c r="J1013" s="64"/>
      <c r="K1013" s="64"/>
      <c r="L1013" s="64"/>
      <c r="M1013" s="64"/>
      <c r="N1013" s="64"/>
      <c r="O1013" s="64"/>
      <c r="P1013" s="64"/>
      <c r="Q1013" s="64"/>
      <c r="R1013" s="65" t="str">
        <f>IF($A1013="","",IFERROR(MINIFS(Candidates!$K$2:$K$2000,Candidates!$A$2:$A$2000,$A1013),""))</f>
        <v/>
      </c>
      <c r="S1013" s="65" t="str">
        <f>IF($A1013="","",IFERROR(MAXIFS(Candidates!$AA$2:$AA$2000,Candidates!$A$2:$A$2000,$A1013),""))</f>
        <v/>
      </c>
      <c r="T1013" s="64" t="str">
        <f>IFERROR(__xludf.DUMMYFUNCTION("IF($A1013="""","""",IFERROR(TEXTJOIN("", "",TRUE,UNIQUE(FILTER(Candidates!$B$2:$B$2000,Candidates!$A$2:$A$2000=$A1013))),""""))"),"")</f>
        <v/>
      </c>
      <c r="U1013" s="66" t="str">
        <f>IF($A1013="","",COUNTIF(Candidates!$A$2:$A$2000,$A1013))</f>
        <v/>
      </c>
      <c r="V1013" s="64" t="str">
        <f>IFERROR(__xludf.DUMMYFUNCTION("IF($A1013="""","""",IFERROR(INDEX(FILTER(Candidates!$S$2:$S$2000,Candidates!$A$2:$A$2000=$A1013),COUNTIF(Candidates!$A$2:$A$2000,$A1013)),""""))"),"")</f>
        <v/>
      </c>
      <c r="W1013" s="64" t="str">
        <f>IFERROR(__xludf.DUMMYFUNCTION("IF($A1013="""","""",IFERROR(INDEX(FILTER(Candidates!$T$2:$T$2000,Candidates!$A$2:$A$2000=$A1013),COUNTIF(Candidates!$A$2:$A$2000,$A1013)),""""))"),"")</f>
        <v/>
      </c>
      <c r="X1013" s="64"/>
      <c r="Y1013" s="64"/>
      <c r="Z1013" s="65"/>
      <c r="AA1013" s="65"/>
      <c r="AB1013" s="65"/>
      <c r="AC1013" s="65"/>
    </row>
    <row r="1014">
      <c r="A1014" s="64"/>
      <c r="B1014" s="64"/>
      <c r="C1014" s="64"/>
      <c r="D1014" s="64"/>
      <c r="E1014" s="64"/>
      <c r="F1014" s="64"/>
      <c r="G1014" s="64"/>
      <c r="H1014" s="63"/>
      <c r="I1014" s="64"/>
      <c r="J1014" s="64"/>
      <c r="K1014" s="64"/>
      <c r="L1014" s="64"/>
      <c r="M1014" s="64"/>
      <c r="N1014" s="64"/>
      <c r="O1014" s="64"/>
      <c r="P1014" s="64"/>
      <c r="Q1014" s="64"/>
      <c r="R1014" s="65" t="str">
        <f>IF($A1014="","",IFERROR(MINIFS(Candidates!$K$2:$K$2000,Candidates!$A$2:$A$2000,$A1014),""))</f>
        <v/>
      </c>
      <c r="S1014" s="65" t="str">
        <f>IF($A1014="","",IFERROR(MAXIFS(Candidates!$AA$2:$AA$2000,Candidates!$A$2:$A$2000,$A1014),""))</f>
        <v/>
      </c>
      <c r="T1014" s="64" t="str">
        <f>IFERROR(__xludf.DUMMYFUNCTION("IF($A1014="""","""",IFERROR(TEXTJOIN("", "",TRUE,UNIQUE(FILTER(Candidates!$B$2:$B$2000,Candidates!$A$2:$A$2000=$A1014))),""""))"),"")</f>
        <v/>
      </c>
      <c r="U1014" s="66" t="str">
        <f>IF($A1014="","",COUNTIF(Candidates!$A$2:$A$2000,$A1014))</f>
        <v/>
      </c>
      <c r="V1014" s="64" t="str">
        <f>IFERROR(__xludf.DUMMYFUNCTION("IF($A1014="""","""",IFERROR(INDEX(FILTER(Candidates!$S$2:$S$2000,Candidates!$A$2:$A$2000=$A1014),COUNTIF(Candidates!$A$2:$A$2000,$A1014)),""""))"),"")</f>
        <v/>
      </c>
      <c r="W1014" s="64" t="str">
        <f>IFERROR(__xludf.DUMMYFUNCTION("IF($A1014="""","""",IFERROR(INDEX(FILTER(Candidates!$T$2:$T$2000,Candidates!$A$2:$A$2000=$A1014),COUNTIF(Candidates!$A$2:$A$2000,$A1014)),""""))"),"")</f>
        <v/>
      </c>
      <c r="X1014" s="64"/>
      <c r="Y1014" s="64"/>
      <c r="Z1014" s="65"/>
      <c r="AA1014" s="65"/>
      <c r="AB1014" s="65"/>
      <c r="AC1014" s="65"/>
    </row>
    <row r="1015">
      <c r="A1015" s="64"/>
      <c r="B1015" s="64"/>
      <c r="C1015" s="64"/>
      <c r="D1015" s="64"/>
      <c r="E1015" s="64"/>
      <c r="F1015" s="64"/>
      <c r="G1015" s="64"/>
      <c r="H1015" s="63"/>
      <c r="I1015" s="64"/>
      <c r="J1015" s="64"/>
      <c r="K1015" s="64"/>
      <c r="L1015" s="64"/>
      <c r="M1015" s="64"/>
      <c r="N1015" s="64"/>
      <c r="O1015" s="64"/>
      <c r="P1015" s="64"/>
      <c r="Q1015" s="64"/>
      <c r="R1015" s="65" t="str">
        <f>IF($A1015="","",IFERROR(MINIFS(Candidates!$K$2:$K$2000,Candidates!$A$2:$A$2000,$A1015),""))</f>
        <v/>
      </c>
      <c r="S1015" s="65" t="str">
        <f>IF($A1015="","",IFERROR(MAXIFS(Candidates!$AA$2:$AA$2000,Candidates!$A$2:$A$2000,$A1015),""))</f>
        <v/>
      </c>
      <c r="T1015" s="64" t="str">
        <f>IFERROR(__xludf.DUMMYFUNCTION("IF($A1015="""","""",IFERROR(TEXTJOIN("", "",TRUE,UNIQUE(FILTER(Candidates!$B$2:$B$2000,Candidates!$A$2:$A$2000=$A1015))),""""))"),"")</f>
        <v/>
      </c>
      <c r="U1015" s="66" t="str">
        <f>IF($A1015="","",COUNTIF(Candidates!$A$2:$A$2000,$A1015))</f>
        <v/>
      </c>
      <c r="V1015" s="64" t="str">
        <f>IFERROR(__xludf.DUMMYFUNCTION("IF($A1015="""","""",IFERROR(INDEX(FILTER(Candidates!$S$2:$S$2000,Candidates!$A$2:$A$2000=$A1015),COUNTIF(Candidates!$A$2:$A$2000,$A1015)),""""))"),"")</f>
        <v/>
      </c>
      <c r="W1015" s="64" t="str">
        <f>IFERROR(__xludf.DUMMYFUNCTION("IF($A1015="""","""",IFERROR(INDEX(FILTER(Candidates!$T$2:$T$2000,Candidates!$A$2:$A$2000=$A1015),COUNTIF(Candidates!$A$2:$A$2000,$A1015)),""""))"),"")</f>
        <v/>
      </c>
      <c r="X1015" s="64"/>
      <c r="Y1015" s="64"/>
      <c r="Z1015" s="65"/>
      <c r="AA1015" s="65"/>
      <c r="AB1015" s="65"/>
      <c r="AC1015" s="65"/>
    </row>
    <row r="1016">
      <c r="A1016" s="64"/>
      <c r="B1016" s="64"/>
      <c r="C1016" s="64"/>
      <c r="D1016" s="64"/>
      <c r="E1016" s="64"/>
      <c r="F1016" s="64"/>
      <c r="G1016" s="64"/>
      <c r="H1016" s="63"/>
      <c r="I1016" s="64"/>
      <c r="J1016" s="64"/>
      <c r="K1016" s="64"/>
      <c r="L1016" s="64"/>
      <c r="M1016" s="64"/>
      <c r="N1016" s="64"/>
      <c r="O1016" s="64"/>
      <c r="P1016" s="64"/>
      <c r="Q1016" s="64"/>
      <c r="R1016" s="65" t="str">
        <f>IF($A1016="","",IFERROR(MINIFS(Candidates!$K$2:$K$2000,Candidates!$A$2:$A$2000,$A1016),""))</f>
        <v/>
      </c>
      <c r="S1016" s="65" t="str">
        <f>IF($A1016="","",IFERROR(MAXIFS(Candidates!$AA$2:$AA$2000,Candidates!$A$2:$A$2000,$A1016),""))</f>
        <v/>
      </c>
      <c r="T1016" s="64" t="str">
        <f>IFERROR(__xludf.DUMMYFUNCTION("IF($A1016="""","""",IFERROR(TEXTJOIN("", "",TRUE,UNIQUE(FILTER(Candidates!$B$2:$B$2000,Candidates!$A$2:$A$2000=$A1016))),""""))"),"")</f>
        <v/>
      </c>
      <c r="U1016" s="66" t="str">
        <f>IF($A1016="","",COUNTIF(Candidates!$A$2:$A$2000,$A1016))</f>
        <v/>
      </c>
      <c r="V1016" s="64" t="str">
        <f>IFERROR(__xludf.DUMMYFUNCTION("IF($A1016="""","""",IFERROR(INDEX(FILTER(Candidates!$S$2:$S$2000,Candidates!$A$2:$A$2000=$A1016),COUNTIF(Candidates!$A$2:$A$2000,$A1016)),""""))"),"")</f>
        <v/>
      </c>
      <c r="W1016" s="64" t="str">
        <f>IFERROR(__xludf.DUMMYFUNCTION("IF($A1016="""","""",IFERROR(INDEX(FILTER(Candidates!$T$2:$T$2000,Candidates!$A$2:$A$2000=$A1016),COUNTIF(Candidates!$A$2:$A$2000,$A1016)),""""))"),"")</f>
        <v/>
      </c>
      <c r="X1016" s="64"/>
      <c r="Y1016" s="64"/>
      <c r="Z1016" s="65"/>
      <c r="AA1016" s="65"/>
      <c r="AB1016" s="65"/>
      <c r="AC1016" s="65"/>
    </row>
    <row r="1017">
      <c r="A1017" s="64"/>
      <c r="B1017" s="64"/>
      <c r="C1017" s="64"/>
      <c r="D1017" s="64"/>
      <c r="E1017" s="64"/>
      <c r="F1017" s="64"/>
      <c r="G1017" s="64"/>
      <c r="H1017" s="63"/>
      <c r="I1017" s="64"/>
      <c r="J1017" s="64"/>
      <c r="K1017" s="64"/>
      <c r="L1017" s="64"/>
      <c r="M1017" s="64"/>
      <c r="N1017" s="64"/>
      <c r="O1017" s="64"/>
      <c r="P1017" s="64"/>
      <c r="Q1017" s="64"/>
      <c r="R1017" s="65" t="str">
        <f>IF($A1017="","",IFERROR(MINIFS(Candidates!$K$2:$K$2000,Candidates!$A$2:$A$2000,$A1017),""))</f>
        <v/>
      </c>
      <c r="S1017" s="65" t="str">
        <f>IF($A1017="","",IFERROR(MAXIFS(Candidates!$AA$2:$AA$2000,Candidates!$A$2:$A$2000,$A1017),""))</f>
        <v/>
      </c>
      <c r="T1017" s="64" t="str">
        <f>IFERROR(__xludf.DUMMYFUNCTION("IF($A1017="""","""",IFERROR(TEXTJOIN("", "",TRUE,UNIQUE(FILTER(Candidates!$B$2:$B$2000,Candidates!$A$2:$A$2000=$A1017))),""""))"),"")</f>
        <v/>
      </c>
      <c r="U1017" s="66" t="str">
        <f>IF($A1017="","",COUNTIF(Candidates!$A$2:$A$2000,$A1017))</f>
        <v/>
      </c>
      <c r="V1017" s="64" t="str">
        <f>IFERROR(__xludf.DUMMYFUNCTION("IF($A1017="""","""",IFERROR(INDEX(FILTER(Candidates!$S$2:$S$2000,Candidates!$A$2:$A$2000=$A1017),COUNTIF(Candidates!$A$2:$A$2000,$A1017)),""""))"),"")</f>
        <v/>
      </c>
      <c r="W1017" s="64" t="str">
        <f>IFERROR(__xludf.DUMMYFUNCTION("IF($A1017="""","""",IFERROR(INDEX(FILTER(Candidates!$T$2:$T$2000,Candidates!$A$2:$A$2000=$A1017),COUNTIF(Candidates!$A$2:$A$2000,$A1017)),""""))"),"")</f>
        <v/>
      </c>
      <c r="X1017" s="64"/>
      <c r="Y1017" s="64"/>
      <c r="Z1017" s="65"/>
      <c r="AA1017" s="65"/>
      <c r="AB1017" s="65"/>
      <c r="AC1017" s="65"/>
    </row>
    <row r="1018">
      <c r="A1018" s="64"/>
      <c r="B1018" s="64"/>
      <c r="C1018" s="64"/>
      <c r="D1018" s="64"/>
      <c r="E1018" s="64"/>
      <c r="F1018" s="64"/>
      <c r="G1018" s="64"/>
      <c r="H1018" s="63"/>
      <c r="I1018" s="64"/>
      <c r="J1018" s="64"/>
      <c r="K1018" s="64"/>
      <c r="L1018" s="64"/>
      <c r="M1018" s="64"/>
      <c r="N1018" s="64"/>
      <c r="O1018" s="64"/>
      <c r="P1018" s="64"/>
      <c r="Q1018" s="64"/>
      <c r="R1018" s="65" t="str">
        <f>IF($A1018="","",IFERROR(MINIFS(Candidates!$K$2:$K$2000,Candidates!$A$2:$A$2000,$A1018),""))</f>
        <v/>
      </c>
      <c r="S1018" s="65" t="str">
        <f>IF($A1018="","",IFERROR(MAXIFS(Candidates!$AA$2:$AA$2000,Candidates!$A$2:$A$2000,$A1018),""))</f>
        <v/>
      </c>
      <c r="T1018" s="64" t="str">
        <f>IFERROR(__xludf.DUMMYFUNCTION("IF($A1018="""","""",IFERROR(TEXTJOIN("", "",TRUE,UNIQUE(FILTER(Candidates!$B$2:$B$2000,Candidates!$A$2:$A$2000=$A1018))),""""))"),"")</f>
        <v/>
      </c>
      <c r="U1018" s="66" t="str">
        <f>IF($A1018="","",COUNTIF(Candidates!$A$2:$A$2000,$A1018))</f>
        <v/>
      </c>
      <c r="V1018" s="64" t="str">
        <f>IFERROR(__xludf.DUMMYFUNCTION("IF($A1018="""","""",IFERROR(INDEX(FILTER(Candidates!$S$2:$S$2000,Candidates!$A$2:$A$2000=$A1018),COUNTIF(Candidates!$A$2:$A$2000,$A1018)),""""))"),"")</f>
        <v/>
      </c>
      <c r="W1018" s="64" t="str">
        <f>IFERROR(__xludf.DUMMYFUNCTION("IF($A1018="""","""",IFERROR(INDEX(FILTER(Candidates!$T$2:$T$2000,Candidates!$A$2:$A$2000=$A1018),COUNTIF(Candidates!$A$2:$A$2000,$A1018)),""""))"),"")</f>
        <v/>
      </c>
      <c r="X1018" s="64"/>
      <c r="Y1018" s="64"/>
      <c r="Z1018" s="65"/>
      <c r="AA1018" s="65"/>
      <c r="AB1018" s="65"/>
      <c r="AC1018" s="65"/>
    </row>
    <row r="1019">
      <c r="A1019" s="64"/>
      <c r="B1019" s="64"/>
      <c r="C1019" s="64"/>
      <c r="D1019" s="64"/>
      <c r="E1019" s="64"/>
      <c r="F1019" s="64"/>
      <c r="G1019" s="64"/>
      <c r="H1019" s="63"/>
      <c r="I1019" s="64"/>
      <c r="J1019" s="64"/>
      <c r="K1019" s="64"/>
      <c r="L1019" s="64"/>
      <c r="M1019" s="64"/>
      <c r="N1019" s="64"/>
      <c r="O1019" s="64"/>
      <c r="P1019" s="64"/>
      <c r="Q1019" s="64"/>
      <c r="R1019" s="65" t="str">
        <f>IF($A1019="","",IFERROR(MINIFS(Candidates!$K$2:$K$2000,Candidates!$A$2:$A$2000,$A1019),""))</f>
        <v/>
      </c>
      <c r="S1019" s="65" t="str">
        <f>IF($A1019="","",IFERROR(MAXIFS(Candidates!$AA$2:$AA$2000,Candidates!$A$2:$A$2000,$A1019),""))</f>
        <v/>
      </c>
      <c r="T1019" s="64" t="str">
        <f>IFERROR(__xludf.DUMMYFUNCTION("IF($A1019="""","""",IFERROR(TEXTJOIN("", "",TRUE,UNIQUE(FILTER(Candidates!$B$2:$B$2000,Candidates!$A$2:$A$2000=$A1019))),""""))"),"")</f>
        <v/>
      </c>
      <c r="U1019" s="66" t="str">
        <f>IF($A1019="","",COUNTIF(Candidates!$A$2:$A$2000,$A1019))</f>
        <v/>
      </c>
      <c r="V1019" s="64" t="str">
        <f>IFERROR(__xludf.DUMMYFUNCTION("IF($A1019="""","""",IFERROR(INDEX(FILTER(Candidates!$S$2:$S$2000,Candidates!$A$2:$A$2000=$A1019),COUNTIF(Candidates!$A$2:$A$2000,$A1019)),""""))"),"")</f>
        <v/>
      </c>
      <c r="W1019" s="64" t="str">
        <f>IFERROR(__xludf.DUMMYFUNCTION("IF($A1019="""","""",IFERROR(INDEX(FILTER(Candidates!$T$2:$T$2000,Candidates!$A$2:$A$2000=$A1019),COUNTIF(Candidates!$A$2:$A$2000,$A1019)),""""))"),"")</f>
        <v/>
      </c>
      <c r="X1019" s="64"/>
      <c r="Y1019" s="64"/>
      <c r="Z1019" s="65"/>
      <c r="AA1019" s="65"/>
      <c r="AB1019" s="65"/>
      <c r="AC1019" s="65"/>
    </row>
    <row r="1020">
      <c r="A1020" s="64"/>
      <c r="B1020" s="64"/>
      <c r="C1020" s="64"/>
      <c r="D1020" s="64"/>
      <c r="E1020" s="64"/>
      <c r="F1020" s="64"/>
      <c r="G1020" s="64"/>
      <c r="H1020" s="63"/>
      <c r="I1020" s="64"/>
      <c r="J1020" s="64"/>
      <c r="K1020" s="64"/>
      <c r="L1020" s="64"/>
      <c r="M1020" s="64"/>
      <c r="N1020" s="64"/>
      <c r="O1020" s="64"/>
      <c r="P1020" s="64"/>
      <c r="Q1020" s="64"/>
      <c r="R1020" s="65" t="str">
        <f>IF($A1020="","",IFERROR(MINIFS(Candidates!$K$2:$K$2000,Candidates!$A$2:$A$2000,$A1020),""))</f>
        <v/>
      </c>
      <c r="S1020" s="65" t="str">
        <f>IF($A1020="","",IFERROR(MAXIFS(Candidates!$AA$2:$AA$2000,Candidates!$A$2:$A$2000,$A1020),""))</f>
        <v/>
      </c>
      <c r="T1020" s="64" t="str">
        <f>IFERROR(__xludf.DUMMYFUNCTION("IF($A1020="""","""",IFERROR(TEXTJOIN("", "",TRUE,UNIQUE(FILTER(Candidates!$B$2:$B$2000,Candidates!$A$2:$A$2000=$A1020))),""""))"),"")</f>
        <v/>
      </c>
      <c r="U1020" s="66" t="str">
        <f>IF($A1020="","",COUNTIF(Candidates!$A$2:$A$2000,$A1020))</f>
        <v/>
      </c>
      <c r="V1020" s="64" t="str">
        <f>IFERROR(__xludf.DUMMYFUNCTION("IF($A1020="""","""",IFERROR(INDEX(FILTER(Candidates!$S$2:$S$2000,Candidates!$A$2:$A$2000=$A1020),COUNTIF(Candidates!$A$2:$A$2000,$A1020)),""""))"),"")</f>
        <v/>
      </c>
      <c r="W1020" s="64" t="str">
        <f>IFERROR(__xludf.DUMMYFUNCTION("IF($A1020="""","""",IFERROR(INDEX(FILTER(Candidates!$T$2:$T$2000,Candidates!$A$2:$A$2000=$A1020),COUNTIF(Candidates!$A$2:$A$2000,$A1020)),""""))"),"")</f>
        <v/>
      </c>
      <c r="X1020" s="64"/>
      <c r="Y1020" s="64"/>
      <c r="Z1020" s="65"/>
      <c r="AA1020" s="65"/>
      <c r="AB1020" s="65"/>
      <c r="AC1020" s="65"/>
    </row>
    <row r="1021">
      <c r="A1021" s="64"/>
      <c r="B1021" s="64"/>
      <c r="C1021" s="64"/>
      <c r="D1021" s="64"/>
      <c r="E1021" s="64"/>
      <c r="F1021" s="64"/>
      <c r="G1021" s="64"/>
      <c r="H1021" s="63"/>
      <c r="I1021" s="64"/>
      <c r="J1021" s="64"/>
      <c r="K1021" s="64"/>
      <c r="L1021" s="64"/>
      <c r="M1021" s="64"/>
      <c r="N1021" s="64"/>
      <c r="O1021" s="64"/>
      <c r="P1021" s="64"/>
      <c r="Q1021" s="64"/>
      <c r="R1021" s="65" t="str">
        <f>IF($A1021="","",IFERROR(MINIFS(Candidates!$K$2:$K$2000,Candidates!$A$2:$A$2000,$A1021),""))</f>
        <v/>
      </c>
      <c r="S1021" s="65" t="str">
        <f>IF($A1021="","",IFERROR(MAXIFS(Candidates!$AA$2:$AA$2000,Candidates!$A$2:$A$2000,$A1021),""))</f>
        <v/>
      </c>
      <c r="T1021" s="64" t="str">
        <f>IFERROR(__xludf.DUMMYFUNCTION("IF($A1021="""","""",IFERROR(TEXTJOIN("", "",TRUE,UNIQUE(FILTER(Candidates!$B$2:$B$2000,Candidates!$A$2:$A$2000=$A1021))),""""))"),"")</f>
        <v/>
      </c>
      <c r="U1021" s="66" t="str">
        <f>IF($A1021="","",COUNTIF(Candidates!$A$2:$A$2000,$A1021))</f>
        <v/>
      </c>
      <c r="V1021" s="64" t="str">
        <f>IFERROR(__xludf.DUMMYFUNCTION("IF($A1021="""","""",IFERROR(INDEX(FILTER(Candidates!$S$2:$S$2000,Candidates!$A$2:$A$2000=$A1021),COUNTIF(Candidates!$A$2:$A$2000,$A1021)),""""))"),"")</f>
        <v/>
      </c>
      <c r="W1021" s="64" t="str">
        <f>IFERROR(__xludf.DUMMYFUNCTION("IF($A1021="""","""",IFERROR(INDEX(FILTER(Candidates!$T$2:$T$2000,Candidates!$A$2:$A$2000=$A1021),COUNTIF(Candidates!$A$2:$A$2000,$A1021)),""""))"),"")</f>
        <v/>
      </c>
      <c r="X1021" s="64"/>
      <c r="Y1021" s="64"/>
      <c r="Z1021" s="65"/>
      <c r="AA1021" s="65"/>
      <c r="AB1021" s="65"/>
      <c r="AC1021" s="65"/>
    </row>
    <row r="1022">
      <c r="A1022" s="64"/>
      <c r="B1022" s="64"/>
      <c r="C1022" s="64"/>
      <c r="D1022" s="64"/>
      <c r="E1022" s="64"/>
      <c r="F1022" s="64"/>
      <c r="G1022" s="64"/>
      <c r="H1022" s="63"/>
      <c r="I1022" s="64"/>
      <c r="J1022" s="64"/>
      <c r="K1022" s="64"/>
      <c r="L1022" s="64"/>
      <c r="M1022" s="64"/>
      <c r="N1022" s="64"/>
      <c r="O1022" s="64"/>
      <c r="P1022" s="64"/>
      <c r="Q1022" s="64"/>
      <c r="R1022" s="65" t="str">
        <f>IF($A1022="","",IFERROR(MINIFS(Candidates!$K$2:$K$2000,Candidates!$A$2:$A$2000,$A1022),""))</f>
        <v/>
      </c>
      <c r="S1022" s="65" t="str">
        <f>IF($A1022="","",IFERROR(MAXIFS(Candidates!$AA$2:$AA$2000,Candidates!$A$2:$A$2000,$A1022),""))</f>
        <v/>
      </c>
      <c r="T1022" s="64" t="str">
        <f>IFERROR(__xludf.DUMMYFUNCTION("IF($A1022="""","""",IFERROR(TEXTJOIN("", "",TRUE,UNIQUE(FILTER(Candidates!$B$2:$B$2000,Candidates!$A$2:$A$2000=$A1022))),""""))"),"")</f>
        <v/>
      </c>
      <c r="U1022" s="66" t="str">
        <f>IF($A1022="","",COUNTIF(Candidates!$A$2:$A$2000,$A1022))</f>
        <v/>
      </c>
      <c r="V1022" s="64" t="str">
        <f>IFERROR(__xludf.DUMMYFUNCTION("IF($A1022="""","""",IFERROR(INDEX(FILTER(Candidates!$S$2:$S$2000,Candidates!$A$2:$A$2000=$A1022),COUNTIF(Candidates!$A$2:$A$2000,$A1022)),""""))"),"")</f>
        <v/>
      </c>
      <c r="W1022" s="64" t="str">
        <f>IFERROR(__xludf.DUMMYFUNCTION("IF($A1022="""","""",IFERROR(INDEX(FILTER(Candidates!$T$2:$T$2000,Candidates!$A$2:$A$2000=$A1022),COUNTIF(Candidates!$A$2:$A$2000,$A1022)),""""))"),"")</f>
        <v/>
      </c>
      <c r="X1022" s="64"/>
      <c r="Y1022" s="64"/>
      <c r="Z1022" s="65"/>
      <c r="AA1022" s="65"/>
      <c r="AB1022" s="65"/>
      <c r="AC1022" s="65"/>
    </row>
    <row r="1023">
      <c r="A1023" s="64"/>
      <c r="B1023" s="64"/>
      <c r="C1023" s="64"/>
      <c r="D1023" s="64"/>
      <c r="E1023" s="64"/>
      <c r="F1023" s="64"/>
      <c r="G1023" s="64"/>
      <c r="H1023" s="63"/>
      <c r="I1023" s="64"/>
      <c r="J1023" s="64"/>
      <c r="K1023" s="64"/>
      <c r="L1023" s="64"/>
      <c r="M1023" s="64"/>
      <c r="N1023" s="64"/>
      <c r="O1023" s="64"/>
      <c r="P1023" s="64"/>
      <c r="Q1023" s="64"/>
      <c r="R1023" s="65" t="str">
        <f>IF($A1023="","",IFERROR(MINIFS(Candidates!$K$2:$K$2000,Candidates!$A$2:$A$2000,$A1023),""))</f>
        <v/>
      </c>
      <c r="S1023" s="65" t="str">
        <f>IF($A1023="","",IFERROR(MAXIFS(Candidates!$AA$2:$AA$2000,Candidates!$A$2:$A$2000,$A1023),""))</f>
        <v/>
      </c>
      <c r="T1023" s="64" t="str">
        <f>IFERROR(__xludf.DUMMYFUNCTION("IF($A1023="""","""",IFERROR(TEXTJOIN("", "",TRUE,UNIQUE(FILTER(Candidates!$B$2:$B$2000,Candidates!$A$2:$A$2000=$A1023))),""""))"),"")</f>
        <v/>
      </c>
      <c r="U1023" s="66" t="str">
        <f>IF($A1023="","",COUNTIF(Candidates!$A$2:$A$2000,$A1023))</f>
        <v/>
      </c>
      <c r="V1023" s="64" t="str">
        <f>IFERROR(__xludf.DUMMYFUNCTION("IF($A1023="""","""",IFERROR(INDEX(FILTER(Candidates!$S$2:$S$2000,Candidates!$A$2:$A$2000=$A1023),COUNTIF(Candidates!$A$2:$A$2000,$A1023)),""""))"),"")</f>
        <v/>
      </c>
      <c r="W1023" s="64" t="str">
        <f>IFERROR(__xludf.DUMMYFUNCTION("IF($A1023="""","""",IFERROR(INDEX(FILTER(Candidates!$T$2:$T$2000,Candidates!$A$2:$A$2000=$A1023),COUNTIF(Candidates!$A$2:$A$2000,$A1023)),""""))"),"")</f>
        <v/>
      </c>
      <c r="X1023" s="64"/>
      <c r="Y1023" s="64"/>
      <c r="Z1023" s="65"/>
      <c r="AA1023" s="65"/>
      <c r="AB1023" s="65"/>
      <c r="AC1023" s="65"/>
    </row>
    <row r="1024">
      <c r="A1024" s="64"/>
      <c r="B1024" s="64"/>
      <c r="C1024" s="64"/>
      <c r="D1024" s="64"/>
      <c r="E1024" s="64"/>
      <c r="F1024" s="64"/>
      <c r="G1024" s="64"/>
      <c r="H1024" s="63"/>
      <c r="I1024" s="64"/>
      <c r="J1024" s="64"/>
      <c r="K1024" s="64"/>
      <c r="L1024" s="64"/>
      <c r="M1024" s="64"/>
      <c r="N1024" s="64"/>
      <c r="O1024" s="64"/>
      <c r="P1024" s="64"/>
      <c r="Q1024" s="64"/>
      <c r="R1024" s="65" t="str">
        <f>IF($A1024="","",IFERROR(MINIFS(Candidates!$K$2:$K$2000,Candidates!$A$2:$A$2000,$A1024),""))</f>
        <v/>
      </c>
      <c r="S1024" s="65" t="str">
        <f>IF($A1024="","",IFERROR(MAXIFS(Candidates!$AA$2:$AA$2000,Candidates!$A$2:$A$2000,$A1024),""))</f>
        <v/>
      </c>
      <c r="T1024" s="64" t="str">
        <f>IFERROR(__xludf.DUMMYFUNCTION("IF($A1024="""","""",IFERROR(TEXTJOIN("", "",TRUE,UNIQUE(FILTER(Candidates!$B$2:$B$2000,Candidates!$A$2:$A$2000=$A1024))),""""))"),"")</f>
        <v/>
      </c>
      <c r="U1024" s="66" t="str">
        <f>IF($A1024="","",COUNTIF(Candidates!$A$2:$A$2000,$A1024))</f>
        <v/>
      </c>
      <c r="V1024" s="64" t="str">
        <f>IFERROR(__xludf.DUMMYFUNCTION("IF($A1024="""","""",IFERROR(INDEX(FILTER(Candidates!$S$2:$S$2000,Candidates!$A$2:$A$2000=$A1024),COUNTIF(Candidates!$A$2:$A$2000,$A1024)),""""))"),"")</f>
        <v/>
      </c>
      <c r="W1024" s="64" t="str">
        <f>IFERROR(__xludf.DUMMYFUNCTION("IF($A1024="""","""",IFERROR(INDEX(FILTER(Candidates!$T$2:$T$2000,Candidates!$A$2:$A$2000=$A1024),COUNTIF(Candidates!$A$2:$A$2000,$A1024)),""""))"),"")</f>
        <v/>
      </c>
      <c r="X1024" s="64"/>
      <c r="Y1024" s="64"/>
      <c r="Z1024" s="65"/>
      <c r="AA1024" s="65"/>
      <c r="AB1024" s="65"/>
      <c r="AC1024" s="65"/>
    </row>
    <row r="1025">
      <c r="A1025" s="64"/>
      <c r="B1025" s="64"/>
      <c r="C1025" s="64"/>
      <c r="D1025" s="64"/>
      <c r="E1025" s="64"/>
      <c r="F1025" s="64"/>
      <c r="G1025" s="64"/>
      <c r="H1025" s="63"/>
      <c r="I1025" s="64"/>
      <c r="J1025" s="64"/>
      <c r="K1025" s="64"/>
      <c r="L1025" s="64"/>
      <c r="M1025" s="64"/>
      <c r="N1025" s="64"/>
      <c r="O1025" s="64"/>
      <c r="P1025" s="64"/>
      <c r="Q1025" s="64"/>
      <c r="R1025" s="65" t="str">
        <f>IF($A1025="","",IFERROR(MINIFS(Candidates!$K$2:$K$2000,Candidates!$A$2:$A$2000,$A1025),""))</f>
        <v/>
      </c>
      <c r="S1025" s="65" t="str">
        <f>IF($A1025="","",IFERROR(MAXIFS(Candidates!$AA$2:$AA$2000,Candidates!$A$2:$A$2000,$A1025),""))</f>
        <v/>
      </c>
      <c r="T1025" s="64" t="str">
        <f>IFERROR(__xludf.DUMMYFUNCTION("IF($A1025="""","""",IFERROR(TEXTJOIN("", "",TRUE,UNIQUE(FILTER(Candidates!$B$2:$B$2000,Candidates!$A$2:$A$2000=$A1025))),""""))"),"")</f>
        <v/>
      </c>
      <c r="U1025" s="66" t="str">
        <f>IF($A1025="","",COUNTIF(Candidates!$A$2:$A$2000,$A1025))</f>
        <v/>
      </c>
      <c r="V1025" s="64" t="str">
        <f>IFERROR(__xludf.DUMMYFUNCTION("IF($A1025="""","""",IFERROR(INDEX(FILTER(Candidates!$S$2:$S$2000,Candidates!$A$2:$A$2000=$A1025),COUNTIF(Candidates!$A$2:$A$2000,$A1025)),""""))"),"")</f>
        <v/>
      </c>
      <c r="W1025" s="64" t="str">
        <f>IFERROR(__xludf.DUMMYFUNCTION("IF($A1025="""","""",IFERROR(INDEX(FILTER(Candidates!$T$2:$T$2000,Candidates!$A$2:$A$2000=$A1025),COUNTIF(Candidates!$A$2:$A$2000,$A1025)),""""))"),"")</f>
        <v/>
      </c>
      <c r="X1025" s="64"/>
      <c r="Y1025" s="64"/>
      <c r="Z1025" s="65"/>
      <c r="AA1025" s="65"/>
      <c r="AB1025" s="65"/>
      <c r="AC1025" s="65"/>
    </row>
    <row r="1026">
      <c r="A1026" s="64"/>
      <c r="B1026" s="64"/>
      <c r="C1026" s="64"/>
      <c r="D1026" s="64"/>
      <c r="E1026" s="64"/>
      <c r="F1026" s="64"/>
      <c r="G1026" s="64"/>
      <c r="H1026" s="63"/>
      <c r="I1026" s="64"/>
      <c r="J1026" s="64"/>
      <c r="K1026" s="64"/>
      <c r="L1026" s="64"/>
      <c r="M1026" s="64"/>
      <c r="N1026" s="64"/>
      <c r="O1026" s="64"/>
      <c r="P1026" s="64"/>
      <c r="Q1026" s="64"/>
      <c r="R1026" s="65" t="str">
        <f>IF($A1026="","",IFERROR(MINIFS(Candidates!$K$2:$K$2000,Candidates!$A$2:$A$2000,$A1026),""))</f>
        <v/>
      </c>
      <c r="S1026" s="65" t="str">
        <f>IF($A1026="","",IFERROR(MAXIFS(Candidates!$AA$2:$AA$2000,Candidates!$A$2:$A$2000,$A1026),""))</f>
        <v/>
      </c>
      <c r="T1026" s="64" t="str">
        <f>IFERROR(__xludf.DUMMYFUNCTION("IF($A1026="""","""",IFERROR(TEXTJOIN("", "",TRUE,UNIQUE(FILTER(Candidates!$B$2:$B$2000,Candidates!$A$2:$A$2000=$A1026))),""""))"),"")</f>
        <v/>
      </c>
      <c r="U1026" s="66" t="str">
        <f>IF($A1026="","",COUNTIF(Candidates!$A$2:$A$2000,$A1026))</f>
        <v/>
      </c>
      <c r="V1026" s="64" t="str">
        <f>IFERROR(__xludf.DUMMYFUNCTION("IF($A1026="""","""",IFERROR(INDEX(FILTER(Candidates!$S$2:$S$2000,Candidates!$A$2:$A$2000=$A1026),COUNTIF(Candidates!$A$2:$A$2000,$A1026)),""""))"),"")</f>
        <v/>
      </c>
      <c r="W1026" s="64" t="str">
        <f>IFERROR(__xludf.DUMMYFUNCTION("IF($A1026="""","""",IFERROR(INDEX(FILTER(Candidates!$T$2:$T$2000,Candidates!$A$2:$A$2000=$A1026),COUNTIF(Candidates!$A$2:$A$2000,$A1026)),""""))"),"")</f>
        <v/>
      </c>
      <c r="X1026" s="64"/>
      <c r="Y1026" s="64"/>
      <c r="Z1026" s="65"/>
      <c r="AA1026" s="65"/>
      <c r="AB1026" s="65"/>
      <c r="AC1026" s="65"/>
    </row>
    <row r="1027">
      <c r="A1027" s="64"/>
      <c r="B1027" s="64"/>
      <c r="C1027" s="64"/>
      <c r="D1027" s="64"/>
      <c r="E1027" s="64"/>
      <c r="F1027" s="64"/>
      <c r="G1027" s="64"/>
      <c r="H1027" s="63"/>
      <c r="I1027" s="64"/>
      <c r="J1027" s="64"/>
      <c r="K1027" s="64"/>
      <c r="L1027" s="64"/>
      <c r="M1027" s="64"/>
      <c r="N1027" s="64"/>
      <c r="O1027" s="64"/>
      <c r="P1027" s="64"/>
      <c r="Q1027" s="64"/>
      <c r="R1027" s="65" t="str">
        <f>IF($A1027="","",IFERROR(MINIFS(Candidates!$K$2:$K$2000,Candidates!$A$2:$A$2000,$A1027),""))</f>
        <v/>
      </c>
      <c r="S1027" s="65" t="str">
        <f>IF($A1027="","",IFERROR(MAXIFS(Candidates!$AA$2:$AA$2000,Candidates!$A$2:$A$2000,$A1027),""))</f>
        <v/>
      </c>
      <c r="T1027" s="64" t="str">
        <f>IFERROR(__xludf.DUMMYFUNCTION("IF($A1027="""","""",IFERROR(TEXTJOIN("", "",TRUE,UNIQUE(FILTER(Candidates!$B$2:$B$2000,Candidates!$A$2:$A$2000=$A1027))),""""))"),"")</f>
        <v/>
      </c>
      <c r="U1027" s="66" t="str">
        <f>IF($A1027="","",COUNTIF(Candidates!$A$2:$A$2000,$A1027))</f>
        <v/>
      </c>
      <c r="V1027" s="64" t="str">
        <f>IFERROR(__xludf.DUMMYFUNCTION("IF($A1027="""","""",IFERROR(INDEX(FILTER(Candidates!$S$2:$S$2000,Candidates!$A$2:$A$2000=$A1027),COUNTIF(Candidates!$A$2:$A$2000,$A1027)),""""))"),"")</f>
        <v/>
      </c>
      <c r="W1027" s="64" t="str">
        <f>IFERROR(__xludf.DUMMYFUNCTION("IF($A1027="""","""",IFERROR(INDEX(FILTER(Candidates!$T$2:$T$2000,Candidates!$A$2:$A$2000=$A1027),COUNTIF(Candidates!$A$2:$A$2000,$A1027)),""""))"),"")</f>
        <v/>
      </c>
      <c r="X1027" s="64"/>
      <c r="Y1027" s="64"/>
      <c r="Z1027" s="65"/>
      <c r="AA1027" s="65"/>
      <c r="AB1027" s="65"/>
      <c r="AC1027" s="65"/>
    </row>
    <row r="1028">
      <c r="A1028" s="64"/>
      <c r="B1028" s="64"/>
      <c r="C1028" s="64"/>
      <c r="D1028" s="64"/>
      <c r="E1028" s="64"/>
      <c r="F1028" s="64"/>
      <c r="G1028" s="64"/>
      <c r="H1028" s="63"/>
      <c r="I1028" s="64"/>
      <c r="J1028" s="64"/>
      <c r="K1028" s="64"/>
      <c r="L1028" s="64"/>
      <c r="M1028" s="64"/>
      <c r="N1028" s="64"/>
      <c r="O1028" s="64"/>
      <c r="P1028" s="64"/>
      <c r="Q1028" s="64"/>
      <c r="R1028" s="65" t="str">
        <f>IF($A1028="","",IFERROR(MINIFS(Candidates!$K$2:$K$2000,Candidates!$A$2:$A$2000,$A1028),""))</f>
        <v/>
      </c>
      <c r="S1028" s="65" t="str">
        <f>IF($A1028="","",IFERROR(MAXIFS(Candidates!$AA$2:$AA$2000,Candidates!$A$2:$A$2000,$A1028),""))</f>
        <v/>
      </c>
      <c r="T1028" s="64" t="str">
        <f>IFERROR(__xludf.DUMMYFUNCTION("IF($A1028="""","""",IFERROR(TEXTJOIN("", "",TRUE,UNIQUE(FILTER(Candidates!$B$2:$B$2000,Candidates!$A$2:$A$2000=$A1028))),""""))"),"")</f>
        <v/>
      </c>
      <c r="U1028" s="66" t="str">
        <f>IF($A1028="","",COUNTIF(Candidates!$A$2:$A$2000,$A1028))</f>
        <v/>
      </c>
      <c r="V1028" s="64" t="str">
        <f>IFERROR(__xludf.DUMMYFUNCTION("IF($A1028="""","""",IFERROR(INDEX(FILTER(Candidates!$S$2:$S$2000,Candidates!$A$2:$A$2000=$A1028),COUNTIF(Candidates!$A$2:$A$2000,$A1028)),""""))"),"")</f>
        <v/>
      </c>
      <c r="W1028" s="64" t="str">
        <f>IFERROR(__xludf.DUMMYFUNCTION("IF($A1028="""","""",IFERROR(INDEX(FILTER(Candidates!$T$2:$T$2000,Candidates!$A$2:$A$2000=$A1028),COUNTIF(Candidates!$A$2:$A$2000,$A1028)),""""))"),"")</f>
        <v/>
      </c>
      <c r="X1028" s="64"/>
      <c r="Y1028" s="64"/>
      <c r="Z1028" s="65"/>
      <c r="AA1028" s="65"/>
      <c r="AB1028" s="65"/>
      <c r="AC1028" s="65"/>
    </row>
    <row r="1029">
      <c r="A1029" s="64"/>
      <c r="B1029" s="64"/>
      <c r="C1029" s="64"/>
      <c r="D1029" s="64"/>
      <c r="E1029" s="64"/>
      <c r="F1029" s="64"/>
      <c r="G1029" s="64"/>
      <c r="H1029" s="63"/>
      <c r="I1029" s="64"/>
      <c r="J1029" s="64"/>
      <c r="K1029" s="64"/>
      <c r="L1029" s="64"/>
      <c r="M1029" s="64"/>
      <c r="N1029" s="64"/>
      <c r="O1029" s="64"/>
      <c r="P1029" s="64"/>
      <c r="Q1029" s="64"/>
      <c r="R1029" s="65" t="str">
        <f>IF($A1029="","",IFERROR(MINIFS(Candidates!$K$2:$K$2000,Candidates!$A$2:$A$2000,$A1029),""))</f>
        <v/>
      </c>
      <c r="S1029" s="65" t="str">
        <f>IF($A1029="","",IFERROR(MAXIFS(Candidates!$AA$2:$AA$2000,Candidates!$A$2:$A$2000,$A1029),""))</f>
        <v/>
      </c>
      <c r="T1029" s="64" t="str">
        <f>IFERROR(__xludf.DUMMYFUNCTION("IF($A1029="""","""",IFERROR(TEXTJOIN("", "",TRUE,UNIQUE(FILTER(Candidates!$B$2:$B$2000,Candidates!$A$2:$A$2000=$A1029))),""""))"),"")</f>
        <v/>
      </c>
      <c r="U1029" s="66" t="str">
        <f>IF($A1029="","",COUNTIF(Candidates!$A$2:$A$2000,$A1029))</f>
        <v/>
      </c>
      <c r="V1029" s="64" t="str">
        <f>IFERROR(__xludf.DUMMYFUNCTION("IF($A1029="""","""",IFERROR(INDEX(FILTER(Candidates!$S$2:$S$2000,Candidates!$A$2:$A$2000=$A1029),COUNTIF(Candidates!$A$2:$A$2000,$A1029)),""""))"),"")</f>
        <v/>
      </c>
      <c r="W1029" s="64" t="str">
        <f>IFERROR(__xludf.DUMMYFUNCTION("IF($A1029="""","""",IFERROR(INDEX(FILTER(Candidates!$T$2:$T$2000,Candidates!$A$2:$A$2000=$A1029),COUNTIF(Candidates!$A$2:$A$2000,$A1029)),""""))"),"")</f>
        <v/>
      </c>
      <c r="X1029" s="64"/>
      <c r="Y1029" s="64"/>
      <c r="Z1029" s="65"/>
      <c r="AA1029" s="65"/>
      <c r="AB1029" s="65"/>
      <c r="AC1029" s="65"/>
    </row>
    <row r="1030">
      <c r="A1030" s="64"/>
      <c r="B1030" s="64"/>
      <c r="C1030" s="64"/>
      <c r="D1030" s="64"/>
      <c r="E1030" s="64"/>
      <c r="F1030" s="64"/>
      <c r="G1030" s="64"/>
      <c r="H1030" s="63"/>
      <c r="I1030" s="64"/>
      <c r="J1030" s="64"/>
      <c r="K1030" s="64"/>
      <c r="L1030" s="64"/>
      <c r="M1030" s="64"/>
      <c r="N1030" s="64"/>
      <c r="O1030" s="64"/>
      <c r="P1030" s="64"/>
      <c r="Q1030" s="64"/>
      <c r="R1030" s="65" t="str">
        <f>IF($A1030="","",IFERROR(MINIFS(Candidates!$K$2:$K$2000,Candidates!$A$2:$A$2000,$A1030),""))</f>
        <v/>
      </c>
      <c r="S1030" s="65" t="str">
        <f>IF($A1030="","",IFERROR(MAXIFS(Candidates!$AA$2:$AA$2000,Candidates!$A$2:$A$2000,$A1030),""))</f>
        <v/>
      </c>
      <c r="T1030" s="64" t="str">
        <f>IFERROR(__xludf.DUMMYFUNCTION("IF($A1030="""","""",IFERROR(TEXTJOIN("", "",TRUE,UNIQUE(FILTER(Candidates!$B$2:$B$2000,Candidates!$A$2:$A$2000=$A1030))),""""))"),"")</f>
        <v/>
      </c>
      <c r="U1030" s="66" t="str">
        <f>IF($A1030="","",COUNTIF(Candidates!$A$2:$A$2000,$A1030))</f>
        <v/>
      </c>
      <c r="V1030" s="64" t="str">
        <f>IFERROR(__xludf.DUMMYFUNCTION("IF($A1030="""","""",IFERROR(INDEX(FILTER(Candidates!$S$2:$S$2000,Candidates!$A$2:$A$2000=$A1030),COUNTIF(Candidates!$A$2:$A$2000,$A1030)),""""))"),"")</f>
        <v/>
      </c>
      <c r="W1030" s="64" t="str">
        <f>IFERROR(__xludf.DUMMYFUNCTION("IF($A1030="""","""",IFERROR(INDEX(FILTER(Candidates!$T$2:$T$2000,Candidates!$A$2:$A$2000=$A1030),COUNTIF(Candidates!$A$2:$A$2000,$A1030)),""""))"),"")</f>
        <v/>
      </c>
      <c r="X1030" s="64"/>
      <c r="Y1030" s="64"/>
      <c r="Z1030" s="65"/>
      <c r="AA1030" s="65"/>
      <c r="AB1030" s="65"/>
      <c r="AC1030" s="65"/>
    </row>
    <row r="1031">
      <c r="A1031" s="64"/>
      <c r="B1031" s="64"/>
      <c r="C1031" s="64"/>
      <c r="D1031" s="64"/>
      <c r="E1031" s="64"/>
      <c r="F1031" s="64"/>
      <c r="G1031" s="64"/>
      <c r="H1031" s="63"/>
      <c r="I1031" s="64"/>
      <c r="J1031" s="64"/>
      <c r="K1031" s="64"/>
      <c r="L1031" s="64"/>
      <c r="M1031" s="64"/>
      <c r="N1031" s="64"/>
      <c r="O1031" s="64"/>
      <c r="P1031" s="64"/>
      <c r="Q1031" s="64"/>
      <c r="R1031" s="65" t="str">
        <f>IF($A1031="","",IFERROR(MINIFS(Candidates!$K$2:$K$2000,Candidates!$A$2:$A$2000,$A1031),""))</f>
        <v/>
      </c>
      <c r="S1031" s="65" t="str">
        <f>IF($A1031="","",IFERROR(MAXIFS(Candidates!$AA$2:$AA$2000,Candidates!$A$2:$A$2000,$A1031),""))</f>
        <v/>
      </c>
      <c r="T1031" s="64" t="str">
        <f>IFERROR(__xludf.DUMMYFUNCTION("IF($A1031="""","""",IFERROR(TEXTJOIN("", "",TRUE,UNIQUE(FILTER(Candidates!$B$2:$B$2000,Candidates!$A$2:$A$2000=$A1031))),""""))"),"")</f>
        <v/>
      </c>
      <c r="U1031" s="66" t="str">
        <f>IF($A1031="","",COUNTIF(Candidates!$A$2:$A$2000,$A1031))</f>
        <v/>
      </c>
      <c r="V1031" s="64" t="str">
        <f>IFERROR(__xludf.DUMMYFUNCTION("IF($A1031="""","""",IFERROR(INDEX(FILTER(Candidates!$S$2:$S$2000,Candidates!$A$2:$A$2000=$A1031),COUNTIF(Candidates!$A$2:$A$2000,$A1031)),""""))"),"")</f>
        <v/>
      </c>
      <c r="W1031" s="64" t="str">
        <f>IFERROR(__xludf.DUMMYFUNCTION("IF($A1031="""","""",IFERROR(INDEX(FILTER(Candidates!$T$2:$T$2000,Candidates!$A$2:$A$2000=$A1031),COUNTIF(Candidates!$A$2:$A$2000,$A1031)),""""))"),"")</f>
        <v/>
      </c>
      <c r="X1031" s="64"/>
      <c r="Y1031" s="64"/>
      <c r="Z1031" s="65"/>
      <c r="AA1031" s="65"/>
      <c r="AB1031" s="65"/>
      <c r="AC1031" s="65"/>
    </row>
    <row r="1032">
      <c r="A1032" s="64"/>
      <c r="B1032" s="64"/>
      <c r="C1032" s="64"/>
      <c r="D1032" s="64"/>
      <c r="E1032" s="64"/>
      <c r="F1032" s="64"/>
      <c r="G1032" s="64"/>
      <c r="H1032" s="63"/>
      <c r="I1032" s="64"/>
      <c r="J1032" s="64"/>
      <c r="K1032" s="64"/>
      <c r="L1032" s="64"/>
      <c r="M1032" s="64"/>
      <c r="N1032" s="64"/>
      <c r="O1032" s="64"/>
      <c r="P1032" s="64"/>
      <c r="Q1032" s="64"/>
      <c r="R1032" s="65" t="str">
        <f>IF($A1032="","",IFERROR(MINIFS(Candidates!$K$2:$K$2000,Candidates!$A$2:$A$2000,$A1032),""))</f>
        <v/>
      </c>
      <c r="S1032" s="65" t="str">
        <f>IF($A1032="","",IFERROR(MAXIFS(Candidates!$AA$2:$AA$2000,Candidates!$A$2:$A$2000,$A1032),""))</f>
        <v/>
      </c>
      <c r="T1032" s="64" t="str">
        <f>IFERROR(__xludf.DUMMYFUNCTION("IF($A1032="""","""",IFERROR(TEXTJOIN("", "",TRUE,UNIQUE(FILTER(Candidates!$B$2:$B$2000,Candidates!$A$2:$A$2000=$A1032))),""""))"),"")</f>
        <v/>
      </c>
      <c r="U1032" s="66" t="str">
        <f>IF($A1032="","",COUNTIF(Candidates!$A$2:$A$2000,$A1032))</f>
        <v/>
      </c>
      <c r="V1032" s="64" t="str">
        <f>IFERROR(__xludf.DUMMYFUNCTION("IF($A1032="""","""",IFERROR(INDEX(FILTER(Candidates!$S$2:$S$2000,Candidates!$A$2:$A$2000=$A1032),COUNTIF(Candidates!$A$2:$A$2000,$A1032)),""""))"),"")</f>
        <v/>
      </c>
      <c r="W1032" s="64" t="str">
        <f>IFERROR(__xludf.DUMMYFUNCTION("IF($A1032="""","""",IFERROR(INDEX(FILTER(Candidates!$T$2:$T$2000,Candidates!$A$2:$A$2000=$A1032),COUNTIF(Candidates!$A$2:$A$2000,$A1032)),""""))"),"")</f>
        <v/>
      </c>
      <c r="X1032" s="64"/>
      <c r="Y1032" s="64"/>
      <c r="Z1032" s="65"/>
      <c r="AA1032" s="65"/>
      <c r="AB1032" s="65"/>
      <c r="AC1032" s="65"/>
    </row>
    <row r="1033">
      <c r="A1033" s="64"/>
      <c r="B1033" s="64"/>
      <c r="C1033" s="64"/>
      <c r="D1033" s="64"/>
      <c r="E1033" s="64"/>
      <c r="F1033" s="64"/>
      <c r="G1033" s="64"/>
      <c r="H1033" s="63"/>
      <c r="I1033" s="64"/>
      <c r="J1033" s="64"/>
      <c r="K1033" s="64"/>
      <c r="L1033" s="64"/>
      <c r="M1033" s="64"/>
      <c r="N1033" s="64"/>
      <c r="O1033" s="64"/>
      <c r="P1033" s="64"/>
      <c r="Q1033" s="64"/>
      <c r="R1033" s="65" t="str">
        <f>IF($A1033="","",IFERROR(MINIFS(Candidates!$K$2:$K$2000,Candidates!$A$2:$A$2000,$A1033),""))</f>
        <v/>
      </c>
      <c r="S1033" s="65" t="str">
        <f>IF($A1033="","",IFERROR(MAXIFS(Candidates!$AA$2:$AA$2000,Candidates!$A$2:$A$2000,$A1033),""))</f>
        <v/>
      </c>
      <c r="T1033" s="64" t="str">
        <f>IFERROR(__xludf.DUMMYFUNCTION("IF($A1033="""","""",IFERROR(TEXTJOIN("", "",TRUE,UNIQUE(FILTER(Candidates!$B$2:$B$2000,Candidates!$A$2:$A$2000=$A1033))),""""))"),"")</f>
        <v/>
      </c>
      <c r="U1033" s="66" t="str">
        <f>IF($A1033="","",COUNTIF(Candidates!$A$2:$A$2000,$A1033))</f>
        <v/>
      </c>
      <c r="V1033" s="64" t="str">
        <f>IFERROR(__xludf.DUMMYFUNCTION("IF($A1033="""","""",IFERROR(INDEX(FILTER(Candidates!$S$2:$S$2000,Candidates!$A$2:$A$2000=$A1033),COUNTIF(Candidates!$A$2:$A$2000,$A1033)),""""))"),"")</f>
        <v/>
      </c>
      <c r="W1033" s="64" t="str">
        <f>IFERROR(__xludf.DUMMYFUNCTION("IF($A1033="""","""",IFERROR(INDEX(FILTER(Candidates!$T$2:$T$2000,Candidates!$A$2:$A$2000=$A1033),COUNTIF(Candidates!$A$2:$A$2000,$A1033)),""""))"),"")</f>
        <v/>
      </c>
      <c r="X1033" s="64"/>
      <c r="Y1033" s="64"/>
      <c r="Z1033" s="65"/>
      <c r="AA1033" s="65"/>
      <c r="AB1033" s="65"/>
      <c r="AC1033" s="65"/>
    </row>
    <row r="1034">
      <c r="A1034" s="64"/>
      <c r="B1034" s="64"/>
      <c r="C1034" s="64"/>
      <c r="D1034" s="64"/>
      <c r="E1034" s="64"/>
      <c r="F1034" s="64"/>
      <c r="G1034" s="64"/>
      <c r="H1034" s="63"/>
      <c r="I1034" s="64"/>
      <c r="J1034" s="64"/>
      <c r="K1034" s="64"/>
      <c r="L1034" s="64"/>
      <c r="M1034" s="64"/>
      <c r="N1034" s="64"/>
      <c r="O1034" s="64"/>
      <c r="P1034" s="64"/>
      <c r="Q1034" s="64"/>
      <c r="R1034" s="65" t="str">
        <f>IF($A1034="","",IFERROR(MINIFS(Candidates!$K$2:$K$2000,Candidates!$A$2:$A$2000,$A1034),""))</f>
        <v/>
      </c>
      <c r="S1034" s="65" t="str">
        <f>IF($A1034="","",IFERROR(MAXIFS(Candidates!$AA$2:$AA$2000,Candidates!$A$2:$A$2000,$A1034),""))</f>
        <v/>
      </c>
      <c r="T1034" s="64" t="str">
        <f>IFERROR(__xludf.DUMMYFUNCTION("IF($A1034="""","""",IFERROR(TEXTJOIN("", "",TRUE,UNIQUE(FILTER(Candidates!$B$2:$B$2000,Candidates!$A$2:$A$2000=$A1034))),""""))"),"")</f>
        <v/>
      </c>
      <c r="U1034" s="66" t="str">
        <f>IF($A1034="","",COUNTIF(Candidates!$A$2:$A$2000,$A1034))</f>
        <v/>
      </c>
      <c r="V1034" s="64" t="str">
        <f>IFERROR(__xludf.DUMMYFUNCTION("IF($A1034="""","""",IFERROR(INDEX(FILTER(Candidates!$S$2:$S$2000,Candidates!$A$2:$A$2000=$A1034),COUNTIF(Candidates!$A$2:$A$2000,$A1034)),""""))"),"")</f>
        <v/>
      </c>
      <c r="W1034" s="64" t="str">
        <f>IFERROR(__xludf.DUMMYFUNCTION("IF($A1034="""","""",IFERROR(INDEX(FILTER(Candidates!$T$2:$T$2000,Candidates!$A$2:$A$2000=$A1034),COUNTIF(Candidates!$A$2:$A$2000,$A1034)),""""))"),"")</f>
        <v/>
      </c>
      <c r="X1034" s="64"/>
      <c r="Y1034" s="64"/>
      <c r="Z1034" s="65"/>
      <c r="AA1034" s="65"/>
      <c r="AB1034" s="65"/>
      <c r="AC1034" s="65"/>
    </row>
    <row r="1035">
      <c r="A1035" s="64"/>
      <c r="B1035" s="64"/>
      <c r="C1035" s="64"/>
      <c r="D1035" s="64"/>
      <c r="E1035" s="64"/>
      <c r="F1035" s="64"/>
      <c r="G1035" s="64"/>
      <c r="H1035" s="63"/>
      <c r="I1035" s="64"/>
      <c r="J1035" s="64"/>
      <c r="K1035" s="64"/>
      <c r="L1035" s="64"/>
      <c r="M1035" s="64"/>
      <c r="N1035" s="64"/>
      <c r="O1035" s="64"/>
      <c r="P1035" s="64"/>
      <c r="Q1035" s="64"/>
      <c r="R1035" s="65" t="str">
        <f>IF($A1035="","",IFERROR(MINIFS(Candidates!$K$2:$K$2000,Candidates!$A$2:$A$2000,$A1035),""))</f>
        <v/>
      </c>
      <c r="S1035" s="65" t="str">
        <f>IF($A1035="","",IFERROR(MAXIFS(Candidates!$AA$2:$AA$2000,Candidates!$A$2:$A$2000,$A1035),""))</f>
        <v/>
      </c>
      <c r="T1035" s="64" t="str">
        <f>IFERROR(__xludf.DUMMYFUNCTION("IF($A1035="""","""",IFERROR(TEXTJOIN("", "",TRUE,UNIQUE(FILTER(Candidates!$B$2:$B$2000,Candidates!$A$2:$A$2000=$A1035))),""""))"),"")</f>
        <v/>
      </c>
      <c r="U1035" s="66" t="str">
        <f>IF($A1035="","",COUNTIF(Candidates!$A$2:$A$2000,$A1035))</f>
        <v/>
      </c>
      <c r="V1035" s="64" t="str">
        <f>IFERROR(__xludf.DUMMYFUNCTION("IF($A1035="""","""",IFERROR(INDEX(FILTER(Candidates!$S$2:$S$2000,Candidates!$A$2:$A$2000=$A1035),COUNTIF(Candidates!$A$2:$A$2000,$A1035)),""""))"),"")</f>
        <v/>
      </c>
      <c r="W1035" s="64" t="str">
        <f>IFERROR(__xludf.DUMMYFUNCTION("IF($A1035="""","""",IFERROR(INDEX(FILTER(Candidates!$T$2:$T$2000,Candidates!$A$2:$A$2000=$A1035),COUNTIF(Candidates!$A$2:$A$2000,$A1035)),""""))"),"")</f>
        <v/>
      </c>
      <c r="X1035" s="64"/>
      <c r="Y1035" s="64"/>
      <c r="Z1035" s="65"/>
      <c r="AA1035" s="65"/>
      <c r="AB1035" s="65"/>
      <c r="AC1035" s="65"/>
    </row>
    <row r="1036">
      <c r="A1036" s="64"/>
      <c r="B1036" s="64"/>
      <c r="C1036" s="64"/>
      <c r="D1036" s="64"/>
      <c r="E1036" s="64"/>
      <c r="F1036" s="64"/>
      <c r="G1036" s="64"/>
      <c r="H1036" s="63"/>
      <c r="I1036" s="64"/>
      <c r="J1036" s="64"/>
      <c r="K1036" s="64"/>
      <c r="L1036" s="64"/>
      <c r="M1036" s="64"/>
      <c r="N1036" s="64"/>
      <c r="O1036" s="64"/>
      <c r="P1036" s="64"/>
      <c r="Q1036" s="64"/>
      <c r="R1036" s="65" t="str">
        <f>IF($A1036="","",IFERROR(MINIFS(Candidates!$K$2:$K$2000,Candidates!$A$2:$A$2000,$A1036),""))</f>
        <v/>
      </c>
      <c r="S1036" s="65" t="str">
        <f>IF($A1036="","",IFERROR(MAXIFS(Candidates!$AA$2:$AA$2000,Candidates!$A$2:$A$2000,$A1036),""))</f>
        <v/>
      </c>
      <c r="T1036" s="64" t="str">
        <f>IFERROR(__xludf.DUMMYFUNCTION("IF($A1036="""","""",IFERROR(TEXTJOIN("", "",TRUE,UNIQUE(FILTER(Candidates!$B$2:$B$2000,Candidates!$A$2:$A$2000=$A1036))),""""))"),"")</f>
        <v/>
      </c>
      <c r="U1036" s="66" t="str">
        <f>IF($A1036="","",COUNTIF(Candidates!$A$2:$A$2000,$A1036))</f>
        <v/>
      </c>
      <c r="V1036" s="64" t="str">
        <f>IFERROR(__xludf.DUMMYFUNCTION("IF($A1036="""","""",IFERROR(INDEX(FILTER(Candidates!$S$2:$S$2000,Candidates!$A$2:$A$2000=$A1036),COUNTIF(Candidates!$A$2:$A$2000,$A1036)),""""))"),"")</f>
        <v/>
      </c>
      <c r="W1036" s="64" t="str">
        <f>IFERROR(__xludf.DUMMYFUNCTION("IF($A1036="""","""",IFERROR(INDEX(FILTER(Candidates!$T$2:$T$2000,Candidates!$A$2:$A$2000=$A1036),COUNTIF(Candidates!$A$2:$A$2000,$A1036)),""""))"),"")</f>
        <v/>
      </c>
      <c r="X1036" s="64"/>
      <c r="Y1036" s="64"/>
      <c r="Z1036" s="65"/>
      <c r="AA1036" s="65"/>
      <c r="AB1036" s="65"/>
      <c r="AC1036" s="65"/>
    </row>
    <row r="1037">
      <c r="A1037" s="64"/>
      <c r="B1037" s="64"/>
      <c r="C1037" s="64"/>
      <c r="D1037" s="64"/>
      <c r="E1037" s="64"/>
      <c r="F1037" s="64"/>
      <c r="G1037" s="64"/>
      <c r="H1037" s="63"/>
      <c r="I1037" s="64"/>
      <c r="J1037" s="64"/>
      <c r="K1037" s="64"/>
      <c r="L1037" s="64"/>
      <c r="M1037" s="64"/>
      <c r="N1037" s="64"/>
      <c r="O1037" s="64"/>
      <c r="P1037" s="64"/>
      <c r="Q1037" s="64"/>
      <c r="R1037" s="65" t="str">
        <f>IF($A1037="","",IFERROR(MINIFS(Candidates!$K$2:$K$2000,Candidates!$A$2:$A$2000,$A1037),""))</f>
        <v/>
      </c>
      <c r="S1037" s="65" t="str">
        <f>IF($A1037="","",IFERROR(MAXIFS(Candidates!$AA$2:$AA$2000,Candidates!$A$2:$A$2000,$A1037),""))</f>
        <v/>
      </c>
      <c r="T1037" s="64" t="str">
        <f>IFERROR(__xludf.DUMMYFUNCTION("IF($A1037="""","""",IFERROR(TEXTJOIN("", "",TRUE,UNIQUE(FILTER(Candidates!$B$2:$B$2000,Candidates!$A$2:$A$2000=$A1037))),""""))"),"")</f>
        <v/>
      </c>
      <c r="U1037" s="66" t="str">
        <f>IF($A1037="","",COUNTIF(Candidates!$A$2:$A$2000,$A1037))</f>
        <v/>
      </c>
      <c r="V1037" s="64" t="str">
        <f>IFERROR(__xludf.DUMMYFUNCTION("IF($A1037="""","""",IFERROR(INDEX(FILTER(Candidates!$S$2:$S$2000,Candidates!$A$2:$A$2000=$A1037),COUNTIF(Candidates!$A$2:$A$2000,$A1037)),""""))"),"")</f>
        <v/>
      </c>
      <c r="W1037" s="64" t="str">
        <f>IFERROR(__xludf.DUMMYFUNCTION("IF($A1037="""","""",IFERROR(INDEX(FILTER(Candidates!$T$2:$T$2000,Candidates!$A$2:$A$2000=$A1037),COUNTIF(Candidates!$A$2:$A$2000,$A1037)),""""))"),"")</f>
        <v/>
      </c>
      <c r="X1037" s="64"/>
      <c r="Y1037" s="64"/>
      <c r="Z1037" s="65"/>
      <c r="AA1037" s="65"/>
      <c r="AB1037" s="65"/>
      <c r="AC1037" s="65"/>
    </row>
    <row r="1038">
      <c r="A1038" s="64"/>
      <c r="B1038" s="64"/>
      <c r="C1038" s="64"/>
      <c r="D1038" s="64"/>
      <c r="E1038" s="64"/>
      <c r="F1038" s="64"/>
      <c r="G1038" s="64"/>
      <c r="H1038" s="63"/>
      <c r="I1038" s="64"/>
      <c r="J1038" s="64"/>
      <c r="K1038" s="64"/>
      <c r="L1038" s="64"/>
      <c r="M1038" s="64"/>
      <c r="N1038" s="64"/>
      <c r="O1038" s="64"/>
      <c r="P1038" s="64"/>
      <c r="Q1038" s="64"/>
      <c r="R1038" s="65" t="str">
        <f>IF($A1038="","",IFERROR(MINIFS(Candidates!$K$2:$K$2000,Candidates!$A$2:$A$2000,$A1038),""))</f>
        <v/>
      </c>
      <c r="S1038" s="65" t="str">
        <f>IF($A1038="","",IFERROR(MAXIFS(Candidates!$AA$2:$AA$2000,Candidates!$A$2:$A$2000,$A1038),""))</f>
        <v/>
      </c>
      <c r="T1038" s="64" t="str">
        <f>IFERROR(__xludf.DUMMYFUNCTION("IF($A1038="""","""",IFERROR(TEXTJOIN("", "",TRUE,UNIQUE(FILTER(Candidates!$B$2:$B$2000,Candidates!$A$2:$A$2000=$A1038))),""""))"),"")</f>
        <v/>
      </c>
      <c r="U1038" s="66" t="str">
        <f>IF($A1038="","",COUNTIF(Candidates!$A$2:$A$2000,$A1038))</f>
        <v/>
      </c>
      <c r="V1038" s="64" t="str">
        <f>IFERROR(__xludf.DUMMYFUNCTION("IF($A1038="""","""",IFERROR(INDEX(FILTER(Candidates!$S$2:$S$2000,Candidates!$A$2:$A$2000=$A1038),COUNTIF(Candidates!$A$2:$A$2000,$A1038)),""""))"),"")</f>
        <v/>
      </c>
      <c r="W1038" s="64" t="str">
        <f>IFERROR(__xludf.DUMMYFUNCTION("IF($A1038="""","""",IFERROR(INDEX(FILTER(Candidates!$T$2:$T$2000,Candidates!$A$2:$A$2000=$A1038),COUNTIF(Candidates!$A$2:$A$2000,$A1038)),""""))"),"")</f>
        <v/>
      </c>
      <c r="X1038" s="64"/>
      <c r="Y1038" s="64"/>
      <c r="Z1038" s="65"/>
      <c r="AA1038" s="65"/>
      <c r="AB1038" s="65"/>
      <c r="AC1038" s="65"/>
    </row>
    <row r="1039">
      <c r="A1039" s="64"/>
      <c r="B1039" s="64"/>
      <c r="C1039" s="64"/>
      <c r="D1039" s="64"/>
      <c r="E1039" s="64"/>
      <c r="F1039" s="64"/>
      <c r="G1039" s="64"/>
      <c r="H1039" s="63"/>
      <c r="I1039" s="64"/>
      <c r="J1039" s="64"/>
      <c r="K1039" s="64"/>
      <c r="L1039" s="64"/>
      <c r="M1039" s="64"/>
      <c r="N1039" s="64"/>
      <c r="O1039" s="64"/>
      <c r="P1039" s="64"/>
      <c r="Q1039" s="64"/>
      <c r="R1039" s="65" t="str">
        <f>IF($A1039="","",IFERROR(MINIFS(Candidates!$K$2:$K$2000,Candidates!$A$2:$A$2000,$A1039),""))</f>
        <v/>
      </c>
      <c r="S1039" s="65" t="str">
        <f>IF($A1039="","",IFERROR(MAXIFS(Candidates!$AA$2:$AA$2000,Candidates!$A$2:$A$2000,$A1039),""))</f>
        <v/>
      </c>
      <c r="T1039" s="64" t="str">
        <f>IFERROR(__xludf.DUMMYFUNCTION("IF($A1039="""","""",IFERROR(TEXTJOIN("", "",TRUE,UNIQUE(FILTER(Candidates!$B$2:$B$2000,Candidates!$A$2:$A$2000=$A1039))),""""))"),"")</f>
        <v/>
      </c>
      <c r="U1039" s="66" t="str">
        <f>IF($A1039="","",COUNTIF(Candidates!$A$2:$A$2000,$A1039))</f>
        <v/>
      </c>
      <c r="V1039" s="64" t="str">
        <f>IFERROR(__xludf.DUMMYFUNCTION("IF($A1039="""","""",IFERROR(INDEX(FILTER(Candidates!$S$2:$S$2000,Candidates!$A$2:$A$2000=$A1039),COUNTIF(Candidates!$A$2:$A$2000,$A1039)),""""))"),"")</f>
        <v/>
      </c>
      <c r="W1039" s="64" t="str">
        <f>IFERROR(__xludf.DUMMYFUNCTION("IF($A1039="""","""",IFERROR(INDEX(FILTER(Candidates!$T$2:$T$2000,Candidates!$A$2:$A$2000=$A1039),COUNTIF(Candidates!$A$2:$A$2000,$A1039)),""""))"),"")</f>
        <v/>
      </c>
      <c r="X1039" s="64"/>
      <c r="Y1039" s="64"/>
      <c r="Z1039" s="65"/>
      <c r="AA1039" s="65"/>
      <c r="AB1039" s="65"/>
      <c r="AC1039" s="65"/>
    </row>
    <row r="1040">
      <c r="A1040" s="64"/>
      <c r="B1040" s="64"/>
      <c r="C1040" s="64"/>
      <c r="D1040" s="64"/>
      <c r="E1040" s="64"/>
      <c r="F1040" s="64"/>
      <c r="G1040" s="64"/>
      <c r="H1040" s="63"/>
      <c r="I1040" s="64"/>
      <c r="J1040" s="64"/>
      <c r="K1040" s="64"/>
      <c r="L1040" s="64"/>
      <c r="M1040" s="64"/>
      <c r="N1040" s="64"/>
      <c r="O1040" s="64"/>
      <c r="P1040" s="64"/>
      <c r="Q1040" s="64"/>
      <c r="R1040" s="65" t="str">
        <f>IF($A1040="","",IFERROR(MINIFS(Candidates!$K$2:$K$2000,Candidates!$A$2:$A$2000,$A1040),""))</f>
        <v/>
      </c>
      <c r="S1040" s="65" t="str">
        <f>IF($A1040="","",IFERROR(MAXIFS(Candidates!$AA$2:$AA$2000,Candidates!$A$2:$A$2000,$A1040),""))</f>
        <v/>
      </c>
      <c r="T1040" s="64" t="str">
        <f>IFERROR(__xludf.DUMMYFUNCTION("IF($A1040="""","""",IFERROR(TEXTJOIN("", "",TRUE,UNIQUE(FILTER(Candidates!$B$2:$B$2000,Candidates!$A$2:$A$2000=$A1040))),""""))"),"")</f>
        <v/>
      </c>
      <c r="U1040" s="66" t="str">
        <f>IF($A1040="","",COUNTIF(Candidates!$A$2:$A$2000,$A1040))</f>
        <v/>
      </c>
      <c r="V1040" s="64" t="str">
        <f>IFERROR(__xludf.DUMMYFUNCTION("IF($A1040="""","""",IFERROR(INDEX(FILTER(Candidates!$S$2:$S$2000,Candidates!$A$2:$A$2000=$A1040),COUNTIF(Candidates!$A$2:$A$2000,$A1040)),""""))"),"")</f>
        <v/>
      </c>
      <c r="W1040" s="64" t="str">
        <f>IFERROR(__xludf.DUMMYFUNCTION("IF($A1040="""","""",IFERROR(INDEX(FILTER(Candidates!$T$2:$T$2000,Candidates!$A$2:$A$2000=$A1040),COUNTIF(Candidates!$A$2:$A$2000,$A1040)),""""))"),"")</f>
        <v/>
      </c>
      <c r="X1040" s="64"/>
      <c r="Y1040" s="64"/>
      <c r="Z1040" s="65"/>
      <c r="AA1040" s="65"/>
      <c r="AB1040" s="65"/>
      <c r="AC1040" s="65"/>
    </row>
    <row r="1041">
      <c r="A1041" s="64"/>
      <c r="B1041" s="64"/>
      <c r="C1041" s="64"/>
      <c r="D1041" s="64"/>
      <c r="E1041" s="64"/>
      <c r="F1041" s="64"/>
      <c r="G1041" s="64"/>
      <c r="H1041" s="63"/>
      <c r="I1041" s="64"/>
      <c r="J1041" s="64"/>
      <c r="K1041" s="64"/>
      <c r="L1041" s="64"/>
      <c r="M1041" s="64"/>
      <c r="N1041" s="64"/>
      <c r="O1041" s="64"/>
      <c r="P1041" s="64"/>
      <c r="Q1041" s="64"/>
      <c r="R1041" s="65" t="str">
        <f>IF($A1041="","",IFERROR(MINIFS(Candidates!$K$2:$K$2000,Candidates!$A$2:$A$2000,$A1041),""))</f>
        <v/>
      </c>
      <c r="S1041" s="65" t="str">
        <f>IF($A1041="","",IFERROR(MAXIFS(Candidates!$AA$2:$AA$2000,Candidates!$A$2:$A$2000,$A1041),""))</f>
        <v/>
      </c>
      <c r="T1041" s="64" t="str">
        <f>IFERROR(__xludf.DUMMYFUNCTION("IF($A1041="""","""",IFERROR(TEXTJOIN("", "",TRUE,UNIQUE(FILTER(Candidates!$B$2:$B$2000,Candidates!$A$2:$A$2000=$A1041))),""""))"),"")</f>
        <v/>
      </c>
      <c r="U1041" s="66" t="str">
        <f>IF($A1041="","",COUNTIF(Candidates!$A$2:$A$2000,$A1041))</f>
        <v/>
      </c>
      <c r="V1041" s="64" t="str">
        <f>IFERROR(__xludf.DUMMYFUNCTION("IF($A1041="""","""",IFERROR(INDEX(FILTER(Candidates!$S$2:$S$2000,Candidates!$A$2:$A$2000=$A1041),COUNTIF(Candidates!$A$2:$A$2000,$A1041)),""""))"),"")</f>
        <v/>
      </c>
      <c r="W1041" s="64" t="str">
        <f>IFERROR(__xludf.DUMMYFUNCTION("IF($A1041="""","""",IFERROR(INDEX(FILTER(Candidates!$T$2:$T$2000,Candidates!$A$2:$A$2000=$A1041),COUNTIF(Candidates!$A$2:$A$2000,$A1041)),""""))"),"")</f>
        <v/>
      </c>
      <c r="X1041" s="64"/>
      <c r="Y1041" s="64"/>
      <c r="Z1041" s="65"/>
      <c r="AA1041" s="65"/>
      <c r="AB1041" s="65"/>
      <c r="AC1041" s="65"/>
    </row>
    <row r="1042">
      <c r="A1042" s="64"/>
      <c r="B1042" s="64"/>
      <c r="C1042" s="64"/>
      <c r="D1042" s="64"/>
      <c r="E1042" s="64"/>
      <c r="F1042" s="64"/>
      <c r="G1042" s="64"/>
      <c r="H1042" s="63"/>
      <c r="I1042" s="64"/>
      <c r="J1042" s="64"/>
      <c r="K1042" s="64"/>
      <c r="L1042" s="64"/>
      <c r="M1042" s="64"/>
      <c r="N1042" s="64"/>
      <c r="O1042" s="64"/>
      <c r="P1042" s="64"/>
      <c r="Q1042" s="64"/>
      <c r="R1042" s="65" t="str">
        <f>IF($A1042="","",IFERROR(MINIFS(Candidates!$K$2:$K$2000,Candidates!$A$2:$A$2000,$A1042),""))</f>
        <v/>
      </c>
      <c r="S1042" s="65" t="str">
        <f>IF($A1042="","",IFERROR(MAXIFS(Candidates!$AA$2:$AA$2000,Candidates!$A$2:$A$2000,$A1042),""))</f>
        <v/>
      </c>
      <c r="T1042" s="64" t="str">
        <f>IFERROR(__xludf.DUMMYFUNCTION("IF($A1042="""","""",IFERROR(TEXTJOIN("", "",TRUE,UNIQUE(FILTER(Candidates!$B$2:$B$2000,Candidates!$A$2:$A$2000=$A1042))),""""))"),"")</f>
        <v/>
      </c>
      <c r="U1042" s="66" t="str">
        <f>IF($A1042="","",COUNTIF(Candidates!$A$2:$A$2000,$A1042))</f>
        <v/>
      </c>
      <c r="V1042" s="64" t="str">
        <f>IFERROR(__xludf.DUMMYFUNCTION("IF($A1042="""","""",IFERROR(INDEX(FILTER(Candidates!$S$2:$S$2000,Candidates!$A$2:$A$2000=$A1042),COUNTIF(Candidates!$A$2:$A$2000,$A1042)),""""))"),"")</f>
        <v/>
      </c>
      <c r="W1042" s="64" t="str">
        <f>IFERROR(__xludf.DUMMYFUNCTION("IF($A1042="""","""",IFERROR(INDEX(FILTER(Candidates!$T$2:$T$2000,Candidates!$A$2:$A$2000=$A1042),COUNTIF(Candidates!$A$2:$A$2000,$A1042)),""""))"),"")</f>
        <v/>
      </c>
      <c r="X1042" s="64"/>
      <c r="Y1042" s="64"/>
      <c r="Z1042" s="65"/>
      <c r="AA1042" s="65"/>
      <c r="AB1042" s="65"/>
      <c r="AC1042" s="65"/>
    </row>
    <row r="1043">
      <c r="A1043" s="64"/>
      <c r="B1043" s="64"/>
      <c r="C1043" s="64"/>
      <c r="D1043" s="64"/>
      <c r="E1043" s="64"/>
      <c r="F1043" s="64"/>
      <c r="G1043" s="64"/>
      <c r="H1043" s="63"/>
      <c r="I1043" s="64"/>
      <c r="J1043" s="64"/>
      <c r="K1043" s="64"/>
      <c r="L1043" s="64"/>
      <c r="M1043" s="64"/>
      <c r="N1043" s="64"/>
      <c r="O1043" s="64"/>
      <c r="P1043" s="64"/>
      <c r="Q1043" s="64"/>
      <c r="R1043" s="65" t="str">
        <f>IF($A1043="","",IFERROR(MINIFS(Candidates!$K$2:$K$2000,Candidates!$A$2:$A$2000,$A1043),""))</f>
        <v/>
      </c>
      <c r="S1043" s="65" t="str">
        <f>IF($A1043="","",IFERROR(MAXIFS(Candidates!$AA$2:$AA$2000,Candidates!$A$2:$A$2000,$A1043),""))</f>
        <v/>
      </c>
      <c r="T1043" s="64" t="str">
        <f>IFERROR(__xludf.DUMMYFUNCTION("IF($A1043="""","""",IFERROR(TEXTJOIN("", "",TRUE,UNIQUE(FILTER(Candidates!$B$2:$B$2000,Candidates!$A$2:$A$2000=$A1043))),""""))"),"")</f>
        <v/>
      </c>
      <c r="U1043" s="66" t="str">
        <f>IF($A1043="","",COUNTIF(Candidates!$A$2:$A$2000,$A1043))</f>
        <v/>
      </c>
      <c r="V1043" s="64" t="str">
        <f>IFERROR(__xludf.DUMMYFUNCTION("IF($A1043="""","""",IFERROR(INDEX(FILTER(Candidates!$S$2:$S$2000,Candidates!$A$2:$A$2000=$A1043),COUNTIF(Candidates!$A$2:$A$2000,$A1043)),""""))"),"")</f>
        <v/>
      </c>
      <c r="W1043" s="64" t="str">
        <f>IFERROR(__xludf.DUMMYFUNCTION("IF($A1043="""","""",IFERROR(INDEX(FILTER(Candidates!$T$2:$T$2000,Candidates!$A$2:$A$2000=$A1043),COUNTIF(Candidates!$A$2:$A$2000,$A1043)),""""))"),"")</f>
        <v/>
      </c>
      <c r="X1043" s="64"/>
      <c r="Y1043" s="64"/>
      <c r="Z1043" s="65"/>
      <c r="AA1043" s="65"/>
      <c r="AB1043" s="65"/>
      <c r="AC1043" s="65"/>
    </row>
    <row r="1044">
      <c r="A1044" s="64"/>
      <c r="B1044" s="64"/>
      <c r="C1044" s="64"/>
      <c r="D1044" s="64"/>
      <c r="E1044" s="64"/>
      <c r="F1044" s="64"/>
      <c r="G1044" s="64"/>
      <c r="H1044" s="63"/>
      <c r="I1044" s="64"/>
      <c r="J1044" s="64"/>
      <c r="K1044" s="64"/>
      <c r="L1044" s="64"/>
      <c r="M1044" s="64"/>
      <c r="N1044" s="64"/>
      <c r="O1044" s="64"/>
      <c r="P1044" s="64"/>
      <c r="Q1044" s="64"/>
      <c r="R1044" s="65" t="str">
        <f>IF($A1044="","",IFERROR(MINIFS(Candidates!$K$2:$K$2000,Candidates!$A$2:$A$2000,$A1044),""))</f>
        <v/>
      </c>
      <c r="S1044" s="65" t="str">
        <f>IF($A1044="","",IFERROR(MAXIFS(Candidates!$AA$2:$AA$2000,Candidates!$A$2:$A$2000,$A1044),""))</f>
        <v/>
      </c>
      <c r="T1044" s="64" t="str">
        <f>IFERROR(__xludf.DUMMYFUNCTION("IF($A1044="""","""",IFERROR(TEXTJOIN("", "",TRUE,UNIQUE(FILTER(Candidates!$B$2:$B$2000,Candidates!$A$2:$A$2000=$A1044))),""""))"),"")</f>
        <v/>
      </c>
      <c r="U1044" s="66" t="str">
        <f>IF($A1044="","",COUNTIF(Candidates!$A$2:$A$2000,$A1044))</f>
        <v/>
      </c>
      <c r="V1044" s="64" t="str">
        <f>IFERROR(__xludf.DUMMYFUNCTION("IF($A1044="""","""",IFERROR(INDEX(FILTER(Candidates!$S$2:$S$2000,Candidates!$A$2:$A$2000=$A1044),COUNTIF(Candidates!$A$2:$A$2000,$A1044)),""""))"),"")</f>
        <v/>
      </c>
      <c r="W1044" s="64" t="str">
        <f>IFERROR(__xludf.DUMMYFUNCTION("IF($A1044="""","""",IFERROR(INDEX(FILTER(Candidates!$T$2:$T$2000,Candidates!$A$2:$A$2000=$A1044),COUNTIF(Candidates!$A$2:$A$2000,$A1044)),""""))"),"")</f>
        <v/>
      </c>
      <c r="X1044" s="64"/>
      <c r="Y1044" s="64"/>
      <c r="Z1044" s="65"/>
      <c r="AA1044" s="65"/>
      <c r="AB1044" s="65"/>
      <c r="AC1044" s="65"/>
    </row>
    <row r="1045">
      <c r="A1045" s="64"/>
      <c r="B1045" s="64"/>
      <c r="C1045" s="64"/>
      <c r="D1045" s="64"/>
      <c r="E1045" s="64"/>
      <c r="F1045" s="64"/>
      <c r="G1045" s="64"/>
      <c r="H1045" s="63"/>
      <c r="I1045" s="64"/>
      <c r="J1045" s="64"/>
      <c r="K1045" s="64"/>
      <c r="L1045" s="64"/>
      <c r="M1045" s="64"/>
      <c r="N1045" s="64"/>
      <c r="O1045" s="64"/>
      <c r="P1045" s="64"/>
      <c r="Q1045" s="64"/>
      <c r="R1045" s="65" t="str">
        <f>IF($A1045="","",IFERROR(MINIFS(Candidates!$K$2:$K$2000,Candidates!$A$2:$A$2000,$A1045),""))</f>
        <v/>
      </c>
      <c r="S1045" s="65" t="str">
        <f>IF($A1045="","",IFERROR(MAXIFS(Candidates!$AA$2:$AA$2000,Candidates!$A$2:$A$2000,$A1045),""))</f>
        <v/>
      </c>
      <c r="T1045" s="64" t="str">
        <f>IFERROR(__xludf.DUMMYFUNCTION("IF($A1045="""","""",IFERROR(TEXTJOIN("", "",TRUE,UNIQUE(FILTER(Candidates!$B$2:$B$2000,Candidates!$A$2:$A$2000=$A1045))),""""))"),"")</f>
        <v/>
      </c>
      <c r="U1045" s="66" t="str">
        <f>IF($A1045="","",COUNTIF(Candidates!$A$2:$A$2000,$A1045))</f>
        <v/>
      </c>
      <c r="V1045" s="64" t="str">
        <f>IFERROR(__xludf.DUMMYFUNCTION("IF($A1045="""","""",IFERROR(INDEX(FILTER(Candidates!$S$2:$S$2000,Candidates!$A$2:$A$2000=$A1045),COUNTIF(Candidates!$A$2:$A$2000,$A1045)),""""))"),"")</f>
        <v/>
      </c>
      <c r="W1045" s="64" t="str">
        <f>IFERROR(__xludf.DUMMYFUNCTION("IF($A1045="""","""",IFERROR(INDEX(FILTER(Candidates!$T$2:$T$2000,Candidates!$A$2:$A$2000=$A1045),COUNTIF(Candidates!$A$2:$A$2000,$A1045)),""""))"),"")</f>
        <v/>
      </c>
      <c r="X1045" s="64"/>
      <c r="Y1045" s="64"/>
      <c r="Z1045" s="65"/>
      <c r="AA1045" s="65"/>
      <c r="AB1045" s="65"/>
      <c r="AC1045" s="65"/>
    </row>
    <row r="1046">
      <c r="A1046" s="64"/>
      <c r="B1046" s="64"/>
      <c r="C1046" s="64"/>
      <c r="D1046" s="64"/>
      <c r="E1046" s="64"/>
      <c r="F1046" s="64"/>
      <c r="G1046" s="64"/>
      <c r="H1046" s="63"/>
      <c r="I1046" s="64"/>
      <c r="J1046" s="64"/>
      <c r="K1046" s="64"/>
      <c r="L1046" s="64"/>
      <c r="M1046" s="64"/>
      <c r="N1046" s="64"/>
      <c r="O1046" s="64"/>
      <c r="P1046" s="64"/>
      <c r="Q1046" s="64"/>
      <c r="R1046" s="65" t="str">
        <f>IF($A1046="","",IFERROR(MINIFS(Candidates!$K$2:$K$2000,Candidates!$A$2:$A$2000,$A1046),""))</f>
        <v/>
      </c>
      <c r="S1046" s="65" t="str">
        <f>IF($A1046="","",IFERROR(MAXIFS(Candidates!$AA$2:$AA$2000,Candidates!$A$2:$A$2000,$A1046),""))</f>
        <v/>
      </c>
      <c r="T1046" s="64" t="str">
        <f>IFERROR(__xludf.DUMMYFUNCTION("IF($A1046="""","""",IFERROR(TEXTJOIN("", "",TRUE,UNIQUE(FILTER(Candidates!$B$2:$B$2000,Candidates!$A$2:$A$2000=$A1046))),""""))"),"")</f>
        <v/>
      </c>
      <c r="U1046" s="66" t="str">
        <f>IF($A1046="","",COUNTIF(Candidates!$A$2:$A$2000,$A1046))</f>
        <v/>
      </c>
      <c r="V1046" s="64" t="str">
        <f>IFERROR(__xludf.DUMMYFUNCTION("IF($A1046="""","""",IFERROR(INDEX(FILTER(Candidates!$S$2:$S$2000,Candidates!$A$2:$A$2000=$A1046),COUNTIF(Candidates!$A$2:$A$2000,$A1046)),""""))"),"")</f>
        <v/>
      </c>
      <c r="W1046" s="64" t="str">
        <f>IFERROR(__xludf.DUMMYFUNCTION("IF($A1046="""","""",IFERROR(INDEX(FILTER(Candidates!$T$2:$T$2000,Candidates!$A$2:$A$2000=$A1046),COUNTIF(Candidates!$A$2:$A$2000,$A1046)),""""))"),"")</f>
        <v/>
      </c>
      <c r="X1046" s="64"/>
      <c r="Y1046" s="64"/>
      <c r="Z1046" s="65"/>
      <c r="AA1046" s="65"/>
      <c r="AB1046" s="65"/>
      <c r="AC1046" s="65"/>
    </row>
    <row r="1047">
      <c r="A1047" s="64"/>
      <c r="B1047" s="64"/>
      <c r="C1047" s="64"/>
      <c r="D1047" s="64"/>
      <c r="E1047" s="64"/>
      <c r="F1047" s="64"/>
      <c r="G1047" s="64"/>
      <c r="H1047" s="63"/>
      <c r="I1047" s="64"/>
      <c r="J1047" s="64"/>
      <c r="K1047" s="64"/>
      <c r="L1047" s="64"/>
      <c r="M1047" s="64"/>
      <c r="N1047" s="64"/>
      <c r="O1047" s="64"/>
      <c r="P1047" s="64"/>
      <c r="Q1047" s="64"/>
      <c r="R1047" s="65" t="str">
        <f>IF($A1047="","",IFERROR(MINIFS(Candidates!$K$2:$K$2000,Candidates!$A$2:$A$2000,$A1047),""))</f>
        <v/>
      </c>
      <c r="S1047" s="65" t="str">
        <f>IF($A1047="","",IFERROR(MAXIFS(Candidates!$AA$2:$AA$2000,Candidates!$A$2:$A$2000,$A1047),""))</f>
        <v/>
      </c>
      <c r="T1047" s="64" t="str">
        <f>IFERROR(__xludf.DUMMYFUNCTION("IF($A1047="""","""",IFERROR(TEXTJOIN("", "",TRUE,UNIQUE(FILTER(Candidates!$B$2:$B$2000,Candidates!$A$2:$A$2000=$A1047))),""""))"),"")</f>
        <v/>
      </c>
      <c r="U1047" s="66" t="str">
        <f>IF($A1047="","",COUNTIF(Candidates!$A$2:$A$2000,$A1047))</f>
        <v/>
      </c>
      <c r="V1047" s="64" t="str">
        <f>IFERROR(__xludf.DUMMYFUNCTION("IF($A1047="""","""",IFERROR(INDEX(FILTER(Candidates!$S$2:$S$2000,Candidates!$A$2:$A$2000=$A1047),COUNTIF(Candidates!$A$2:$A$2000,$A1047)),""""))"),"")</f>
        <v/>
      </c>
      <c r="W1047" s="64" t="str">
        <f>IFERROR(__xludf.DUMMYFUNCTION("IF($A1047="""","""",IFERROR(INDEX(FILTER(Candidates!$T$2:$T$2000,Candidates!$A$2:$A$2000=$A1047),COUNTIF(Candidates!$A$2:$A$2000,$A1047)),""""))"),"")</f>
        <v/>
      </c>
      <c r="X1047" s="64"/>
      <c r="Y1047" s="64"/>
      <c r="Z1047" s="65"/>
      <c r="AA1047" s="65"/>
      <c r="AB1047" s="65"/>
      <c r="AC1047" s="65"/>
    </row>
    <row r="1048">
      <c r="A1048" s="64"/>
      <c r="B1048" s="64"/>
      <c r="C1048" s="64"/>
      <c r="D1048" s="64"/>
      <c r="E1048" s="64"/>
      <c r="F1048" s="64"/>
      <c r="G1048" s="64"/>
      <c r="H1048" s="63"/>
      <c r="I1048" s="64"/>
      <c r="J1048" s="64"/>
      <c r="K1048" s="64"/>
      <c r="L1048" s="64"/>
      <c r="M1048" s="64"/>
      <c r="N1048" s="64"/>
      <c r="O1048" s="64"/>
      <c r="P1048" s="64"/>
      <c r="Q1048" s="64"/>
      <c r="R1048" s="65" t="str">
        <f>IF($A1048="","",IFERROR(MINIFS(Candidates!$K$2:$K$2000,Candidates!$A$2:$A$2000,$A1048),""))</f>
        <v/>
      </c>
      <c r="S1048" s="65" t="str">
        <f>IF($A1048="","",IFERROR(MAXIFS(Candidates!$AA$2:$AA$2000,Candidates!$A$2:$A$2000,$A1048),""))</f>
        <v/>
      </c>
      <c r="T1048" s="64" t="str">
        <f>IFERROR(__xludf.DUMMYFUNCTION("IF($A1048="""","""",IFERROR(TEXTJOIN("", "",TRUE,UNIQUE(FILTER(Candidates!$B$2:$B$2000,Candidates!$A$2:$A$2000=$A1048))),""""))"),"")</f>
        <v/>
      </c>
      <c r="U1048" s="66" t="str">
        <f>IF($A1048="","",COUNTIF(Candidates!$A$2:$A$2000,$A1048))</f>
        <v/>
      </c>
      <c r="V1048" s="64" t="str">
        <f>IFERROR(__xludf.DUMMYFUNCTION("IF($A1048="""","""",IFERROR(INDEX(FILTER(Candidates!$S$2:$S$2000,Candidates!$A$2:$A$2000=$A1048),COUNTIF(Candidates!$A$2:$A$2000,$A1048)),""""))"),"")</f>
        <v/>
      </c>
      <c r="W1048" s="64" t="str">
        <f>IFERROR(__xludf.DUMMYFUNCTION("IF($A1048="""","""",IFERROR(INDEX(FILTER(Candidates!$T$2:$T$2000,Candidates!$A$2:$A$2000=$A1048),COUNTIF(Candidates!$A$2:$A$2000,$A1048)),""""))"),"")</f>
        <v/>
      </c>
      <c r="X1048" s="64"/>
      <c r="Y1048" s="64"/>
      <c r="Z1048" s="65"/>
      <c r="AA1048" s="65"/>
      <c r="AB1048" s="65"/>
      <c r="AC1048" s="65"/>
    </row>
    <row r="1049">
      <c r="A1049" s="64"/>
      <c r="B1049" s="64"/>
      <c r="C1049" s="64"/>
      <c r="D1049" s="64"/>
      <c r="E1049" s="64"/>
      <c r="F1049" s="64"/>
      <c r="G1049" s="64"/>
      <c r="H1049" s="63"/>
      <c r="I1049" s="64"/>
      <c r="J1049" s="64"/>
      <c r="K1049" s="64"/>
      <c r="L1049" s="64"/>
      <c r="M1049" s="64"/>
      <c r="N1049" s="64"/>
      <c r="O1049" s="64"/>
      <c r="P1049" s="64"/>
      <c r="Q1049" s="64"/>
      <c r="R1049" s="65" t="str">
        <f>IF($A1049="","",IFERROR(MINIFS(Candidates!$K$2:$K$2000,Candidates!$A$2:$A$2000,$A1049),""))</f>
        <v/>
      </c>
      <c r="S1049" s="65" t="str">
        <f>IF($A1049="","",IFERROR(MAXIFS(Candidates!$AA$2:$AA$2000,Candidates!$A$2:$A$2000,$A1049),""))</f>
        <v/>
      </c>
      <c r="T1049" s="64" t="str">
        <f>IFERROR(__xludf.DUMMYFUNCTION("IF($A1049="""","""",IFERROR(TEXTJOIN("", "",TRUE,UNIQUE(FILTER(Candidates!$B$2:$B$2000,Candidates!$A$2:$A$2000=$A1049))),""""))"),"")</f>
        <v/>
      </c>
      <c r="U1049" s="66" t="str">
        <f>IF($A1049="","",COUNTIF(Candidates!$A$2:$A$2000,$A1049))</f>
        <v/>
      </c>
      <c r="V1049" s="64" t="str">
        <f>IFERROR(__xludf.DUMMYFUNCTION("IF($A1049="""","""",IFERROR(INDEX(FILTER(Candidates!$S$2:$S$2000,Candidates!$A$2:$A$2000=$A1049),COUNTIF(Candidates!$A$2:$A$2000,$A1049)),""""))"),"")</f>
        <v/>
      </c>
      <c r="W1049" s="64" t="str">
        <f>IFERROR(__xludf.DUMMYFUNCTION("IF($A1049="""","""",IFERROR(INDEX(FILTER(Candidates!$T$2:$T$2000,Candidates!$A$2:$A$2000=$A1049),COUNTIF(Candidates!$A$2:$A$2000,$A1049)),""""))"),"")</f>
        <v/>
      </c>
      <c r="X1049" s="64"/>
      <c r="Y1049" s="64"/>
      <c r="Z1049" s="65"/>
      <c r="AA1049" s="65"/>
      <c r="AB1049" s="65"/>
      <c r="AC1049" s="65"/>
    </row>
    <row r="1050">
      <c r="A1050" s="64"/>
      <c r="B1050" s="64"/>
      <c r="C1050" s="64"/>
      <c r="D1050" s="64"/>
      <c r="E1050" s="64"/>
      <c r="F1050" s="64"/>
      <c r="G1050" s="64"/>
      <c r="H1050" s="63"/>
      <c r="I1050" s="64"/>
      <c r="J1050" s="64"/>
      <c r="K1050" s="64"/>
      <c r="L1050" s="64"/>
      <c r="M1050" s="64"/>
      <c r="N1050" s="64"/>
      <c r="O1050" s="64"/>
      <c r="P1050" s="64"/>
      <c r="Q1050" s="64"/>
      <c r="R1050" s="65" t="str">
        <f>IF($A1050="","",IFERROR(MINIFS(Candidates!$K$2:$K$2000,Candidates!$A$2:$A$2000,$A1050),""))</f>
        <v/>
      </c>
      <c r="S1050" s="65" t="str">
        <f>IF($A1050="","",IFERROR(MAXIFS(Candidates!$AA$2:$AA$2000,Candidates!$A$2:$A$2000,$A1050),""))</f>
        <v/>
      </c>
      <c r="T1050" s="64" t="str">
        <f>IFERROR(__xludf.DUMMYFUNCTION("IF($A1050="""","""",IFERROR(TEXTJOIN("", "",TRUE,UNIQUE(FILTER(Candidates!$B$2:$B$2000,Candidates!$A$2:$A$2000=$A1050))),""""))"),"")</f>
        <v/>
      </c>
      <c r="U1050" s="66" t="str">
        <f>IF($A1050="","",COUNTIF(Candidates!$A$2:$A$2000,$A1050))</f>
        <v/>
      </c>
      <c r="V1050" s="64" t="str">
        <f>IFERROR(__xludf.DUMMYFUNCTION("IF($A1050="""","""",IFERROR(INDEX(FILTER(Candidates!$S$2:$S$2000,Candidates!$A$2:$A$2000=$A1050),COUNTIF(Candidates!$A$2:$A$2000,$A1050)),""""))"),"")</f>
        <v/>
      </c>
      <c r="W1050" s="64" t="str">
        <f>IFERROR(__xludf.DUMMYFUNCTION("IF($A1050="""","""",IFERROR(INDEX(FILTER(Candidates!$T$2:$T$2000,Candidates!$A$2:$A$2000=$A1050),COUNTIF(Candidates!$A$2:$A$2000,$A1050)),""""))"),"")</f>
        <v/>
      </c>
      <c r="X1050" s="64"/>
      <c r="Y1050" s="64"/>
      <c r="Z1050" s="65"/>
      <c r="AA1050" s="65"/>
      <c r="AB1050" s="65"/>
      <c r="AC1050" s="65"/>
    </row>
    <row r="1051">
      <c r="A1051" s="64"/>
      <c r="B1051" s="64"/>
      <c r="C1051" s="64"/>
      <c r="D1051" s="64"/>
      <c r="E1051" s="64"/>
      <c r="F1051" s="64"/>
      <c r="G1051" s="64"/>
      <c r="H1051" s="63"/>
      <c r="I1051" s="64"/>
      <c r="J1051" s="64"/>
      <c r="K1051" s="64"/>
      <c r="L1051" s="64"/>
      <c r="M1051" s="64"/>
      <c r="N1051" s="64"/>
      <c r="O1051" s="64"/>
      <c r="P1051" s="64"/>
      <c r="Q1051" s="64"/>
      <c r="R1051" s="65" t="str">
        <f>IF($A1051="","",IFERROR(MINIFS(Candidates!$K$2:$K$2000,Candidates!$A$2:$A$2000,$A1051),""))</f>
        <v/>
      </c>
      <c r="S1051" s="65" t="str">
        <f>IF($A1051="","",IFERROR(MAXIFS(Candidates!$AA$2:$AA$2000,Candidates!$A$2:$A$2000,$A1051),""))</f>
        <v/>
      </c>
      <c r="T1051" s="64" t="str">
        <f>IFERROR(__xludf.DUMMYFUNCTION("IF($A1051="""","""",IFERROR(TEXTJOIN("", "",TRUE,UNIQUE(FILTER(Candidates!$B$2:$B$2000,Candidates!$A$2:$A$2000=$A1051))),""""))"),"")</f>
        <v/>
      </c>
      <c r="U1051" s="66" t="str">
        <f>IF($A1051="","",COUNTIF(Candidates!$A$2:$A$2000,$A1051))</f>
        <v/>
      </c>
      <c r="V1051" s="64" t="str">
        <f>IFERROR(__xludf.DUMMYFUNCTION("IF($A1051="""","""",IFERROR(INDEX(FILTER(Candidates!$S$2:$S$2000,Candidates!$A$2:$A$2000=$A1051),COUNTIF(Candidates!$A$2:$A$2000,$A1051)),""""))"),"")</f>
        <v/>
      </c>
      <c r="W1051" s="64" t="str">
        <f>IFERROR(__xludf.DUMMYFUNCTION("IF($A1051="""","""",IFERROR(INDEX(FILTER(Candidates!$T$2:$T$2000,Candidates!$A$2:$A$2000=$A1051),COUNTIF(Candidates!$A$2:$A$2000,$A1051)),""""))"),"")</f>
        <v/>
      </c>
      <c r="X1051" s="64"/>
      <c r="Y1051" s="64"/>
      <c r="Z1051" s="65"/>
      <c r="AA1051" s="65"/>
      <c r="AB1051" s="65"/>
      <c r="AC1051" s="65"/>
    </row>
    <row r="1052">
      <c r="A1052" s="64"/>
      <c r="B1052" s="64"/>
      <c r="C1052" s="64"/>
      <c r="D1052" s="64"/>
      <c r="E1052" s="64"/>
      <c r="F1052" s="64"/>
      <c r="G1052" s="64"/>
      <c r="H1052" s="63"/>
      <c r="I1052" s="64"/>
      <c r="J1052" s="64"/>
      <c r="K1052" s="64"/>
      <c r="L1052" s="64"/>
      <c r="M1052" s="64"/>
      <c r="N1052" s="64"/>
      <c r="O1052" s="64"/>
      <c r="P1052" s="64"/>
      <c r="Q1052" s="64"/>
      <c r="R1052" s="65" t="str">
        <f>IF($A1052="","",IFERROR(MINIFS(Candidates!$K$2:$K$2000,Candidates!$A$2:$A$2000,$A1052),""))</f>
        <v/>
      </c>
      <c r="S1052" s="65" t="str">
        <f>IF($A1052="","",IFERROR(MAXIFS(Candidates!$AA$2:$AA$2000,Candidates!$A$2:$A$2000,$A1052),""))</f>
        <v/>
      </c>
      <c r="T1052" s="64" t="str">
        <f>IFERROR(__xludf.DUMMYFUNCTION("IF($A1052="""","""",IFERROR(TEXTJOIN("", "",TRUE,UNIQUE(FILTER(Candidates!$B$2:$B$2000,Candidates!$A$2:$A$2000=$A1052))),""""))"),"")</f>
        <v/>
      </c>
      <c r="U1052" s="66" t="str">
        <f>IF($A1052="","",COUNTIF(Candidates!$A$2:$A$2000,$A1052))</f>
        <v/>
      </c>
      <c r="V1052" s="64" t="str">
        <f>IFERROR(__xludf.DUMMYFUNCTION("IF($A1052="""","""",IFERROR(INDEX(FILTER(Candidates!$S$2:$S$2000,Candidates!$A$2:$A$2000=$A1052),COUNTIF(Candidates!$A$2:$A$2000,$A1052)),""""))"),"")</f>
        <v/>
      </c>
      <c r="W1052" s="64" t="str">
        <f>IFERROR(__xludf.DUMMYFUNCTION("IF($A1052="""","""",IFERROR(INDEX(FILTER(Candidates!$T$2:$T$2000,Candidates!$A$2:$A$2000=$A1052),COUNTIF(Candidates!$A$2:$A$2000,$A1052)),""""))"),"")</f>
        <v/>
      </c>
      <c r="X1052" s="64"/>
      <c r="Y1052" s="64"/>
      <c r="Z1052" s="65"/>
      <c r="AA1052" s="65"/>
      <c r="AB1052" s="65"/>
      <c r="AC1052" s="65"/>
    </row>
    <row r="1053">
      <c r="A1053" s="64"/>
      <c r="B1053" s="64"/>
      <c r="C1053" s="64"/>
      <c r="D1053" s="64"/>
      <c r="E1053" s="64"/>
      <c r="F1053" s="64"/>
      <c r="G1053" s="64"/>
      <c r="H1053" s="63"/>
      <c r="I1053" s="64"/>
      <c r="J1053" s="64"/>
      <c r="K1053" s="64"/>
      <c r="L1053" s="64"/>
      <c r="M1053" s="64"/>
      <c r="N1053" s="64"/>
      <c r="O1053" s="64"/>
      <c r="P1053" s="64"/>
      <c r="Q1053" s="64"/>
      <c r="R1053" s="65" t="str">
        <f>IF($A1053="","",IFERROR(MINIFS(Candidates!$K$2:$K$2000,Candidates!$A$2:$A$2000,$A1053),""))</f>
        <v/>
      </c>
      <c r="S1053" s="65" t="str">
        <f>IF($A1053="","",IFERROR(MAXIFS(Candidates!$AA$2:$AA$2000,Candidates!$A$2:$A$2000,$A1053),""))</f>
        <v/>
      </c>
      <c r="T1053" s="64" t="str">
        <f>IFERROR(__xludf.DUMMYFUNCTION("IF($A1053="""","""",IFERROR(TEXTJOIN("", "",TRUE,UNIQUE(FILTER(Candidates!$B$2:$B$2000,Candidates!$A$2:$A$2000=$A1053))),""""))"),"")</f>
        <v/>
      </c>
      <c r="U1053" s="66" t="str">
        <f>IF($A1053="","",COUNTIF(Candidates!$A$2:$A$2000,$A1053))</f>
        <v/>
      </c>
      <c r="V1053" s="64" t="str">
        <f>IFERROR(__xludf.DUMMYFUNCTION("IF($A1053="""","""",IFERROR(INDEX(FILTER(Candidates!$S$2:$S$2000,Candidates!$A$2:$A$2000=$A1053),COUNTIF(Candidates!$A$2:$A$2000,$A1053)),""""))"),"")</f>
        <v/>
      </c>
      <c r="W1053" s="64" t="str">
        <f>IFERROR(__xludf.DUMMYFUNCTION("IF($A1053="""","""",IFERROR(INDEX(FILTER(Candidates!$T$2:$T$2000,Candidates!$A$2:$A$2000=$A1053),COUNTIF(Candidates!$A$2:$A$2000,$A1053)),""""))"),"")</f>
        <v/>
      </c>
      <c r="X1053" s="64"/>
      <c r="Y1053" s="64"/>
      <c r="Z1053" s="65"/>
      <c r="AA1053" s="65"/>
      <c r="AB1053" s="65"/>
      <c r="AC1053" s="65"/>
    </row>
    <row r="1054">
      <c r="A1054" s="64"/>
      <c r="B1054" s="64"/>
      <c r="C1054" s="64"/>
      <c r="D1054" s="64"/>
      <c r="E1054" s="64"/>
      <c r="F1054" s="64"/>
      <c r="G1054" s="64"/>
      <c r="H1054" s="63"/>
      <c r="I1054" s="64"/>
      <c r="J1054" s="64"/>
      <c r="K1054" s="64"/>
      <c r="L1054" s="64"/>
      <c r="M1054" s="64"/>
      <c r="N1054" s="64"/>
      <c r="O1054" s="64"/>
      <c r="P1054" s="64"/>
      <c r="Q1054" s="64"/>
      <c r="R1054" s="65" t="str">
        <f>IF($A1054="","",IFERROR(MINIFS(Candidates!$K$2:$K$2000,Candidates!$A$2:$A$2000,$A1054),""))</f>
        <v/>
      </c>
      <c r="S1054" s="65" t="str">
        <f>IF($A1054="","",IFERROR(MAXIFS(Candidates!$AA$2:$AA$2000,Candidates!$A$2:$A$2000,$A1054),""))</f>
        <v/>
      </c>
      <c r="T1054" s="64" t="str">
        <f>IFERROR(__xludf.DUMMYFUNCTION("IF($A1054="""","""",IFERROR(TEXTJOIN("", "",TRUE,UNIQUE(FILTER(Candidates!$B$2:$B$2000,Candidates!$A$2:$A$2000=$A1054))),""""))"),"")</f>
        <v/>
      </c>
      <c r="U1054" s="66" t="str">
        <f>IF($A1054="","",COUNTIF(Candidates!$A$2:$A$2000,$A1054))</f>
        <v/>
      </c>
      <c r="V1054" s="64" t="str">
        <f>IFERROR(__xludf.DUMMYFUNCTION("IF($A1054="""","""",IFERROR(INDEX(FILTER(Candidates!$S$2:$S$2000,Candidates!$A$2:$A$2000=$A1054),COUNTIF(Candidates!$A$2:$A$2000,$A1054)),""""))"),"")</f>
        <v/>
      </c>
      <c r="W1054" s="64" t="str">
        <f>IFERROR(__xludf.DUMMYFUNCTION("IF($A1054="""","""",IFERROR(INDEX(FILTER(Candidates!$T$2:$T$2000,Candidates!$A$2:$A$2000=$A1054),COUNTIF(Candidates!$A$2:$A$2000,$A1054)),""""))"),"")</f>
        <v/>
      </c>
      <c r="X1054" s="64"/>
      <c r="Y1054" s="64"/>
      <c r="Z1054" s="65"/>
      <c r="AA1054" s="65"/>
      <c r="AB1054" s="65"/>
      <c r="AC1054" s="65"/>
    </row>
    <row r="1055">
      <c r="A1055" s="64"/>
      <c r="B1055" s="64"/>
      <c r="C1055" s="64"/>
      <c r="D1055" s="64"/>
      <c r="E1055" s="64"/>
      <c r="F1055" s="64"/>
      <c r="G1055" s="64"/>
      <c r="H1055" s="63"/>
      <c r="I1055" s="64"/>
      <c r="J1055" s="64"/>
      <c r="K1055" s="64"/>
      <c r="L1055" s="64"/>
      <c r="M1055" s="64"/>
      <c r="N1055" s="64"/>
      <c r="O1055" s="64"/>
      <c r="P1055" s="64"/>
      <c r="Q1055" s="64"/>
      <c r="R1055" s="65" t="str">
        <f>IF($A1055="","",IFERROR(MINIFS(Candidates!$K$2:$K$2000,Candidates!$A$2:$A$2000,$A1055),""))</f>
        <v/>
      </c>
      <c r="S1055" s="65" t="str">
        <f>IF($A1055="","",IFERROR(MAXIFS(Candidates!$AA$2:$AA$2000,Candidates!$A$2:$A$2000,$A1055),""))</f>
        <v/>
      </c>
      <c r="T1055" s="64" t="str">
        <f>IFERROR(__xludf.DUMMYFUNCTION("IF($A1055="""","""",IFERROR(TEXTJOIN("", "",TRUE,UNIQUE(FILTER(Candidates!$B$2:$B$2000,Candidates!$A$2:$A$2000=$A1055))),""""))"),"")</f>
        <v/>
      </c>
      <c r="U1055" s="66" t="str">
        <f>IF($A1055="","",COUNTIF(Candidates!$A$2:$A$2000,$A1055))</f>
        <v/>
      </c>
      <c r="V1055" s="64" t="str">
        <f>IFERROR(__xludf.DUMMYFUNCTION("IF($A1055="""","""",IFERROR(INDEX(FILTER(Candidates!$S$2:$S$2000,Candidates!$A$2:$A$2000=$A1055),COUNTIF(Candidates!$A$2:$A$2000,$A1055)),""""))"),"")</f>
        <v/>
      </c>
      <c r="W1055" s="64" t="str">
        <f>IFERROR(__xludf.DUMMYFUNCTION("IF($A1055="""","""",IFERROR(INDEX(FILTER(Candidates!$T$2:$T$2000,Candidates!$A$2:$A$2000=$A1055),COUNTIF(Candidates!$A$2:$A$2000,$A1055)),""""))"),"")</f>
        <v/>
      </c>
      <c r="X1055" s="64"/>
      <c r="Y1055" s="64"/>
      <c r="Z1055" s="65"/>
      <c r="AA1055" s="65"/>
      <c r="AB1055" s="65"/>
      <c r="AC1055" s="65"/>
    </row>
    <row r="1056">
      <c r="A1056" s="64"/>
      <c r="B1056" s="64"/>
      <c r="C1056" s="64"/>
      <c r="D1056" s="64"/>
      <c r="E1056" s="64"/>
      <c r="F1056" s="64"/>
      <c r="G1056" s="64"/>
      <c r="H1056" s="63"/>
      <c r="I1056" s="64"/>
      <c r="J1056" s="64"/>
      <c r="K1056" s="64"/>
      <c r="L1056" s="64"/>
      <c r="M1056" s="64"/>
      <c r="N1056" s="64"/>
      <c r="O1056" s="64"/>
      <c r="P1056" s="64"/>
      <c r="Q1056" s="64"/>
      <c r="R1056" s="65" t="str">
        <f>IF($A1056="","",IFERROR(MINIFS(Candidates!$K$2:$K$2000,Candidates!$A$2:$A$2000,$A1056),""))</f>
        <v/>
      </c>
      <c r="S1056" s="65" t="str">
        <f>IF($A1056="","",IFERROR(MAXIFS(Candidates!$AA$2:$AA$2000,Candidates!$A$2:$A$2000,$A1056),""))</f>
        <v/>
      </c>
      <c r="T1056" s="64" t="str">
        <f>IFERROR(__xludf.DUMMYFUNCTION("IF($A1056="""","""",IFERROR(TEXTJOIN("", "",TRUE,UNIQUE(FILTER(Candidates!$B$2:$B$2000,Candidates!$A$2:$A$2000=$A1056))),""""))"),"")</f>
        <v/>
      </c>
      <c r="U1056" s="66" t="str">
        <f>IF($A1056="","",COUNTIF(Candidates!$A$2:$A$2000,$A1056))</f>
        <v/>
      </c>
      <c r="V1056" s="64" t="str">
        <f>IFERROR(__xludf.DUMMYFUNCTION("IF($A1056="""","""",IFERROR(INDEX(FILTER(Candidates!$S$2:$S$2000,Candidates!$A$2:$A$2000=$A1056),COUNTIF(Candidates!$A$2:$A$2000,$A1056)),""""))"),"")</f>
        <v/>
      </c>
      <c r="W1056" s="64" t="str">
        <f>IFERROR(__xludf.DUMMYFUNCTION("IF($A1056="""","""",IFERROR(INDEX(FILTER(Candidates!$T$2:$T$2000,Candidates!$A$2:$A$2000=$A1056),COUNTIF(Candidates!$A$2:$A$2000,$A1056)),""""))"),"")</f>
        <v/>
      </c>
      <c r="X1056" s="64"/>
      <c r="Y1056" s="64"/>
      <c r="Z1056" s="65"/>
      <c r="AA1056" s="65"/>
      <c r="AB1056" s="65"/>
      <c r="AC1056" s="65"/>
    </row>
    <row r="1057">
      <c r="A1057" s="64"/>
      <c r="B1057" s="64"/>
      <c r="C1057" s="64"/>
      <c r="D1057" s="64"/>
      <c r="E1057" s="64"/>
      <c r="F1057" s="64"/>
      <c r="G1057" s="64"/>
      <c r="H1057" s="63"/>
      <c r="I1057" s="64"/>
      <c r="J1057" s="64"/>
      <c r="K1057" s="64"/>
      <c r="L1057" s="64"/>
      <c r="M1057" s="64"/>
      <c r="N1057" s="64"/>
      <c r="O1057" s="64"/>
      <c r="P1057" s="64"/>
      <c r="Q1057" s="64"/>
      <c r="R1057" s="65" t="str">
        <f>IF($A1057="","",IFERROR(MINIFS(Candidates!$K$2:$K$2000,Candidates!$A$2:$A$2000,$A1057),""))</f>
        <v/>
      </c>
      <c r="S1057" s="65" t="str">
        <f>IF($A1057="","",IFERROR(MAXIFS(Candidates!$AA$2:$AA$2000,Candidates!$A$2:$A$2000,$A1057),""))</f>
        <v/>
      </c>
      <c r="T1057" s="64" t="str">
        <f>IFERROR(__xludf.DUMMYFUNCTION("IF($A1057="""","""",IFERROR(TEXTJOIN("", "",TRUE,UNIQUE(FILTER(Candidates!$B$2:$B$2000,Candidates!$A$2:$A$2000=$A1057))),""""))"),"")</f>
        <v/>
      </c>
      <c r="U1057" s="66" t="str">
        <f>IF($A1057="","",COUNTIF(Candidates!$A$2:$A$2000,$A1057))</f>
        <v/>
      </c>
      <c r="V1057" s="64" t="str">
        <f>IFERROR(__xludf.DUMMYFUNCTION("IF($A1057="""","""",IFERROR(INDEX(FILTER(Candidates!$S$2:$S$2000,Candidates!$A$2:$A$2000=$A1057),COUNTIF(Candidates!$A$2:$A$2000,$A1057)),""""))"),"")</f>
        <v/>
      </c>
      <c r="W1057" s="64" t="str">
        <f>IFERROR(__xludf.DUMMYFUNCTION("IF($A1057="""","""",IFERROR(INDEX(FILTER(Candidates!$T$2:$T$2000,Candidates!$A$2:$A$2000=$A1057),COUNTIF(Candidates!$A$2:$A$2000,$A1057)),""""))"),"")</f>
        <v/>
      </c>
      <c r="X1057" s="64"/>
      <c r="Y1057" s="64"/>
      <c r="Z1057" s="65"/>
      <c r="AA1057" s="65"/>
      <c r="AB1057" s="65"/>
      <c r="AC1057" s="65"/>
    </row>
    <row r="1058">
      <c r="A1058" s="64"/>
      <c r="B1058" s="64"/>
      <c r="C1058" s="64"/>
      <c r="D1058" s="64"/>
      <c r="E1058" s="64"/>
      <c r="F1058" s="64"/>
      <c r="G1058" s="64"/>
      <c r="H1058" s="63"/>
      <c r="I1058" s="64"/>
      <c r="J1058" s="64"/>
      <c r="K1058" s="64"/>
      <c r="L1058" s="64"/>
      <c r="M1058" s="64"/>
      <c r="N1058" s="64"/>
      <c r="O1058" s="64"/>
      <c r="P1058" s="64"/>
      <c r="Q1058" s="64"/>
      <c r="R1058" s="65" t="str">
        <f>IF($A1058="","",IFERROR(MINIFS(Candidates!$K$2:$K$2000,Candidates!$A$2:$A$2000,$A1058),""))</f>
        <v/>
      </c>
      <c r="S1058" s="65" t="str">
        <f>IF($A1058="","",IFERROR(MAXIFS(Candidates!$AA$2:$AA$2000,Candidates!$A$2:$A$2000,$A1058),""))</f>
        <v/>
      </c>
      <c r="T1058" s="64" t="str">
        <f>IFERROR(__xludf.DUMMYFUNCTION("IF($A1058="""","""",IFERROR(TEXTJOIN("", "",TRUE,UNIQUE(FILTER(Candidates!$B$2:$B$2000,Candidates!$A$2:$A$2000=$A1058))),""""))"),"")</f>
        <v/>
      </c>
      <c r="U1058" s="66" t="str">
        <f>IF($A1058="","",COUNTIF(Candidates!$A$2:$A$2000,$A1058))</f>
        <v/>
      </c>
      <c r="V1058" s="64" t="str">
        <f>IFERROR(__xludf.DUMMYFUNCTION("IF($A1058="""","""",IFERROR(INDEX(FILTER(Candidates!$S$2:$S$2000,Candidates!$A$2:$A$2000=$A1058),COUNTIF(Candidates!$A$2:$A$2000,$A1058)),""""))"),"")</f>
        <v/>
      </c>
      <c r="W1058" s="64" t="str">
        <f>IFERROR(__xludf.DUMMYFUNCTION("IF($A1058="""","""",IFERROR(INDEX(FILTER(Candidates!$T$2:$T$2000,Candidates!$A$2:$A$2000=$A1058),COUNTIF(Candidates!$A$2:$A$2000,$A1058)),""""))"),"")</f>
        <v/>
      </c>
      <c r="X1058" s="64"/>
      <c r="Y1058" s="64"/>
      <c r="Z1058" s="65"/>
      <c r="AA1058" s="65"/>
      <c r="AB1058" s="65"/>
      <c r="AC1058" s="65"/>
    </row>
    <row r="1059">
      <c r="A1059" s="64"/>
      <c r="B1059" s="64"/>
      <c r="C1059" s="64"/>
      <c r="D1059" s="64"/>
      <c r="E1059" s="64"/>
      <c r="F1059" s="64"/>
      <c r="G1059" s="64"/>
      <c r="H1059" s="63"/>
      <c r="I1059" s="64"/>
      <c r="J1059" s="64"/>
      <c r="K1059" s="64"/>
      <c r="L1059" s="64"/>
      <c r="M1059" s="64"/>
      <c r="N1059" s="64"/>
      <c r="O1059" s="64"/>
      <c r="P1059" s="64"/>
      <c r="Q1059" s="64"/>
      <c r="R1059" s="65" t="str">
        <f>IF($A1059="","",IFERROR(MINIFS(Candidates!$K$2:$K$2000,Candidates!$A$2:$A$2000,$A1059),""))</f>
        <v/>
      </c>
      <c r="S1059" s="65" t="str">
        <f>IF($A1059="","",IFERROR(MAXIFS(Candidates!$AA$2:$AA$2000,Candidates!$A$2:$A$2000,$A1059),""))</f>
        <v/>
      </c>
      <c r="T1059" s="64" t="str">
        <f>IFERROR(__xludf.DUMMYFUNCTION("IF($A1059="""","""",IFERROR(TEXTJOIN("", "",TRUE,UNIQUE(FILTER(Candidates!$B$2:$B$2000,Candidates!$A$2:$A$2000=$A1059))),""""))"),"")</f>
        <v/>
      </c>
      <c r="U1059" s="66" t="str">
        <f>IF($A1059="","",COUNTIF(Candidates!$A$2:$A$2000,$A1059))</f>
        <v/>
      </c>
      <c r="V1059" s="64" t="str">
        <f>IFERROR(__xludf.DUMMYFUNCTION("IF($A1059="""","""",IFERROR(INDEX(FILTER(Candidates!$S$2:$S$2000,Candidates!$A$2:$A$2000=$A1059),COUNTIF(Candidates!$A$2:$A$2000,$A1059)),""""))"),"")</f>
        <v/>
      </c>
      <c r="W1059" s="64" t="str">
        <f>IFERROR(__xludf.DUMMYFUNCTION("IF($A1059="""","""",IFERROR(INDEX(FILTER(Candidates!$T$2:$T$2000,Candidates!$A$2:$A$2000=$A1059),COUNTIF(Candidates!$A$2:$A$2000,$A1059)),""""))"),"")</f>
        <v/>
      </c>
      <c r="X1059" s="64"/>
      <c r="Y1059" s="64"/>
      <c r="Z1059" s="65"/>
      <c r="AA1059" s="65"/>
      <c r="AB1059" s="65"/>
      <c r="AC1059" s="65"/>
    </row>
    <row r="1060">
      <c r="A1060" s="64"/>
      <c r="B1060" s="64"/>
      <c r="C1060" s="64"/>
      <c r="D1060" s="64"/>
      <c r="E1060" s="64"/>
      <c r="F1060" s="64"/>
      <c r="G1060" s="64"/>
      <c r="H1060" s="63"/>
      <c r="I1060" s="64"/>
      <c r="J1060" s="64"/>
      <c r="K1060" s="64"/>
      <c r="L1060" s="64"/>
      <c r="M1060" s="64"/>
      <c r="N1060" s="64"/>
      <c r="O1060" s="64"/>
      <c r="P1060" s="64"/>
      <c r="Q1060" s="64"/>
      <c r="R1060" s="65" t="str">
        <f>IF($A1060="","",IFERROR(MINIFS(Candidates!$K$2:$K$2000,Candidates!$A$2:$A$2000,$A1060),""))</f>
        <v/>
      </c>
      <c r="S1060" s="65" t="str">
        <f>IF($A1060="","",IFERROR(MAXIFS(Candidates!$AA$2:$AA$2000,Candidates!$A$2:$A$2000,$A1060),""))</f>
        <v/>
      </c>
      <c r="T1060" s="64" t="str">
        <f>IFERROR(__xludf.DUMMYFUNCTION("IF($A1060="""","""",IFERROR(TEXTJOIN("", "",TRUE,UNIQUE(FILTER(Candidates!$B$2:$B$2000,Candidates!$A$2:$A$2000=$A1060))),""""))"),"")</f>
        <v/>
      </c>
      <c r="U1060" s="66" t="str">
        <f>IF($A1060="","",COUNTIF(Candidates!$A$2:$A$2000,$A1060))</f>
        <v/>
      </c>
      <c r="V1060" s="64" t="str">
        <f>IFERROR(__xludf.DUMMYFUNCTION("IF($A1060="""","""",IFERROR(INDEX(FILTER(Candidates!$S$2:$S$2000,Candidates!$A$2:$A$2000=$A1060),COUNTIF(Candidates!$A$2:$A$2000,$A1060)),""""))"),"")</f>
        <v/>
      </c>
      <c r="W1060" s="64" t="str">
        <f>IFERROR(__xludf.DUMMYFUNCTION("IF($A1060="""","""",IFERROR(INDEX(FILTER(Candidates!$T$2:$T$2000,Candidates!$A$2:$A$2000=$A1060),COUNTIF(Candidates!$A$2:$A$2000,$A1060)),""""))"),"")</f>
        <v/>
      </c>
      <c r="X1060" s="64"/>
      <c r="Y1060" s="64"/>
      <c r="Z1060" s="65"/>
      <c r="AA1060" s="65"/>
      <c r="AB1060" s="65"/>
      <c r="AC1060" s="65"/>
    </row>
    <row r="1061">
      <c r="A1061" s="64"/>
      <c r="B1061" s="64"/>
      <c r="C1061" s="64"/>
      <c r="D1061" s="64"/>
      <c r="E1061" s="64"/>
      <c r="F1061" s="64"/>
      <c r="G1061" s="64"/>
      <c r="H1061" s="63"/>
      <c r="I1061" s="64"/>
      <c r="J1061" s="64"/>
      <c r="K1061" s="64"/>
      <c r="L1061" s="64"/>
      <c r="M1061" s="64"/>
      <c r="N1061" s="64"/>
      <c r="O1061" s="64"/>
      <c r="P1061" s="64"/>
      <c r="Q1061" s="64"/>
      <c r="R1061" s="65" t="str">
        <f>IF($A1061="","",IFERROR(MINIFS(Candidates!$K$2:$K$2000,Candidates!$A$2:$A$2000,$A1061),""))</f>
        <v/>
      </c>
      <c r="S1061" s="65" t="str">
        <f>IF($A1061="","",IFERROR(MAXIFS(Candidates!$AA$2:$AA$2000,Candidates!$A$2:$A$2000,$A1061),""))</f>
        <v/>
      </c>
      <c r="T1061" s="64" t="str">
        <f>IFERROR(__xludf.DUMMYFUNCTION("IF($A1061="""","""",IFERROR(TEXTJOIN("", "",TRUE,UNIQUE(FILTER(Candidates!$B$2:$B$2000,Candidates!$A$2:$A$2000=$A1061))),""""))"),"")</f>
        <v/>
      </c>
      <c r="U1061" s="66" t="str">
        <f>IF($A1061="","",COUNTIF(Candidates!$A$2:$A$2000,$A1061))</f>
        <v/>
      </c>
      <c r="V1061" s="64" t="str">
        <f>IFERROR(__xludf.DUMMYFUNCTION("IF($A1061="""","""",IFERROR(INDEX(FILTER(Candidates!$S$2:$S$2000,Candidates!$A$2:$A$2000=$A1061),COUNTIF(Candidates!$A$2:$A$2000,$A1061)),""""))"),"")</f>
        <v/>
      </c>
      <c r="W1061" s="64" t="str">
        <f>IFERROR(__xludf.DUMMYFUNCTION("IF($A1061="""","""",IFERROR(INDEX(FILTER(Candidates!$T$2:$T$2000,Candidates!$A$2:$A$2000=$A1061),COUNTIF(Candidates!$A$2:$A$2000,$A1061)),""""))"),"")</f>
        <v/>
      </c>
      <c r="X1061" s="64"/>
      <c r="Y1061" s="64"/>
      <c r="Z1061" s="65"/>
      <c r="AA1061" s="65"/>
      <c r="AB1061" s="65"/>
      <c r="AC1061" s="65"/>
    </row>
    <row r="1062">
      <c r="A1062" s="64"/>
      <c r="B1062" s="64"/>
      <c r="C1062" s="64"/>
      <c r="D1062" s="64"/>
      <c r="E1062" s="64"/>
      <c r="F1062" s="64"/>
      <c r="G1062" s="64"/>
      <c r="H1062" s="63"/>
      <c r="I1062" s="64"/>
      <c r="J1062" s="64"/>
      <c r="K1062" s="64"/>
      <c r="L1062" s="64"/>
      <c r="M1062" s="64"/>
      <c r="N1062" s="64"/>
      <c r="O1062" s="64"/>
      <c r="P1062" s="64"/>
      <c r="Q1062" s="64"/>
      <c r="R1062" s="65" t="str">
        <f>IF($A1062="","",IFERROR(MINIFS(Candidates!$K$2:$K$2000,Candidates!$A$2:$A$2000,$A1062),""))</f>
        <v/>
      </c>
      <c r="S1062" s="65" t="str">
        <f>IF($A1062="","",IFERROR(MAXIFS(Candidates!$AA$2:$AA$2000,Candidates!$A$2:$A$2000,$A1062),""))</f>
        <v/>
      </c>
      <c r="T1062" s="64" t="str">
        <f>IFERROR(__xludf.DUMMYFUNCTION("IF($A1062="""","""",IFERROR(TEXTJOIN("", "",TRUE,UNIQUE(FILTER(Candidates!$B$2:$B$2000,Candidates!$A$2:$A$2000=$A1062))),""""))"),"")</f>
        <v/>
      </c>
      <c r="U1062" s="66" t="str">
        <f>IF($A1062="","",COUNTIF(Candidates!$A$2:$A$2000,$A1062))</f>
        <v/>
      </c>
      <c r="V1062" s="64" t="str">
        <f>IFERROR(__xludf.DUMMYFUNCTION("IF($A1062="""","""",IFERROR(INDEX(FILTER(Candidates!$S$2:$S$2000,Candidates!$A$2:$A$2000=$A1062),COUNTIF(Candidates!$A$2:$A$2000,$A1062)),""""))"),"")</f>
        <v/>
      </c>
      <c r="W1062" s="64" t="str">
        <f>IFERROR(__xludf.DUMMYFUNCTION("IF($A1062="""","""",IFERROR(INDEX(FILTER(Candidates!$T$2:$T$2000,Candidates!$A$2:$A$2000=$A1062),COUNTIF(Candidates!$A$2:$A$2000,$A1062)),""""))"),"")</f>
        <v/>
      </c>
      <c r="X1062" s="64"/>
      <c r="Y1062" s="64"/>
      <c r="Z1062" s="65"/>
      <c r="AA1062" s="65"/>
      <c r="AB1062" s="65"/>
      <c r="AC1062" s="65"/>
    </row>
    <row r="1063">
      <c r="A1063" s="64"/>
      <c r="B1063" s="64"/>
      <c r="C1063" s="64"/>
      <c r="D1063" s="64"/>
      <c r="E1063" s="64"/>
      <c r="F1063" s="64"/>
      <c r="G1063" s="64"/>
      <c r="H1063" s="63"/>
      <c r="I1063" s="64"/>
      <c r="J1063" s="64"/>
      <c r="K1063" s="64"/>
      <c r="L1063" s="64"/>
      <c r="M1063" s="64"/>
      <c r="N1063" s="64"/>
      <c r="O1063" s="64"/>
      <c r="P1063" s="64"/>
      <c r="Q1063" s="64"/>
      <c r="R1063" s="65" t="str">
        <f>IF($A1063="","",IFERROR(MINIFS(Candidates!$K$2:$K$2000,Candidates!$A$2:$A$2000,$A1063),""))</f>
        <v/>
      </c>
      <c r="S1063" s="65" t="str">
        <f>IF($A1063="","",IFERROR(MAXIFS(Candidates!$AA$2:$AA$2000,Candidates!$A$2:$A$2000,$A1063),""))</f>
        <v/>
      </c>
      <c r="T1063" s="64" t="str">
        <f>IFERROR(__xludf.DUMMYFUNCTION("IF($A1063="""","""",IFERROR(TEXTJOIN("", "",TRUE,UNIQUE(FILTER(Candidates!$B$2:$B$2000,Candidates!$A$2:$A$2000=$A1063))),""""))"),"")</f>
        <v/>
      </c>
      <c r="U1063" s="66" t="str">
        <f>IF($A1063="","",COUNTIF(Candidates!$A$2:$A$2000,$A1063))</f>
        <v/>
      </c>
      <c r="V1063" s="64" t="str">
        <f>IFERROR(__xludf.DUMMYFUNCTION("IF($A1063="""","""",IFERROR(INDEX(FILTER(Candidates!$S$2:$S$2000,Candidates!$A$2:$A$2000=$A1063),COUNTIF(Candidates!$A$2:$A$2000,$A1063)),""""))"),"")</f>
        <v/>
      </c>
      <c r="W1063" s="64" t="str">
        <f>IFERROR(__xludf.DUMMYFUNCTION("IF($A1063="""","""",IFERROR(INDEX(FILTER(Candidates!$T$2:$T$2000,Candidates!$A$2:$A$2000=$A1063),COUNTIF(Candidates!$A$2:$A$2000,$A1063)),""""))"),"")</f>
        <v/>
      </c>
      <c r="X1063" s="64"/>
      <c r="Y1063" s="64"/>
      <c r="Z1063" s="65"/>
      <c r="AA1063" s="65"/>
      <c r="AB1063" s="65"/>
      <c r="AC1063" s="65"/>
    </row>
    <row r="1064">
      <c r="A1064" s="64"/>
      <c r="B1064" s="64"/>
      <c r="C1064" s="64"/>
      <c r="D1064" s="64"/>
      <c r="E1064" s="64"/>
      <c r="F1064" s="64"/>
      <c r="G1064" s="64"/>
      <c r="H1064" s="63"/>
      <c r="I1064" s="64"/>
      <c r="J1064" s="64"/>
      <c r="K1064" s="64"/>
      <c r="L1064" s="64"/>
      <c r="M1064" s="64"/>
      <c r="N1064" s="64"/>
      <c r="O1064" s="64"/>
      <c r="P1064" s="64"/>
      <c r="Q1064" s="64"/>
      <c r="R1064" s="65" t="str">
        <f>IF($A1064="","",IFERROR(MINIFS(Candidates!$K$2:$K$2000,Candidates!$A$2:$A$2000,$A1064),""))</f>
        <v/>
      </c>
      <c r="S1064" s="65" t="str">
        <f>IF($A1064="","",IFERROR(MAXIFS(Candidates!$AA$2:$AA$2000,Candidates!$A$2:$A$2000,$A1064),""))</f>
        <v/>
      </c>
      <c r="T1064" s="64" t="str">
        <f>IFERROR(__xludf.DUMMYFUNCTION("IF($A1064="""","""",IFERROR(TEXTJOIN("", "",TRUE,UNIQUE(FILTER(Candidates!$B$2:$B$2000,Candidates!$A$2:$A$2000=$A1064))),""""))"),"")</f>
        <v/>
      </c>
      <c r="U1064" s="66" t="str">
        <f>IF($A1064="","",COUNTIF(Candidates!$A$2:$A$2000,$A1064))</f>
        <v/>
      </c>
      <c r="V1064" s="64" t="str">
        <f>IFERROR(__xludf.DUMMYFUNCTION("IF($A1064="""","""",IFERROR(INDEX(FILTER(Candidates!$S$2:$S$2000,Candidates!$A$2:$A$2000=$A1064),COUNTIF(Candidates!$A$2:$A$2000,$A1064)),""""))"),"")</f>
        <v/>
      </c>
      <c r="W1064" s="64" t="str">
        <f>IFERROR(__xludf.DUMMYFUNCTION("IF($A1064="""","""",IFERROR(INDEX(FILTER(Candidates!$T$2:$T$2000,Candidates!$A$2:$A$2000=$A1064),COUNTIF(Candidates!$A$2:$A$2000,$A1064)),""""))"),"")</f>
        <v/>
      </c>
      <c r="X1064" s="64"/>
      <c r="Y1064" s="64"/>
      <c r="Z1064" s="65"/>
      <c r="AA1064" s="65"/>
      <c r="AB1064" s="65"/>
      <c r="AC1064" s="65"/>
    </row>
    <row r="1065">
      <c r="A1065" s="64"/>
      <c r="B1065" s="64"/>
      <c r="C1065" s="64"/>
      <c r="D1065" s="64"/>
      <c r="E1065" s="64"/>
      <c r="F1065" s="64"/>
      <c r="G1065" s="64"/>
      <c r="H1065" s="63"/>
      <c r="I1065" s="64"/>
      <c r="J1065" s="64"/>
      <c r="K1065" s="64"/>
      <c r="L1065" s="64"/>
      <c r="M1065" s="64"/>
      <c r="N1065" s="64"/>
      <c r="O1065" s="64"/>
      <c r="P1065" s="64"/>
      <c r="Q1065" s="64"/>
      <c r="R1065" s="65" t="str">
        <f>IF($A1065="","",IFERROR(MINIFS(Candidates!$K$2:$K$2000,Candidates!$A$2:$A$2000,$A1065),""))</f>
        <v/>
      </c>
      <c r="S1065" s="65" t="str">
        <f>IF($A1065="","",IFERROR(MAXIFS(Candidates!$AA$2:$AA$2000,Candidates!$A$2:$A$2000,$A1065),""))</f>
        <v/>
      </c>
      <c r="T1065" s="64" t="str">
        <f>IFERROR(__xludf.DUMMYFUNCTION("IF($A1065="""","""",IFERROR(TEXTJOIN("", "",TRUE,UNIQUE(FILTER(Candidates!$B$2:$B$2000,Candidates!$A$2:$A$2000=$A1065))),""""))"),"")</f>
        <v/>
      </c>
      <c r="U1065" s="66" t="str">
        <f>IF($A1065="","",COUNTIF(Candidates!$A$2:$A$2000,$A1065))</f>
        <v/>
      </c>
      <c r="V1065" s="64" t="str">
        <f>IFERROR(__xludf.DUMMYFUNCTION("IF($A1065="""","""",IFERROR(INDEX(FILTER(Candidates!$S$2:$S$2000,Candidates!$A$2:$A$2000=$A1065),COUNTIF(Candidates!$A$2:$A$2000,$A1065)),""""))"),"")</f>
        <v/>
      </c>
      <c r="W1065" s="64" t="str">
        <f>IFERROR(__xludf.DUMMYFUNCTION("IF($A1065="""","""",IFERROR(INDEX(FILTER(Candidates!$T$2:$T$2000,Candidates!$A$2:$A$2000=$A1065),COUNTIF(Candidates!$A$2:$A$2000,$A1065)),""""))"),"")</f>
        <v/>
      </c>
      <c r="X1065" s="64"/>
      <c r="Y1065" s="64"/>
      <c r="Z1065" s="65"/>
      <c r="AA1065" s="65"/>
      <c r="AB1065" s="65"/>
      <c r="AC1065" s="65"/>
    </row>
    <row r="1066">
      <c r="A1066" s="64"/>
      <c r="B1066" s="64"/>
      <c r="C1066" s="64"/>
      <c r="D1066" s="64"/>
      <c r="E1066" s="64"/>
      <c r="F1066" s="64"/>
      <c r="G1066" s="64"/>
      <c r="H1066" s="63"/>
      <c r="I1066" s="64"/>
      <c r="J1066" s="64"/>
      <c r="K1066" s="64"/>
      <c r="L1066" s="64"/>
      <c r="M1066" s="64"/>
      <c r="N1066" s="64"/>
      <c r="O1066" s="64"/>
      <c r="P1066" s="64"/>
      <c r="Q1066" s="64"/>
      <c r="R1066" s="65" t="str">
        <f>IF($A1066="","",IFERROR(MINIFS(Candidates!$K$2:$K$2000,Candidates!$A$2:$A$2000,$A1066),""))</f>
        <v/>
      </c>
      <c r="S1066" s="65" t="str">
        <f>IF($A1066="","",IFERROR(MAXIFS(Candidates!$AA$2:$AA$2000,Candidates!$A$2:$A$2000,$A1066),""))</f>
        <v/>
      </c>
      <c r="T1066" s="64" t="str">
        <f>IFERROR(__xludf.DUMMYFUNCTION("IF($A1066="""","""",IFERROR(TEXTJOIN("", "",TRUE,UNIQUE(FILTER(Candidates!$B$2:$B$2000,Candidates!$A$2:$A$2000=$A1066))),""""))"),"")</f>
        <v/>
      </c>
      <c r="U1066" s="66" t="str">
        <f>IF($A1066="","",COUNTIF(Candidates!$A$2:$A$2000,$A1066))</f>
        <v/>
      </c>
      <c r="V1066" s="64" t="str">
        <f>IFERROR(__xludf.DUMMYFUNCTION("IF($A1066="""","""",IFERROR(INDEX(FILTER(Candidates!$S$2:$S$2000,Candidates!$A$2:$A$2000=$A1066),COUNTIF(Candidates!$A$2:$A$2000,$A1066)),""""))"),"")</f>
        <v/>
      </c>
      <c r="W1066" s="64" t="str">
        <f>IFERROR(__xludf.DUMMYFUNCTION("IF($A1066="""","""",IFERROR(INDEX(FILTER(Candidates!$T$2:$T$2000,Candidates!$A$2:$A$2000=$A1066),COUNTIF(Candidates!$A$2:$A$2000,$A1066)),""""))"),"")</f>
        <v/>
      </c>
      <c r="X1066" s="64"/>
      <c r="Y1066" s="64"/>
      <c r="Z1066" s="65"/>
      <c r="AA1066" s="65"/>
      <c r="AB1066" s="65"/>
      <c r="AC1066" s="65"/>
    </row>
    <row r="1067">
      <c r="A1067" s="64"/>
      <c r="B1067" s="64"/>
      <c r="C1067" s="64"/>
      <c r="D1067" s="64"/>
      <c r="E1067" s="64"/>
      <c r="F1067" s="64"/>
      <c r="G1067" s="64"/>
      <c r="H1067" s="63"/>
      <c r="I1067" s="64"/>
      <c r="J1067" s="64"/>
      <c r="K1067" s="64"/>
      <c r="L1067" s="64"/>
      <c r="M1067" s="64"/>
      <c r="N1067" s="64"/>
      <c r="O1067" s="64"/>
      <c r="P1067" s="64"/>
      <c r="Q1067" s="64"/>
      <c r="R1067" s="65" t="str">
        <f>IF($A1067="","",IFERROR(MINIFS(Candidates!$K$2:$K$2000,Candidates!$A$2:$A$2000,$A1067),""))</f>
        <v/>
      </c>
      <c r="S1067" s="65" t="str">
        <f>IF($A1067="","",IFERROR(MAXIFS(Candidates!$AA$2:$AA$2000,Candidates!$A$2:$A$2000,$A1067),""))</f>
        <v/>
      </c>
      <c r="T1067" s="64" t="str">
        <f>IFERROR(__xludf.DUMMYFUNCTION("IF($A1067="""","""",IFERROR(TEXTJOIN("", "",TRUE,UNIQUE(FILTER(Candidates!$B$2:$B$2000,Candidates!$A$2:$A$2000=$A1067))),""""))"),"")</f>
        <v/>
      </c>
      <c r="U1067" s="66" t="str">
        <f>IF($A1067="","",COUNTIF(Candidates!$A$2:$A$2000,$A1067))</f>
        <v/>
      </c>
      <c r="V1067" s="64" t="str">
        <f>IFERROR(__xludf.DUMMYFUNCTION("IF($A1067="""","""",IFERROR(INDEX(FILTER(Candidates!$S$2:$S$2000,Candidates!$A$2:$A$2000=$A1067),COUNTIF(Candidates!$A$2:$A$2000,$A1067)),""""))"),"")</f>
        <v/>
      </c>
      <c r="W1067" s="64" t="str">
        <f>IFERROR(__xludf.DUMMYFUNCTION("IF($A1067="""","""",IFERROR(INDEX(FILTER(Candidates!$T$2:$T$2000,Candidates!$A$2:$A$2000=$A1067),COUNTIF(Candidates!$A$2:$A$2000,$A1067)),""""))"),"")</f>
        <v/>
      </c>
      <c r="X1067" s="64"/>
      <c r="Y1067" s="64"/>
      <c r="Z1067" s="65"/>
      <c r="AA1067" s="65"/>
      <c r="AB1067" s="65"/>
      <c r="AC1067" s="65"/>
    </row>
    <row r="1068">
      <c r="A1068" s="64"/>
      <c r="B1068" s="64"/>
      <c r="C1068" s="64"/>
      <c r="D1068" s="64"/>
      <c r="E1068" s="64"/>
      <c r="F1068" s="64"/>
      <c r="G1068" s="64"/>
      <c r="H1068" s="63"/>
      <c r="I1068" s="64"/>
      <c r="J1068" s="64"/>
      <c r="K1068" s="64"/>
      <c r="L1068" s="64"/>
      <c r="M1068" s="64"/>
      <c r="N1068" s="64"/>
      <c r="O1068" s="64"/>
      <c r="P1068" s="64"/>
      <c r="Q1068" s="64"/>
      <c r="R1068" s="65" t="str">
        <f>IF($A1068="","",IFERROR(MINIFS(Candidates!$K$2:$K$2000,Candidates!$A$2:$A$2000,$A1068),""))</f>
        <v/>
      </c>
      <c r="S1068" s="65" t="str">
        <f>IF($A1068="","",IFERROR(MAXIFS(Candidates!$AA$2:$AA$2000,Candidates!$A$2:$A$2000,$A1068),""))</f>
        <v/>
      </c>
      <c r="T1068" s="64" t="str">
        <f>IFERROR(__xludf.DUMMYFUNCTION("IF($A1068="""","""",IFERROR(TEXTJOIN("", "",TRUE,UNIQUE(FILTER(Candidates!$B$2:$B$2000,Candidates!$A$2:$A$2000=$A1068))),""""))"),"")</f>
        <v/>
      </c>
      <c r="U1068" s="66" t="str">
        <f>IF($A1068="","",COUNTIF(Candidates!$A$2:$A$2000,$A1068))</f>
        <v/>
      </c>
      <c r="V1068" s="64" t="str">
        <f>IFERROR(__xludf.DUMMYFUNCTION("IF($A1068="""","""",IFERROR(INDEX(FILTER(Candidates!$S$2:$S$2000,Candidates!$A$2:$A$2000=$A1068),COUNTIF(Candidates!$A$2:$A$2000,$A1068)),""""))"),"")</f>
        <v/>
      </c>
      <c r="W1068" s="64" t="str">
        <f>IFERROR(__xludf.DUMMYFUNCTION("IF($A1068="""","""",IFERROR(INDEX(FILTER(Candidates!$T$2:$T$2000,Candidates!$A$2:$A$2000=$A1068),COUNTIF(Candidates!$A$2:$A$2000,$A1068)),""""))"),"")</f>
        <v/>
      </c>
      <c r="X1068" s="64"/>
      <c r="Y1068" s="64"/>
      <c r="Z1068" s="65"/>
      <c r="AA1068" s="65"/>
      <c r="AB1068" s="65"/>
      <c r="AC1068" s="65"/>
    </row>
    <row r="1069">
      <c r="A1069" s="64"/>
      <c r="B1069" s="64"/>
      <c r="C1069" s="64"/>
      <c r="D1069" s="64"/>
      <c r="E1069" s="64"/>
      <c r="F1069" s="64"/>
      <c r="G1069" s="64"/>
      <c r="H1069" s="63"/>
      <c r="I1069" s="64"/>
      <c r="J1069" s="64"/>
      <c r="K1069" s="64"/>
      <c r="L1069" s="64"/>
      <c r="M1069" s="64"/>
      <c r="N1069" s="64"/>
      <c r="O1069" s="64"/>
      <c r="P1069" s="64"/>
      <c r="Q1069" s="64"/>
      <c r="R1069" s="65" t="str">
        <f>IF($A1069="","",IFERROR(MINIFS(Candidates!$K$2:$K$2000,Candidates!$A$2:$A$2000,$A1069),""))</f>
        <v/>
      </c>
      <c r="S1069" s="65" t="str">
        <f>IF($A1069="","",IFERROR(MAXIFS(Candidates!$AA$2:$AA$2000,Candidates!$A$2:$A$2000,$A1069),""))</f>
        <v/>
      </c>
      <c r="T1069" s="64" t="str">
        <f>IFERROR(__xludf.DUMMYFUNCTION("IF($A1069="""","""",IFERROR(TEXTJOIN("", "",TRUE,UNIQUE(FILTER(Candidates!$B$2:$B$2000,Candidates!$A$2:$A$2000=$A1069))),""""))"),"")</f>
        <v/>
      </c>
      <c r="U1069" s="66" t="str">
        <f>IF($A1069="","",COUNTIF(Candidates!$A$2:$A$2000,$A1069))</f>
        <v/>
      </c>
      <c r="V1069" s="64" t="str">
        <f>IFERROR(__xludf.DUMMYFUNCTION("IF($A1069="""","""",IFERROR(INDEX(FILTER(Candidates!$S$2:$S$2000,Candidates!$A$2:$A$2000=$A1069),COUNTIF(Candidates!$A$2:$A$2000,$A1069)),""""))"),"")</f>
        <v/>
      </c>
      <c r="W1069" s="64" t="str">
        <f>IFERROR(__xludf.DUMMYFUNCTION("IF($A1069="""","""",IFERROR(INDEX(FILTER(Candidates!$T$2:$T$2000,Candidates!$A$2:$A$2000=$A1069),COUNTIF(Candidates!$A$2:$A$2000,$A1069)),""""))"),"")</f>
        <v/>
      </c>
      <c r="X1069" s="64"/>
      <c r="Y1069" s="64"/>
      <c r="Z1069" s="65"/>
      <c r="AA1069" s="65"/>
      <c r="AB1069" s="65"/>
      <c r="AC1069" s="65"/>
    </row>
    <row r="1070">
      <c r="A1070" s="64"/>
      <c r="B1070" s="64"/>
      <c r="C1070" s="64"/>
      <c r="D1070" s="64"/>
      <c r="E1070" s="64"/>
      <c r="F1070" s="64"/>
      <c r="G1070" s="64"/>
      <c r="H1070" s="63"/>
      <c r="I1070" s="64"/>
      <c r="J1070" s="64"/>
      <c r="K1070" s="64"/>
      <c r="L1070" s="64"/>
      <c r="M1070" s="64"/>
      <c r="N1070" s="64"/>
      <c r="O1070" s="64"/>
      <c r="P1070" s="64"/>
      <c r="Q1070" s="64"/>
      <c r="R1070" s="65" t="str">
        <f>IF($A1070="","",IFERROR(MINIFS(Candidates!$K$2:$K$2000,Candidates!$A$2:$A$2000,$A1070),""))</f>
        <v/>
      </c>
      <c r="S1070" s="65" t="str">
        <f>IF($A1070="","",IFERROR(MAXIFS(Candidates!$AA$2:$AA$2000,Candidates!$A$2:$A$2000,$A1070),""))</f>
        <v/>
      </c>
      <c r="T1070" s="64" t="str">
        <f>IFERROR(__xludf.DUMMYFUNCTION("IF($A1070="""","""",IFERROR(TEXTJOIN("", "",TRUE,UNIQUE(FILTER(Candidates!$B$2:$B$2000,Candidates!$A$2:$A$2000=$A1070))),""""))"),"")</f>
        <v/>
      </c>
      <c r="U1070" s="66" t="str">
        <f>IF($A1070="","",COUNTIF(Candidates!$A$2:$A$2000,$A1070))</f>
        <v/>
      </c>
      <c r="V1070" s="64" t="str">
        <f>IFERROR(__xludf.DUMMYFUNCTION("IF($A1070="""","""",IFERROR(INDEX(FILTER(Candidates!$S$2:$S$2000,Candidates!$A$2:$A$2000=$A1070),COUNTIF(Candidates!$A$2:$A$2000,$A1070)),""""))"),"")</f>
        <v/>
      </c>
      <c r="W1070" s="64" t="str">
        <f>IFERROR(__xludf.DUMMYFUNCTION("IF($A1070="""","""",IFERROR(INDEX(FILTER(Candidates!$T$2:$T$2000,Candidates!$A$2:$A$2000=$A1070),COUNTIF(Candidates!$A$2:$A$2000,$A1070)),""""))"),"")</f>
        <v/>
      </c>
      <c r="X1070" s="64"/>
      <c r="Y1070" s="64"/>
      <c r="Z1070" s="65"/>
      <c r="AA1070" s="65"/>
      <c r="AB1070" s="65"/>
      <c r="AC1070" s="65"/>
    </row>
    <row r="1071">
      <c r="A1071" s="64"/>
      <c r="B1071" s="64"/>
      <c r="C1071" s="64"/>
      <c r="D1071" s="64"/>
      <c r="E1071" s="64"/>
      <c r="F1071" s="64"/>
      <c r="G1071" s="64"/>
      <c r="H1071" s="63"/>
      <c r="I1071" s="64"/>
      <c r="J1071" s="64"/>
      <c r="K1071" s="64"/>
      <c r="L1071" s="64"/>
      <c r="M1071" s="64"/>
      <c r="N1071" s="64"/>
      <c r="O1071" s="64"/>
      <c r="P1071" s="64"/>
      <c r="Q1071" s="64"/>
      <c r="R1071" s="65" t="str">
        <f>IF($A1071="","",IFERROR(MINIFS(Candidates!$K$2:$K$2000,Candidates!$A$2:$A$2000,$A1071),""))</f>
        <v/>
      </c>
      <c r="S1071" s="65" t="str">
        <f>IF($A1071="","",IFERROR(MAXIFS(Candidates!$AA$2:$AA$2000,Candidates!$A$2:$A$2000,$A1071),""))</f>
        <v/>
      </c>
      <c r="T1071" s="64" t="str">
        <f>IFERROR(__xludf.DUMMYFUNCTION("IF($A1071="""","""",IFERROR(TEXTJOIN("", "",TRUE,UNIQUE(FILTER(Candidates!$B$2:$B$2000,Candidates!$A$2:$A$2000=$A1071))),""""))"),"")</f>
        <v/>
      </c>
      <c r="U1071" s="66" t="str">
        <f>IF($A1071="","",COUNTIF(Candidates!$A$2:$A$2000,$A1071))</f>
        <v/>
      </c>
      <c r="V1071" s="64" t="str">
        <f>IFERROR(__xludf.DUMMYFUNCTION("IF($A1071="""","""",IFERROR(INDEX(FILTER(Candidates!$S$2:$S$2000,Candidates!$A$2:$A$2000=$A1071),COUNTIF(Candidates!$A$2:$A$2000,$A1071)),""""))"),"")</f>
        <v/>
      </c>
      <c r="W1071" s="64" t="str">
        <f>IFERROR(__xludf.DUMMYFUNCTION("IF($A1071="""","""",IFERROR(INDEX(FILTER(Candidates!$T$2:$T$2000,Candidates!$A$2:$A$2000=$A1071),COUNTIF(Candidates!$A$2:$A$2000,$A1071)),""""))"),"")</f>
        <v/>
      </c>
      <c r="X1071" s="64"/>
      <c r="Y1071" s="64"/>
      <c r="Z1071" s="65"/>
      <c r="AA1071" s="65"/>
      <c r="AB1071" s="65"/>
      <c r="AC1071" s="65"/>
    </row>
    <row r="1072">
      <c r="A1072" s="64"/>
      <c r="B1072" s="64"/>
      <c r="C1072" s="64"/>
      <c r="D1072" s="64"/>
      <c r="E1072" s="64"/>
      <c r="F1072" s="64"/>
      <c r="G1072" s="64"/>
      <c r="H1072" s="63"/>
      <c r="I1072" s="64"/>
      <c r="J1072" s="64"/>
      <c r="K1072" s="64"/>
      <c r="L1072" s="64"/>
      <c r="M1072" s="64"/>
      <c r="N1072" s="64"/>
      <c r="O1072" s="64"/>
      <c r="P1072" s="64"/>
      <c r="Q1072" s="64"/>
      <c r="R1072" s="65" t="str">
        <f>IF($A1072="","",IFERROR(MINIFS(Candidates!$K$2:$K$2000,Candidates!$A$2:$A$2000,$A1072),""))</f>
        <v/>
      </c>
      <c r="S1072" s="65" t="str">
        <f>IF($A1072="","",IFERROR(MAXIFS(Candidates!$AA$2:$AA$2000,Candidates!$A$2:$A$2000,$A1072),""))</f>
        <v/>
      </c>
      <c r="T1072" s="64" t="str">
        <f>IFERROR(__xludf.DUMMYFUNCTION("IF($A1072="""","""",IFERROR(TEXTJOIN("", "",TRUE,UNIQUE(FILTER(Candidates!$B$2:$B$2000,Candidates!$A$2:$A$2000=$A1072))),""""))"),"")</f>
        <v/>
      </c>
      <c r="U1072" s="66" t="str">
        <f>IF($A1072="","",COUNTIF(Candidates!$A$2:$A$2000,$A1072))</f>
        <v/>
      </c>
      <c r="V1072" s="64" t="str">
        <f>IFERROR(__xludf.DUMMYFUNCTION("IF($A1072="""","""",IFERROR(INDEX(FILTER(Candidates!$S$2:$S$2000,Candidates!$A$2:$A$2000=$A1072),COUNTIF(Candidates!$A$2:$A$2000,$A1072)),""""))"),"")</f>
        <v/>
      </c>
      <c r="W1072" s="64" t="str">
        <f>IFERROR(__xludf.DUMMYFUNCTION("IF($A1072="""","""",IFERROR(INDEX(FILTER(Candidates!$T$2:$T$2000,Candidates!$A$2:$A$2000=$A1072),COUNTIF(Candidates!$A$2:$A$2000,$A1072)),""""))"),"")</f>
        <v/>
      </c>
      <c r="X1072" s="64"/>
      <c r="Y1072" s="64"/>
      <c r="Z1072" s="65"/>
      <c r="AA1072" s="65"/>
      <c r="AB1072" s="65"/>
      <c r="AC1072" s="65"/>
    </row>
    <row r="1073">
      <c r="A1073" s="64"/>
      <c r="B1073" s="64"/>
      <c r="C1073" s="64"/>
      <c r="D1073" s="64"/>
      <c r="E1073" s="64"/>
      <c r="F1073" s="64"/>
      <c r="G1073" s="64"/>
      <c r="H1073" s="63"/>
      <c r="I1073" s="64"/>
      <c r="J1073" s="64"/>
      <c r="K1073" s="64"/>
      <c r="L1073" s="64"/>
      <c r="M1073" s="64"/>
      <c r="N1073" s="64"/>
      <c r="O1073" s="64"/>
      <c r="P1073" s="64"/>
      <c r="Q1073" s="64"/>
      <c r="R1073" s="65" t="str">
        <f>IF($A1073="","",IFERROR(MINIFS(Candidates!$K$2:$K$2000,Candidates!$A$2:$A$2000,$A1073),""))</f>
        <v/>
      </c>
      <c r="S1073" s="65" t="str">
        <f>IF($A1073="","",IFERROR(MAXIFS(Candidates!$AA$2:$AA$2000,Candidates!$A$2:$A$2000,$A1073),""))</f>
        <v/>
      </c>
      <c r="T1073" s="64" t="str">
        <f>IFERROR(__xludf.DUMMYFUNCTION("IF($A1073="""","""",IFERROR(TEXTJOIN("", "",TRUE,UNIQUE(FILTER(Candidates!$B$2:$B$2000,Candidates!$A$2:$A$2000=$A1073))),""""))"),"")</f>
        <v/>
      </c>
      <c r="U1073" s="66" t="str">
        <f>IF($A1073="","",COUNTIF(Candidates!$A$2:$A$2000,$A1073))</f>
        <v/>
      </c>
      <c r="V1073" s="64" t="str">
        <f>IFERROR(__xludf.DUMMYFUNCTION("IF($A1073="""","""",IFERROR(INDEX(FILTER(Candidates!$S$2:$S$2000,Candidates!$A$2:$A$2000=$A1073),COUNTIF(Candidates!$A$2:$A$2000,$A1073)),""""))"),"")</f>
        <v/>
      </c>
      <c r="W1073" s="64" t="str">
        <f>IFERROR(__xludf.DUMMYFUNCTION("IF($A1073="""","""",IFERROR(INDEX(FILTER(Candidates!$T$2:$T$2000,Candidates!$A$2:$A$2000=$A1073),COUNTIF(Candidates!$A$2:$A$2000,$A1073)),""""))"),"")</f>
        <v/>
      </c>
      <c r="X1073" s="64"/>
      <c r="Y1073" s="64"/>
      <c r="Z1073" s="65"/>
      <c r="AA1073" s="65"/>
      <c r="AB1073" s="65"/>
      <c r="AC1073" s="65"/>
    </row>
    <row r="1074">
      <c r="A1074" s="64"/>
      <c r="B1074" s="64"/>
      <c r="C1074" s="64"/>
      <c r="D1074" s="64"/>
      <c r="E1074" s="64"/>
      <c r="F1074" s="64"/>
      <c r="G1074" s="64"/>
      <c r="H1074" s="63"/>
      <c r="I1074" s="64"/>
      <c r="J1074" s="64"/>
      <c r="K1074" s="64"/>
      <c r="L1074" s="64"/>
      <c r="M1074" s="64"/>
      <c r="N1074" s="64"/>
      <c r="O1074" s="64"/>
      <c r="P1074" s="64"/>
      <c r="Q1074" s="64"/>
      <c r="R1074" s="65" t="str">
        <f>IF($A1074="","",IFERROR(MINIFS(Candidates!$K$2:$K$2000,Candidates!$A$2:$A$2000,$A1074),""))</f>
        <v/>
      </c>
      <c r="S1074" s="65" t="str">
        <f>IF($A1074="","",IFERROR(MAXIFS(Candidates!$AA$2:$AA$2000,Candidates!$A$2:$A$2000,$A1074),""))</f>
        <v/>
      </c>
      <c r="T1074" s="64" t="str">
        <f>IFERROR(__xludf.DUMMYFUNCTION("IF($A1074="""","""",IFERROR(TEXTJOIN("", "",TRUE,UNIQUE(FILTER(Candidates!$B$2:$B$2000,Candidates!$A$2:$A$2000=$A1074))),""""))"),"")</f>
        <v/>
      </c>
      <c r="U1074" s="66" t="str">
        <f>IF($A1074="","",COUNTIF(Candidates!$A$2:$A$2000,$A1074))</f>
        <v/>
      </c>
      <c r="V1074" s="64" t="str">
        <f>IFERROR(__xludf.DUMMYFUNCTION("IF($A1074="""","""",IFERROR(INDEX(FILTER(Candidates!$S$2:$S$2000,Candidates!$A$2:$A$2000=$A1074),COUNTIF(Candidates!$A$2:$A$2000,$A1074)),""""))"),"")</f>
        <v/>
      </c>
      <c r="W1074" s="64" t="str">
        <f>IFERROR(__xludf.DUMMYFUNCTION("IF($A1074="""","""",IFERROR(INDEX(FILTER(Candidates!$T$2:$T$2000,Candidates!$A$2:$A$2000=$A1074),COUNTIF(Candidates!$A$2:$A$2000,$A1074)),""""))"),"")</f>
        <v/>
      </c>
      <c r="X1074" s="64"/>
      <c r="Y1074" s="64"/>
      <c r="Z1074" s="65"/>
      <c r="AA1074" s="65"/>
      <c r="AB1074" s="65"/>
      <c r="AC1074" s="65"/>
    </row>
    <row r="1075">
      <c r="A1075" s="64"/>
      <c r="B1075" s="64"/>
      <c r="C1075" s="64"/>
      <c r="D1075" s="64"/>
      <c r="E1075" s="64"/>
      <c r="F1075" s="64"/>
      <c r="G1075" s="64"/>
      <c r="H1075" s="63"/>
      <c r="I1075" s="64"/>
      <c r="J1075" s="64"/>
      <c r="K1075" s="64"/>
      <c r="L1075" s="64"/>
      <c r="M1075" s="64"/>
      <c r="N1075" s="64"/>
      <c r="O1075" s="64"/>
      <c r="P1075" s="64"/>
      <c r="Q1075" s="64"/>
      <c r="R1075" s="65" t="str">
        <f>IF($A1075="","",IFERROR(MINIFS(Candidates!$K$2:$K$2000,Candidates!$A$2:$A$2000,$A1075),""))</f>
        <v/>
      </c>
      <c r="S1075" s="65" t="str">
        <f>IF($A1075="","",IFERROR(MAXIFS(Candidates!$AA$2:$AA$2000,Candidates!$A$2:$A$2000,$A1075),""))</f>
        <v/>
      </c>
      <c r="T1075" s="64" t="str">
        <f>IFERROR(__xludf.DUMMYFUNCTION("IF($A1075="""","""",IFERROR(TEXTJOIN("", "",TRUE,UNIQUE(FILTER(Candidates!$B$2:$B$2000,Candidates!$A$2:$A$2000=$A1075))),""""))"),"")</f>
        <v/>
      </c>
      <c r="U1075" s="66" t="str">
        <f>IF($A1075="","",COUNTIF(Candidates!$A$2:$A$2000,$A1075))</f>
        <v/>
      </c>
      <c r="V1075" s="64" t="str">
        <f>IFERROR(__xludf.DUMMYFUNCTION("IF($A1075="""","""",IFERROR(INDEX(FILTER(Candidates!$S$2:$S$2000,Candidates!$A$2:$A$2000=$A1075),COUNTIF(Candidates!$A$2:$A$2000,$A1075)),""""))"),"")</f>
        <v/>
      </c>
      <c r="W1075" s="64" t="str">
        <f>IFERROR(__xludf.DUMMYFUNCTION("IF($A1075="""","""",IFERROR(INDEX(FILTER(Candidates!$T$2:$T$2000,Candidates!$A$2:$A$2000=$A1075),COUNTIF(Candidates!$A$2:$A$2000,$A1075)),""""))"),"")</f>
        <v/>
      </c>
      <c r="X1075" s="64"/>
      <c r="Y1075" s="64"/>
      <c r="Z1075" s="65"/>
      <c r="AA1075" s="65"/>
      <c r="AB1075" s="65"/>
      <c r="AC1075" s="65"/>
    </row>
    <row r="1076">
      <c r="A1076" s="64"/>
      <c r="B1076" s="64"/>
      <c r="C1076" s="64"/>
      <c r="D1076" s="64"/>
      <c r="E1076" s="64"/>
      <c r="F1076" s="64"/>
      <c r="G1076" s="64"/>
      <c r="H1076" s="63"/>
      <c r="I1076" s="64"/>
      <c r="J1076" s="64"/>
      <c r="K1076" s="64"/>
      <c r="L1076" s="64"/>
      <c r="M1076" s="64"/>
      <c r="N1076" s="64"/>
      <c r="O1076" s="64"/>
      <c r="P1076" s="64"/>
      <c r="Q1076" s="64"/>
      <c r="R1076" s="65" t="str">
        <f>IF($A1076="","",IFERROR(MINIFS(Candidates!$K$2:$K$2000,Candidates!$A$2:$A$2000,$A1076),""))</f>
        <v/>
      </c>
      <c r="S1076" s="65" t="str">
        <f>IF($A1076="","",IFERROR(MAXIFS(Candidates!$AA$2:$AA$2000,Candidates!$A$2:$A$2000,$A1076),""))</f>
        <v/>
      </c>
      <c r="T1076" s="64" t="str">
        <f>IFERROR(__xludf.DUMMYFUNCTION("IF($A1076="""","""",IFERROR(TEXTJOIN("", "",TRUE,UNIQUE(FILTER(Candidates!$B$2:$B$2000,Candidates!$A$2:$A$2000=$A1076))),""""))"),"")</f>
        <v/>
      </c>
      <c r="U1076" s="66" t="str">
        <f>IF($A1076="","",COUNTIF(Candidates!$A$2:$A$2000,$A1076))</f>
        <v/>
      </c>
      <c r="V1076" s="64" t="str">
        <f>IFERROR(__xludf.DUMMYFUNCTION("IF($A1076="""","""",IFERROR(INDEX(FILTER(Candidates!$S$2:$S$2000,Candidates!$A$2:$A$2000=$A1076),COUNTIF(Candidates!$A$2:$A$2000,$A1076)),""""))"),"")</f>
        <v/>
      </c>
      <c r="W1076" s="64" t="str">
        <f>IFERROR(__xludf.DUMMYFUNCTION("IF($A1076="""","""",IFERROR(INDEX(FILTER(Candidates!$T$2:$T$2000,Candidates!$A$2:$A$2000=$A1076),COUNTIF(Candidates!$A$2:$A$2000,$A1076)),""""))"),"")</f>
        <v/>
      </c>
      <c r="X1076" s="64"/>
      <c r="Y1076" s="64"/>
      <c r="Z1076" s="65"/>
      <c r="AA1076" s="65"/>
      <c r="AB1076" s="65"/>
      <c r="AC1076" s="65"/>
    </row>
    <row r="1077">
      <c r="A1077" s="64"/>
      <c r="B1077" s="64"/>
      <c r="C1077" s="64"/>
      <c r="D1077" s="64"/>
      <c r="E1077" s="64"/>
      <c r="F1077" s="64"/>
      <c r="G1077" s="64"/>
      <c r="H1077" s="63"/>
      <c r="I1077" s="64"/>
      <c r="J1077" s="64"/>
      <c r="K1077" s="64"/>
      <c r="L1077" s="64"/>
      <c r="M1077" s="64"/>
      <c r="N1077" s="64"/>
      <c r="O1077" s="64"/>
      <c r="P1077" s="64"/>
      <c r="Q1077" s="64"/>
      <c r="R1077" s="65" t="str">
        <f>IF($A1077="","",IFERROR(MINIFS(Candidates!$K$2:$K$2000,Candidates!$A$2:$A$2000,$A1077),""))</f>
        <v/>
      </c>
      <c r="S1077" s="65" t="str">
        <f>IF($A1077="","",IFERROR(MAXIFS(Candidates!$AA$2:$AA$2000,Candidates!$A$2:$A$2000,$A1077),""))</f>
        <v/>
      </c>
      <c r="T1077" s="64" t="str">
        <f>IFERROR(__xludf.DUMMYFUNCTION("IF($A1077="""","""",IFERROR(TEXTJOIN("", "",TRUE,UNIQUE(FILTER(Candidates!$B$2:$B$2000,Candidates!$A$2:$A$2000=$A1077))),""""))"),"")</f>
        <v/>
      </c>
      <c r="U1077" s="66" t="str">
        <f>IF($A1077="","",COUNTIF(Candidates!$A$2:$A$2000,$A1077))</f>
        <v/>
      </c>
      <c r="V1077" s="64" t="str">
        <f>IFERROR(__xludf.DUMMYFUNCTION("IF($A1077="""","""",IFERROR(INDEX(FILTER(Candidates!$S$2:$S$2000,Candidates!$A$2:$A$2000=$A1077),COUNTIF(Candidates!$A$2:$A$2000,$A1077)),""""))"),"")</f>
        <v/>
      </c>
      <c r="W1077" s="64" t="str">
        <f>IFERROR(__xludf.DUMMYFUNCTION("IF($A1077="""","""",IFERROR(INDEX(FILTER(Candidates!$T$2:$T$2000,Candidates!$A$2:$A$2000=$A1077),COUNTIF(Candidates!$A$2:$A$2000,$A1077)),""""))"),"")</f>
        <v/>
      </c>
      <c r="X1077" s="64"/>
      <c r="Y1077" s="64"/>
      <c r="Z1077" s="65"/>
      <c r="AA1077" s="65"/>
      <c r="AB1077" s="65"/>
      <c r="AC1077" s="65"/>
    </row>
    <row r="1078">
      <c r="A1078" s="64"/>
      <c r="B1078" s="64"/>
      <c r="C1078" s="64"/>
      <c r="D1078" s="64"/>
      <c r="E1078" s="64"/>
      <c r="F1078" s="64"/>
      <c r="G1078" s="64"/>
      <c r="H1078" s="63"/>
      <c r="I1078" s="64"/>
      <c r="J1078" s="64"/>
      <c r="K1078" s="64"/>
      <c r="L1078" s="64"/>
      <c r="M1078" s="64"/>
      <c r="N1078" s="64"/>
      <c r="O1078" s="64"/>
      <c r="P1078" s="64"/>
      <c r="Q1078" s="64"/>
      <c r="R1078" s="65" t="str">
        <f>IF($A1078="","",IFERROR(MINIFS(Candidates!$K$2:$K$2000,Candidates!$A$2:$A$2000,$A1078),""))</f>
        <v/>
      </c>
      <c r="S1078" s="65" t="str">
        <f>IF($A1078="","",IFERROR(MAXIFS(Candidates!$AA$2:$AA$2000,Candidates!$A$2:$A$2000,$A1078),""))</f>
        <v/>
      </c>
      <c r="T1078" s="64" t="str">
        <f>IFERROR(__xludf.DUMMYFUNCTION("IF($A1078="""","""",IFERROR(TEXTJOIN("", "",TRUE,UNIQUE(FILTER(Candidates!$B$2:$B$2000,Candidates!$A$2:$A$2000=$A1078))),""""))"),"")</f>
        <v/>
      </c>
      <c r="U1078" s="66" t="str">
        <f>IF($A1078="","",COUNTIF(Candidates!$A$2:$A$2000,$A1078))</f>
        <v/>
      </c>
      <c r="V1078" s="64" t="str">
        <f>IFERROR(__xludf.DUMMYFUNCTION("IF($A1078="""","""",IFERROR(INDEX(FILTER(Candidates!$S$2:$S$2000,Candidates!$A$2:$A$2000=$A1078),COUNTIF(Candidates!$A$2:$A$2000,$A1078)),""""))"),"")</f>
        <v/>
      </c>
      <c r="W1078" s="64" t="str">
        <f>IFERROR(__xludf.DUMMYFUNCTION("IF($A1078="""","""",IFERROR(INDEX(FILTER(Candidates!$T$2:$T$2000,Candidates!$A$2:$A$2000=$A1078),COUNTIF(Candidates!$A$2:$A$2000,$A1078)),""""))"),"")</f>
        <v/>
      </c>
      <c r="X1078" s="64"/>
      <c r="Y1078" s="64"/>
      <c r="Z1078" s="65"/>
      <c r="AA1078" s="65"/>
      <c r="AB1078" s="65"/>
      <c r="AC1078" s="65"/>
    </row>
    <row r="1079">
      <c r="A1079" s="64"/>
      <c r="B1079" s="64"/>
      <c r="C1079" s="64"/>
      <c r="D1079" s="64"/>
      <c r="E1079" s="64"/>
      <c r="F1079" s="64"/>
      <c r="G1079" s="64"/>
      <c r="H1079" s="63"/>
      <c r="I1079" s="64"/>
      <c r="J1079" s="64"/>
      <c r="K1079" s="64"/>
      <c r="L1079" s="64"/>
      <c r="M1079" s="64"/>
      <c r="N1079" s="64"/>
      <c r="O1079" s="64"/>
      <c r="P1079" s="64"/>
      <c r="Q1079" s="64"/>
      <c r="R1079" s="65" t="str">
        <f>IF($A1079="","",IFERROR(MINIFS(Candidates!$K$2:$K$2000,Candidates!$A$2:$A$2000,$A1079),""))</f>
        <v/>
      </c>
      <c r="S1079" s="65" t="str">
        <f>IF($A1079="","",IFERROR(MAXIFS(Candidates!$AA$2:$AA$2000,Candidates!$A$2:$A$2000,$A1079),""))</f>
        <v/>
      </c>
      <c r="T1079" s="64" t="str">
        <f>IFERROR(__xludf.DUMMYFUNCTION("IF($A1079="""","""",IFERROR(TEXTJOIN("", "",TRUE,UNIQUE(FILTER(Candidates!$B$2:$B$2000,Candidates!$A$2:$A$2000=$A1079))),""""))"),"")</f>
        <v/>
      </c>
      <c r="U1079" s="66" t="str">
        <f>IF($A1079="","",COUNTIF(Candidates!$A$2:$A$2000,$A1079))</f>
        <v/>
      </c>
      <c r="V1079" s="64" t="str">
        <f>IFERROR(__xludf.DUMMYFUNCTION("IF($A1079="""","""",IFERROR(INDEX(FILTER(Candidates!$S$2:$S$2000,Candidates!$A$2:$A$2000=$A1079),COUNTIF(Candidates!$A$2:$A$2000,$A1079)),""""))"),"")</f>
        <v/>
      </c>
      <c r="W1079" s="64" t="str">
        <f>IFERROR(__xludf.DUMMYFUNCTION("IF($A1079="""","""",IFERROR(INDEX(FILTER(Candidates!$T$2:$T$2000,Candidates!$A$2:$A$2000=$A1079),COUNTIF(Candidates!$A$2:$A$2000,$A1079)),""""))"),"")</f>
        <v/>
      </c>
      <c r="X1079" s="64"/>
      <c r="Y1079" s="64"/>
      <c r="Z1079" s="65"/>
      <c r="AA1079" s="65"/>
      <c r="AB1079" s="65"/>
      <c r="AC1079" s="65"/>
    </row>
    <row r="1080">
      <c r="A1080" s="64"/>
      <c r="B1080" s="64"/>
      <c r="C1080" s="64"/>
      <c r="D1080" s="64"/>
      <c r="E1080" s="64"/>
      <c r="F1080" s="64"/>
      <c r="G1080" s="64"/>
      <c r="H1080" s="63"/>
      <c r="I1080" s="64"/>
      <c r="J1080" s="64"/>
      <c r="K1080" s="64"/>
      <c r="L1080" s="64"/>
      <c r="M1080" s="64"/>
      <c r="N1080" s="64"/>
      <c r="O1080" s="64"/>
      <c r="P1080" s="64"/>
      <c r="Q1080" s="64"/>
      <c r="R1080" s="65" t="str">
        <f>IF($A1080="","",IFERROR(MINIFS(Candidates!$K$2:$K$2000,Candidates!$A$2:$A$2000,$A1080),""))</f>
        <v/>
      </c>
      <c r="S1080" s="65" t="str">
        <f>IF($A1080="","",IFERROR(MAXIFS(Candidates!$AA$2:$AA$2000,Candidates!$A$2:$A$2000,$A1080),""))</f>
        <v/>
      </c>
      <c r="T1080" s="64" t="str">
        <f>IFERROR(__xludf.DUMMYFUNCTION("IF($A1080="""","""",IFERROR(TEXTJOIN("", "",TRUE,UNIQUE(FILTER(Candidates!$B$2:$B$2000,Candidates!$A$2:$A$2000=$A1080))),""""))"),"")</f>
        <v/>
      </c>
      <c r="U1080" s="66" t="str">
        <f>IF($A1080="","",COUNTIF(Candidates!$A$2:$A$2000,$A1080))</f>
        <v/>
      </c>
      <c r="V1080" s="64" t="str">
        <f>IFERROR(__xludf.DUMMYFUNCTION("IF($A1080="""","""",IFERROR(INDEX(FILTER(Candidates!$S$2:$S$2000,Candidates!$A$2:$A$2000=$A1080),COUNTIF(Candidates!$A$2:$A$2000,$A1080)),""""))"),"")</f>
        <v/>
      </c>
      <c r="W1080" s="64" t="str">
        <f>IFERROR(__xludf.DUMMYFUNCTION("IF($A1080="""","""",IFERROR(INDEX(FILTER(Candidates!$T$2:$T$2000,Candidates!$A$2:$A$2000=$A1080),COUNTIF(Candidates!$A$2:$A$2000,$A1080)),""""))"),"")</f>
        <v/>
      </c>
      <c r="X1080" s="64"/>
      <c r="Y1080" s="64"/>
      <c r="Z1080" s="65"/>
      <c r="AA1080" s="65"/>
      <c r="AB1080" s="65"/>
      <c r="AC1080" s="65"/>
    </row>
    <row r="1081">
      <c r="A1081" s="64"/>
      <c r="B1081" s="64"/>
      <c r="C1081" s="64"/>
      <c r="D1081" s="64"/>
      <c r="E1081" s="64"/>
      <c r="F1081" s="64"/>
      <c r="G1081" s="64"/>
      <c r="H1081" s="63"/>
      <c r="I1081" s="64"/>
      <c r="J1081" s="64"/>
      <c r="K1081" s="64"/>
      <c r="L1081" s="64"/>
      <c r="M1081" s="64"/>
      <c r="N1081" s="64"/>
      <c r="O1081" s="64"/>
      <c r="P1081" s="64"/>
      <c r="Q1081" s="64"/>
      <c r="R1081" s="65" t="str">
        <f>IF($A1081="","",IFERROR(MINIFS(Candidates!$K$2:$K$2000,Candidates!$A$2:$A$2000,$A1081),""))</f>
        <v/>
      </c>
      <c r="S1081" s="65" t="str">
        <f>IF($A1081="","",IFERROR(MAXIFS(Candidates!$AA$2:$AA$2000,Candidates!$A$2:$A$2000,$A1081),""))</f>
        <v/>
      </c>
      <c r="T1081" s="64" t="str">
        <f>IFERROR(__xludf.DUMMYFUNCTION("IF($A1081="""","""",IFERROR(TEXTJOIN("", "",TRUE,UNIQUE(FILTER(Candidates!$B$2:$B$2000,Candidates!$A$2:$A$2000=$A1081))),""""))"),"")</f>
        <v/>
      </c>
      <c r="U1081" s="66" t="str">
        <f>IF($A1081="","",COUNTIF(Candidates!$A$2:$A$2000,$A1081))</f>
        <v/>
      </c>
      <c r="V1081" s="64" t="str">
        <f>IFERROR(__xludf.DUMMYFUNCTION("IF($A1081="""","""",IFERROR(INDEX(FILTER(Candidates!$S$2:$S$2000,Candidates!$A$2:$A$2000=$A1081),COUNTIF(Candidates!$A$2:$A$2000,$A1081)),""""))"),"")</f>
        <v/>
      </c>
      <c r="W1081" s="64" t="str">
        <f>IFERROR(__xludf.DUMMYFUNCTION("IF($A1081="""","""",IFERROR(INDEX(FILTER(Candidates!$T$2:$T$2000,Candidates!$A$2:$A$2000=$A1081),COUNTIF(Candidates!$A$2:$A$2000,$A1081)),""""))"),"")</f>
        <v/>
      </c>
      <c r="X1081" s="64"/>
      <c r="Y1081" s="64"/>
      <c r="Z1081" s="65"/>
      <c r="AA1081" s="65"/>
      <c r="AB1081" s="65"/>
      <c r="AC1081" s="65"/>
    </row>
    <row r="1082">
      <c r="A1082" s="64"/>
      <c r="B1082" s="64"/>
      <c r="C1082" s="64"/>
      <c r="D1082" s="64"/>
      <c r="E1082" s="64"/>
      <c r="F1082" s="64"/>
      <c r="G1082" s="64"/>
      <c r="H1082" s="63"/>
      <c r="I1082" s="64"/>
      <c r="J1082" s="64"/>
      <c r="K1082" s="64"/>
      <c r="L1082" s="64"/>
      <c r="M1082" s="64"/>
      <c r="N1082" s="64"/>
      <c r="O1082" s="64"/>
      <c r="P1082" s="64"/>
      <c r="Q1082" s="64"/>
      <c r="R1082" s="65" t="str">
        <f>IF($A1082="","",IFERROR(MINIFS(Candidates!$K$2:$K$2000,Candidates!$A$2:$A$2000,$A1082),""))</f>
        <v/>
      </c>
      <c r="S1082" s="65" t="str">
        <f>IF($A1082="","",IFERROR(MAXIFS(Candidates!$AA$2:$AA$2000,Candidates!$A$2:$A$2000,$A1082),""))</f>
        <v/>
      </c>
      <c r="T1082" s="64" t="str">
        <f>IFERROR(__xludf.DUMMYFUNCTION("IF($A1082="""","""",IFERROR(TEXTJOIN("", "",TRUE,UNIQUE(FILTER(Candidates!$B$2:$B$2000,Candidates!$A$2:$A$2000=$A1082))),""""))"),"")</f>
        <v/>
      </c>
      <c r="U1082" s="66" t="str">
        <f>IF($A1082="","",COUNTIF(Candidates!$A$2:$A$2000,$A1082))</f>
        <v/>
      </c>
      <c r="V1082" s="64" t="str">
        <f>IFERROR(__xludf.DUMMYFUNCTION("IF($A1082="""","""",IFERROR(INDEX(FILTER(Candidates!$S$2:$S$2000,Candidates!$A$2:$A$2000=$A1082),COUNTIF(Candidates!$A$2:$A$2000,$A1082)),""""))"),"")</f>
        <v/>
      </c>
      <c r="W1082" s="64" t="str">
        <f>IFERROR(__xludf.DUMMYFUNCTION("IF($A1082="""","""",IFERROR(INDEX(FILTER(Candidates!$T$2:$T$2000,Candidates!$A$2:$A$2000=$A1082),COUNTIF(Candidates!$A$2:$A$2000,$A1082)),""""))"),"")</f>
        <v/>
      </c>
      <c r="X1082" s="64"/>
      <c r="Y1082" s="64"/>
      <c r="Z1082" s="65"/>
      <c r="AA1082" s="65"/>
      <c r="AB1082" s="65"/>
      <c r="AC1082" s="65"/>
    </row>
    <row r="1083">
      <c r="A1083" s="64"/>
      <c r="B1083" s="64"/>
      <c r="C1083" s="64"/>
      <c r="D1083" s="64"/>
      <c r="E1083" s="64"/>
      <c r="F1083" s="64"/>
      <c r="G1083" s="64"/>
      <c r="H1083" s="63"/>
      <c r="I1083" s="64"/>
      <c r="J1083" s="64"/>
      <c r="K1083" s="64"/>
      <c r="L1083" s="64"/>
      <c r="M1083" s="64"/>
      <c r="N1083" s="64"/>
      <c r="O1083" s="64"/>
      <c r="P1083" s="64"/>
      <c r="Q1083" s="64"/>
      <c r="R1083" s="65" t="str">
        <f>IF($A1083="","",IFERROR(MINIFS(Candidates!$K$2:$K$2000,Candidates!$A$2:$A$2000,$A1083),""))</f>
        <v/>
      </c>
      <c r="S1083" s="65" t="str">
        <f>IF($A1083="","",IFERROR(MAXIFS(Candidates!$AA$2:$AA$2000,Candidates!$A$2:$A$2000,$A1083),""))</f>
        <v/>
      </c>
      <c r="T1083" s="64" t="str">
        <f>IFERROR(__xludf.DUMMYFUNCTION("IF($A1083="""","""",IFERROR(TEXTJOIN("", "",TRUE,UNIQUE(FILTER(Candidates!$B$2:$B$2000,Candidates!$A$2:$A$2000=$A1083))),""""))"),"")</f>
        <v/>
      </c>
      <c r="U1083" s="66" t="str">
        <f>IF($A1083="","",COUNTIF(Candidates!$A$2:$A$2000,$A1083))</f>
        <v/>
      </c>
      <c r="V1083" s="64" t="str">
        <f>IFERROR(__xludf.DUMMYFUNCTION("IF($A1083="""","""",IFERROR(INDEX(FILTER(Candidates!$S$2:$S$2000,Candidates!$A$2:$A$2000=$A1083),COUNTIF(Candidates!$A$2:$A$2000,$A1083)),""""))"),"")</f>
        <v/>
      </c>
      <c r="W1083" s="64" t="str">
        <f>IFERROR(__xludf.DUMMYFUNCTION("IF($A1083="""","""",IFERROR(INDEX(FILTER(Candidates!$T$2:$T$2000,Candidates!$A$2:$A$2000=$A1083),COUNTIF(Candidates!$A$2:$A$2000,$A1083)),""""))"),"")</f>
        <v/>
      </c>
      <c r="X1083" s="64"/>
      <c r="Y1083" s="64"/>
      <c r="Z1083" s="65"/>
      <c r="AA1083" s="65"/>
      <c r="AB1083" s="65"/>
      <c r="AC1083" s="65"/>
    </row>
    <row r="1084">
      <c r="A1084" s="64"/>
      <c r="B1084" s="64"/>
      <c r="C1084" s="64"/>
      <c r="D1084" s="64"/>
      <c r="E1084" s="64"/>
      <c r="F1084" s="64"/>
      <c r="G1084" s="64"/>
      <c r="H1084" s="63"/>
      <c r="I1084" s="64"/>
      <c r="J1084" s="64"/>
      <c r="K1084" s="64"/>
      <c r="L1084" s="64"/>
      <c r="M1084" s="64"/>
      <c r="N1084" s="64"/>
      <c r="O1084" s="64"/>
      <c r="P1084" s="64"/>
      <c r="Q1084" s="64"/>
      <c r="R1084" s="65" t="str">
        <f>IF($A1084="","",IFERROR(MINIFS(Candidates!$K$2:$K$2000,Candidates!$A$2:$A$2000,$A1084),""))</f>
        <v/>
      </c>
      <c r="S1084" s="65" t="str">
        <f>IF($A1084="","",IFERROR(MAXIFS(Candidates!$AA$2:$AA$2000,Candidates!$A$2:$A$2000,$A1084),""))</f>
        <v/>
      </c>
      <c r="T1084" s="64" t="str">
        <f>IFERROR(__xludf.DUMMYFUNCTION("IF($A1084="""","""",IFERROR(TEXTJOIN("", "",TRUE,UNIQUE(FILTER(Candidates!$B$2:$B$2000,Candidates!$A$2:$A$2000=$A1084))),""""))"),"")</f>
        <v/>
      </c>
      <c r="U1084" s="66" t="str">
        <f>IF($A1084="","",COUNTIF(Candidates!$A$2:$A$2000,$A1084))</f>
        <v/>
      </c>
      <c r="V1084" s="64" t="str">
        <f>IFERROR(__xludf.DUMMYFUNCTION("IF($A1084="""","""",IFERROR(INDEX(FILTER(Candidates!$S$2:$S$2000,Candidates!$A$2:$A$2000=$A1084),COUNTIF(Candidates!$A$2:$A$2000,$A1084)),""""))"),"")</f>
        <v/>
      </c>
      <c r="W1084" s="64" t="str">
        <f>IFERROR(__xludf.DUMMYFUNCTION("IF($A1084="""","""",IFERROR(INDEX(FILTER(Candidates!$T$2:$T$2000,Candidates!$A$2:$A$2000=$A1084),COUNTIF(Candidates!$A$2:$A$2000,$A1084)),""""))"),"")</f>
        <v/>
      </c>
      <c r="X1084" s="64"/>
      <c r="Y1084" s="64"/>
      <c r="Z1084" s="65"/>
      <c r="AA1084" s="65"/>
      <c r="AB1084" s="65"/>
      <c r="AC1084" s="65"/>
    </row>
    <row r="1085">
      <c r="A1085" s="64"/>
      <c r="B1085" s="64"/>
      <c r="C1085" s="64"/>
      <c r="D1085" s="64"/>
      <c r="E1085" s="64"/>
      <c r="F1085" s="64"/>
      <c r="G1085" s="64"/>
      <c r="H1085" s="63"/>
      <c r="I1085" s="64"/>
      <c r="J1085" s="64"/>
      <c r="K1085" s="64"/>
      <c r="L1085" s="64"/>
      <c r="M1085" s="64"/>
      <c r="N1085" s="64"/>
      <c r="O1085" s="64"/>
      <c r="P1085" s="64"/>
      <c r="Q1085" s="64"/>
      <c r="R1085" s="65" t="str">
        <f>IF($A1085="","",IFERROR(MINIFS(Candidates!$K$2:$K$2000,Candidates!$A$2:$A$2000,$A1085),""))</f>
        <v/>
      </c>
      <c r="S1085" s="65" t="str">
        <f>IF($A1085="","",IFERROR(MAXIFS(Candidates!$AA$2:$AA$2000,Candidates!$A$2:$A$2000,$A1085),""))</f>
        <v/>
      </c>
      <c r="T1085" s="64" t="str">
        <f>IFERROR(__xludf.DUMMYFUNCTION("IF($A1085="""","""",IFERROR(TEXTJOIN("", "",TRUE,UNIQUE(FILTER(Candidates!$B$2:$B$2000,Candidates!$A$2:$A$2000=$A1085))),""""))"),"")</f>
        <v/>
      </c>
      <c r="U1085" s="66" t="str">
        <f>IF($A1085="","",COUNTIF(Candidates!$A$2:$A$2000,$A1085))</f>
        <v/>
      </c>
      <c r="V1085" s="64" t="str">
        <f>IFERROR(__xludf.DUMMYFUNCTION("IF($A1085="""","""",IFERROR(INDEX(FILTER(Candidates!$S$2:$S$2000,Candidates!$A$2:$A$2000=$A1085),COUNTIF(Candidates!$A$2:$A$2000,$A1085)),""""))"),"")</f>
        <v/>
      </c>
      <c r="W1085" s="64" t="str">
        <f>IFERROR(__xludf.DUMMYFUNCTION("IF($A1085="""","""",IFERROR(INDEX(FILTER(Candidates!$T$2:$T$2000,Candidates!$A$2:$A$2000=$A1085),COUNTIF(Candidates!$A$2:$A$2000,$A1085)),""""))"),"")</f>
        <v/>
      </c>
      <c r="X1085" s="64"/>
      <c r="Y1085" s="64"/>
      <c r="Z1085" s="65"/>
      <c r="AA1085" s="65"/>
      <c r="AB1085" s="65"/>
      <c r="AC1085" s="65"/>
    </row>
    <row r="1086">
      <c r="A1086" s="64"/>
      <c r="B1086" s="64"/>
      <c r="C1086" s="64"/>
      <c r="D1086" s="64"/>
      <c r="E1086" s="64"/>
      <c r="F1086" s="64"/>
      <c r="G1086" s="64"/>
      <c r="H1086" s="63"/>
      <c r="I1086" s="64"/>
      <c r="J1086" s="64"/>
      <c r="K1086" s="64"/>
      <c r="L1086" s="64"/>
      <c r="M1086" s="64"/>
      <c r="N1086" s="64"/>
      <c r="O1086" s="64"/>
      <c r="P1086" s="64"/>
      <c r="Q1086" s="64"/>
      <c r="R1086" s="65" t="str">
        <f>IF($A1086="","",IFERROR(MINIFS(Candidates!$K$2:$K$2000,Candidates!$A$2:$A$2000,$A1086),""))</f>
        <v/>
      </c>
      <c r="S1086" s="65" t="str">
        <f>IF($A1086="","",IFERROR(MAXIFS(Candidates!$AA$2:$AA$2000,Candidates!$A$2:$A$2000,$A1086),""))</f>
        <v/>
      </c>
      <c r="T1086" s="64" t="str">
        <f>IFERROR(__xludf.DUMMYFUNCTION("IF($A1086="""","""",IFERROR(TEXTJOIN("", "",TRUE,UNIQUE(FILTER(Candidates!$B$2:$B$2000,Candidates!$A$2:$A$2000=$A1086))),""""))"),"")</f>
        <v/>
      </c>
      <c r="U1086" s="66" t="str">
        <f>IF($A1086="","",COUNTIF(Candidates!$A$2:$A$2000,$A1086))</f>
        <v/>
      </c>
      <c r="V1086" s="64" t="str">
        <f>IFERROR(__xludf.DUMMYFUNCTION("IF($A1086="""","""",IFERROR(INDEX(FILTER(Candidates!$S$2:$S$2000,Candidates!$A$2:$A$2000=$A1086),COUNTIF(Candidates!$A$2:$A$2000,$A1086)),""""))"),"")</f>
        <v/>
      </c>
      <c r="W1086" s="64" t="str">
        <f>IFERROR(__xludf.DUMMYFUNCTION("IF($A1086="""","""",IFERROR(INDEX(FILTER(Candidates!$T$2:$T$2000,Candidates!$A$2:$A$2000=$A1086),COUNTIF(Candidates!$A$2:$A$2000,$A1086)),""""))"),"")</f>
        <v/>
      </c>
      <c r="X1086" s="64"/>
      <c r="Y1086" s="64"/>
      <c r="Z1086" s="65"/>
      <c r="AA1086" s="65"/>
      <c r="AB1086" s="65"/>
      <c r="AC1086" s="65"/>
    </row>
    <row r="1087">
      <c r="A1087" s="64"/>
      <c r="B1087" s="64"/>
      <c r="C1087" s="64"/>
      <c r="D1087" s="64"/>
      <c r="E1087" s="64"/>
      <c r="F1087" s="64"/>
      <c r="G1087" s="64"/>
      <c r="H1087" s="63"/>
      <c r="I1087" s="64"/>
      <c r="J1087" s="64"/>
      <c r="K1087" s="64"/>
      <c r="L1087" s="64"/>
      <c r="M1087" s="64"/>
      <c r="N1087" s="64"/>
      <c r="O1087" s="64"/>
      <c r="P1087" s="64"/>
      <c r="Q1087" s="64"/>
      <c r="R1087" s="65" t="str">
        <f>IF($A1087="","",IFERROR(MINIFS(Candidates!$K$2:$K$2000,Candidates!$A$2:$A$2000,$A1087),""))</f>
        <v/>
      </c>
      <c r="S1087" s="65" t="str">
        <f>IF($A1087="","",IFERROR(MAXIFS(Candidates!$AA$2:$AA$2000,Candidates!$A$2:$A$2000,$A1087),""))</f>
        <v/>
      </c>
      <c r="T1087" s="64" t="str">
        <f>IFERROR(__xludf.DUMMYFUNCTION("IF($A1087="""","""",IFERROR(TEXTJOIN("", "",TRUE,UNIQUE(FILTER(Candidates!$B$2:$B$2000,Candidates!$A$2:$A$2000=$A1087))),""""))"),"")</f>
        <v/>
      </c>
      <c r="U1087" s="66" t="str">
        <f>IF($A1087="","",COUNTIF(Candidates!$A$2:$A$2000,$A1087))</f>
        <v/>
      </c>
      <c r="V1087" s="64" t="str">
        <f>IFERROR(__xludf.DUMMYFUNCTION("IF($A1087="""","""",IFERROR(INDEX(FILTER(Candidates!$S$2:$S$2000,Candidates!$A$2:$A$2000=$A1087),COUNTIF(Candidates!$A$2:$A$2000,$A1087)),""""))"),"")</f>
        <v/>
      </c>
      <c r="W1087" s="64" t="str">
        <f>IFERROR(__xludf.DUMMYFUNCTION("IF($A1087="""","""",IFERROR(INDEX(FILTER(Candidates!$T$2:$T$2000,Candidates!$A$2:$A$2000=$A1087),COUNTIF(Candidates!$A$2:$A$2000,$A1087)),""""))"),"")</f>
        <v/>
      </c>
      <c r="X1087" s="64"/>
      <c r="Y1087" s="64"/>
      <c r="Z1087" s="65"/>
      <c r="AA1087" s="65"/>
      <c r="AB1087" s="65"/>
      <c r="AC1087" s="65"/>
    </row>
    <row r="1088">
      <c r="A1088" s="64"/>
      <c r="B1088" s="64"/>
      <c r="C1088" s="64"/>
      <c r="D1088" s="64"/>
      <c r="E1088" s="64"/>
      <c r="F1088" s="64"/>
      <c r="G1088" s="64"/>
      <c r="H1088" s="63"/>
      <c r="I1088" s="64"/>
      <c r="J1088" s="64"/>
      <c r="K1088" s="64"/>
      <c r="L1088" s="64"/>
      <c r="M1088" s="64"/>
      <c r="N1088" s="64"/>
      <c r="O1088" s="64"/>
      <c r="P1088" s="64"/>
      <c r="Q1088" s="64"/>
      <c r="R1088" s="65" t="str">
        <f>IF($A1088="","",IFERROR(MINIFS(Candidates!$K$2:$K$2000,Candidates!$A$2:$A$2000,$A1088),""))</f>
        <v/>
      </c>
      <c r="S1088" s="65" t="str">
        <f>IF($A1088="","",IFERROR(MAXIFS(Candidates!$AA$2:$AA$2000,Candidates!$A$2:$A$2000,$A1088),""))</f>
        <v/>
      </c>
      <c r="T1088" s="64" t="str">
        <f>IFERROR(__xludf.DUMMYFUNCTION("IF($A1088="""","""",IFERROR(TEXTJOIN("", "",TRUE,UNIQUE(FILTER(Candidates!$B$2:$B$2000,Candidates!$A$2:$A$2000=$A1088))),""""))"),"")</f>
        <v/>
      </c>
      <c r="U1088" s="66" t="str">
        <f>IF($A1088="","",COUNTIF(Candidates!$A$2:$A$2000,$A1088))</f>
        <v/>
      </c>
      <c r="V1088" s="64" t="str">
        <f>IFERROR(__xludf.DUMMYFUNCTION("IF($A1088="""","""",IFERROR(INDEX(FILTER(Candidates!$S$2:$S$2000,Candidates!$A$2:$A$2000=$A1088),COUNTIF(Candidates!$A$2:$A$2000,$A1088)),""""))"),"")</f>
        <v/>
      </c>
      <c r="W1088" s="64" t="str">
        <f>IFERROR(__xludf.DUMMYFUNCTION("IF($A1088="""","""",IFERROR(INDEX(FILTER(Candidates!$T$2:$T$2000,Candidates!$A$2:$A$2000=$A1088),COUNTIF(Candidates!$A$2:$A$2000,$A1088)),""""))"),"")</f>
        <v/>
      </c>
      <c r="X1088" s="64"/>
      <c r="Y1088" s="64"/>
      <c r="Z1088" s="65"/>
      <c r="AA1088" s="65"/>
      <c r="AB1088" s="65"/>
      <c r="AC1088" s="65"/>
    </row>
    <row r="1089">
      <c r="A1089" s="64"/>
      <c r="B1089" s="64"/>
      <c r="C1089" s="64"/>
      <c r="D1089" s="64"/>
      <c r="E1089" s="64"/>
      <c r="F1089" s="64"/>
      <c r="G1089" s="64"/>
      <c r="H1089" s="63"/>
      <c r="I1089" s="64"/>
      <c r="J1089" s="64"/>
      <c r="K1089" s="64"/>
      <c r="L1089" s="64"/>
      <c r="M1089" s="64"/>
      <c r="N1089" s="64"/>
      <c r="O1089" s="64"/>
      <c r="P1089" s="64"/>
      <c r="Q1089" s="64"/>
      <c r="R1089" s="65" t="str">
        <f>IF($A1089="","",IFERROR(MINIFS(Candidates!$K$2:$K$2000,Candidates!$A$2:$A$2000,$A1089),""))</f>
        <v/>
      </c>
      <c r="S1089" s="65" t="str">
        <f>IF($A1089="","",IFERROR(MAXIFS(Candidates!$AA$2:$AA$2000,Candidates!$A$2:$A$2000,$A1089),""))</f>
        <v/>
      </c>
      <c r="T1089" s="64" t="str">
        <f>IFERROR(__xludf.DUMMYFUNCTION("IF($A1089="""","""",IFERROR(TEXTJOIN("", "",TRUE,UNIQUE(FILTER(Candidates!$B$2:$B$2000,Candidates!$A$2:$A$2000=$A1089))),""""))"),"")</f>
        <v/>
      </c>
      <c r="U1089" s="66" t="str">
        <f>IF($A1089="","",COUNTIF(Candidates!$A$2:$A$2000,$A1089))</f>
        <v/>
      </c>
      <c r="V1089" s="64" t="str">
        <f>IFERROR(__xludf.DUMMYFUNCTION("IF($A1089="""","""",IFERROR(INDEX(FILTER(Candidates!$S$2:$S$2000,Candidates!$A$2:$A$2000=$A1089),COUNTIF(Candidates!$A$2:$A$2000,$A1089)),""""))"),"")</f>
        <v/>
      </c>
      <c r="W1089" s="64" t="str">
        <f>IFERROR(__xludf.DUMMYFUNCTION("IF($A1089="""","""",IFERROR(INDEX(FILTER(Candidates!$T$2:$T$2000,Candidates!$A$2:$A$2000=$A1089),COUNTIF(Candidates!$A$2:$A$2000,$A1089)),""""))"),"")</f>
        <v/>
      </c>
      <c r="X1089" s="64"/>
      <c r="Y1089" s="64"/>
      <c r="Z1089" s="65"/>
      <c r="AA1089" s="65"/>
      <c r="AB1089" s="65"/>
      <c r="AC1089" s="65"/>
    </row>
    <row r="1090">
      <c r="A1090" s="64"/>
      <c r="B1090" s="64"/>
      <c r="C1090" s="64"/>
      <c r="D1090" s="64"/>
      <c r="E1090" s="64"/>
      <c r="F1090" s="64"/>
      <c r="G1090" s="64"/>
      <c r="H1090" s="63"/>
      <c r="I1090" s="64"/>
      <c r="J1090" s="64"/>
      <c r="K1090" s="64"/>
      <c r="L1090" s="64"/>
      <c r="M1090" s="64"/>
      <c r="N1090" s="64"/>
      <c r="O1090" s="64"/>
      <c r="P1090" s="64"/>
      <c r="Q1090" s="64"/>
      <c r="R1090" s="65" t="str">
        <f>IF($A1090="","",IFERROR(MINIFS(Candidates!$K$2:$K$2000,Candidates!$A$2:$A$2000,$A1090),""))</f>
        <v/>
      </c>
      <c r="S1090" s="65" t="str">
        <f>IF($A1090="","",IFERROR(MAXIFS(Candidates!$AA$2:$AA$2000,Candidates!$A$2:$A$2000,$A1090),""))</f>
        <v/>
      </c>
      <c r="T1090" s="64" t="str">
        <f>IFERROR(__xludf.DUMMYFUNCTION("IF($A1090="""","""",IFERROR(TEXTJOIN("", "",TRUE,UNIQUE(FILTER(Candidates!$B$2:$B$2000,Candidates!$A$2:$A$2000=$A1090))),""""))"),"")</f>
        <v/>
      </c>
      <c r="U1090" s="66" t="str">
        <f>IF($A1090="","",COUNTIF(Candidates!$A$2:$A$2000,$A1090))</f>
        <v/>
      </c>
      <c r="V1090" s="64" t="str">
        <f>IFERROR(__xludf.DUMMYFUNCTION("IF($A1090="""","""",IFERROR(INDEX(FILTER(Candidates!$S$2:$S$2000,Candidates!$A$2:$A$2000=$A1090),COUNTIF(Candidates!$A$2:$A$2000,$A1090)),""""))"),"")</f>
        <v/>
      </c>
      <c r="W1090" s="64" t="str">
        <f>IFERROR(__xludf.DUMMYFUNCTION("IF($A1090="""","""",IFERROR(INDEX(FILTER(Candidates!$T$2:$T$2000,Candidates!$A$2:$A$2000=$A1090),COUNTIF(Candidates!$A$2:$A$2000,$A1090)),""""))"),"")</f>
        <v/>
      </c>
      <c r="X1090" s="64"/>
      <c r="Y1090" s="64"/>
      <c r="Z1090" s="65"/>
      <c r="AA1090" s="65"/>
      <c r="AB1090" s="65"/>
      <c r="AC1090" s="65"/>
    </row>
    <row r="1091">
      <c r="A1091" s="64"/>
      <c r="B1091" s="64"/>
      <c r="C1091" s="64"/>
      <c r="D1091" s="64"/>
      <c r="E1091" s="64"/>
      <c r="F1091" s="64"/>
      <c r="G1091" s="64"/>
      <c r="H1091" s="63"/>
      <c r="I1091" s="64"/>
      <c r="J1091" s="64"/>
      <c r="K1091" s="64"/>
      <c r="L1091" s="64"/>
      <c r="M1091" s="64"/>
      <c r="N1091" s="64"/>
      <c r="O1091" s="64"/>
      <c r="P1091" s="64"/>
      <c r="Q1091" s="64"/>
      <c r="R1091" s="65" t="str">
        <f>IF($A1091="","",IFERROR(MINIFS(Candidates!$K$2:$K$2000,Candidates!$A$2:$A$2000,$A1091),""))</f>
        <v/>
      </c>
      <c r="S1091" s="65" t="str">
        <f>IF($A1091="","",IFERROR(MAXIFS(Candidates!$AA$2:$AA$2000,Candidates!$A$2:$A$2000,$A1091),""))</f>
        <v/>
      </c>
      <c r="T1091" s="64" t="str">
        <f>IFERROR(__xludf.DUMMYFUNCTION("IF($A1091="""","""",IFERROR(TEXTJOIN("", "",TRUE,UNIQUE(FILTER(Candidates!$B$2:$B$2000,Candidates!$A$2:$A$2000=$A1091))),""""))"),"")</f>
        <v/>
      </c>
      <c r="U1091" s="66" t="str">
        <f>IF($A1091="","",COUNTIF(Candidates!$A$2:$A$2000,$A1091))</f>
        <v/>
      </c>
      <c r="V1091" s="64" t="str">
        <f>IFERROR(__xludf.DUMMYFUNCTION("IF($A1091="""","""",IFERROR(INDEX(FILTER(Candidates!$S$2:$S$2000,Candidates!$A$2:$A$2000=$A1091),COUNTIF(Candidates!$A$2:$A$2000,$A1091)),""""))"),"")</f>
        <v/>
      </c>
      <c r="W1091" s="64" t="str">
        <f>IFERROR(__xludf.DUMMYFUNCTION("IF($A1091="""","""",IFERROR(INDEX(FILTER(Candidates!$T$2:$T$2000,Candidates!$A$2:$A$2000=$A1091),COUNTIF(Candidates!$A$2:$A$2000,$A1091)),""""))"),"")</f>
        <v/>
      </c>
      <c r="X1091" s="64"/>
      <c r="Y1091" s="64"/>
      <c r="Z1091" s="65"/>
      <c r="AA1091" s="65"/>
      <c r="AB1091" s="65"/>
      <c r="AC1091" s="65"/>
    </row>
    <row r="1092">
      <c r="A1092" s="64"/>
      <c r="B1092" s="64"/>
      <c r="C1092" s="64"/>
      <c r="D1092" s="64"/>
      <c r="E1092" s="64"/>
      <c r="F1092" s="64"/>
      <c r="G1092" s="64"/>
      <c r="H1092" s="63"/>
      <c r="I1092" s="64"/>
      <c r="J1092" s="64"/>
      <c r="K1092" s="64"/>
      <c r="L1092" s="64"/>
      <c r="M1092" s="64"/>
      <c r="N1092" s="64"/>
      <c r="O1092" s="64"/>
      <c r="P1092" s="64"/>
      <c r="Q1092" s="64"/>
      <c r="R1092" s="65" t="str">
        <f>IF($A1092="","",IFERROR(MINIFS(Candidates!$K$2:$K$2000,Candidates!$A$2:$A$2000,$A1092),""))</f>
        <v/>
      </c>
      <c r="S1092" s="65" t="str">
        <f>IF($A1092="","",IFERROR(MAXIFS(Candidates!$AA$2:$AA$2000,Candidates!$A$2:$A$2000,$A1092),""))</f>
        <v/>
      </c>
      <c r="T1092" s="64" t="str">
        <f>IFERROR(__xludf.DUMMYFUNCTION("IF($A1092="""","""",IFERROR(TEXTJOIN("", "",TRUE,UNIQUE(FILTER(Candidates!$B$2:$B$2000,Candidates!$A$2:$A$2000=$A1092))),""""))"),"")</f>
        <v/>
      </c>
      <c r="U1092" s="66" t="str">
        <f>IF($A1092="","",COUNTIF(Candidates!$A$2:$A$2000,$A1092))</f>
        <v/>
      </c>
      <c r="V1092" s="64" t="str">
        <f>IFERROR(__xludf.DUMMYFUNCTION("IF($A1092="""","""",IFERROR(INDEX(FILTER(Candidates!$S$2:$S$2000,Candidates!$A$2:$A$2000=$A1092),COUNTIF(Candidates!$A$2:$A$2000,$A1092)),""""))"),"")</f>
        <v/>
      </c>
      <c r="W1092" s="64" t="str">
        <f>IFERROR(__xludf.DUMMYFUNCTION("IF($A1092="""","""",IFERROR(INDEX(FILTER(Candidates!$T$2:$T$2000,Candidates!$A$2:$A$2000=$A1092),COUNTIF(Candidates!$A$2:$A$2000,$A1092)),""""))"),"")</f>
        <v/>
      </c>
      <c r="X1092" s="64"/>
      <c r="Y1092" s="64"/>
      <c r="Z1092" s="65"/>
      <c r="AA1092" s="65"/>
      <c r="AB1092" s="65"/>
      <c r="AC1092" s="65"/>
    </row>
    <row r="1093">
      <c r="A1093" s="64"/>
      <c r="B1093" s="64"/>
      <c r="C1093" s="64"/>
      <c r="D1093" s="64"/>
      <c r="E1093" s="64"/>
      <c r="F1093" s="64"/>
      <c r="G1093" s="64"/>
      <c r="H1093" s="63"/>
      <c r="I1093" s="64"/>
      <c r="J1093" s="64"/>
      <c r="K1093" s="64"/>
      <c r="L1093" s="64"/>
      <c r="M1093" s="64"/>
      <c r="N1093" s="64"/>
      <c r="O1093" s="64"/>
      <c r="P1093" s="64"/>
      <c r="Q1093" s="64"/>
      <c r="R1093" s="65" t="str">
        <f>IF($A1093="","",IFERROR(MINIFS(Candidates!$K$2:$K$2000,Candidates!$A$2:$A$2000,$A1093),""))</f>
        <v/>
      </c>
      <c r="S1093" s="65" t="str">
        <f>IF($A1093="","",IFERROR(MAXIFS(Candidates!$AA$2:$AA$2000,Candidates!$A$2:$A$2000,$A1093),""))</f>
        <v/>
      </c>
      <c r="T1093" s="64" t="str">
        <f>IFERROR(__xludf.DUMMYFUNCTION("IF($A1093="""","""",IFERROR(TEXTJOIN("", "",TRUE,UNIQUE(FILTER(Candidates!$B$2:$B$2000,Candidates!$A$2:$A$2000=$A1093))),""""))"),"")</f>
        <v/>
      </c>
      <c r="U1093" s="66" t="str">
        <f>IF($A1093="","",COUNTIF(Candidates!$A$2:$A$2000,$A1093))</f>
        <v/>
      </c>
      <c r="V1093" s="64" t="str">
        <f>IFERROR(__xludf.DUMMYFUNCTION("IF($A1093="""","""",IFERROR(INDEX(FILTER(Candidates!$S$2:$S$2000,Candidates!$A$2:$A$2000=$A1093),COUNTIF(Candidates!$A$2:$A$2000,$A1093)),""""))"),"")</f>
        <v/>
      </c>
      <c r="W1093" s="64" t="str">
        <f>IFERROR(__xludf.DUMMYFUNCTION("IF($A1093="""","""",IFERROR(INDEX(FILTER(Candidates!$T$2:$T$2000,Candidates!$A$2:$A$2000=$A1093),COUNTIF(Candidates!$A$2:$A$2000,$A1093)),""""))"),"")</f>
        <v/>
      </c>
      <c r="X1093" s="64"/>
      <c r="Y1093" s="64"/>
      <c r="Z1093" s="65"/>
      <c r="AA1093" s="65"/>
      <c r="AB1093" s="65"/>
      <c r="AC1093" s="65"/>
    </row>
    <row r="1094">
      <c r="A1094" s="64"/>
      <c r="B1094" s="64"/>
      <c r="C1094" s="64"/>
      <c r="D1094" s="64"/>
      <c r="E1094" s="64"/>
      <c r="F1094" s="64"/>
      <c r="G1094" s="64"/>
      <c r="H1094" s="63"/>
      <c r="I1094" s="64"/>
      <c r="J1094" s="64"/>
      <c r="K1094" s="64"/>
      <c r="L1094" s="64"/>
      <c r="M1094" s="64"/>
      <c r="N1094" s="64"/>
      <c r="O1094" s="64"/>
      <c r="P1094" s="64"/>
      <c r="Q1094" s="64"/>
      <c r="R1094" s="65" t="str">
        <f>IF($A1094="","",IFERROR(MINIFS(Candidates!$K$2:$K$2000,Candidates!$A$2:$A$2000,$A1094),""))</f>
        <v/>
      </c>
      <c r="S1094" s="65" t="str">
        <f>IF($A1094="","",IFERROR(MAXIFS(Candidates!$AA$2:$AA$2000,Candidates!$A$2:$A$2000,$A1094),""))</f>
        <v/>
      </c>
      <c r="T1094" s="64" t="str">
        <f>IFERROR(__xludf.DUMMYFUNCTION("IF($A1094="""","""",IFERROR(TEXTJOIN("", "",TRUE,UNIQUE(FILTER(Candidates!$B$2:$B$2000,Candidates!$A$2:$A$2000=$A1094))),""""))"),"")</f>
        <v/>
      </c>
      <c r="U1094" s="66" t="str">
        <f>IF($A1094="","",COUNTIF(Candidates!$A$2:$A$2000,$A1094))</f>
        <v/>
      </c>
      <c r="V1094" s="64" t="str">
        <f>IFERROR(__xludf.DUMMYFUNCTION("IF($A1094="""","""",IFERROR(INDEX(FILTER(Candidates!$S$2:$S$2000,Candidates!$A$2:$A$2000=$A1094),COUNTIF(Candidates!$A$2:$A$2000,$A1094)),""""))"),"")</f>
        <v/>
      </c>
      <c r="W1094" s="64" t="str">
        <f>IFERROR(__xludf.DUMMYFUNCTION("IF($A1094="""","""",IFERROR(INDEX(FILTER(Candidates!$T$2:$T$2000,Candidates!$A$2:$A$2000=$A1094),COUNTIF(Candidates!$A$2:$A$2000,$A1094)),""""))"),"")</f>
        <v/>
      </c>
      <c r="X1094" s="64"/>
      <c r="Y1094" s="64"/>
      <c r="Z1094" s="65"/>
      <c r="AA1094" s="65"/>
      <c r="AB1094" s="65"/>
      <c r="AC1094" s="65"/>
    </row>
    <row r="1095">
      <c r="A1095" s="64"/>
      <c r="B1095" s="64"/>
      <c r="C1095" s="64"/>
      <c r="D1095" s="64"/>
      <c r="E1095" s="64"/>
      <c r="F1095" s="64"/>
      <c r="G1095" s="64"/>
      <c r="H1095" s="63"/>
      <c r="I1095" s="64"/>
      <c r="J1095" s="64"/>
      <c r="K1095" s="64"/>
      <c r="L1095" s="64"/>
      <c r="M1095" s="64"/>
      <c r="N1095" s="64"/>
      <c r="O1095" s="64"/>
      <c r="P1095" s="64"/>
      <c r="Q1095" s="64"/>
      <c r="R1095" s="65" t="str">
        <f>IF($A1095="","",IFERROR(MINIFS(Candidates!$K$2:$K$2000,Candidates!$A$2:$A$2000,$A1095),""))</f>
        <v/>
      </c>
      <c r="S1095" s="65" t="str">
        <f>IF($A1095="","",IFERROR(MAXIFS(Candidates!$AA$2:$AA$2000,Candidates!$A$2:$A$2000,$A1095),""))</f>
        <v/>
      </c>
      <c r="T1095" s="64" t="str">
        <f>IFERROR(__xludf.DUMMYFUNCTION("IF($A1095="""","""",IFERROR(TEXTJOIN("", "",TRUE,UNIQUE(FILTER(Candidates!$B$2:$B$2000,Candidates!$A$2:$A$2000=$A1095))),""""))"),"")</f>
        <v/>
      </c>
      <c r="U1095" s="66" t="str">
        <f>IF($A1095="","",COUNTIF(Candidates!$A$2:$A$2000,$A1095))</f>
        <v/>
      </c>
      <c r="V1095" s="64" t="str">
        <f>IFERROR(__xludf.DUMMYFUNCTION("IF($A1095="""","""",IFERROR(INDEX(FILTER(Candidates!$S$2:$S$2000,Candidates!$A$2:$A$2000=$A1095),COUNTIF(Candidates!$A$2:$A$2000,$A1095)),""""))"),"")</f>
        <v/>
      </c>
      <c r="W1095" s="64" t="str">
        <f>IFERROR(__xludf.DUMMYFUNCTION("IF($A1095="""","""",IFERROR(INDEX(FILTER(Candidates!$T$2:$T$2000,Candidates!$A$2:$A$2000=$A1095),COUNTIF(Candidates!$A$2:$A$2000,$A1095)),""""))"),"")</f>
        <v/>
      </c>
      <c r="X1095" s="64"/>
      <c r="Y1095" s="64"/>
      <c r="Z1095" s="65"/>
      <c r="AA1095" s="65"/>
      <c r="AB1095" s="65"/>
      <c r="AC1095" s="65"/>
    </row>
    <row r="1096">
      <c r="A1096" s="64"/>
      <c r="B1096" s="64"/>
      <c r="C1096" s="64"/>
      <c r="D1096" s="64"/>
      <c r="E1096" s="64"/>
      <c r="F1096" s="64"/>
      <c r="G1096" s="64"/>
      <c r="H1096" s="63"/>
      <c r="I1096" s="64"/>
      <c r="J1096" s="64"/>
      <c r="K1096" s="64"/>
      <c r="L1096" s="64"/>
      <c r="M1096" s="64"/>
      <c r="N1096" s="64"/>
      <c r="O1096" s="64"/>
      <c r="P1096" s="64"/>
      <c r="Q1096" s="64"/>
      <c r="R1096" s="65" t="str">
        <f>IF($A1096="","",IFERROR(MINIFS(Candidates!$K$2:$K$2000,Candidates!$A$2:$A$2000,$A1096),""))</f>
        <v/>
      </c>
      <c r="S1096" s="65" t="str">
        <f>IF($A1096="","",IFERROR(MAXIFS(Candidates!$AA$2:$AA$2000,Candidates!$A$2:$A$2000,$A1096),""))</f>
        <v/>
      </c>
      <c r="T1096" s="64" t="str">
        <f>IFERROR(__xludf.DUMMYFUNCTION("IF($A1096="""","""",IFERROR(TEXTJOIN("", "",TRUE,UNIQUE(FILTER(Candidates!$B$2:$B$2000,Candidates!$A$2:$A$2000=$A1096))),""""))"),"")</f>
        <v/>
      </c>
      <c r="U1096" s="66" t="str">
        <f>IF($A1096="","",COUNTIF(Candidates!$A$2:$A$2000,$A1096))</f>
        <v/>
      </c>
      <c r="V1096" s="64" t="str">
        <f>IFERROR(__xludf.DUMMYFUNCTION("IF($A1096="""","""",IFERROR(INDEX(FILTER(Candidates!$S$2:$S$2000,Candidates!$A$2:$A$2000=$A1096),COUNTIF(Candidates!$A$2:$A$2000,$A1096)),""""))"),"")</f>
        <v/>
      </c>
      <c r="W1096" s="64" t="str">
        <f>IFERROR(__xludf.DUMMYFUNCTION("IF($A1096="""","""",IFERROR(INDEX(FILTER(Candidates!$T$2:$T$2000,Candidates!$A$2:$A$2000=$A1096),COUNTIF(Candidates!$A$2:$A$2000,$A1096)),""""))"),"")</f>
        <v/>
      </c>
      <c r="X1096" s="64"/>
      <c r="Y1096" s="64"/>
      <c r="Z1096" s="65"/>
      <c r="AA1096" s="65"/>
      <c r="AB1096" s="65"/>
      <c r="AC1096" s="65"/>
    </row>
    <row r="1097">
      <c r="A1097" s="64"/>
      <c r="B1097" s="64"/>
      <c r="C1097" s="64"/>
      <c r="D1097" s="64"/>
      <c r="E1097" s="64"/>
      <c r="F1097" s="64"/>
      <c r="G1097" s="64"/>
      <c r="H1097" s="63"/>
      <c r="I1097" s="64"/>
      <c r="J1097" s="64"/>
      <c r="K1097" s="64"/>
      <c r="L1097" s="64"/>
      <c r="M1097" s="64"/>
      <c r="N1097" s="64"/>
      <c r="O1097" s="64"/>
      <c r="P1097" s="64"/>
      <c r="Q1097" s="64"/>
      <c r="R1097" s="65" t="str">
        <f>IF($A1097="","",IFERROR(MINIFS(Candidates!$K$2:$K$2000,Candidates!$A$2:$A$2000,$A1097),""))</f>
        <v/>
      </c>
      <c r="S1097" s="65" t="str">
        <f>IF($A1097="","",IFERROR(MAXIFS(Candidates!$AA$2:$AA$2000,Candidates!$A$2:$A$2000,$A1097),""))</f>
        <v/>
      </c>
      <c r="T1097" s="64" t="str">
        <f>IFERROR(__xludf.DUMMYFUNCTION("IF($A1097="""","""",IFERROR(TEXTJOIN("", "",TRUE,UNIQUE(FILTER(Candidates!$B$2:$B$2000,Candidates!$A$2:$A$2000=$A1097))),""""))"),"")</f>
        <v/>
      </c>
      <c r="U1097" s="66" t="str">
        <f>IF($A1097="","",COUNTIF(Candidates!$A$2:$A$2000,$A1097))</f>
        <v/>
      </c>
      <c r="V1097" s="64" t="str">
        <f>IFERROR(__xludf.DUMMYFUNCTION("IF($A1097="""","""",IFERROR(INDEX(FILTER(Candidates!$S$2:$S$2000,Candidates!$A$2:$A$2000=$A1097),COUNTIF(Candidates!$A$2:$A$2000,$A1097)),""""))"),"")</f>
        <v/>
      </c>
      <c r="W1097" s="64" t="str">
        <f>IFERROR(__xludf.DUMMYFUNCTION("IF($A1097="""","""",IFERROR(INDEX(FILTER(Candidates!$T$2:$T$2000,Candidates!$A$2:$A$2000=$A1097),COUNTIF(Candidates!$A$2:$A$2000,$A1097)),""""))"),"")</f>
        <v/>
      </c>
      <c r="X1097" s="64"/>
      <c r="Y1097" s="64"/>
      <c r="Z1097" s="65"/>
      <c r="AA1097" s="65"/>
      <c r="AB1097" s="65"/>
      <c r="AC1097" s="65"/>
    </row>
    <row r="1098">
      <c r="A1098" s="64"/>
      <c r="B1098" s="64"/>
      <c r="C1098" s="64"/>
      <c r="D1098" s="64"/>
      <c r="E1098" s="64"/>
      <c r="F1098" s="64"/>
      <c r="G1098" s="64"/>
      <c r="H1098" s="63"/>
      <c r="I1098" s="64"/>
      <c r="J1098" s="64"/>
      <c r="K1098" s="64"/>
      <c r="L1098" s="64"/>
      <c r="M1098" s="64"/>
      <c r="N1098" s="64"/>
      <c r="O1098" s="64"/>
      <c r="P1098" s="64"/>
      <c r="Q1098" s="64"/>
      <c r="R1098" s="65" t="str">
        <f>IF($A1098="","",IFERROR(MINIFS(Candidates!$K$2:$K$2000,Candidates!$A$2:$A$2000,$A1098),""))</f>
        <v/>
      </c>
      <c r="S1098" s="65" t="str">
        <f>IF($A1098="","",IFERROR(MAXIFS(Candidates!$AA$2:$AA$2000,Candidates!$A$2:$A$2000,$A1098),""))</f>
        <v/>
      </c>
      <c r="T1098" s="64" t="str">
        <f>IFERROR(__xludf.DUMMYFUNCTION("IF($A1098="""","""",IFERROR(TEXTJOIN("", "",TRUE,UNIQUE(FILTER(Candidates!$B$2:$B$2000,Candidates!$A$2:$A$2000=$A1098))),""""))"),"")</f>
        <v/>
      </c>
      <c r="U1098" s="66" t="str">
        <f>IF($A1098="","",COUNTIF(Candidates!$A$2:$A$2000,$A1098))</f>
        <v/>
      </c>
      <c r="V1098" s="64" t="str">
        <f>IFERROR(__xludf.DUMMYFUNCTION("IF($A1098="""","""",IFERROR(INDEX(FILTER(Candidates!$S$2:$S$2000,Candidates!$A$2:$A$2000=$A1098),COUNTIF(Candidates!$A$2:$A$2000,$A1098)),""""))"),"")</f>
        <v/>
      </c>
      <c r="W1098" s="64" t="str">
        <f>IFERROR(__xludf.DUMMYFUNCTION("IF($A1098="""","""",IFERROR(INDEX(FILTER(Candidates!$T$2:$T$2000,Candidates!$A$2:$A$2000=$A1098),COUNTIF(Candidates!$A$2:$A$2000,$A1098)),""""))"),"")</f>
        <v/>
      </c>
      <c r="X1098" s="64"/>
      <c r="Y1098" s="64"/>
      <c r="Z1098" s="65"/>
      <c r="AA1098" s="65"/>
      <c r="AB1098" s="65"/>
      <c r="AC1098" s="65"/>
    </row>
    <row r="1099">
      <c r="A1099" s="64"/>
      <c r="B1099" s="64"/>
      <c r="C1099" s="64"/>
      <c r="D1099" s="64"/>
      <c r="E1099" s="64"/>
      <c r="F1099" s="64"/>
      <c r="G1099" s="64"/>
      <c r="H1099" s="63"/>
      <c r="I1099" s="64"/>
      <c r="J1099" s="64"/>
      <c r="K1099" s="64"/>
      <c r="L1099" s="64"/>
      <c r="M1099" s="64"/>
      <c r="N1099" s="64"/>
      <c r="O1099" s="64"/>
      <c r="P1099" s="64"/>
      <c r="Q1099" s="64"/>
      <c r="R1099" s="65" t="str">
        <f>IF($A1099="","",IFERROR(MINIFS(Candidates!$K$2:$K$2000,Candidates!$A$2:$A$2000,$A1099),""))</f>
        <v/>
      </c>
      <c r="S1099" s="65" t="str">
        <f>IF($A1099="","",IFERROR(MAXIFS(Candidates!$AA$2:$AA$2000,Candidates!$A$2:$A$2000,$A1099),""))</f>
        <v/>
      </c>
      <c r="T1099" s="64" t="str">
        <f>IFERROR(__xludf.DUMMYFUNCTION("IF($A1099="""","""",IFERROR(TEXTJOIN("", "",TRUE,UNIQUE(FILTER(Candidates!$B$2:$B$2000,Candidates!$A$2:$A$2000=$A1099))),""""))"),"")</f>
        <v/>
      </c>
      <c r="U1099" s="66" t="str">
        <f>IF($A1099="","",COUNTIF(Candidates!$A$2:$A$2000,$A1099))</f>
        <v/>
      </c>
      <c r="V1099" s="64" t="str">
        <f>IFERROR(__xludf.DUMMYFUNCTION("IF($A1099="""","""",IFERROR(INDEX(FILTER(Candidates!$S$2:$S$2000,Candidates!$A$2:$A$2000=$A1099),COUNTIF(Candidates!$A$2:$A$2000,$A1099)),""""))"),"")</f>
        <v/>
      </c>
      <c r="W1099" s="64" t="str">
        <f>IFERROR(__xludf.DUMMYFUNCTION("IF($A1099="""","""",IFERROR(INDEX(FILTER(Candidates!$T$2:$T$2000,Candidates!$A$2:$A$2000=$A1099),COUNTIF(Candidates!$A$2:$A$2000,$A1099)),""""))"),"")</f>
        <v/>
      </c>
      <c r="X1099" s="64"/>
      <c r="Y1099" s="64"/>
      <c r="Z1099" s="65"/>
      <c r="AA1099" s="65"/>
      <c r="AB1099" s="65"/>
      <c r="AC1099" s="65"/>
    </row>
    <row r="1100">
      <c r="A1100" s="64"/>
      <c r="B1100" s="64"/>
      <c r="C1100" s="64"/>
      <c r="D1100" s="64"/>
      <c r="E1100" s="64"/>
      <c r="F1100" s="64"/>
      <c r="G1100" s="64"/>
      <c r="H1100" s="63"/>
      <c r="I1100" s="64"/>
      <c r="J1100" s="64"/>
      <c r="K1100" s="64"/>
      <c r="L1100" s="64"/>
      <c r="M1100" s="64"/>
      <c r="N1100" s="64"/>
      <c r="O1100" s="64"/>
      <c r="P1100" s="64"/>
      <c r="Q1100" s="64"/>
      <c r="R1100" s="65" t="str">
        <f>IF($A1100="","",IFERROR(MINIFS(Candidates!$K$2:$K$2000,Candidates!$A$2:$A$2000,$A1100),""))</f>
        <v/>
      </c>
      <c r="S1100" s="65" t="str">
        <f>IF($A1100="","",IFERROR(MAXIFS(Candidates!$AA$2:$AA$2000,Candidates!$A$2:$A$2000,$A1100),""))</f>
        <v/>
      </c>
      <c r="T1100" s="64" t="str">
        <f>IFERROR(__xludf.DUMMYFUNCTION("IF($A1100="""","""",IFERROR(TEXTJOIN("", "",TRUE,UNIQUE(FILTER(Candidates!$B$2:$B$2000,Candidates!$A$2:$A$2000=$A1100))),""""))"),"")</f>
        <v/>
      </c>
      <c r="U1100" s="66" t="str">
        <f>IF($A1100="","",COUNTIF(Candidates!$A$2:$A$2000,$A1100))</f>
        <v/>
      </c>
      <c r="V1100" s="64" t="str">
        <f>IFERROR(__xludf.DUMMYFUNCTION("IF($A1100="""","""",IFERROR(INDEX(FILTER(Candidates!$S$2:$S$2000,Candidates!$A$2:$A$2000=$A1100),COUNTIF(Candidates!$A$2:$A$2000,$A1100)),""""))"),"")</f>
        <v/>
      </c>
      <c r="W1100" s="64" t="str">
        <f>IFERROR(__xludf.DUMMYFUNCTION("IF($A1100="""","""",IFERROR(INDEX(FILTER(Candidates!$T$2:$T$2000,Candidates!$A$2:$A$2000=$A1100),COUNTIF(Candidates!$A$2:$A$2000,$A1100)),""""))"),"")</f>
        <v/>
      </c>
      <c r="X1100" s="64"/>
      <c r="Y1100" s="64"/>
      <c r="Z1100" s="65"/>
      <c r="AA1100" s="65"/>
      <c r="AB1100" s="65"/>
      <c r="AC1100" s="65"/>
    </row>
    <row r="1101">
      <c r="A1101" s="64"/>
      <c r="B1101" s="64"/>
      <c r="C1101" s="64"/>
      <c r="D1101" s="64"/>
      <c r="E1101" s="64"/>
      <c r="F1101" s="64"/>
      <c r="G1101" s="64"/>
      <c r="H1101" s="63"/>
      <c r="I1101" s="64"/>
      <c r="J1101" s="64"/>
      <c r="K1101" s="64"/>
      <c r="L1101" s="64"/>
      <c r="M1101" s="64"/>
      <c r="N1101" s="64"/>
      <c r="O1101" s="64"/>
      <c r="P1101" s="64"/>
      <c r="Q1101" s="64"/>
      <c r="R1101" s="65" t="str">
        <f>IF($A1101="","",IFERROR(MINIFS(Candidates!$K$2:$K$2000,Candidates!$A$2:$A$2000,$A1101),""))</f>
        <v/>
      </c>
      <c r="S1101" s="65" t="str">
        <f>IF($A1101="","",IFERROR(MAXIFS(Candidates!$AA$2:$AA$2000,Candidates!$A$2:$A$2000,$A1101),""))</f>
        <v/>
      </c>
      <c r="T1101" s="64" t="str">
        <f>IFERROR(__xludf.DUMMYFUNCTION("IF($A1101="""","""",IFERROR(TEXTJOIN("", "",TRUE,UNIQUE(FILTER(Candidates!$B$2:$B$2000,Candidates!$A$2:$A$2000=$A1101))),""""))"),"")</f>
        <v/>
      </c>
      <c r="U1101" s="66" t="str">
        <f>IF($A1101="","",COUNTIF(Candidates!$A$2:$A$2000,$A1101))</f>
        <v/>
      </c>
      <c r="V1101" s="64" t="str">
        <f>IFERROR(__xludf.DUMMYFUNCTION("IF($A1101="""","""",IFERROR(INDEX(FILTER(Candidates!$S$2:$S$2000,Candidates!$A$2:$A$2000=$A1101),COUNTIF(Candidates!$A$2:$A$2000,$A1101)),""""))"),"")</f>
        <v/>
      </c>
      <c r="W1101" s="64" t="str">
        <f>IFERROR(__xludf.DUMMYFUNCTION("IF($A1101="""","""",IFERROR(INDEX(FILTER(Candidates!$T$2:$T$2000,Candidates!$A$2:$A$2000=$A1101),COUNTIF(Candidates!$A$2:$A$2000,$A1101)),""""))"),"")</f>
        <v/>
      </c>
      <c r="X1101" s="64"/>
      <c r="Y1101" s="64"/>
      <c r="Z1101" s="65"/>
      <c r="AA1101" s="65"/>
      <c r="AB1101" s="65"/>
      <c r="AC1101" s="65"/>
    </row>
    <row r="1102">
      <c r="A1102" s="64"/>
      <c r="B1102" s="64"/>
      <c r="C1102" s="64"/>
      <c r="D1102" s="64"/>
      <c r="E1102" s="64"/>
      <c r="F1102" s="64"/>
      <c r="G1102" s="64"/>
      <c r="H1102" s="63"/>
      <c r="I1102" s="64"/>
      <c r="J1102" s="64"/>
      <c r="K1102" s="64"/>
      <c r="L1102" s="64"/>
      <c r="M1102" s="64"/>
      <c r="N1102" s="64"/>
      <c r="O1102" s="64"/>
      <c r="P1102" s="64"/>
      <c r="Q1102" s="64"/>
      <c r="R1102" s="65" t="str">
        <f>IF($A1102="","",IFERROR(MINIFS(Candidates!$K$2:$K$2000,Candidates!$A$2:$A$2000,$A1102),""))</f>
        <v/>
      </c>
      <c r="S1102" s="65" t="str">
        <f>IF($A1102="","",IFERROR(MAXIFS(Candidates!$AA$2:$AA$2000,Candidates!$A$2:$A$2000,$A1102),""))</f>
        <v/>
      </c>
      <c r="T1102" s="64" t="str">
        <f>IFERROR(__xludf.DUMMYFUNCTION("IF($A1102="""","""",IFERROR(TEXTJOIN("", "",TRUE,UNIQUE(FILTER(Candidates!$B$2:$B$2000,Candidates!$A$2:$A$2000=$A1102))),""""))"),"")</f>
        <v/>
      </c>
      <c r="U1102" s="66" t="str">
        <f>IF($A1102="","",COUNTIF(Candidates!$A$2:$A$2000,$A1102))</f>
        <v/>
      </c>
      <c r="V1102" s="64" t="str">
        <f>IFERROR(__xludf.DUMMYFUNCTION("IF($A1102="""","""",IFERROR(INDEX(FILTER(Candidates!$S$2:$S$2000,Candidates!$A$2:$A$2000=$A1102),COUNTIF(Candidates!$A$2:$A$2000,$A1102)),""""))"),"")</f>
        <v/>
      </c>
      <c r="W1102" s="64" t="str">
        <f>IFERROR(__xludf.DUMMYFUNCTION("IF($A1102="""","""",IFERROR(INDEX(FILTER(Candidates!$T$2:$T$2000,Candidates!$A$2:$A$2000=$A1102),COUNTIF(Candidates!$A$2:$A$2000,$A1102)),""""))"),"")</f>
        <v/>
      </c>
      <c r="X1102" s="64"/>
      <c r="Y1102" s="64"/>
      <c r="Z1102" s="65"/>
      <c r="AA1102" s="65"/>
      <c r="AB1102" s="65"/>
      <c r="AC1102" s="65"/>
    </row>
    <row r="1103">
      <c r="A1103" s="64"/>
      <c r="B1103" s="64"/>
      <c r="C1103" s="64"/>
      <c r="D1103" s="64"/>
      <c r="E1103" s="64"/>
      <c r="F1103" s="64"/>
      <c r="G1103" s="64"/>
      <c r="H1103" s="63"/>
      <c r="I1103" s="64"/>
      <c r="J1103" s="64"/>
      <c r="K1103" s="64"/>
      <c r="L1103" s="64"/>
      <c r="M1103" s="64"/>
      <c r="N1103" s="64"/>
      <c r="O1103" s="64"/>
      <c r="P1103" s="64"/>
      <c r="Q1103" s="64"/>
      <c r="R1103" s="65" t="str">
        <f>IF($A1103="","",IFERROR(MINIFS(Candidates!$K$2:$K$2000,Candidates!$A$2:$A$2000,$A1103),""))</f>
        <v/>
      </c>
      <c r="S1103" s="65" t="str">
        <f>IF($A1103="","",IFERROR(MAXIFS(Candidates!$AA$2:$AA$2000,Candidates!$A$2:$A$2000,$A1103),""))</f>
        <v/>
      </c>
      <c r="T1103" s="64" t="str">
        <f>IFERROR(__xludf.DUMMYFUNCTION("IF($A1103="""","""",IFERROR(TEXTJOIN("", "",TRUE,UNIQUE(FILTER(Candidates!$B$2:$B$2000,Candidates!$A$2:$A$2000=$A1103))),""""))"),"")</f>
        <v/>
      </c>
      <c r="U1103" s="66" t="str">
        <f>IF($A1103="","",COUNTIF(Candidates!$A$2:$A$2000,$A1103))</f>
        <v/>
      </c>
      <c r="V1103" s="64" t="str">
        <f>IFERROR(__xludf.DUMMYFUNCTION("IF($A1103="""","""",IFERROR(INDEX(FILTER(Candidates!$S$2:$S$2000,Candidates!$A$2:$A$2000=$A1103),COUNTIF(Candidates!$A$2:$A$2000,$A1103)),""""))"),"")</f>
        <v/>
      </c>
      <c r="W1103" s="64" t="str">
        <f>IFERROR(__xludf.DUMMYFUNCTION("IF($A1103="""","""",IFERROR(INDEX(FILTER(Candidates!$T$2:$T$2000,Candidates!$A$2:$A$2000=$A1103),COUNTIF(Candidates!$A$2:$A$2000,$A1103)),""""))"),"")</f>
        <v/>
      </c>
      <c r="X1103" s="64"/>
      <c r="Y1103" s="64"/>
      <c r="Z1103" s="65"/>
      <c r="AA1103" s="65"/>
      <c r="AB1103" s="65"/>
      <c r="AC1103" s="65"/>
    </row>
    <row r="1104">
      <c r="A1104" s="64"/>
      <c r="B1104" s="64"/>
      <c r="C1104" s="64"/>
      <c r="D1104" s="64"/>
      <c r="E1104" s="64"/>
      <c r="F1104" s="64"/>
      <c r="G1104" s="64"/>
      <c r="H1104" s="63"/>
      <c r="I1104" s="64"/>
      <c r="J1104" s="64"/>
      <c r="K1104" s="64"/>
      <c r="L1104" s="64"/>
      <c r="M1104" s="64"/>
      <c r="N1104" s="64"/>
      <c r="O1104" s="64"/>
      <c r="P1104" s="64"/>
      <c r="Q1104" s="64"/>
      <c r="R1104" s="65" t="str">
        <f>IF($A1104="","",IFERROR(MINIFS(Candidates!$K$2:$K$2000,Candidates!$A$2:$A$2000,$A1104),""))</f>
        <v/>
      </c>
      <c r="S1104" s="65" t="str">
        <f>IF($A1104="","",IFERROR(MAXIFS(Candidates!$AA$2:$AA$2000,Candidates!$A$2:$A$2000,$A1104),""))</f>
        <v/>
      </c>
      <c r="T1104" s="64" t="str">
        <f>IFERROR(__xludf.DUMMYFUNCTION("IF($A1104="""","""",IFERROR(TEXTJOIN("", "",TRUE,UNIQUE(FILTER(Candidates!$B$2:$B$2000,Candidates!$A$2:$A$2000=$A1104))),""""))"),"")</f>
        <v/>
      </c>
      <c r="U1104" s="66" t="str">
        <f>IF($A1104="","",COUNTIF(Candidates!$A$2:$A$2000,$A1104))</f>
        <v/>
      </c>
      <c r="V1104" s="64" t="str">
        <f>IFERROR(__xludf.DUMMYFUNCTION("IF($A1104="""","""",IFERROR(INDEX(FILTER(Candidates!$S$2:$S$2000,Candidates!$A$2:$A$2000=$A1104),COUNTIF(Candidates!$A$2:$A$2000,$A1104)),""""))"),"")</f>
        <v/>
      </c>
      <c r="W1104" s="64" t="str">
        <f>IFERROR(__xludf.DUMMYFUNCTION("IF($A1104="""","""",IFERROR(INDEX(FILTER(Candidates!$T$2:$T$2000,Candidates!$A$2:$A$2000=$A1104),COUNTIF(Candidates!$A$2:$A$2000,$A1104)),""""))"),"")</f>
        <v/>
      </c>
      <c r="X1104" s="64"/>
      <c r="Y1104" s="64"/>
      <c r="Z1104" s="65"/>
      <c r="AA1104" s="65"/>
      <c r="AB1104" s="65"/>
      <c r="AC1104" s="65"/>
    </row>
    <row r="1105">
      <c r="A1105" s="64"/>
      <c r="B1105" s="64"/>
      <c r="C1105" s="64"/>
      <c r="D1105" s="64"/>
      <c r="E1105" s="64"/>
      <c r="F1105" s="64"/>
      <c r="G1105" s="64"/>
      <c r="H1105" s="63"/>
      <c r="I1105" s="64"/>
      <c r="J1105" s="64"/>
      <c r="K1105" s="64"/>
      <c r="L1105" s="64"/>
      <c r="M1105" s="64"/>
      <c r="N1105" s="64"/>
      <c r="O1105" s="64"/>
      <c r="P1105" s="64"/>
      <c r="Q1105" s="64"/>
      <c r="R1105" s="65" t="str">
        <f>IF($A1105="","",IFERROR(MINIFS(Candidates!$K$2:$K$2000,Candidates!$A$2:$A$2000,$A1105),""))</f>
        <v/>
      </c>
      <c r="S1105" s="65" t="str">
        <f>IF($A1105="","",IFERROR(MAXIFS(Candidates!$AA$2:$AA$2000,Candidates!$A$2:$A$2000,$A1105),""))</f>
        <v/>
      </c>
      <c r="T1105" s="64" t="str">
        <f>IFERROR(__xludf.DUMMYFUNCTION("IF($A1105="""","""",IFERROR(TEXTJOIN("", "",TRUE,UNIQUE(FILTER(Candidates!$B$2:$B$2000,Candidates!$A$2:$A$2000=$A1105))),""""))"),"")</f>
        <v/>
      </c>
      <c r="U1105" s="66" t="str">
        <f>IF($A1105="","",COUNTIF(Candidates!$A$2:$A$2000,$A1105))</f>
        <v/>
      </c>
      <c r="V1105" s="64" t="str">
        <f>IFERROR(__xludf.DUMMYFUNCTION("IF($A1105="""","""",IFERROR(INDEX(FILTER(Candidates!$S$2:$S$2000,Candidates!$A$2:$A$2000=$A1105),COUNTIF(Candidates!$A$2:$A$2000,$A1105)),""""))"),"")</f>
        <v/>
      </c>
      <c r="W1105" s="64" t="str">
        <f>IFERROR(__xludf.DUMMYFUNCTION("IF($A1105="""","""",IFERROR(INDEX(FILTER(Candidates!$T$2:$T$2000,Candidates!$A$2:$A$2000=$A1105),COUNTIF(Candidates!$A$2:$A$2000,$A1105)),""""))"),"")</f>
        <v/>
      </c>
      <c r="X1105" s="64"/>
      <c r="Y1105" s="64"/>
      <c r="Z1105" s="65"/>
      <c r="AA1105" s="65"/>
      <c r="AB1105" s="65"/>
      <c r="AC1105" s="65"/>
    </row>
    <row r="1106">
      <c r="A1106" s="64"/>
      <c r="B1106" s="64"/>
      <c r="C1106" s="64"/>
      <c r="D1106" s="64"/>
      <c r="E1106" s="64"/>
      <c r="F1106" s="64"/>
      <c r="G1106" s="64"/>
      <c r="H1106" s="63"/>
      <c r="I1106" s="64"/>
      <c r="J1106" s="64"/>
      <c r="K1106" s="64"/>
      <c r="L1106" s="64"/>
      <c r="M1106" s="64"/>
      <c r="N1106" s="64"/>
      <c r="O1106" s="64"/>
      <c r="P1106" s="64"/>
      <c r="Q1106" s="64"/>
      <c r="R1106" s="65" t="str">
        <f>IF($A1106="","",IFERROR(MINIFS(Candidates!$K$2:$K$2000,Candidates!$A$2:$A$2000,$A1106),""))</f>
        <v/>
      </c>
      <c r="S1106" s="65" t="str">
        <f>IF($A1106="","",IFERROR(MAXIFS(Candidates!$AA$2:$AA$2000,Candidates!$A$2:$A$2000,$A1106),""))</f>
        <v/>
      </c>
      <c r="T1106" s="64" t="str">
        <f>IFERROR(__xludf.DUMMYFUNCTION("IF($A1106="""","""",IFERROR(TEXTJOIN("", "",TRUE,UNIQUE(FILTER(Candidates!$B$2:$B$2000,Candidates!$A$2:$A$2000=$A1106))),""""))"),"")</f>
        <v/>
      </c>
      <c r="U1106" s="66" t="str">
        <f>IF($A1106="","",COUNTIF(Candidates!$A$2:$A$2000,$A1106))</f>
        <v/>
      </c>
      <c r="V1106" s="64" t="str">
        <f>IFERROR(__xludf.DUMMYFUNCTION("IF($A1106="""","""",IFERROR(INDEX(FILTER(Candidates!$S$2:$S$2000,Candidates!$A$2:$A$2000=$A1106),COUNTIF(Candidates!$A$2:$A$2000,$A1106)),""""))"),"")</f>
        <v/>
      </c>
      <c r="W1106" s="64" t="str">
        <f>IFERROR(__xludf.DUMMYFUNCTION("IF($A1106="""","""",IFERROR(INDEX(FILTER(Candidates!$T$2:$T$2000,Candidates!$A$2:$A$2000=$A1106),COUNTIF(Candidates!$A$2:$A$2000,$A1106)),""""))"),"")</f>
        <v/>
      </c>
      <c r="X1106" s="64"/>
      <c r="Y1106" s="64"/>
      <c r="Z1106" s="65"/>
      <c r="AA1106" s="65"/>
      <c r="AB1106" s="65"/>
      <c r="AC1106" s="65"/>
    </row>
    <row r="1107">
      <c r="A1107" s="64"/>
      <c r="B1107" s="64"/>
      <c r="C1107" s="64"/>
      <c r="D1107" s="64"/>
      <c r="E1107" s="64"/>
      <c r="F1107" s="64"/>
      <c r="G1107" s="64"/>
      <c r="H1107" s="63"/>
      <c r="I1107" s="64"/>
      <c r="J1107" s="64"/>
      <c r="K1107" s="64"/>
      <c r="L1107" s="64"/>
      <c r="M1107" s="64"/>
      <c r="N1107" s="64"/>
      <c r="O1107" s="64"/>
      <c r="P1107" s="64"/>
      <c r="Q1107" s="64"/>
      <c r="R1107" s="65" t="str">
        <f>IF($A1107="","",IFERROR(MINIFS(Candidates!$K$2:$K$2000,Candidates!$A$2:$A$2000,$A1107),""))</f>
        <v/>
      </c>
      <c r="S1107" s="65" t="str">
        <f>IF($A1107="","",IFERROR(MAXIFS(Candidates!$AA$2:$AA$2000,Candidates!$A$2:$A$2000,$A1107),""))</f>
        <v/>
      </c>
      <c r="T1107" s="64" t="str">
        <f>IFERROR(__xludf.DUMMYFUNCTION("IF($A1107="""","""",IFERROR(TEXTJOIN("", "",TRUE,UNIQUE(FILTER(Candidates!$B$2:$B$2000,Candidates!$A$2:$A$2000=$A1107))),""""))"),"")</f>
        <v/>
      </c>
      <c r="U1107" s="66" t="str">
        <f>IF($A1107="","",COUNTIF(Candidates!$A$2:$A$2000,$A1107))</f>
        <v/>
      </c>
      <c r="V1107" s="64" t="str">
        <f>IFERROR(__xludf.DUMMYFUNCTION("IF($A1107="""","""",IFERROR(INDEX(FILTER(Candidates!$S$2:$S$2000,Candidates!$A$2:$A$2000=$A1107),COUNTIF(Candidates!$A$2:$A$2000,$A1107)),""""))"),"")</f>
        <v/>
      </c>
      <c r="W1107" s="64" t="str">
        <f>IFERROR(__xludf.DUMMYFUNCTION("IF($A1107="""","""",IFERROR(INDEX(FILTER(Candidates!$T$2:$T$2000,Candidates!$A$2:$A$2000=$A1107),COUNTIF(Candidates!$A$2:$A$2000,$A1107)),""""))"),"")</f>
        <v/>
      </c>
      <c r="X1107" s="64"/>
      <c r="Y1107" s="64"/>
      <c r="Z1107" s="65"/>
      <c r="AA1107" s="65"/>
      <c r="AB1107" s="65"/>
      <c r="AC1107" s="65"/>
    </row>
    <row r="1108">
      <c r="A1108" s="64"/>
      <c r="B1108" s="64"/>
      <c r="C1108" s="64"/>
      <c r="D1108" s="64"/>
      <c r="E1108" s="64"/>
      <c r="F1108" s="64"/>
      <c r="G1108" s="64"/>
      <c r="H1108" s="63"/>
      <c r="I1108" s="64"/>
      <c r="J1108" s="64"/>
      <c r="K1108" s="64"/>
      <c r="L1108" s="64"/>
      <c r="M1108" s="64"/>
      <c r="N1108" s="64"/>
      <c r="O1108" s="64"/>
      <c r="P1108" s="64"/>
      <c r="Q1108" s="64"/>
      <c r="R1108" s="65" t="str">
        <f>IF($A1108="","",IFERROR(MINIFS(Candidates!$K$2:$K$2000,Candidates!$A$2:$A$2000,$A1108),""))</f>
        <v/>
      </c>
      <c r="S1108" s="65" t="str">
        <f>IF($A1108="","",IFERROR(MAXIFS(Candidates!$AA$2:$AA$2000,Candidates!$A$2:$A$2000,$A1108),""))</f>
        <v/>
      </c>
      <c r="T1108" s="64" t="str">
        <f>IFERROR(__xludf.DUMMYFUNCTION("IF($A1108="""","""",IFERROR(TEXTJOIN("", "",TRUE,UNIQUE(FILTER(Candidates!$B$2:$B$2000,Candidates!$A$2:$A$2000=$A1108))),""""))"),"")</f>
        <v/>
      </c>
      <c r="U1108" s="66" t="str">
        <f>IF($A1108="","",COUNTIF(Candidates!$A$2:$A$2000,$A1108))</f>
        <v/>
      </c>
      <c r="V1108" s="64" t="str">
        <f>IFERROR(__xludf.DUMMYFUNCTION("IF($A1108="""","""",IFERROR(INDEX(FILTER(Candidates!$S$2:$S$2000,Candidates!$A$2:$A$2000=$A1108),COUNTIF(Candidates!$A$2:$A$2000,$A1108)),""""))"),"")</f>
        <v/>
      </c>
      <c r="W1108" s="64" t="str">
        <f>IFERROR(__xludf.DUMMYFUNCTION("IF($A1108="""","""",IFERROR(INDEX(FILTER(Candidates!$T$2:$T$2000,Candidates!$A$2:$A$2000=$A1108),COUNTIF(Candidates!$A$2:$A$2000,$A1108)),""""))"),"")</f>
        <v/>
      </c>
      <c r="X1108" s="64"/>
      <c r="Y1108" s="64"/>
      <c r="Z1108" s="65"/>
      <c r="AA1108" s="65"/>
      <c r="AB1108" s="65"/>
      <c r="AC1108" s="65"/>
    </row>
    <row r="1109">
      <c r="A1109" s="64"/>
      <c r="B1109" s="64"/>
      <c r="C1109" s="64"/>
      <c r="D1109" s="64"/>
      <c r="E1109" s="64"/>
      <c r="F1109" s="64"/>
      <c r="G1109" s="64"/>
      <c r="H1109" s="63"/>
      <c r="I1109" s="64"/>
      <c r="J1109" s="64"/>
      <c r="K1109" s="64"/>
      <c r="L1109" s="64"/>
      <c r="M1109" s="64"/>
      <c r="N1109" s="64"/>
      <c r="O1109" s="64"/>
      <c r="P1109" s="64"/>
      <c r="Q1109" s="64"/>
      <c r="R1109" s="65" t="str">
        <f>IF($A1109="","",IFERROR(MINIFS(Candidates!$K$2:$K$2000,Candidates!$A$2:$A$2000,$A1109),""))</f>
        <v/>
      </c>
      <c r="S1109" s="65" t="str">
        <f>IF($A1109="","",IFERROR(MAXIFS(Candidates!$AA$2:$AA$2000,Candidates!$A$2:$A$2000,$A1109),""))</f>
        <v/>
      </c>
      <c r="T1109" s="64" t="str">
        <f>IFERROR(__xludf.DUMMYFUNCTION("IF($A1109="""","""",IFERROR(TEXTJOIN("", "",TRUE,UNIQUE(FILTER(Candidates!$B$2:$B$2000,Candidates!$A$2:$A$2000=$A1109))),""""))"),"")</f>
        <v/>
      </c>
      <c r="U1109" s="66" t="str">
        <f>IF($A1109="","",COUNTIF(Candidates!$A$2:$A$2000,$A1109))</f>
        <v/>
      </c>
      <c r="V1109" s="64" t="str">
        <f>IFERROR(__xludf.DUMMYFUNCTION("IF($A1109="""","""",IFERROR(INDEX(FILTER(Candidates!$S$2:$S$2000,Candidates!$A$2:$A$2000=$A1109),COUNTIF(Candidates!$A$2:$A$2000,$A1109)),""""))"),"")</f>
        <v/>
      </c>
      <c r="W1109" s="64" t="str">
        <f>IFERROR(__xludf.DUMMYFUNCTION("IF($A1109="""","""",IFERROR(INDEX(FILTER(Candidates!$T$2:$T$2000,Candidates!$A$2:$A$2000=$A1109),COUNTIF(Candidates!$A$2:$A$2000,$A1109)),""""))"),"")</f>
        <v/>
      </c>
      <c r="X1109" s="64"/>
      <c r="Y1109" s="64"/>
      <c r="Z1109" s="65"/>
      <c r="AA1109" s="65"/>
      <c r="AB1109" s="65"/>
      <c r="AC1109" s="65"/>
    </row>
    <row r="1110">
      <c r="A1110" s="64"/>
      <c r="B1110" s="64"/>
      <c r="C1110" s="64"/>
      <c r="D1110" s="64"/>
      <c r="E1110" s="64"/>
      <c r="F1110" s="64"/>
      <c r="G1110" s="64"/>
      <c r="H1110" s="63"/>
      <c r="I1110" s="64"/>
      <c r="J1110" s="64"/>
      <c r="K1110" s="64"/>
      <c r="L1110" s="64"/>
      <c r="M1110" s="64"/>
      <c r="N1110" s="64"/>
      <c r="O1110" s="64"/>
      <c r="P1110" s="64"/>
      <c r="Q1110" s="64"/>
      <c r="R1110" s="65" t="str">
        <f>IF($A1110="","",IFERROR(MINIFS(Candidates!$K$2:$K$2000,Candidates!$A$2:$A$2000,$A1110),""))</f>
        <v/>
      </c>
      <c r="S1110" s="65" t="str">
        <f>IF($A1110="","",IFERROR(MAXIFS(Candidates!$AA$2:$AA$2000,Candidates!$A$2:$A$2000,$A1110),""))</f>
        <v/>
      </c>
      <c r="T1110" s="64" t="str">
        <f>IFERROR(__xludf.DUMMYFUNCTION("IF($A1110="""","""",IFERROR(TEXTJOIN("", "",TRUE,UNIQUE(FILTER(Candidates!$B$2:$B$2000,Candidates!$A$2:$A$2000=$A1110))),""""))"),"")</f>
        <v/>
      </c>
      <c r="U1110" s="66" t="str">
        <f>IF($A1110="","",COUNTIF(Candidates!$A$2:$A$2000,$A1110))</f>
        <v/>
      </c>
      <c r="V1110" s="64" t="str">
        <f>IFERROR(__xludf.DUMMYFUNCTION("IF($A1110="""","""",IFERROR(INDEX(FILTER(Candidates!$S$2:$S$2000,Candidates!$A$2:$A$2000=$A1110),COUNTIF(Candidates!$A$2:$A$2000,$A1110)),""""))"),"")</f>
        <v/>
      </c>
      <c r="W1110" s="64" t="str">
        <f>IFERROR(__xludf.DUMMYFUNCTION("IF($A1110="""","""",IFERROR(INDEX(FILTER(Candidates!$T$2:$T$2000,Candidates!$A$2:$A$2000=$A1110),COUNTIF(Candidates!$A$2:$A$2000,$A1110)),""""))"),"")</f>
        <v/>
      </c>
      <c r="X1110" s="64"/>
      <c r="Y1110" s="64"/>
      <c r="Z1110" s="65"/>
      <c r="AA1110" s="65"/>
      <c r="AB1110" s="65"/>
      <c r="AC1110" s="65"/>
    </row>
    <row r="1111">
      <c r="A1111" s="64"/>
      <c r="B1111" s="64"/>
      <c r="C1111" s="64"/>
      <c r="D1111" s="64"/>
      <c r="E1111" s="64"/>
      <c r="F1111" s="64"/>
      <c r="G1111" s="64"/>
      <c r="H1111" s="63"/>
      <c r="I1111" s="64"/>
      <c r="J1111" s="64"/>
      <c r="K1111" s="64"/>
      <c r="L1111" s="64"/>
      <c r="M1111" s="64"/>
      <c r="N1111" s="64"/>
      <c r="O1111" s="64"/>
      <c r="P1111" s="64"/>
      <c r="Q1111" s="64"/>
      <c r="R1111" s="65" t="str">
        <f>IF($A1111="","",IFERROR(MINIFS(Candidates!$K$2:$K$2000,Candidates!$A$2:$A$2000,$A1111),""))</f>
        <v/>
      </c>
      <c r="S1111" s="65" t="str">
        <f>IF($A1111="","",IFERROR(MAXIFS(Candidates!$AA$2:$AA$2000,Candidates!$A$2:$A$2000,$A1111),""))</f>
        <v/>
      </c>
      <c r="T1111" s="64" t="str">
        <f>IFERROR(__xludf.DUMMYFUNCTION("IF($A1111="""","""",IFERROR(TEXTJOIN("", "",TRUE,UNIQUE(FILTER(Candidates!$B$2:$B$2000,Candidates!$A$2:$A$2000=$A1111))),""""))"),"")</f>
        <v/>
      </c>
      <c r="U1111" s="66" t="str">
        <f>IF($A1111="","",COUNTIF(Candidates!$A$2:$A$2000,$A1111))</f>
        <v/>
      </c>
      <c r="V1111" s="64" t="str">
        <f>IFERROR(__xludf.DUMMYFUNCTION("IF($A1111="""","""",IFERROR(INDEX(FILTER(Candidates!$S$2:$S$2000,Candidates!$A$2:$A$2000=$A1111),COUNTIF(Candidates!$A$2:$A$2000,$A1111)),""""))"),"")</f>
        <v/>
      </c>
      <c r="W1111" s="64" t="str">
        <f>IFERROR(__xludf.DUMMYFUNCTION("IF($A1111="""","""",IFERROR(INDEX(FILTER(Candidates!$T$2:$T$2000,Candidates!$A$2:$A$2000=$A1111),COUNTIF(Candidates!$A$2:$A$2000,$A1111)),""""))"),"")</f>
        <v/>
      </c>
      <c r="X1111" s="64"/>
      <c r="Y1111" s="64"/>
      <c r="Z1111" s="65"/>
      <c r="AA1111" s="65"/>
      <c r="AB1111" s="65"/>
      <c r="AC1111" s="65"/>
    </row>
    <row r="1112">
      <c r="A1112" s="64"/>
      <c r="B1112" s="64"/>
      <c r="C1112" s="64"/>
      <c r="D1112" s="64"/>
      <c r="E1112" s="64"/>
      <c r="F1112" s="64"/>
      <c r="G1112" s="64"/>
      <c r="H1112" s="63"/>
      <c r="I1112" s="64"/>
      <c r="J1112" s="64"/>
      <c r="K1112" s="64"/>
      <c r="L1112" s="64"/>
      <c r="M1112" s="64"/>
      <c r="N1112" s="64"/>
      <c r="O1112" s="64"/>
      <c r="P1112" s="64"/>
      <c r="Q1112" s="64"/>
      <c r="R1112" s="65" t="str">
        <f>IF($A1112="","",IFERROR(MINIFS(Candidates!$K$2:$K$2000,Candidates!$A$2:$A$2000,$A1112),""))</f>
        <v/>
      </c>
      <c r="S1112" s="65" t="str">
        <f>IF($A1112="","",IFERROR(MAXIFS(Candidates!$AA$2:$AA$2000,Candidates!$A$2:$A$2000,$A1112),""))</f>
        <v/>
      </c>
      <c r="T1112" s="64" t="str">
        <f>IFERROR(__xludf.DUMMYFUNCTION("IF($A1112="""","""",IFERROR(TEXTJOIN("", "",TRUE,UNIQUE(FILTER(Candidates!$B$2:$B$2000,Candidates!$A$2:$A$2000=$A1112))),""""))"),"")</f>
        <v/>
      </c>
      <c r="U1112" s="66" t="str">
        <f>IF($A1112="","",COUNTIF(Candidates!$A$2:$A$2000,$A1112))</f>
        <v/>
      </c>
      <c r="V1112" s="64" t="str">
        <f>IFERROR(__xludf.DUMMYFUNCTION("IF($A1112="""","""",IFERROR(INDEX(FILTER(Candidates!$S$2:$S$2000,Candidates!$A$2:$A$2000=$A1112),COUNTIF(Candidates!$A$2:$A$2000,$A1112)),""""))"),"")</f>
        <v/>
      </c>
      <c r="W1112" s="64" t="str">
        <f>IFERROR(__xludf.DUMMYFUNCTION("IF($A1112="""","""",IFERROR(INDEX(FILTER(Candidates!$T$2:$T$2000,Candidates!$A$2:$A$2000=$A1112),COUNTIF(Candidates!$A$2:$A$2000,$A1112)),""""))"),"")</f>
        <v/>
      </c>
      <c r="X1112" s="64"/>
      <c r="Y1112" s="64"/>
      <c r="Z1112" s="65"/>
      <c r="AA1112" s="65"/>
      <c r="AB1112" s="65"/>
      <c r="AC1112" s="65"/>
    </row>
    <row r="1113">
      <c r="A1113" s="64"/>
      <c r="B1113" s="64"/>
      <c r="C1113" s="64"/>
      <c r="D1113" s="64"/>
      <c r="E1113" s="64"/>
      <c r="F1113" s="64"/>
      <c r="G1113" s="64"/>
      <c r="H1113" s="63"/>
      <c r="I1113" s="64"/>
      <c r="J1113" s="64"/>
      <c r="K1113" s="64"/>
      <c r="L1113" s="64"/>
      <c r="M1113" s="64"/>
      <c r="N1113" s="64"/>
      <c r="O1113" s="64"/>
      <c r="P1113" s="64"/>
      <c r="Q1113" s="64"/>
      <c r="R1113" s="65" t="str">
        <f>IF($A1113="","",IFERROR(MINIFS(Candidates!$K$2:$K$2000,Candidates!$A$2:$A$2000,$A1113),""))</f>
        <v/>
      </c>
      <c r="S1113" s="65" t="str">
        <f>IF($A1113="","",IFERROR(MAXIFS(Candidates!$AA$2:$AA$2000,Candidates!$A$2:$A$2000,$A1113),""))</f>
        <v/>
      </c>
      <c r="T1113" s="64" t="str">
        <f>IFERROR(__xludf.DUMMYFUNCTION("IF($A1113="""","""",IFERROR(TEXTJOIN("", "",TRUE,UNIQUE(FILTER(Candidates!$B$2:$B$2000,Candidates!$A$2:$A$2000=$A1113))),""""))"),"")</f>
        <v/>
      </c>
      <c r="U1113" s="66" t="str">
        <f>IF($A1113="","",COUNTIF(Candidates!$A$2:$A$2000,$A1113))</f>
        <v/>
      </c>
      <c r="V1113" s="64" t="str">
        <f>IFERROR(__xludf.DUMMYFUNCTION("IF($A1113="""","""",IFERROR(INDEX(FILTER(Candidates!$S$2:$S$2000,Candidates!$A$2:$A$2000=$A1113),COUNTIF(Candidates!$A$2:$A$2000,$A1113)),""""))"),"")</f>
        <v/>
      </c>
      <c r="W1113" s="64" t="str">
        <f>IFERROR(__xludf.DUMMYFUNCTION("IF($A1113="""","""",IFERROR(INDEX(FILTER(Candidates!$T$2:$T$2000,Candidates!$A$2:$A$2000=$A1113),COUNTIF(Candidates!$A$2:$A$2000,$A1113)),""""))"),"")</f>
        <v/>
      </c>
      <c r="X1113" s="64"/>
      <c r="Y1113" s="64"/>
      <c r="Z1113" s="65"/>
      <c r="AA1113" s="65"/>
      <c r="AB1113" s="65"/>
      <c r="AC1113" s="65"/>
    </row>
    <row r="1114">
      <c r="A1114" s="64"/>
      <c r="B1114" s="64"/>
      <c r="C1114" s="64"/>
      <c r="D1114" s="64"/>
      <c r="E1114" s="64"/>
      <c r="F1114" s="64"/>
      <c r="G1114" s="64"/>
      <c r="H1114" s="63"/>
      <c r="I1114" s="64"/>
      <c r="J1114" s="64"/>
      <c r="K1114" s="64"/>
      <c r="L1114" s="64"/>
      <c r="M1114" s="64"/>
      <c r="N1114" s="64"/>
      <c r="O1114" s="64"/>
      <c r="P1114" s="64"/>
      <c r="Q1114" s="64"/>
      <c r="R1114" s="65" t="str">
        <f>IF($A1114="","",IFERROR(MINIFS(Candidates!$K$2:$K$2000,Candidates!$A$2:$A$2000,$A1114),""))</f>
        <v/>
      </c>
      <c r="S1114" s="65" t="str">
        <f>IF($A1114="","",IFERROR(MAXIFS(Candidates!$AA$2:$AA$2000,Candidates!$A$2:$A$2000,$A1114),""))</f>
        <v/>
      </c>
      <c r="T1114" s="64" t="str">
        <f>IFERROR(__xludf.DUMMYFUNCTION("IF($A1114="""","""",IFERROR(TEXTJOIN("", "",TRUE,UNIQUE(FILTER(Candidates!$B$2:$B$2000,Candidates!$A$2:$A$2000=$A1114))),""""))"),"")</f>
        <v/>
      </c>
      <c r="U1114" s="66" t="str">
        <f>IF($A1114="","",COUNTIF(Candidates!$A$2:$A$2000,$A1114))</f>
        <v/>
      </c>
      <c r="V1114" s="64" t="str">
        <f>IFERROR(__xludf.DUMMYFUNCTION("IF($A1114="""","""",IFERROR(INDEX(FILTER(Candidates!$S$2:$S$2000,Candidates!$A$2:$A$2000=$A1114),COUNTIF(Candidates!$A$2:$A$2000,$A1114)),""""))"),"")</f>
        <v/>
      </c>
      <c r="W1114" s="64" t="str">
        <f>IFERROR(__xludf.DUMMYFUNCTION("IF($A1114="""","""",IFERROR(INDEX(FILTER(Candidates!$T$2:$T$2000,Candidates!$A$2:$A$2000=$A1114),COUNTIF(Candidates!$A$2:$A$2000,$A1114)),""""))"),"")</f>
        <v/>
      </c>
      <c r="X1114" s="64"/>
      <c r="Y1114" s="64"/>
      <c r="Z1114" s="65"/>
      <c r="AA1114" s="65"/>
      <c r="AB1114" s="65"/>
      <c r="AC1114" s="65"/>
    </row>
    <row r="1115">
      <c r="A1115" s="64"/>
      <c r="B1115" s="64"/>
      <c r="C1115" s="64"/>
      <c r="D1115" s="64"/>
      <c r="E1115" s="64"/>
      <c r="F1115" s="64"/>
      <c r="G1115" s="64"/>
      <c r="H1115" s="63"/>
      <c r="I1115" s="64"/>
      <c r="J1115" s="64"/>
      <c r="K1115" s="64"/>
      <c r="L1115" s="64"/>
      <c r="M1115" s="64"/>
      <c r="N1115" s="64"/>
      <c r="O1115" s="64"/>
      <c r="P1115" s="64"/>
      <c r="Q1115" s="64"/>
      <c r="R1115" s="65" t="str">
        <f>IF($A1115="","",IFERROR(MINIFS(Candidates!$K$2:$K$2000,Candidates!$A$2:$A$2000,$A1115),""))</f>
        <v/>
      </c>
      <c r="S1115" s="65" t="str">
        <f>IF($A1115="","",IFERROR(MAXIFS(Candidates!$AA$2:$AA$2000,Candidates!$A$2:$A$2000,$A1115),""))</f>
        <v/>
      </c>
      <c r="T1115" s="64" t="str">
        <f>IFERROR(__xludf.DUMMYFUNCTION("IF($A1115="""","""",IFERROR(TEXTJOIN("", "",TRUE,UNIQUE(FILTER(Candidates!$B$2:$B$2000,Candidates!$A$2:$A$2000=$A1115))),""""))"),"")</f>
        <v/>
      </c>
      <c r="U1115" s="66" t="str">
        <f>IF($A1115="","",COUNTIF(Candidates!$A$2:$A$2000,$A1115))</f>
        <v/>
      </c>
      <c r="V1115" s="64" t="str">
        <f>IFERROR(__xludf.DUMMYFUNCTION("IF($A1115="""","""",IFERROR(INDEX(FILTER(Candidates!$S$2:$S$2000,Candidates!$A$2:$A$2000=$A1115),COUNTIF(Candidates!$A$2:$A$2000,$A1115)),""""))"),"")</f>
        <v/>
      </c>
      <c r="W1115" s="64" t="str">
        <f>IFERROR(__xludf.DUMMYFUNCTION("IF($A1115="""","""",IFERROR(INDEX(FILTER(Candidates!$T$2:$T$2000,Candidates!$A$2:$A$2000=$A1115),COUNTIF(Candidates!$A$2:$A$2000,$A1115)),""""))"),"")</f>
        <v/>
      </c>
      <c r="X1115" s="64"/>
      <c r="Y1115" s="64"/>
      <c r="Z1115" s="65"/>
      <c r="AA1115" s="65"/>
      <c r="AB1115" s="65"/>
      <c r="AC1115" s="65"/>
    </row>
    <row r="1116">
      <c r="A1116" s="64"/>
      <c r="B1116" s="64"/>
      <c r="C1116" s="64"/>
      <c r="D1116" s="64"/>
      <c r="E1116" s="64"/>
      <c r="F1116" s="64"/>
      <c r="G1116" s="64"/>
      <c r="H1116" s="63"/>
      <c r="I1116" s="64"/>
      <c r="J1116" s="64"/>
      <c r="K1116" s="64"/>
      <c r="L1116" s="64"/>
      <c r="M1116" s="64"/>
      <c r="N1116" s="64"/>
      <c r="O1116" s="64"/>
      <c r="P1116" s="64"/>
      <c r="Q1116" s="64"/>
      <c r="R1116" s="65" t="str">
        <f>IF($A1116="","",IFERROR(MINIFS(Candidates!$K$2:$K$2000,Candidates!$A$2:$A$2000,$A1116),""))</f>
        <v/>
      </c>
      <c r="S1116" s="65" t="str">
        <f>IF($A1116="","",IFERROR(MAXIFS(Candidates!$AA$2:$AA$2000,Candidates!$A$2:$A$2000,$A1116),""))</f>
        <v/>
      </c>
      <c r="T1116" s="64" t="str">
        <f>IFERROR(__xludf.DUMMYFUNCTION("IF($A1116="""","""",IFERROR(TEXTJOIN("", "",TRUE,UNIQUE(FILTER(Candidates!$B$2:$B$2000,Candidates!$A$2:$A$2000=$A1116))),""""))"),"")</f>
        <v/>
      </c>
      <c r="U1116" s="66" t="str">
        <f>IF($A1116="","",COUNTIF(Candidates!$A$2:$A$2000,$A1116))</f>
        <v/>
      </c>
      <c r="V1116" s="64" t="str">
        <f>IFERROR(__xludf.DUMMYFUNCTION("IF($A1116="""","""",IFERROR(INDEX(FILTER(Candidates!$S$2:$S$2000,Candidates!$A$2:$A$2000=$A1116),COUNTIF(Candidates!$A$2:$A$2000,$A1116)),""""))"),"")</f>
        <v/>
      </c>
      <c r="W1116" s="64" t="str">
        <f>IFERROR(__xludf.DUMMYFUNCTION("IF($A1116="""","""",IFERROR(INDEX(FILTER(Candidates!$T$2:$T$2000,Candidates!$A$2:$A$2000=$A1116),COUNTIF(Candidates!$A$2:$A$2000,$A1116)),""""))"),"")</f>
        <v/>
      </c>
      <c r="X1116" s="64"/>
      <c r="Y1116" s="64"/>
      <c r="Z1116" s="65"/>
      <c r="AA1116" s="65"/>
      <c r="AB1116" s="65"/>
      <c r="AC1116" s="65"/>
    </row>
    <row r="1117">
      <c r="A1117" s="64"/>
      <c r="B1117" s="64"/>
      <c r="C1117" s="64"/>
      <c r="D1117" s="64"/>
      <c r="E1117" s="64"/>
      <c r="F1117" s="64"/>
      <c r="G1117" s="64"/>
      <c r="H1117" s="63"/>
      <c r="I1117" s="64"/>
      <c r="J1117" s="64"/>
      <c r="K1117" s="64"/>
      <c r="L1117" s="64"/>
      <c r="M1117" s="64"/>
      <c r="N1117" s="64"/>
      <c r="O1117" s="64"/>
      <c r="P1117" s="64"/>
      <c r="Q1117" s="64"/>
      <c r="R1117" s="65" t="str">
        <f>IF($A1117="","",IFERROR(MINIFS(Candidates!$K$2:$K$2000,Candidates!$A$2:$A$2000,$A1117),""))</f>
        <v/>
      </c>
      <c r="S1117" s="65" t="str">
        <f>IF($A1117="","",IFERROR(MAXIFS(Candidates!$AA$2:$AA$2000,Candidates!$A$2:$A$2000,$A1117),""))</f>
        <v/>
      </c>
      <c r="T1117" s="64" t="str">
        <f>IFERROR(__xludf.DUMMYFUNCTION("IF($A1117="""","""",IFERROR(TEXTJOIN("", "",TRUE,UNIQUE(FILTER(Candidates!$B$2:$B$2000,Candidates!$A$2:$A$2000=$A1117))),""""))"),"")</f>
        <v/>
      </c>
      <c r="U1117" s="66" t="str">
        <f>IF($A1117="","",COUNTIF(Candidates!$A$2:$A$2000,$A1117))</f>
        <v/>
      </c>
      <c r="V1117" s="64" t="str">
        <f>IFERROR(__xludf.DUMMYFUNCTION("IF($A1117="""","""",IFERROR(INDEX(FILTER(Candidates!$S$2:$S$2000,Candidates!$A$2:$A$2000=$A1117),COUNTIF(Candidates!$A$2:$A$2000,$A1117)),""""))"),"")</f>
        <v/>
      </c>
      <c r="W1117" s="64" t="str">
        <f>IFERROR(__xludf.DUMMYFUNCTION("IF($A1117="""","""",IFERROR(INDEX(FILTER(Candidates!$T$2:$T$2000,Candidates!$A$2:$A$2000=$A1117),COUNTIF(Candidates!$A$2:$A$2000,$A1117)),""""))"),"")</f>
        <v/>
      </c>
      <c r="X1117" s="64"/>
      <c r="Y1117" s="64"/>
      <c r="Z1117" s="65"/>
      <c r="AA1117" s="65"/>
      <c r="AB1117" s="65"/>
      <c r="AC1117" s="65"/>
    </row>
    <row r="1118">
      <c r="A1118" s="64"/>
      <c r="B1118" s="64"/>
      <c r="C1118" s="64"/>
      <c r="D1118" s="64"/>
      <c r="E1118" s="64"/>
      <c r="F1118" s="64"/>
      <c r="G1118" s="64"/>
      <c r="H1118" s="63"/>
      <c r="I1118" s="64"/>
      <c r="J1118" s="64"/>
      <c r="K1118" s="64"/>
      <c r="L1118" s="64"/>
      <c r="M1118" s="64"/>
      <c r="N1118" s="64"/>
      <c r="O1118" s="64"/>
      <c r="P1118" s="64"/>
      <c r="Q1118" s="64"/>
      <c r="R1118" s="65" t="str">
        <f>IF($A1118="","",IFERROR(MINIFS(Candidates!$K$2:$K$2000,Candidates!$A$2:$A$2000,$A1118),""))</f>
        <v/>
      </c>
      <c r="S1118" s="65" t="str">
        <f>IF($A1118="","",IFERROR(MAXIFS(Candidates!$AA$2:$AA$2000,Candidates!$A$2:$A$2000,$A1118),""))</f>
        <v/>
      </c>
      <c r="T1118" s="64" t="str">
        <f>IFERROR(__xludf.DUMMYFUNCTION("IF($A1118="""","""",IFERROR(TEXTJOIN("", "",TRUE,UNIQUE(FILTER(Candidates!$B$2:$B$2000,Candidates!$A$2:$A$2000=$A1118))),""""))"),"")</f>
        <v/>
      </c>
      <c r="U1118" s="66" t="str">
        <f>IF($A1118="","",COUNTIF(Candidates!$A$2:$A$2000,$A1118))</f>
        <v/>
      </c>
      <c r="V1118" s="64" t="str">
        <f>IFERROR(__xludf.DUMMYFUNCTION("IF($A1118="""","""",IFERROR(INDEX(FILTER(Candidates!$S$2:$S$2000,Candidates!$A$2:$A$2000=$A1118),COUNTIF(Candidates!$A$2:$A$2000,$A1118)),""""))"),"")</f>
        <v/>
      </c>
      <c r="W1118" s="64" t="str">
        <f>IFERROR(__xludf.DUMMYFUNCTION("IF($A1118="""","""",IFERROR(INDEX(FILTER(Candidates!$T$2:$T$2000,Candidates!$A$2:$A$2000=$A1118),COUNTIF(Candidates!$A$2:$A$2000,$A1118)),""""))"),"")</f>
        <v/>
      </c>
      <c r="X1118" s="64"/>
      <c r="Y1118" s="64"/>
      <c r="Z1118" s="65"/>
      <c r="AA1118" s="65"/>
      <c r="AB1118" s="65"/>
      <c r="AC1118" s="65"/>
    </row>
    <row r="1119">
      <c r="A1119" s="64"/>
      <c r="B1119" s="64"/>
      <c r="C1119" s="64"/>
      <c r="D1119" s="64"/>
      <c r="E1119" s="64"/>
      <c r="F1119" s="64"/>
      <c r="G1119" s="64"/>
      <c r="H1119" s="63"/>
      <c r="I1119" s="64"/>
      <c r="J1119" s="64"/>
      <c r="K1119" s="64"/>
      <c r="L1119" s="64"/>
      <c r="M1119" s="64"/>
      <c r="N1119" s="64"/>
      <c r="O1119" s="64"/>
      <c r="P1119" s="64"/>
      <c r="Q1119" s="64"/>
      <c r="R1119" s="65" t="str">
        <f>IF($A1119="","",IFERROR(MINIFS(Candidates!$K$2:$K$2000,Candidates!$A$2:$A$2000,$A1119),""))</f>
        <v/>
      </c>
      <c r="S1119" s="65" t="str">
        <f>IF($A1119="","",IFERROR(MAXIFS(Candidates!$AA$2:$AA$2000,Candidates!$A$2:$A$2000,$A1119),""))</f>
        <v/>
      </c>
      <c r="T1119" s="64" t="str">
        <f>IFERROR(__xludf.DUMMYFUNCTION("IF($A1119="""","""",IFERROR(TEXTJOIN("", "",TRUE,UNIQUE(FILTER(Candidates!$B$2:$B$2000,Candidates!$A$2:$A$2000=$A1119))),""""))"),"")</f>
        <v/>
      </c>
      <c r="U1119" s="66" t="str">
        <f>IF($A1119="","",COUNTIF(Candidates!$A$2:$A$2000,$A1119))</f>
        <v/>
      </c>
      <c r="V1119" s="64" t="str">
        <f>IFERROR(__xludf.DUMMYFUNCTION("IF($A1119="""","""",IFERROR(INDEX(FILTER(Candidates!$S$2:$S$2000,Candidates!$A$2:$A$2000=$A1119),COUNTIF(Candidates!$A$2:$A$2000,$A1119)),""""))"),"")</f>
        <v/>
      </c>
      <c r="W1119" s="64" t="str">
        <f>IFERROR(__xludf.DUMMYFUNCTION("IF($A1119="""","""",IFERROR(INDEX(FILTER(Candidates!$T$2:$T$2000,Candidates!$A$2:$A$2000=$A1119),COUNTIF(Candidates!$A$2:$A$2000,$A1119)),""""))"),"")</f>
        <v/>
      </c>
      <c r="X1119" s="64"/>
      <c r="Y1119" s="64"/>
      <c r="Z1119" s="65"/>
      <c r="AA1119" s="65"/>
      <c r="AB1119" s="65"/>
      <c r="AC1119" s="65"/>
    </row>
    <row r="1120">
      <c r="A1120" s="64"/>
      <c r="B1120" s="64"/>
      <c r="C1120" s="64"/>
      <c r="D1120" s="64"/>
      <c r="E1120" s="64"/>
      <c r="F1120" s="64"/>
      <c r="G1120" s="64"/>
      <c r="H1120" s="63"/>
      <c r="I1120" s="64"/>
      <c r="J1120" s="64"/>
      <c r="K1120" s="64"/>
      <c r="L1120" s="64"/>
      <c r="M1120" s="64"/>
      <c r="N1120" s="64"/>
      <c r="O1120" s="64"/>
      <c r="P1120" s="64"/>
      <c r="Q1120" s="64"/>
      <c r="R1120" s="65" t="str">
        <f>IF($A1120="","",IFERROR(MINIFS(Candidates!$K$2:$K$2000,Candidates!$A$2:$A$2000,$A1120),""))</f>
        <v/>
      </c>
      <c r="S1120" s="65" t="str">
        <f>IF($A1120="","",IFERROR(MAXIFS(Candidates!$AA$2:$AA$2000,Candidates!$A$2:$A$2000,$A1120),""))</f>
        <v/>
      </c>
      <c r="T1120" s="64" t="str">
        <f>IFERROR(__xludf.DUMMYFUNCTION("IF($A1120="""","""",IFERROR(TEXTJOIN("", "",TRUE,UNIQUE(FILTER(Candidates!$B$2:$B$2000,Candidates!$A$2:$A$2000=$A1120))),""""))"),"")</f>
        <v/>
      </c>
      <c r="U1120" s="66" t="str">
        <f>IF($A1120="","",COUNTIF(Candidates!$A$2:$A$2000,$A1120))</f>
        <v/>
      </c>
      <c r="V1120" s="64" t="str">
        <f>IFERROR(__xludf.DUMMYFUNCTION("IF($A1120="""","""",IFERROR(INDEX(FILTER(Candidates!$S$2:$S$2000,Candidates!$A$2:$A$2000=$A1120),COUNTIF(Candidates!$A$2:$A$2000,$A1120)),""""))"),"")</f>
        <v/>
      </c>
      <c r="W1120" s="64" t="str">
        <f>IFERROR(__xludf.DUMMYFUNCTION("IF($A1120="""","""",IFERROR(INDEX(FILTER(Candidates!$T$2:$T$2000,Candidates!$A$2:$A$2000=$A1120),COUNTIF(Candidates!$A$2:$A$2000,$A1120)),""""))"),"")</f>
        <v/>
      </c>
      <c r="X1120" s="64"/>
      <c r="Y1120" s="64"/>
      <c r="Z1120" s="65"/>
      <c r="AA1120" s="65"/>
      <c r="AB1120" s="65"/>
      <c r="AC1120" s="65"/>
    </row>
    <row r="1121">
      <c r="A1121" s="64"/>
      <c r="B1121" s="64"/>
      <c r="C1121" s="64"/>
      <c r="D1121" s="64"/>
      <c r="E1121" s="64"/>
      <c r="F1121" s="64"/>
      <c r="G1121" s="64"/>
      <c r="H1121" s="63"/>
      <c r="I1121" s="64"/>
      <c r="J1121" s="64"/>
      <c r="K1121" s="64"/>
      <c r="L1121" s="64"/>
      <c r="M1121" s="64"/>
      <c r="N1121" s="64"/>
      <c r="O1121" s="64"/>
      <c r="P1121" s="64"/>
      <c r="Q1121" s="64"/>
      <c r="R1121" s="65" t="str">
        <f>IF($A1121="","",IFERROR(MINIFS(Candidates!$K$2:$K$2000,Candidates!$A$2:$A$2000,$A1121),""))</f>
        <v/>
      </c>
      <c r="S1121" s="65" t="str">
        <f>IF($A1121="","",IFERROR(MAXIFS(Candidates!$AA$2:$AA$2000,Candidates!$A$2:$A$2000,$A1121),""))</f>
        <v/>
      </c>
      <c r="T1121" s="64" t="str">
        <f>IFERROR(__xludf.DUMMYFUNCTION("IF($A1121="""","""",IFERROR(TEXTJOIN("", "",TRUE,UNIQUE(FILTER(Candidates!$B$2:$B$2000,Candidates!$A$2:$A$2000=$A1121))),""""))"),"")</f>
        <v/>
      </c>
      <c r="U1121" s="66" t="str">
        <f>IF($A1121="","",COUNTIF(Candidates!$A$2:$A$2000,$A1121))</f>
        <v/>
      </c>
      <c r="V1121" s="64" t="str">
        <f>IFERROR(__xludf.DUMMYFUNCTION("IF($A1121="""","""",IFERROR(INDEX(FILTER(Candidates!$S$2:$S$2000,Candidates!$A$2:$A$2000=$A1121),COUNTIF(Candidates!$A$2:$A$2000,$A1121)),""""))"),"")</f>
        <v/>
      </c>
      <c r="W1121" s="64" t="str">
        <f>IFERROR(__xludf.DUMMYFUNCTION("IF($A1121="""","""",IFERROR(INDEX(FILTER(Candidates!$T$2:$T$2000,Candidates!$A$2:$A$2000=$A1121),COUNTIF(Candidates!$A$2:$A$2000,$A1121)),""""))"),"")</f>
        <v/>
      </c>
      <c r="X1121" s="64"/>
      <c r="Y1121" s="64"/>
      <c r="Z1121" s="65"/>
      <c r="AA1121" s="65"/>
      <c r="AB1121" s="65"/>
      <c r="AC1121" s="65"/>
    </row>
    <row r="1122">
      <c r="A1122" s="64"/>
      <c r="B1122" s="64"/>
      <c r="C1122" s="64"/>
      <c r="D1122" s="64"/>
      <c r="E1122" s="64"/>
      <c r="F1122" s="64"/>
      <c r="G1122" s="64"/>
      <c r="H1122" s="63"/>
      <c r="I1122" s="64"/>
      <c r="J1122" s="64"/>
      <c r="K1122" s="64"/>
      <c r="L1122" s="64"/>
      <c r="M1122" s="64"/>
      <c r="N1122" s="64"/>
      <c r="O1122" s="64"/>
      <c r="P1122" s="64"/>
      <c r="Q1122" s="64"/>
      <c r="R1122" s="65" t="str">
        <f>IF($A1122="","",IFERROR(MINIFS(Candidates!$K$2:$K$2000,Candidates!$A$2:$A$2000,$A1122),""))</f>
        <v/>
      </c>
      <c r="S1122" s="65" t="str">
        <f>IF($A1122="","",IFERROR(MAXIFS(Candidates!$AA$2:$AA$2000,Candidates!$A$2:$A$2000,$A1122),""))</f>
        <v/>
      </c>
      <c r="T1122" s="64" t="str">
        <f>IFERROR(__xludf.DUMMYFUNCTION("IF($A1122="""","""",IFERROR(TEXTJOIN("", "",TRUE,UNIQUE(FILTER(Candidates!$B$2:$B$2000,Candidates!$A$2:$A$2000=$A1122))),""""))"),"")</f>
        <v/>
      </c>
      <c r="U1122" s="66" t="str">
        <f>IF($A1122="","",COUNTIF(Candidates!$A$2:$A$2000,$A1122))</f>
        <v/>
      </c>
      <c r="V1122" s="64" t="str">
        <f>IFERROR(__xludf.DUMMYFUNCTION("IF($A1122="""","""",IFERROR(INDEX(FILTER(Candidates!$S$2:$S$2000,Candidates!$A$2:$A$2000=$A1122),COUNTIF(Candidates!$A$2:$A$2000,$A1122)),""""))"),"")</f>
        <v/>
      </c>
      <c r="W1122" s="64" t="str">
        <f>IFERROR(__xludf.DUMMYFUNCTION("IF($A1122="""","""",IFERROR(INDEX(FILTER(Candidates!$T$2:$T$2000,Candidates!$A$2:$A$2000=$A1122),COUNTIF(Candidates!$A$2:$A$2000,$A1122)),""""))"),"")</f>
        <v/>
      </c>
      <c r="X1122" s="64"/>
      <c r="Y1122" s="64"/>
      <c r="Z1122" s="65"/>
      <c r="AA1122" s="65"/>
      <c r="AB1122" s="65"/>
      <c r="AC1122" s="65"/>
    </row>
    <row r="1123">
      <c r="A1123" s="64"/>
      <c r="B1123" s="64"/>
      <c r="C1123" s="64"/>
      <c r="D1123" s="64"/>
      <c r="E1123" s="64"/>
      <c r="F1123" s="64"/>
      <c r="G1123" s="64"/>
      <c r="H1123" s="63"/>
      <c r="I1123" s="64"/>
      <c r="J1123" s="64"/>
      <c r="K1123" s="64"/>
      <c r="L1123" s="64"/>
      <c r="M1123" s="64"/>
      <c r="N1123" s="64"/>
      <c r="O1123" s="64"/>
      <c r="P1123" s="64"/>
      <c r="Q1123" s="64"/>
      <c r="R1123" s="65" t="str">
        <f>IF($A1123="","",IFERROR(MINIFS(Candidates!$K$2:$K$2000,Candidates!$A$2:$A$2000,$A1123),""))</f>
        <v/>
      </c>
      <c r="S1123" s="65" t="str">
        <f>IF($A1123="","",IFERROR(MAXIFS(Candidates!$AA$2:$AA$2000,Candidates!$A$2:$A$2000,$A1123),""))</f>
        <v/>
      </c>
      <c r="T1123" s="64" t="str">
        <f>IFERROR(__xludf.DUMMYFUNCTION("IF($A1123="""","""",IFERROR(TEXTJOIN("", "",TRUE,UNIQUE(FILTER(Candidates!$B$2:$B$2000,Candidates!$A$2:$A$2000=$A1123))),""""))"),"")</f>
        <v/>
      </c>
      <c r="U1123" s="66" t="str">
        <f>IF($A1123="","",COUNTIF(Candidates!$A$2:$A$2000,$A1123))</f>
        <v/>
      </c>
      <c r="V1123" s="64" t="str">
        <f>IFERROR(__xludf.DUMMYFUNCTION("IF($A1123="""","""",IFERROR(INDEX(FILTER(Candidates!$S$2:$S$2000,Candidates!$A$2:$A$2000=$A1123),COUNTIF(Candidates!$A$2:$A$2000,$A1123)),""""))"),"")</f>
        <v/>
      </c>
      <c r="W1123" s="64" t="str">
        <f>IFERROR(__xludf.DUMMYFUNCTION("IF($A1123="""","""",IFERROR(INDEX(FILTER(Candidates!$T$2:$T$2000,Candidates!$A$2:$A$2000=$A1123),COUNTIF(Candidates!$A$2:$A$2000,$A1123)),""""))"),"")</f>
        <v/>
      </c>
      <c r="X1123" s="64"/>
      <c r="Y1123" s="64"/>
      <c r="Z1123" s="65"/>
      <c r="AA1123" s="65"/>
      <c r="AB1123" s="65"/>
      <c r="AC1123" s="65"/>
    </row>
    <row r="1124">
      <c r="A1124" s="64"/>
      <c r="B1124" s="64"/>
      <c r="C1124" s="64"/>
      <c r="D1124" s="64"/>
      <c r="E1124" s="64"/>
      <c r="F1124" s="64"/>
      <c r="G1124" s="64"/>
      <c r="H1124" s="63"/>
      <c r="I1124" s="64"/>
      <c r="J1124" s="64"/>
      <c r="K1124" s="64"/>
      <c r="L1124" s="64"/>
      <c r="M1124" s="64"/>
      <c r="N1124" s="64"/>
      <c r="O1124" s="64"/>
      <c r="P1124" s="64"/>
      <c r="Q1124" s="64"/>
      <c r="R1124" s="65" t="str">
        <f>IF($A1124="","",IFERROR(MINIFS(Candidates!$K$2:$K$2000,Candidates!$A$2:$A$2000,$A1124),""))</f>
        <v/>
      </c>
      <c r="S1124" s="65" t="str">
        <f>IF($A1124="","",IFERROR(MAXIFS(Candidates!$AA$2:$AA$2000,Candidates!$A$2:$A$2000,$A1124),""))</f>
        <v/>
      </c>
      <c r="T1124" s="64" t="str">
        <f>IFERROR(__xludf.DUMMYFUNCTION("IF($A1124="""","""",IFERROR(TEXTJOIN("", "",TRUE,UNIQUE(FILTER(Candidates!$B$2:$B$2000,Candidates!$A$2:$A$2000=$A1124))),""""))"),"")</f>
        <v/>
      </c>
      <c r="U1124" s="66" t="str">
        <f>IF($A1124="","",COUNTIF(Candidates!$A$2:$A$2000,$A1124))</f>
        <v/>
      </c>
      <c r="V1124" s="64" t="str">
        <f>IFERROR(__xludf.DUMMYFUNCTION("IF($A1124="""","""",IFERROR(INDEX(FILTER(Candidates!$S$2:$S$2000,Candidates!$A$2:$A$2000=$A1124),COUNTIF(Candidates!$A$2:$A$2000,$A1124)),""""))"),"")</f>
        <v/>
      </c>
      <c r="W1124" s="64" t="str">
        <f>IFERROR(__xludf.DUMMYFUNCTION("IF($A1124="""","""",IFERROR(INDEX(FILTER(Candidates!$T$2:$T$2000,Candidates!$A$2:$A$2000=$A1124),COUNTIF(Candidates!$A$2:$A$2000,$A1124)),""""))"),"")</f>
        <v/>
      </c>
      <c r="X1124" s="64"/>
      <c r="Y1124" s="64"/>
      <c r="Z1124" s="65"/>
      <c r="AA1124" s="65"/>
      <c r="AB1124" s="65"/>
      <c r="AC1124" s="65"/>
    </row>
    <row r="1125">
      <c r="A1125" s="64"/>
      <c r="B1125" s="64"/>
      <c r="C1125" s="64"/>
      <c r="D1125" s="64"/>
      <c r="E1125" s="64"/>
      <c r="F1125" s="64"/>
      <c r="G1125" s="64"/>
      <c r="H1125" s="63"/>
      <c r="I1125" s="64"/>
      <c r="J1125" s="64"/>
      <c r="K1125" s="64"/>
      <c r="L1125" s="64"/>
      <c r="M1125" s="64"/>
      <c r="N1125" s="64"/>
      <c r="O1125" s="64"/>
      <c r="P1125" s="64"/>
      <c r="Q1125" s="64"/>
      <c r="R1125" s="65" t="str">
        <f>IF($A1125="","",IFERROR(MINIFS(Candidates!$K$2:$K$2000,Candidates!$A$2:$A$2000,$A1125),""))</f>
        <v/>
      </c>
      <c r="S1125" s="65" t="str">
        <f>IF($A1125="","",IFERROR(MAXIFS(Candidates!$AA$2:$AA$2000,Candidates!$A$2:$A$2000,$A1125),""))</f>
        <v/>
      </c>
      <c r="T1125" s="64" t="str">
        <f>IFERROR(__xludf.DUMMYFUNCTION("IF($A1125="""","""",IFERROR(TEXTJOIN("", "",TRUE,UNIQUE(FILTER(Candidates!$B$2:$B$2000,Candidates!$A$2:$A$2000=$A1125))),""""))"),"")</f>
        <v/>
      </c>
      <c r="U1125" s="66" t="str">
        <f>IF($A1125="","",COUNTIF(Candidates!$A$2:$A$2000,$A1125))</f>
        <v/>
      </c>
      <c r="V1125" s="64" t="str">
        <f>IFERROR(__xludf.DUMMYFUNCTION("IF($A1125="""","""",IFERROR(INDEX(FILTER(Candidates!$S$2:$S$2000,Candidates!$A$2:$A$2000=$A1125),COUNTIF(Candidates!$A$2:$A$2000,$A1125)),""""))"),"")</f>
        <v/>
      </c>
      <c r="W1125" s="64" t="str">
        <f>IFERROR(__xludf.DUMMYFUNCTION("IF($A1125="""","""",IFERROR(INDEX(FILTER(Candidates!$T$2:$T$2000,Candidates!$A$2:$A$2000=$A1125),COUNTIF(Candidates!$A$2:$A$2000,$A1125)),""""))"),"")</f>
        <v/>
      </c>
      <c r="X1125" s="64"/>
      <c r="Y1125" s="64"/>
      <c r="Z1125" s="65"/>
      <c r="AA1125" s="65"/>
      <c r="AB1125" s="65"/>
      <c r="AC1125" s="65"/>
    </row>
    <row r="1126">
      <c r="A1126" s="64"/>
      <c r="B1126" s="64"/>
      <c r="C1126" s="64"/>
      <c r="D1126" s="64"/>
      <c r="E1126" s="64"/>
      <c r="F1126" s="64"/>
      <c r="G1126" s="64"/>
      <c r="H1126" s="63"/>
      <c r="I1126" s="64"/>
      <c r="J1126" s="64"/>
      <c r="K1126" s="64"/>
      <c r="L1126" s="64"/>
      <c r="M1126" s="64"/>
      <c r="N1126" s="64"/>
      <c r="O1126" s="64"/>
      <c r="P1126" s="64"/>
      <c r="Q1126" s="64"/>
      <c r="R1126" s="65" t="str">
        <f>IF($A1126="","",IFERROR(MINIFS(Candidates!$K$2:$K$2000,Candidates!$A$2:$A$2000,$A1126),""))</f>
        <v/>
      </c>
      <c r="S1126" s="65" t="str">
        <f>IF($A1126="","",IFERROR(MAXIFS(Candidates!$AA$2:$AA$2000,Candidates!$A$2:$A$2000,$A1126),""))</f>
        <v/>
      </c>
      <c r="T1126" s="64" t="str">
        <f>IFERROR(__xludf.DUMMYFUNCTION("IF($A1126="""","""",IFERROR(TEXTJOIN("", "",TRUE,UNIQUE(FILTER(Candidates!$B$2:$B$2000,Candidates!$A$2:$A$2000=$A1126))),""""))"),"")</f>
        <v/>
      </c>
      <c r="U1126" s="66" t="str">
        <f>IF($A1126="","",COUNTIF(Candidates!$A$2:$A$2000,$A1126))</f>
        <v/>
      </c>
      <c r="V1126" s="64" t="str">
        <f>IFERROR(__xludf.DUMMYFUNCTION("IF($A1126="""","""",IFERROR(INDEX(FILTER(Candidates!$S$2:$S$2000,Candidates!$A$2:$A$2000=$A1126),COUNTIF(Candidates!$A$2:$A$2000,$A1126)),""""))"),"")</f>
        <v/>
      </c>
      <c r="W1126" s="64" t="str">
        <f>IFERROR(__xludf.DUMMYFUNCTION("IF($A1126="""","""",IFERROR(INDEX(FILTER(Candidates!$T$2:$T$2000,Candidates!$A$2:$A$2000=$A1126),COUNTIF(Candidates!$A$2:$A$2000,$A1126)),""""))"),"")</f>
        <v/>
      </c>
      <c r="X1126" s="64"/>
      <c r="Y1126" s="64"/>
      <c r="Z1126" s="65"/>
      <c r="AA1126" s="65"/>
      <c r="AB1126" s="65"/>
      <c r="AC1126" s="65"/>
    </row>
    <row r="1127">
      <c r="A1127" s="64"/>
      <c r="B1127" s="64"/>
      <c r="C1127" s="64"/>
      <c r="D1127" s="64"/>
      <c r="E1127" s="64"/>
      <c r="F1127" s="64"/>
      <c r="G1127" s="64"/>
      <c r="H1127" s="63"/>
      <c r="I1127" s="64"/>
      <c r="J1127" s="64"/>
      <c r="K1127" s="64"/>
      <c r="L1127" s="64"/>
      <c r="M1127" s="64"/>
      <c r="N1127" s="64"/>
      <c r="O1127" s="64"/>
      <c r="P1127" s="64"/>
      <c r="Q1127" s="64"/>
      <c r="R1127" s="65" t="str">
        <f>IF($A1127="","",IFERROR(MINIFS(Candidates!$K$2:$K$2000,Candidates!$A$2:$A$2000,$A1127),""))</f>
        <v/>
      </c>
      <c r="S1127" s="65" t="str">
        <f>IF($A1127="","",IFERROR(MAXIFS(Candidates!$AA$2:$AA$2000,Candidates!$A$2:$A$2000,$A1127),""))</f>
        <v/>
      </c>
      <c r="T1127" s="64" t="str">
        <f>IFERROR(__xludf.DUMMYFUNCTION("IF($A1127="""","""",IFERROR(TEXTJOIN("", "",TRUE,UNIQUE(FILTER(Candidates!$B$2:$B$2000,Candidates!$A$2:$A$2000=$A1127))),""""))"),"")</f>
        <v/>
      </c>
      <c r="U1127" s="66" t="str">
        <f>IF($A1127="","",COUNTIF(Candidates!$A$2:$A$2000,$A1127))</f>
        <v/>
      </c>
      <c r="V1127" s="64" t="str">
        <f>IFERROR(__xludf.DUMMYFUNCTION("IF($A1127="""","""",IFERROR(INDEX(FILTER(Candidates!$S$2:$S$2000,Candidates!$A$2:$A$2000=$A1127),COUNTIF(Candidates!$A$2:$A$2000,$A1127)),""""))"),"")</f>
        <v/>
      </c>
      <c r="W1127" s="64" t="str">
        <f>IFERROR(__xludf.DUMMYFUNCTION("IF($A1127="""","""",IFERROR(INDEX(FILTER(Candidates!$T$2:$T$2000,Candidates!$A$2:$A$2000=$A1127),COUNTIF(Candidates!$A$2:$A$2000,$A1127)),""""))"),"")</f>
        <v/>
      </c>
      <c r="X1127" s="64"/>
      <c r="Y1127" s="64"/>
      <c r="Z1127" s="65"/>
      <c r="AA1127" s="65"/>
      <c r="AB1127" s="65"/>
      <c r="AC1127" s="65"/>
    </row>
    <row r="1128">
      <c r="A1128" s="64"/>
      <c r="B1128" s="64"/>
      <c r="C1128" s="64"/>
      <c r="D1128" s="64"/>
      <c r="E1128" s="64"/>
      <c r="F1128" s="64"/>
      <c r="G1128" s="64"/>
      <c r="H1128" s="63"/>
      <c r="I1128" s="64"/>
      <c r="J1128" s="64"/>
      <c r="K1128" s="64"/>
      <c r="L1128" s="64"/>
      <c r="M1128" s="64"/>
      <c r="N1128" s="64"/>
      <c r="O1128" s="64"/>
      <c r="P1128" s="64"/>
      <c r="Q1128" s="64"/>
      <c r="R1128" s="65" t="str">
        <f>IF($A1128="","",IFERROR(MINIFS(Candidates!$K$2:$K$2000,Candidates!$A$2:$A$2000,$A1128),""))</f>
        <v/>
      </c>
      <c r="S1128" s="65" t="str">
        <f>IF($A1128="","",IFERROR(MAXIFS(Candidates!$AA$2:$AA$2000,Candidates!$A$2:$A$2000,$A1128),""))</f>
        <v/>
      </c>
      <c r="T1128" s="64" t="str">
        <f>IFERROR(__xludf.DUMMYFUNCTION("IF($A1128="""","""",IFERROR(TEXTJOIN("", "",TRUE,UNIQUE(FILTER(Candidates!$B$2:$B$2000,Candidates!$A$2:$A$2000=$A1128))),""""))"),"")</f>
        <v/>
      </c>
      <c r="U1128" s="66" t="str">
        <f>IF($A1128="","",COUNTIF(Candidates!$A$2:$A$2000,$A1128))</f>
        <v/>
      </c>
      <c r="V1128" s="64" t="str">
        <f>IFERROR(__xludf.DUMMYFUNCTION("IF($A1128="""","""",IFERROR(INDEX(FILTER(Candidates!$S$2:$S$2000,Candidates!$A$2:$A$2000=$A1128),COUNTIF(Candidates!$A$2:$A$2000,$A1128)),""""))"),"")</f>
        <v/>
      </c>
      <c r="W1128" s="64" t="str">
        <f>IFERROR(__xludf.DUMMYFUNCTION("IF($A1128="""","""",IFERROR(INDEX(FILTER(Candidates!$T$2:$T$2000,Candidates!$A$2:$A$2000=$A1128),COUNTIF(Candidates!$A$2:$A$2000,$A1128)),""""))"),"")</f>
        <v/>
      </c>
      <c r="X1128" s="64"/>
      <c r="Y1128" s="64"/>
      <c r="Z1128" s="65"/>
      <c r="AA1128" s="65"/>
      <c r="AB1128" s="65"/>
      <c r="AC1128" s="65"/>
    </row>
    <row r="1129">
      <c r="A1129" s="64"/>
      <c r="B1129" s="64"/>
      <c r="C1129" s="64"/>
      <c r="D1129" s="64"/>
      <c r="E1129" s="64"/>
      <c r="F1129" s="64"/>
      <c r="G1129" s="64"/>
      <c r="H1129" s="63"/>
      <c r="I1129" s="64"/>
      <c r="J1129" s="64"/>
      <c r="K1129" s="64"/>
      <c r="L1129" s="64"/>
      <c r="M1129" s="64"/>
      <c r="N1129" s="64"/>
      <c r="O1129" s="64"/>
      <c r="P1129" s="64"/>
      <c r="Q1129" s="64"/>
      <c r="R1129" s="65" t="str">
        <f>IF($A1129="","",IFERROR(MINIFS(Candidates!$K$2:$K$2000,Candidates!$A$2:$A$2000,$A1129),""))</f>
        <v/>
      </c>
      <c r="S1129" s="65" t="str">
        <f>IF($A1129="","",IFERROR(MAXIFS(Candidates!$AA$2:$AA$2000,Candidates!$A$2:$A$2000,$A1129),""))</f>
        <v/>
      </c>
      <c r="T1129" s="64" t="str">
        <f>IFERROR(__xludf.DUMMYFUNCTION("IF($A1129="""","""",IFERROR(TEXTJOIN("", "",TRUE,UNIQUE(FILTER(Candidates!$B$2:$B$2000,Candidates!$A$2:$A$2000=$A1129))),""""))"),"")</f>
        <v/>
      </c>
      <c r="U1129" s="66" t="str">
        <f>IF($A1129="","",COUNTIF(Candidates!$A$2:$A$2000,$A1129))</f>
        <v/>
      </c>
      <c r="V1129" s="64" t="str">
        <f>IFERROR(__xludf.DUMMYFUNCTION("IF($A1129="""","""",IFERROR(INDEX(FILTER(Candidates!$S$2:$S$2000,Candidates!$A$2:$A$2000=$A1129),COUNTIF(Candidates!$A$2:$A$2000,$A1129)),""""))"),"")</f>
        <v/>
      </c>
      <c r="W1129" s="64" t="str">
        <f>IFERROR(__xludf.DUMMYFUNCTION("IF($A1129="""","""",IFERROR(INDEX(FILTER(Candidates!$T$2:$T$2000,Candidates!$A$2:$A$2000=$A1129),COUNTIF(Candidates!$A$2:$A$2000,$A1129)),""""))"),"")</f>
        <v/>
      </c>
      <c r="X1129" s="64"/>
      <c r="Y1129" s="64"/>
      <c r="Z1129" s="65"/>
      <c r="AA1129" s="65"/>
      <c r="AB1129" s="65"/>
      <c r="AC1129" s="65"/>
    </row>
    <row r="1130">
      <c r="A1130" s="64"/>
      <c r="B1130" s="64"/>
      <c r="C1130" s="64"/>
      <c r="D1130" s="64"/>
      <c r="E1130" s="64"/>
      <c r="F1130" s="64"/>
      <c r="G1130" s="64"/>
      <c r="H1130" s="63"/>
      <c r="I1130" s="64"/>
      <c r="J1130" s="64"/>
      <c r="K1130" s="64"/>
      <c r="L1130" s="64"/>
      <c r="M1130" s="64"/>
      <c r="N1130" s="64"/>
      <c r="O1130" s="64"/>
      <c r="P1130" s="64"/>
      <c r="Q1130" s="64"/>
      <c r="R1130" s="65" t="str">
        <f>IF($A1130="","",IFERROR(MINIFS(Candidates!$K$2:$K$2000,Candidates!$A$2:$A$2000,$A1130),""))</f>
        <v/>
      </c>
      <c r="S1130" s="65" t="str">
        <f>IF($A1130="","",IFERROR(MAXIFS(Candidates!$AA$2:$AA$2000,Candidates!$A$2:$A$2000,$A1130),""))</f>
        <v/>
      </c>
      <c r="T1130" s="64" t="str">
        <f>IFERROR(__xludf.DUMMYFUNCTION("IF($A1130="""","""",IFERROR(TEXTJOIN("", "",TRUE,UNIQUE(FILTER(Candidates!$B$2:$B$2000,Candidates!$A$2:$A$2000=$A1130))),""""))"),"")</f>
        <v/>
      </c>
      <c r="U1130" s="66" t="str">
        <f>IF($A1130="","",COUNTIF(Candidates!$A$2:$A$2000,$A1130))</f>
        <v/>
      </c>
      <c r="V1130" s="64" t="str">
        <f>IFERROR(__xludf.DUMMYFUNCTION("IF($A1130="""","""",IFERROR(INDEX(FILTER(Candidates!$S$2:$S$2000,Candidates!$A$2:$A$2000=$A1130),COUNTIF(Candidates!$A$2:$A$2000,$A1130)),""""))"),"")</f>
        <v/>
      </c>
      <c r="W1130" s="64" t="str">
        <f>IFERROR(__xludf.DUMMYFUNCTION("IF($A1130="""","""",IFERROR(INDEX(FILTER(Candidates!$T$2:$T$2000,Candidates!$A$2:$A$2000=$A1130),COUNTIF(Candidates!$A$2:$A$2000,$A1130)),""""))"),"")</f>
        <v/>
      </c>
      <c r="X1130" s="64"/>
      <c r="Y1130" s="64"/>
      <c r="Z1130" s="65"/>
      <c r="AA1130" s="65"/>
      <c r="AB1130" s="65"/>
      <c r="AC1130" s="65"/>
    </row>
    <row r="1131">
      <c r="A1131" s="64"/>
      <c r="B1131" s="64"/>
      <c r="C1131" s="64"/>
      <c r="D1131" s="64"/>
      <c r="E1131" s="64"/>
      <c r="F1131" s="64"/>
      <c r="G1131" s="64"/>
      <c r="H1131" s="63"/>
      <c r="I1131" s="64"/>
      <c r="J1131" s="64"/>
      <c r="K1131" s="64"/>
      <c r="L1131" s="64"/>
      <c r="M1131" s="64"/>
      <c r="N1131" s="64"/>
      <c r="O1131" s="64"/>
      <c r="P1131" s="64"/>
      <c r="Q1131" s="64"/>
      <c r="R1131" s="65" t="str">
        <f>IF($A1131="","",IFERROR(MINIFS(Candidates!$K$2:$K$2000,Candidates!$A$2:$A$2000,$A1131),""))</f>
        <v/>
      </c>
      <c r="S1131" s="65" t="str">
        <f>IF($A1131="","",IFERROR(MAXIFS(Candidates!$AA$2:$AA$2000,Candidates!$A$2:$A$2000,$A1131),""))</f>
        <v/>
      </c>
      <c r="T1131" s="64" t="str">
        <f>IFERROR(__xludf.DUMMYFUNCTION("IF($A1131="""","""",IFERROR(TEXTJOIN("", "",TRUE,UNIQUE(FILTER(Candidates!$B$2:$B$2000,Candidates!$A$2:$A$2000=$A1131))),""""))"),"")</f>
        <v/>
      </c>
      <c r="U1131" s="66" t="str">
        <f>IF($A1131="","",COUNTIF(Candidates!$A$2:$A$2000,$A1131))</f>
        <v/>
      </c>
      <c r="V1131" s="64" t="str">
        <f>IFERROR(__xludf.DUMMYFUNCTION("IF($A1131="""","""",IFERROR(INDEX(FILTER(Candidates!$S$2:$S$2000,Candidates!$A$2:$A$2000=$A1131),COUNTIF(Candidates!$A$2:$A$2000,$A1131)),""""))"),"")</f>
        <v/>
      </c>
      <c r="W1131" s="64" t="str">
        <f>IFERROR(__xludf.DUMMYFUNCTION("IF($A1131="""","""",IFERROR(INDEX(FILTER(Candidates!$T$2:$T$2000,Candidates!$A$2:$A$2000=$A1131),COUNTIF(Candidates!$A$2:$A$2000,$A1131)),""""))"),"")</f>
        <v/>
      </c>
      <c r="X1131" s="64"/>
      <c r="Y1131" s="64"/>
      <c r="Z1131" s="65"/>
      <c r="AA1131" s="65"/>
      <c r="AB1131" s="65"/>
      <c r="AC1131" s="65"/>
    </row>
    <row r="1132">
      <c r="A1132" s="64"/>
      <c r="B1132" s="64"/>
      <c r="C1132" s="64"/>
      <c r="D1132" s="64"/>
      <c r="E1132" s="64"/>
      <c r="F1132" s="64"/>
      <c r="G1132" s="64"/>
      <c r="H1132" s="63"/>
      <c r="I1132" s="64"/>
      <c r="J1132" s="64"/>
      <c r="K1132" s="64"/>
      <c r="L1132" s="64"/>
      <c r="M1132" s="64"/>
      <c r="N1132" s="64"/>
      <c r="O1132" s="64"/>
      <c r="P1132" s="64"/>
      <c r="Q1132" s="64"/>
      <c r="R1132" s="65" t="str">
        <f>IF($A1132="","",IFERROR(MINIFS(Candidates!$K$2:$K$2000,Candidates!$A$2:$A$2000,$A1132),""))</f>
        <v/>
      </c>
      <c r="S1132" s="65" t="str">
        <f>IF($A1132="","",IFERROR(MAXIFS(Candidates!$AA$2:$AA$2000,Candidates!$A$2:$A$2000,$A1132),""))</f>
        <v/>
      </c>
      <c r="T1132" s="64" t="str">
        <f>IFERROR(__xludf.DUMMYFUNCTION("IF($A1132="""","""",IFERROR(TEXTJOIN("", "",TRUE,UNIQUE(FILTER(Candidates!$B$2:$B$2000,Candidates!$A$2:$A$2000=$A1132))),""""))"),"")</f>
        <v/>
      </c>
      <c r="U1132" s="66" t="str">
        <f>IF($A1132="","",COUNTIF(Candidates!$A$2:$A$2000,$A1132))</f>
        <v/>
      </c>
      <c r="V1132" s="64" t="str">
        <f>IFERROR(__xludf.DUMMYFUNCTION("IF($A1132="""","""",IFERROR(INDEX(FILTER(Candidates!$S$2:$S$2000,Candidates!$A$2:$A$2000=$A1132),COUNTIF(Candidates!$A$2:$A$2000,$A1132)),""""))"),"")</f>
        <v/>
      </c>
      <c r="W1132" s="64" t="str">
        <f>IFERROR(__xludf.DUMMYFUNCTION("IF($A1132="""","""",IFERROR(INDEX(FILTER(Candidates!$T$2:$T$2000,Candidates!$A$2:$A$2000=$A1132),COUNTIF(Candidates!$A$2:$A$2000,$A1132)),""""))"),"")</f>
        <v/>
      </c>
      <c r="X1132" s="64"/>
      <c r="Y1132" s="64"/>
      <c r="Z1132" s="65"/>
      <c r="AA1132" s="65"/>
      <c r="AB1132" s="65"/>
      <c r="AC1132" s="65"/>
    </row>
    <row r="1133">
      <c r="A1133" s="64"/>
      <c r="B1133" s="64"/>
      <c r="C1133" s="64"/>
      <c r="D1133" s="64"/>
      <c r="E1133" s="64"/>
      <c r="F1133" s="64"/>
      <c r="G1133" s="64"/>
      <c r="H1133" s="63"/>
      <c r="I1133" s="64"/>
      <c r="J1133" s="64"/>
      <c r="K1133" s="64"/>
      <c r="L1133" s="64"/>
      <c r="M1133" s="64"/>
      <c r="N1133" s="64"/>
      <c r="O1133" s="64"/>
      <c r="P1133" s="64"/>
      <c r="Q1133" s="64"/>
      <c r="R1133" s="65" t="str">
        <f>IF($A1133="","",IFERROR(MINIFS(Candidates!$K$2:$K$2000,Candidates!$A$2:$A$2000,$A1133),""))</f>
        <v/>
      </c>
      <c r="S1133" s="65" t="str">
        <f>IF($A1133="","",IFERROR(MAXIFS(Candidates!$AA$2:$AA$2000,Candidates!$A$2:$A$2000,$A1133),""))</f>
        <v/>
      </c>
      <c r="T1133" s="64" t="str">
        <f>IFERROR(__xludf.DUMMYFUNCTION("IF($A1133="""","""",IFERROR(TEXTJOIN("", "",TRUE,UNIQUE(FILTER(Candidates!$B$2:$B$2000,Candidates!$A$2:$A$2000=$A1133))),""""))"),"")</f>
        <v/>
      </c>
      <c r="U1133" s="66" t="str">
        <f>IF($A1133="","",COUNTIF(Candidates!$A$2:$A$2000,$A1133))</f>
        <v/>
      </c>
      <c r="V1133" s="64" t="str">
        <f>IFERROR(__xludf.DUMMYFUNCTION("IF($A1133="""","""",IFERROR(INDEX(FILTER(Candidates!$S$2:$S$2000,Candidates!$A$2:$A$2000=$A1133),COUNTIF(Candidates!$A$2:$A$2000,$A1133)),""""))"),"")</f>
        <v/>
      </c>
      <c r="W1133" s="64" t="str">
        <f>IFERROR(__xludf.DUMMYFUNCTION("IF($A1133="""","""",IFERROR(INDEX(FILTER(Candidates!$T$2:$T$2000,Candidates!$A$2:$A$2000=$A1133),COUNTIF(Candidates!$A$2:$A$2000,$A1133)),""""))"),"")</f>
        <v/>
      </c>
      <c r="X1133" s="64"/>
      <c r="Y1133" s="64"/>
      <c r="Z1133" s="65"/>
      <c r="AA1133" s="65"/>
      <c r="AB1133" s="65"/>
      <c r="AC1133" s="65"/>
    </row>
    <row r="1134">
      <c r="A1134" s="64"/>
      <c r="B1134" s="64"/>
      <c r="C1134" s="64"/>
      <c r="D1134" s="64"/>
      <c r="E1134" s="64"/>
      <c r="F1134" s="64"/>
      <c r="G1134" s="64"/>
      <c r="H1134" s="63"/>
      <c r="I1134" s="64"/>
      <c r="J1134" s="64"/>
      <c r="K1134" s="64"/>
      <c r="L1134" s="64"/>
      <c r="M1134" s="64"/>
      <c r="N1134" s="64"/>
      <c r="O1134" s="64"/>
      <c r="P1134" s="64"/>
      <c r="Q1134" s="64"/>
      <c r="R1134" s="65" t="str">
        <f>IF($A1134="","",IFERROR(MINIFS(Candidates!$K$2:$K$2000,Candidates!$A$2:$A$2000,$A1134),""))</f>
        <v/>
      </c>
      <c r="S1134" s="65" t="str">
        <f>IF($A1134="","",IFERROR(MAXIFS(Candidates!$AA$2:$AA$2000,Candidates!$A$2:$A$2000,$A1134),""))</f>
        <v/>
      </c>
      <c r="T1134" s="64" t="str">
        <f>IFERROR(__xludf.DUMMYFUNCTION("IF($A1134="""","""",IFERROR(TEXTJOIN("", "",TRUE,UNIQUE(FILTER(Candidates!$B$2:$B$2000,Candidates!$A$2:$A$2000=$A1134))),""""))"),"")</f>
        <v/>
      </c>
      <c r="U1134" s="66" t="str">
        <f>IF($A1134="","",COUNTIF(Candidates!$A$2:$A$2000,$A1134))</f>
        <v/>
      </c>
      <c r="V1134" s="64" t="str">
        <f>IFERROR(__xludf.DUMMYFUNCTION("IF($A1134="""","""",IFERROR(INDEX(FILTER(Candidates!$S$2:$S$2000,Candidates!$A$2:$A$2000=$A1134),COUNTIF(Candidates!$A$2:$A$2000,$A1134)),""""))"),"")</f>
        <v/>
      </c>
      <c r="W1134" s="64" t="str">
        <f>IFERROR(__xludf.DUMMYFUNCTION("IF($A1134="""","""",IFERROR(INDEX(FILTER(Candidates!$T$2:$T$2000,Candidates!$A$2:$A$2000=$A1134),COUNTIF(Candidates!$A$2:$A$2000,$A1134)),""""))"),"")</f>
        <v/>
      </c>
      <c r="X1134" s="64"/>
      <c r="Y1134" s="64"/>
      <c r="Z1134" s="65"/>
      <c r="AA1134" s="65"/>
      <c r="AB1134" s="65"/>
      <c r="AC1134" s="65"/>
    </row>
    <row r="1135">
      <c r="A1135" s="64"/>
      <c r="B1135" s="64"/>
      <c r="C1135" s="64"/>
      <c r="D1135" s="64"/>
      <c r="E1135" s="64"/>
      <c r="F1135" s="64"/>
      <c r="G1135" s="64"/>
      <c r="H1135" s="63"/>
      <c r="I1135" s="64"/>
      <c r="J1135" s="64"/>
      <c r="K1135" s="64"/>
      <c r="L1135" s="64"/>
      <c r="M1135" s="64"/>
      <c r="N1135" s="64"/>
      <c r="O1135" s="64"/>
      <c r="P1135" s="64"/>
      <c r="Q1135" s="64"/>
      <c r="R1135" s="65" t="str">
        <f>IF($A1135="","",IFERROR(MINIFS(Candidates!$K$2:$K$2000,Candidates!$A$2:$A$2000,$A1135),""))</f>
        <v/>
      </c>
      <c r="S1135" s="65" t="str">
        <f>IF($A1135="","",IFERROR(MAXIFS(Candidates!$AA$2:$AA$2000,Candidates!$A$2:$A$2000,$A1135),""))</f>
        <v/>
      </c>
      <c r="T1135" s="64" t="str">
        <f>IFERROR(__xludf.DUMMYFUNCTION("IF($A1135="""","""",IFERROR(TEXTJOIN("", "",TRUE,UNIQUE(FILTER(Candidates!$B$2:$B$2000,Candidates!$A$2:$A$2000=$A1135))),""""))"),"")</f>
        <v/>
      </c>
      <c r="U1135" s="66" t="str">
        <f>IF($A1135="","",COUNTIF(Candidates!$A$2:$A$2000,$A1135))</f>
        <v/>
      </c>
      <c r="V1135" s="64" t="str">
        <f>IFERROR(__xludf.DUMMYFUNCTION("IF($A1135="""","""",IFERROR(INDEX(FILTER(Candidates!$S$2:$S$2000,Candidates!$A$2:$A$2000=$A1135),COUNTIF(Candidates!$A$2:$A$2000,$A1135)),""""))"),"")</f>
        <v/>
      </c>
      <c r="W1135" s="64" t="str">
        <f>IFERROR(__xludf.DUMMYFUNCTION("IF($A1135="""","""",IFERROR(INDEX(FILTER(Candidates!$T$2:$T$2000,Candidates!$A$2:$A$2000=$A1135),COUNTIF(Candidates!$A$2:$A$2000,$A1135)),""""))"),"")</f>
        <v/>
      </c>
      <c r="X1135" s="64"/>
      <c r="Y1135" s="64"/>
      <c r="Z1135" s="65"/>
      <c r="AA1135" s="65"/>
      <c r="AB1135" s="65"/>
      <c r="AC1135" s="65"/>
    </row>
    <row r="1136">
      <c r="A1136" s="64"/>
      <c r="B1136" s="64"/>
      <c r="C1136" s="64"/>
      <c r="D1136" s="64"/>
      <c r="E1136" s="64"/>
      <c r="F1136" s="64"/>
      <c r="G1136" s="64"/>
      <c r="H1136" s="63"/>
      <c r="I1136" s="64"/>
      <c r="J1136" s="64"/>
      <c r="K1136" s="64"/>
      <c r="L1136" s="64"/>
      <c r="M1136" s="64"/>
      <c r="N1136" s="64"/>
      <c r="O1136" s="64"/>
      <c r="P1136" s="64"/>
      <c r="Q1136" s="64"/>
      <c r="R1136" s="65" t="str">
        <f>IF($A1136="","",IFERROR(MINIFS(Candidates!$K$2:$K$2000,Candidates!$A$2:$A$2000,$A1136),""))</f>
        <v/>
      </c>
      <c r="S1136" s="65" t="str">
        <f>IF($A1136="","",IFERROR(MAXIFS(Candidates!$AA$2:$AA$2000,Candidates!$A$2:$A$2000,$A1136),""))</f>
        <v/>
      </c>
      <c r="T1136" s="64" t="str">
        <f>IFERROR(__xludf.DUMMYFUNCTION("IF($A1136="""","""",IFERROR(TEXTJOIN("", "",TRUE,UNIQUE(FILTER(Candidates!$B$2:$B$2000,Candidates!$A$2:$A$2000=$A1136))),""""))"),"")</f>
        <v/>
      </c>
      <c r="U1136" s="66" t="str">
        <f>IF($A1136="","",COUNTIF(Candidates!$A$2:$A$2000,$A1136))</f>
        <v/>
      </c>
      <c r="V1136" s="64" t="str">
        <f>IFERROR(__xludf.DUMMYFUNCTION("IF($A1136="""","""",IFERROR(INDEX(FILTER(Candidates!$S$2:$S$2000,Candidates!$A$2:$A$2000=$A1136),COUNTIF(Candidates!$A$2:$A$2000,$A1136)),""""))"),"")</f>
        <v/>
      </c>
      <c r="W1136" s="64" t="str">
        <f>IFERROR(__xludf.DUMMYFUNCTION("IF($A1136="""","""",IFERROR(INDEX(FILTER(Candidates!$T$2:$T$2000,Candidates!$A$2:$A$2000=$A1136),COUNTIF(Candidates!$A$2:$A$2000,$A1136)),""""))"),"")</f>
        <v/>
      </c>
      <c r="X1136" s="64"/>
      <c r="Y1136" s="64"/>
      <c r="Z1136" s="65"/>
      <c r="AA1136" s="65"/>
      <c r="AB1136" s="65"/>
      <c r="AC1136" s="65"/>
    </row>
    <row r="1137">
      <c r="A1137" s="64"/>
      <c r="B1137" s="64"/>
      <c r="C1137" s="64"/>
      <c r="D1137" s="64"/>
      <c r="E1137" s="64"/>
      <c r="F1137" s="64"/>
      <c r="G1137" s="64"/>
      <c r="H1137" s="63"/>
      <c r="I1137" s="64"/>
      <c r="J1137" s="64"/>
      <c r="K1137" s="64"/>
      <c r="L1137" s="64"/>
      <c r="M1137" s="64"/>
      <c r="N1137" s="64"/>
      <c r="O1137" s="64"/>
      <c r="P1137" s="64"/>
      <c r="Q1137" s="64"/>
      <c r="R1137" s="65" t="str">
        <f>IF($A1137="","",IFERROR(MINIFS(Candidates!$K$2:$K$2000,Candidates!$A$2:$A$2000,$A1137),""))</f>
        <v/>
      </c>
      <c r="S1137" s="65" t="str">
        <f>IF($A1137="","",IFERROR(MAXIFS(Candidates!$AA$2:$AA$2000,Candidates!$A$2:$A$2000,$A1137),""))</f>
        <v/>
      </c>
      <c r="T1137" s="64" t="str">
        <f>IFERROR(__xludf.DUMMYFUNCTION("IF($A1137="""","""",IFERROR(TEXTJOIN("", "",TRUE,UNIQUE(FILTER(Candidates!$B$2:$B$2000,Candidates!$A$2:$A$2000=$A1137))),""""))"),"")</f>
        <v/>
      </c>
      <c r="U1137" s="66" t="str">
        <f>IF($A1137="","",COUNTIF(Candidates!$A$2:$A$2000,$A1137))</f>
        <v/>
      </c>
      <c r="V1137" s="64" t="str">
        <f>IFERROR(__xludf.DUMMYFUNCTION("IF($A1137="""","""",IFERROR(INDEX(FILTER(Candidates!$S$2:$S$2000,Candidates!$A$2:$A$2000=$A1137),COUNTIF(Candidates!$A$2:$A$2000,$A1137)),""""))"),"")</f>
        <v/>
      </c>
      <c r="W1137" s="64" t="str">
        <f>IFERROR(__xludf.DUMMYFUNCTION("IF($A1137="""","""",IFERROR(INDEX(FILTER(Candidates!$T$2:$T$2000,Candidates!$A$2:$A$2000=$A1137),COUNTIF(Candidates!$A$2:$A$2000,$A1137)),""""))"),"")</f>
        <v/>
      </c>
      <c r="X1137" s="64"/>
      <c r="Y1137" s="64"/>
      <c r="Z1137" s="65"/>
      <c r="AA1137" s="65"/>
      <c r="AB1137" s="65"/>
      <c r="AC1137" s="65"/>
    </row>
    <row r="1138">
      <c r="A1138" s="64"/>
      <c r="B1138" s="64"/>
      <c r="C1138" s="64"/>
      <c r="D1138" s="64"/>
      <c r="E1138" s="64"/>
      <c r="F1138" s="64"/>
      <c r="G1138" s="64"/>
      <c r="H1138" s="63"/>
      <c r="I1138" s="64"/>
      <c r="J1138" s="64"/>
      <c r="K1138" s="64"/>
      <c r="L1138" s="64"/>
      <c r="M1138" s="64"/>
      <c r="N1138" s="64"/>
      <c r="O1138" s="64"/>
      <c r="P1138" s="64"/>
      <c r="Q1138" s="64"/>
      <c r="R1138" s="65" t="str">
        <f>IF($A1138="","",IFERROR(MINIFS(Candidates!$K$2:$K$2000,Candidates!$A$2:$A$2000,$A1138),""))</f>
        <v/>
      </c>
      <c r="S1138" s="65" t="str">
        <f>IF($A1138="","",IFERROR(MAXIFS(Candidates!$AA$2:$AA$2000,Candidates!$A$2:$A$2000,$A1138),""))</f>
        <v/>
      </c>
      <c r="T1138" s="64" t="str">
        <f>IFERROR(__xludf.DUMMYFUNCTION("IF($A1138="""","""",IFERROR(TEXTJOIN("", "",TRUE,UNIQUE(FILTER(Candidates!$B$2:$B$2000,Candidates!$A$2:$A$2000=$A1138))),""""))"),"")</f>
        <v/>
      </c>
      <c r="U1138" s="66" t="str">
        <f>IF($A1138="","",COUNTIF(Candidates!$A$2:$A$2000,$A1138))</f>
        <v/>
      </c>
      <c r="V1138" s="64" t="str">
        <f>IFERROR(__xludf.DUMMYFUNCTION("IF($A1138="""","""",IFERROR(INDEX(FILTER(Candidates!$S$2:$S$2000,Candidates!$A$2:$A$2000=$A1138),COUNTIF(Candidates!$A$2:$A$2000,$A1138)),""""))"),"")</f>
        <v/>
      </c>
      <c r="W1138" s="64" t="str">
        <f>IFERROR(__xludf.DUMMYFUNCTION("IF($A1138="""","""",IFERROR(INDEX(FILTER(Candidates!$T$2:$T$2000,Candidates!$A$2:$A$2000=$A1138),COUNTIF(Candidates!$A$2:$A$2000,$A1138)),""""))"),"")</f>
        <v/>
      </c>
      <c r="X1138" s="64"/>
      <c r="Y1138" s="64"/>
      <c r="Z1138" s="65"/>
      <c r="AA1138" s="65"/>
      <c r="AB1138" s="65"/>
      <c r="AC1138" s="65"/>
    </row>
    <row r="1139">
      <c r="A1139" s="64"/>
      <c r="B1139" s="64"/>
      <c r="C1139" s="64"/>
      <c r="D1139" s="64"/>
      <c r="E1139" s="64"/>
      <c r="F1139" s="64"/>
      <c r="G1139" s="64"/>
      <c r="H1139" s="63"/>
      <c r="I1139" s="64"/>
      <c r="J1139" s="64"/>
      <c r="K1139" s="64"/>
      <c r="L1139" s="64"/>
      <c r="M1139" s="64"/>
      <c r="N1139" s="64"/>
      <c r="O1139" s="64"/>
      <c r="P1139" s="64"/>
      <c r="Q1139" s="64"/>
      <c r="R1139" s="65" t="str">
        <f>IF($A1139="","",IFERROR(MINIFS(Candidates!$K$2:$K$2000,Candidates!$A$2:$A$2000,$A1139),""))</f>
        <v/>
      </c>
      <c r="S1139" s="65" t="str">
        <f>IF($A1139="","",IFERROR(MAXIFS(Candidates!$AA$2:$AA$2000,Candidates!$A$2:$A$2000,$A1139),""))</f>
        <v/>
      </c>
      <c r="T1139" s="64" t="str">
        <f>IFERROR(__xludf.DUMMYFUNCTION("IF($A1139="""","""",IFERROR(TEXTJOIN("", "",TRUE,UNIQUE(FILTER(Candidates!$B$2:$B$2000,Candidates!$A$2:$A$2000=$A1139))),""""))"),"")</f>
        <v/>
      </c>
      <c r="U1139" s="66" t="str">
        <f>IF($A1139="","",COUNTIF(Candidates!$A$2:$A$2000,$A1139))</f>
        <v/>
      </c>
      <c r="V1139" s="64" t="str">
        <f>IFERROR(__xludf.DUMMYFUNCTION("IF($A1139="""","""",IFERROR(INDEX(FILTER(Candidates!$S$2:$S$2000,Candidates!$A$2:$A$2000=$A1139),COUNTIF(Candidates!$A$2:$A$2000,$A1139)),""""))"),"")</f>
        <v/>
      </c>
      <c r="W1139" s="64" t="str">
        <f>IFERROR(__xludf.DUMMYFUNCTION("IF($A1139="""","""",IFERROR(INDEX(FILTER(Candidates!$T$2:$T$2000,Candidates!$A$2:$A$2000=$A1139),COUNTIF(Candidates!$A$2:$A$2000,$A1139)),""""))"),"")</f>
        <v/>
      </c>
      <c r="X1139" s="64"/>
      <c r="Y1139" s="64"/>
      <c r="Z1139" s="65"/>
      <c r="AA1139" s="65"/>
      <c r="AB1139" s="65"/>
      <c r="AC1139" s="65"/>
    </row>
    <row r="1140">
      <c r="A1140" s="64"/>
      <c r="B1140" s="64"/>
      <c r="C1140" s="64"/>
      <c r="D1140" s="64"/>
      <c r="E1140" s="64"/>
      <c r="F1140" s="64"/>
      <c r="G1140" s="64"/>
      <c r="H1140" s="63"/>
      <c r="I1140" s="64"/>
      <c r="J1140" s="64"/>
      <c r="K1140" s="64"/>
      <c r="L1140" s="64"/>
      <c r="M1140" s="64"/>
      <c r="N1140" s="64"/>
      <c r="O1140" s="64"/>
      <c r="P1140" s="64"/>
      <c r="Q1140" s="64"/>
      <c r="R1140" s="65" t="str">
        <f>IF($A1140="","",IFERROR(MINIFS(Candidates!$K$2:$K$2000,Candidates!$A$2:$A$2000,$A1140),""))</f>
        <v/>
      </c>
      <c r="S1140" s="65" t="str">
        <f>IF($A1140="","",IFERROR(MAXIFS(Candidates!$AA$2:$AA$2000,Candidates!$A$2:$A$2000,$A1140),""))</f>
        <v/>
      </c>
      <c r="T1140" s="64" t="str">
        <f>IFERROR(__xludf.DUMMYFUNCTION("IF($A1140="""","""",IFERROR(TEXTJOIN("", "",TRUE,UNIQUE(FILTER(Candidates!$B$2:$B$2000,Candidates!$A$2:$A$2000=$A1140))),""""))"),"")</f>
        <v/>
      </c>
      <c r="U1140" s="66" t="str">
        <f>IF($A1140="","",COUNTIF(Candidates!$A$2:$A$2000,$A1140))</f>
        <v/>
      </c>
      <c r="V1140" s="64" t="str">
        <f>IFERROR(__xludf.DUMMYFUNCTION("IF($A1140="""","""",IFERROR(INDEX(FILTER(Candidates!$S$2:$S$2000,Candidates!$A$2:$A$2000=$A1140),COUNTIF(Candidates!$A$2:$A$2000,$A1140)),""""))"),"")</f>
        <v/>
      </c>
      <c r="W1140" s="64" t="str">
        <f>IFERROR(__xludf.DUMMYFUNCTION("IF($A1140="""","""",IFERROR(INDEX(FILTER(Candidates!$T$2:$T$2000,Candidates!$A$2:$A$2000=$A1140),COUNTIF(Candidates!$A$2:$A$2000,$A1140)),""""))"),"")</f>
        <v/>
      </c>
      <c r="X1140" s="64"/>
      <c r="Y1140" s="64"/>
      <c r="Z1140" s="65"/>
      <c r="AA1140" s="65"/>
      <c r="AB1140" s="65"/>
      <c r="AC1140" s="65"/>
    </row>
    <row r="1141">
      <c r="A1141" s="64"/>
      <c r="B1141" s="64"/>
      <c r="C1141" s="64"/>
      <c r="D1141" s="64"/>
      <c r="E1141" s="64"/>
      <c r="F1141" s="64"/>
      <c r="G1141" s="64"/>
      <c r="H1141" s="63"/>
      <c r="I1141" s="64"/>
      <c r="J1141" s="64"/>
      <c r="K1141" s="64"/>
      <c r="L1141" s="64"/>
      <c r="M1141" s="64"/>
      <c r="N1141" s="64"/>
      <c r="O1141" s="64"/>
      <c r="P1141" s="64"/>
      <c r="Q1141" s="64"/>
      <c r="R1141" s="65" t="str">
        <f>IF($A1141="","",IFERROR(MINIFS(Candidates!$K$2:$K$2000,Candidates!$A$2:$A$2000,$A1141),""))</f>
        <v/>
      </c>
      <c r="S1141" s="65" t="str">
        <f>IF($A1141="","",IFERROR(MAXIFS(Candidates!$AA$2:$AA$2000,Candidates!$A$2:$A$2000,$A1141),""))</f>
        <v/>
      </c>
      <c r="T1141" s="64" t="str">
        <f>IFERROR(__xludf.DUMMYFUNCTION("IF($A1141="""","""",IFERROR(TEXTJOIN("", "",TRUE,UNIQUE(FILTER(Candidates!$B$2:$B$2000,Candidates!$A$2:$A$2000=$A1141))),""""))"),"")</f>
        <v/>
      </c>
      <c r="U1141" s="66" t="str">
        <f>IF($A1141="","",COUNTIF(Candidates!$A$2:$A$2000,$A1141))</f>
        <v/>
      </c>
      <c r="V1141" s="64" t="str">
        <f>IFERROR(__xludf.DUMMYFUNCTION("IF($A1141="""","""",IFERROR(INDEX(FILTER(Candidates!$S$2:$S$2000,Candidates!$A$2:$A$2000=$A1141),COUNTIF(Candidates!$A$2:$A$2000,$A1141)),""""))"),"")</f>
        <v/>
      </c>
      <c r="W1141" s="64" t="str">
        <f>IFERROR(__xludf.DUMMYFUNCTION("IF($A1141="""","""",IFERROR(INDEX(FILTER(Candidates!$T$2:$T$2000,Candidates!$A$2:$A$2000=$A1141),COUNTIF(Candidates!$A$2:$A$2000,$A1141)),""""))"),"")</f>
        <v/>
      </c>
      <c r="X1141" s="64"/>
      <c r="Y1141" s="64"/>
      <c r="Z1141" s="65"/>
      <c r="AA1141" s="65"/>
      <c r="AB1141" s="65"/>
      <c r="AC1141" s="65"/>
    </row>
    <row r="1142">
      <c r="A1142" s="64"/>
      <c r="B1142" s="64"/>
      <c r="C1142" s="64"/>
      <c r="D1142" s="64"/>
      <c r="E1142" s="64"/>
      <c r="F1142" s="64"/>
      <c r="G1142" s="64"/>
      <c r="H1142" s="63"/>
      <c r="I1142" s="64"/>
      <c r="J1142" s="64"/>
      <c r="K1142" s="64"/>
      <c r="L1142" s="64"/>
      <c r="M1142" s="64"/>
      <c r="N1142" s="64"/>
      <c r="O1142" s="64"/>
      <c r="P1142" s="64"/>
      <c r="Q1142" s="64"/>
      <c r="R1142" s="65" t="str">
        <f>IF($A1142="","",IFERROR(MINIFS(Candidates!$K$2:$K$2000,Candidates!$A$2:$A$2000,$A1142),""))</f>
        <v/>
      </c>
      <c r="S1142" s="65" t="str">
        <f>IF($A1142="","",IFERROR(MAXIFS(Candidates!$AA$2:$AA$2000,Candidates!$A$2:$A$2000,$A1142),""))</f>
        <v/>
      </c>
      <c r="T1142" s="64" t="str">
        <f>IFERROR(__xludf.DUMMYFUNCTION("IF($A1142="""","""",IFERROR(TEXTJOIN("", "",TRUE,UNIQUE(FILTER(Candidates!$B$2:$B$2000,Candidates!$A$2:$A$2000=$A1142))),""""))"),"")</f>
        <v/>
      </c>
      <c r="U1142" s="66" t="str">
        <f>IF($A1142="","",COUNTIF(Candidates!$A$2:$A$2000,$A1142))</f>
        <v/>
      </c>
      <c r="V1142" s="64" t="str">
        <f>IFERROR(__xludf.DUMMYFUNCTION("IF($A1142="""","""",IFERROR(INDEX(FILTER(Candidates!$S$2:$S$2000,Candidates!$A$2:$A$2000=$A1142),COUNTIF(Candidates!$A$2:$A$2000,$A1142)),""""))"),"")</f>
        <v/>
      </c>
      <c r="W1142" s="64" t="str">
        <f>IFERROR(__xludf.DUMMYFUNCTION("IF($A1142="""","""",IFERROR(INDEX(FILTER(Candidates!$T$2:$T$2000,Candidates!$A$2:$A$2000=$A1142),COUNTIF(Candidates!$A$2:$A$2000,$A1142)),""""))"),"")</f>
        <v/>
      </c>
      <c r="X1142" s="64"/>
      <c r="Y1142" s="64"/>
      <c r="Z1142" s="65"/>
      <c r="AA1142" s="65"/>
      <c r="AB1142" s="65"/>
      <c r="AC1142" s="65"/>
    </row>
    <row r="1143">
      <c r="A1143" s="64"/>
      <c r="B1143" s="64"/>
      <c r="C1143" s="64"/>
      <c r="D1143" s="64"/>
      <c r="E1143" s="64"/>
      <c r="F1143" s="64"/>
      <c r="G1143" s="64"/>
      <c r="H1143" s="63"/>
      <c r="I1143" s="64"/>
      <c r="J1143" s="64"/>
      <c r="K1143" s="64"/>
      <c r="L1143" s="64"/>
      <c r="M1143" s="64"/>
      <c r="N1143" s="64"/>
      <c r="O1143" s="64"/>
      <c r="P1143" s="64"/>
      <c r="Q1143" s="64"/>
      <c r="R1143" s="65" t="str">
        <f>IF($A1143="","",IFERROR(MINIFS(Candidates!$K$2:$K$2000,Candidates!$A$2:$A$2000,$A1143),""))</f>
        <v/>
      </c>
      <c r="S1143" s="65" t="str">
        <f>IF($A1143="","",IFERROR(MAXIFS(Candidates!$AA$2:$AA$2000,Candidates!$A$2:$A$2000,$A1143),""))</f>
        <v/>
      </c>
      <c r="T1143" s="64" t="str">
        <f>IFERROR(__xludf.DUMMYFUNCTION("IF($A1143="""","""",IFERROR(TEXTJOIN("", "",TRUE,UNIQUE(FILTER(Candidates!$B$2:$B$2000,Candidates!$A$2:$A$2000=$A1143))),""""))"),"")</f>
        <v/>
      </c>
      <c r="U1143" s="66" t="str">
        <f>IF($A1143="","",COUNTIF(Candidates!$A$2:$A$2000,$A1143))</f>
        <v/>
      </c>
      <c r="V1143" s="64" t="str">
        <f>IFERROR(__xludf.DUMMYFUNCTION("IF($A1143="""","""",IFERROR(INDEX(FILTER(Candidates!$S$2:$S$2000,Candidates!$A$2:$A$2000=$A1143),COUNTIF(Candidates!$A$2:$A$2000,$A1143)),""""))"),"")</f>
        <v/>
      </c>
      <c r="W1143" s="64" t="str">
        <f>IFERROR(__xludf.DUMMYFUNCTION("IF($A1143="""","""",IFERROR(INDEX(FILTER(Candidates!$T$2:$T$2000,Candidates!$A$2:$A$2000=$A1143),COUNTIF(Candidates!$A$2:$A$2000,$A1143)),""""))"),"")</f>
        <v/>
      </c>
      <c r="X1143" s="64"/>
      <c r="Y1143" s="64"/>
      <c r="Z1143" s="65"/>
      <c r="AA1143" s="65"/>
      <c r="AB1143" s="65"/>
      <c r="AC1143" s="65"/>
    </row>
    <row r="1144">
      <c r="A1144" s="64"/>
      <c r="B1144" s="64"/>
      <c r="C1144" s="64"/>
      <c r="D1144" s="64"/>
      <c r="E1144" s="64"/>
      <c r="F1144" s="64"/>
      <c r="G1144" s="64"/>
      <c r="H1144" s="63"/>
      <c r="I1144" s="64"/>
      <c r="J1144" s="64"/>
      <c r="K1144" s="64"/>
      <c r="L1144" s="64"/>
      <c r="M1144" s="64"/>
      <c r="N1144" s="64"/>
      <c r="O1144" s="64"/>
      <c r="P1144" s="64"/>
      <c r="Q1144" s="64"/>
      <c r="R1144" s="65" t="str">
        <f>IF($A1144="","",IFERROR(MINIFS(Candidates!$K$2:$K$2000,Candidates!$A$2:$A$2000,$A1144),""))</f>
        <v/>
      </c>
      <c r="S1144" s="65" t="str">
        <f>IF($A1144="","",IFERROR(MAXIFS(Candidates!$AA$2:$AA$2000,Candidates!$A$2:$A$2000,$A1144),""))</f>
        <v/>
      </c>
      <c r="T1144" s="64" t="str">
        <f>IFERROR(__xludf.DUMMYFUNCTION("IF($A1144="""","""",IFERROR(TEXTJOIN("", "",TRUE,UNIQUE(FILTER(Candidates!$B$2:$B$2000,Candidates!$A$2:$A$2000=$A1144))),""""))"),"")</f>
        <v/>
      </c>
      <c r="U1144" s="66" t="str">
        <f>IF($A1144="","",COUNTIF(Candidates!$A$2:$A$2000,$A1144))</f>
        <v/>
      </c>
      <c r="V1144" s="64" t="str">
        <f>IFERROR(__xludf.DUMMYFUNCTION("IF($A1144="""","""",IFERROR(INDEX(FILTER(Candidates!$S$2:$S$2000,Candidates!$A$2:$A$2000=$A1144),COUNTIF(Candidates!$A$2:$A$2000,$A1144)),""""))"),"")</f>
        <v/>
      </c>
      <c r="W1144" s="64" t="str">
        <f>IFERROR(__xludf.DUMMYFUNCTION("IF($A1144="""","""",IFERROR(INDEX(FILTER(Candidates!$T$2:$T$2000,Candidates!$A$2:$A$2000=$A1144),COUNTIF(Candidates!$A$2:$A$2000,$A1144)),""""))"),"")</f>
        <v/>
      </c>
      <c r="X1144" s="64"/>
      <c r="Y1144" s="64"/>
      <c r="Z1144" s="65"/>
      <c r="AA1144" s="65"/>
      <c r="AB1144" s="65"/>
      <c r="AC1144" s="65"/>
    </row>
    <row r="1145">
      <c r="A1145" s="64"/>
      <c r="B1145" s="64"/>
      <c r="C1145" s="64"/>
      <c r="D1145" s="64"/>
      <c r="E1145" s="64"/>
      <c r="F1145" s="64"/>
      <c r="G1145" s="64"/>
      <c r="H1145" s="63"/>
      <c r="I1145" s="64"/>
      <c r="J1145" s="64"/>
      <c r="K1145" s="64"/>
      <c r="L1145" s="64"/>
      <c r="M1145" s="64"/>
      <c r="N1145" s="64"/>
      <c r="O1145" s="64"/>
      <c r="P1145" s="64"/>
      <c r="Q1145" s="64"/>
      <c r="R1145" s="65" t="str">
        <f>IF($A1145="","",IFERROR(MINIFS(Candidates!$K$2:$K$2000,Candidates!$A$2:$A$2000,$A1145),""))</f>
        <v/>
      </c>
      <c r="S1145" s="65" t="str">
        <f>IF($A1145="","",IFERROR(MAXIFS(Candidates!$AA$2:$AA$2000,Candidates!$A$2:$A$2000,$A1145),""))</f>
        <v/>
      </c>
      <c r="T1145" s="64" t="str">
        <f>IFERROR(__xludf.DUMMYFUNCTION("IF($A1145="""","""",IFERROR(TEXTJOIN("", "",TRUE,UNIQUE(FILTER(Candidates!$B$2:$B$2000,Candidates!$A$2:$A$2000=$A1145))),""""))"),"")</f>
        <v/>
      </c>
      <c r="U1145" s="66" t="str">
        <f>IF($A1145="","",COUNTIF(Candidates!$A$2:$A$2000,$A1145))</f>
        <v/>
      </c>
      <c r="V1145" s="64" t="str">
        <f>IFERROR(__xludf.DUMMYFUNCTION("IF($A1145="""","""",IFERROR(INDEX(FILTER(Candidates!$S$2:$S$2000,Candidates!$A$2:$A$2000=$A1145),COUNTIF(Candidates!$A$2:$A$2000,$A1145)),""""))"),"")</f>
        <v/>
      </c>
      <c r="W1145" s="64" t="str">
        <f>IFERROR(__xludf.DUMMYFUNCTION("IF($A1145="""","""",IFERROR(INDEX(FILTER(Candidates!$T$2:$T$2000,Candidates!$A$2:$A$2000=$A1145),COUNTIF(Candidates!$A$2:$A$2000,$A1145)),""""))"),"")</f>
        <v/>
      </c>
      <c r="X1145" s="64"/>
      <c r="Y1145" s="64"/>
      <c r="Z1145" s="65"/>
      <c r="AA1145" s="65"/>
      <c r="AB1145" s="65"/>
      <c r="AC1145" s="65"/>
    </row>
    <row r="1146">
      <c r="A1146" s="64"/>
      <c r="B1146" s="64"/>
      <c r="C1146" s="64"/>
      <c r="D1146" s="64"/>
      <c r="E1146" s="64"/>
      <c r="F1146" s="64"/>
      <c r="G1146" s="64"/>
      <c r="H1146" s="63"/>
      <c r="I1146" s="64"/>
      <c r="J1146" s="64"/>
      <c r="K1146" s="64"/>
      <c r="L1146" s="64"/>
      <c r="M1146" s="64"/>
      <c r="N1146" s="64"/>
      <c r="O1146" s="64"/>
      <c r="P1146" s="64"/>
      <c r="Q1146" s="64"/>
      <c r="R1146" s="65" t="str">
        <f>IF($A1146="","",IFERROR(MINIFS(Candidates!$K$2:$K$2000,Candidates!$A$2:$A$2000,$A1146),""))</f>
        <v/>
      </c>
      <c r="S1146" s="65" t="str">
        <f>IF($A1146="","",IFERROR(MAXIFS(Candidates!$AA$2:$AA$2000,Candidates!$A$2:$A$2000,$A1146),""))</f>
        <v/>
      </c>
      <c r="T1146" s="64" t="str">
        <f>IFERROR(__xludf.DUMMYFUNCTION("IF($A1146="""","""",IFERROR(TEXTJOIN("", "",TRUE,UNIQUE(FILTER(Candidates!$B$2:$B$2000,Candidates!$A$2:$A$2000=$A1146))),""""))"),"")</f>
        <v/>
      </c>
      <c r="U1146" s="66" t="str">
        <f>IF($A1146="","",COUNTIF(Candidates!$A$2:$A$2000,$A1146))</f>
        <v/>
      </c>
      <c r="V1146" s="64" t="str">
        <f>IFERROR(__xludf.DUMMYFUNCTION("IF($A1146="""","""",IFERROR(INDEX(FILTER(Candidates!$S$2:$S$2000,Candidates!$A$2:$A$2000=$A1146),COUNTIF(Candidates!$A$2:$A$2000,$A1146)),""""))"),"")</f>
        <v/>
      </c>
      <c r="W1146" s="64" t="str">
        <f>IFERROR(__xludf.DUMMYFUNCTION("IF($A1146="""","""",IFERROR(INDEX(FILTER(Candidates!$T$2:$T$2000,Candidates!$A$2:$A$2000=$A1146),COUNTIF(Candidates!$A$2:$A$2000,$A1146)),""""))"),"")</f>
        <v/>
      </c>
      <c r="X1146" s="64"/>
      <c r="Y1146" s="64"/>
      <c r="Z1146" s="65"/>
      <c r="AA1146" s="65"/>
      <c r="AB1146" s="65"/>
      <c r="AC1146" s="65"/>
    </row>
    <row r="1147">
      <c r="A1147" s="64"/>
      <c r="B1147" s="64"/>
      <c r="C1147" s="64"/>
      <c r="D1147" s="64"/>
      <c r="E1147" s="64"/>
      <c r="F1147" s="64"/>
      <c r="G1147" s="64"/>
      <c r="H1147" s="63"/>
      <c r="I1147" s="64"/>
      <c r="J1147" s="64"/>
      <c r="K1147" s="64"/>
      <c r="L1147" s="64"/>
      <c r="M1147" s="64"/>
      <c r="N1147" s="64"/>
      <c r="O1147" s="64"/>
      <c r="P1147" s="64"/>
      <c r="Q1147" s="64"/>
      <c r="R1147" s="65" t="str">
        <f>IF($A1147="","",IFERROR(MINIFS(Candidates!$K$2:$K$2000,Candidates!$A$2:$A$2000,$A1147),""))</f>
        <v/>
      </c>
      <c r="S1147" s="65" t="str">
        <f>IF($A1147="","",IFERROR(MAXIFS(Candidates!$AA$2:$AA$2000,Candidates!$A$2:$A$2000,$A1147),""))</f>
        <v/>
      </c>
      <c r="T1147" s="64" t="str">
        <f>IFERROR(__xludf.DUMMYFUNCTION("IF($A1147="""","""",IFERROR(TEXTJOIN("", "",TRUE,UNIQUE(FILTER(Candidates!$B$2:$B$2000,Candidates!$A$2:$A$2000=$A1147))),""""))"),"")</f>
        <v/>
      </c>
      <c r="U1147" s="66" t="str">
        <f>IF($A1147="","",COUNTIF(Candidates!$A$2:$A$2000,$A1147))</f>
        <v/>
      </c>
      <c r="V1147" s="64" t="str">
        <f>IFERROR(__xludf.DUMMYFUNCTION("IF($A1147="""","""",IFERROR(INDEX(FILTER(Candidates!$S$2:$S$2000,Candidates!$A$2:$A$2000=$A1147),COUNTIF(Candidates!$A$2:$A$2000,$A1147)),""""))"),"")</f>
        <v/>
      </c>
      <c r="W1147" s="64" t="str">
        <f>IFERROR(__xludf.DUMMYFUNCTION("IF($A1147="""","""",IFERROR(INDEX(FILTER(Candidates!$T$2:$T$2000,Candidates!$A$2:$A$2000=$A1147),COUNTIF(Candidates!$A$2:$A$2000,$A1147)),""""))"),"")</f>
        <v/>
      </c>
      <c r="X1147" s="64"/>
      <c r="Y1147" s="64"/>
      <c r="Z1147" s="65"/>
      <c r="AA1147" s="65"/>
      <c r="AB1147" s="65"/>
      <c r="AC1147" s="65"/>
    </row>
    <row r="1148">
      <c r="A1148" s="64"/>
      <c r="B1148" s="64"/>
      <c r="C1148" s="64"/>
      <c r="D1148" s="64"/>
      <c r="E1148" s="64"/>
      <c r="F1148" s="64"/>
      <c r="G1148" s="64"/>
      <c r="H1148" s="63"/>
      <c r="I1148" s="64"/>
      <c r="J1148" s="64"/>
      <c r="K1148" s="64"/>
      <c r="L1148" s="64"/>
      <c r="M1148" s="64"/>
      <c r="N1148" s="64"/>
      <c r="O1148" s="64"/>
      <c r="P1148" s="64"/>
      <c r="Q1148" s="64"/>
      <c r="R1148" s="65" t="str">
        <f>IF($A1148="","",IFERROR(MINIFS(Candidates!$K$2:$K$2000,Candidates!$A$2:$A$2000,$A1148),""))</f>
        <v/>
      </c>
      <c r="S1148" s="65" t="str">
        <f>IF($A1148="","",IFERROR(MAXIFS(Candidates!$AA$2:$AA$2000,Candidates!$A$2:$A$2000,$A1148),""))</f>
        <v/>
      </c>
      <c r="T1148" s="64" t="str">
        <f>IFERROR(__xludf.DUMMYFUNCTION("IF($A1148="""","""",IFERROR(TEXTJOIN("", "",TRUE,UNIQUE(FILTER(Candidates!$B$2:$B$2000,Candidates!$A$2:$A$2000=$A1148))),""""))"),"")</f>
        <v/>
      </c>
      <c r="U1148" s="66" t="str">
        <f>IF($A1148="","",COUNTIF(Candidates!$A$2:$A$2000,$A1148))</f>
        <v/>
      </c>
      <c r="V1148" s="64" t="str">
        <f>IFERROR(__xludf.DUMMYFUNCTION("IF($A1148="""","""",IFERROR(INDEX(FILTER(Candidates!$S$2:$S$2000,Candidates!$A$2:$A$2000=$A1148),COUNTIF(Candidates!$A$2:$A$2000,$A1148)),""""))"),"")</f>
        <v/>
      </c>
      <c r="W1148" s="64" t="str">
        <f>IFERROR(__xludf.DUMMYFUNCTION("IF($A1148="""","""",IFERROR(INDEX(FILTER(Candidates!$T$2:$T$2000,Candidates!$A$2:$A$2000=$A1148),COUNTIF(Candidates!$A$2:$A$2000,$A1148)),""""))"),"")</f>
        <v/>
      </c>
      <c r="X1148" s="64"/>
      <c r="Y1148" s="64"/>
      <c r="Z1148" s="65"/>
      <c r="AA1148" s="65"/>
      <c r="AB1148" s="65"/>
      <c r="AC1148" s="65"/>
    </row>
    <row r="1149">
      <c r="A1149" s="64"/>
      <c r="B1149" s="64"/>
      <c r="C1149" s="64"/>
      <c r="D1149" s="64"/>
      <c r="E1149" s="64"/>
      <c r="F1149" s="64"/>
      <c r="G1149" s="64"/>
      <c r="H1149" s="63"/>
      <c r="I1149" s="64"/>
      <c r="J1149" s="64"/>
      <c r="K1149" s="64"/>
      <c r="L1149" s="64"/>
      <c r="M1149" s="64"/>
      <c r="N1149" s="64"/>
      <c r="O1149" s="64"/>
      <c r="P1149" s="64"/>
      <c r="Q1149" s="64"/>
      <c r="R1149" s="65" t="str">
        <f>IF($A1149="","",IFERROR(MINIFS(Candidates!$K$2:$K$2000,Candidates!$A$2:$A$2000,$A1149),""))</f>
        <v/>
      </c>
      <c r="S1149" s="65" t="str">
        <f>IF($A1149="","",IFERROR(MAXIFS(Candidates!$AA$2:$AA$2000,Candidates!$A$2:$A$2000,$A1149),""))</f>
        <v/>
      </c>
      <c r="T1149" s="64" t="str">
        <f>IFERROR(__xludf.DUMMYFUNCTION("IF($A1149="""","""",IFERROR(TEXTJOIN("", "",TRUE,UNIQUE(FILTER(Candidates!$B$2:$B$2000,Candidates!$A$2:$A$2000=$A1149))),""""))"),"")</f>
        <v/>
      </c>
      <c r="U1149" s="66" t="str">
        <f>IF($A1149="","",COUNTIF(Candidates!$A$2:$A$2000,$A1149))</f>
        <v/>
      </c>
      <c r="V1149" s="64" t="str">
        <f>IFERROR(__xludf.DUMMYFUNCTION("IF($A1149="""","""",IFERROR(INDEX(FILTER(Candidates!$S$2:$S$2000,Candidates!$A$2:$A$2000=$A1149),COUNTIF(Candidates!$A$2:$A$2000,$A1149)),""""))"),"")</f>
        <v/>
      </c>
      <c r="W1149" s="64" t="str">
        <f>IFERROR(__xludf.DUMMYFUNCTION("IF($A1149="""","""",IFERROR(INDEX(FILTER(Candidates!$T$2:$T$2000,Candidates!$A$2:$A$2000=$A1149),COUNTIF(Candidates!$A$2:$A$2000,$A1149)),""""))"),"")</f>
        <v/>
      </c>
      <c r="X1149" s="64"/>
      <c r="Y1149" s="64"/>
      <c r="Z1149" s="65"/>
      <c r="AA1149" s="65"/>
      <c r="AB1149" s="65"/>
      <c r="AC1149" s="65"/>
    </row>
    <row r="1150">
      <c r="A1150" s="64"/>
      <c r="B1150" s="64"/>
      <c r="C1150" s="64"/>
      <c r="D1150" s="64"/>
      <c r="E1150" s="64"/>
      <c r="F1150" s="64"/>
      <c r="G1150" s="64"/>
      <c r="H1150" s="63"/>
      <c r="I1150" s="64"/>
      <c r="J1150" s="64"/>
      <c r="K1150" s="64"/>
      <c r="L1150" s="64"/>
      <c r="M1150" s="64"/>
      <c r="N1150" s="64"/>
      <c r="O1150" s="64"/>
      <c r="P1150" s="64"/>
      <c r="Q1150" s="64"/>
      <c r="R1150" s="65" t="str">
        <f>IF($A1150="","",IFERROR(MINIFS(Candidates!$K$2:$K$2000,Candidates!$A$2:$A$2000,$A1150),""))</f>
        <v/>
      </c>
      <c r="S1150" s="65" t="str">
        <f>IF($A1150="","",IFERROR(MAXIFS(Candidates!$AA$2:$AA$2000,Candidates!$A$2:$A$2000,$A1150),""))</f>
        <v/>
      </c>
      <c r="T1150" s="64" t="str">
        <f>IFERROR(__xludf.DUMMYFUNCTION("IF($A1150="""","""",IFERROR(TEXTJOIN("", "",TRUE,UNIQUE(FILTER(Candidates!$B$2:$B$2000,Candidates!$A$2:$A$2000=$A1150))),""""))"),"")</f>
        <v/>
      </c>
      <c r="U1150" s="66" t="str">
        <f>IF($A1150="","",COUNTIF(Candidates!$A$2:$A$2000,$A1150))</f>
        <v/>
      </c>
      <c r="V1150" s="64" t="str">
        <f>IFERROR(__xludf.DUMMYFUNCTION("IF($A1150="""","""",IFERROR(INDEX(FILTER(Candidates!$S$2:$S$2000,Candidates!$A$2:$A$2000=$A1150),COUNTIF(Candidates!$A$2:$A$2000,$A1150)),""""))"),"")</f>
        <v/>
      </c>
      <c r="W1150" s="64" t="str">
        <f>IFERROR(__xludf.DUMMYFUNCTION("IF($A1150="""","""",IFERROR(INDEX(FILTER(Candidates!$T$2:$T$2000,Candidates!$A$2:$A$2000=$A1150),COUNTIF(Candidates!$A$2:$A$2000,$A1150)),""""))"),"")</f>
        <v/>
      </c>
      <c r="X1150" s="64"/>
      <c r="Y1150" s="64"/>
      <c r="Z1150" s="65"/>
      <c r="AA1150" s="65"/>
      <c r="AB1150" s="65"/>
      <c r="AC1150" s="65"/>
    </row>
    <row r="1151">
      <c r="A1151" s="64"/>
      <c r="B1151" s="64"/>
      <c r="C1151" s="64"/>
      <c r="D1151" s="64"/>
      <c r="E1151" s="64"/>
      <c r="F1151" s="64"/>
      <c r="G1151" s="64"/>
      <c r="H1151" s="63"/>
      <c r="I1151" s="64"/>
      <c r="J1151" s="64"/>
      <c r="K1151" s="64"/>
      <c r="L1151" s="64"/>
      <c r="M1151" s="64"/>
      <c r="N1151" s="64"/>
      <c r="O1151" s="64"/>
      <c r="P1151" s="64"/>
      <c r="Q1151" s="64"/>
      <c r="R1151" s="65" t="str">
        <f>IF($A1151="","",IFERROR(MINIFS(Candidates!$K$2:$K$2000,Candidates!$A$2:$A$2000,$A1151),""))</f>
        <v/>
      </c>
      <c r="S1151" s="65" t="str">
        <f>IF($A1151="","",IFERROR(MAXIFS(Candidates!$AA$2:$AA$2000,Candidates!$A$2:$A$2000,$A1151),""))</f>
        <v/>
      </c>
      <c r="T1151" s="64" t="str">
        <f>IFERROR(__xludf.DUMMYFUNCTION("IF($A1151="""","""",IFERROR(TEXTJOIN("", "",TRUE,UNIQUE(FILTER(Candidates!$B$2:$B$2000,Candidates!$A$2:$A$2000=$A1151))),""""))"),"")</f>
        <v/>
      </c>
      <c r="U1151" s="66" t="str">
        <f>IF($A1151="","",COUNTIF(Candidates!$A$2:$A$2000,$A1151))</f>
        <v/>
      </c>
      <c r="V1151" s="64" t="str">
        <f>IFERROR(__xludf.DUMMYFUNCTION("IF($A1151="""","""",IFERROR(INDEX(FILTER(Candidates!$S$2:$S$2000,Candidates!$A$2:$A$2000=$A1151),COUNTIF(Candidates!$A$2:$A$2000,$A1151)),""""))"),"")</f>
        <v/>
      </c>
      <c r="W1151" s="64" t="str">
        <f>IFERROR(__xludf.DUMMYFUNCTION("IF($A1151="""","""",IFERROR(INDEX(FILTER(Candidates!$T$2:$T$2000,Candidates!$A$2:$A$2000=$A1151),COUNTIF(Candidates!$A$2:$A$2000,$A1151)),""""))"),"")</f>
        <v/>
      </c>
      <c r="X1151" s="64"/>
      <c r="Y1151" s="64"/>
      <c r="Z1151" s="65"/>
      <c r="AA1151" s="65"/>
      <c r="AB1151" s="65"/>
      <c r="AC1151" s="65"/>
    </row>
    <row r="1152">
      <c r="A1152" s="64"/>
      <c r="B1152" s="64"/>
      <c r="C1152" s="64"/>
      <c r="D1152" s="64"/>
      <c r="E1152" s="64"/>
      <c r="F1152" s="64"/>
      <c r="G1152" s="64"/>
      <c r="H1152" s="63"/>
      <c r="I1152" s="64"/>
      <c r="J1152" s="64"/>
      <c r="K1152" s="64"/>
      <c r="L1152" s="64"/>
      <c r="M1152" s="64"/>
      <c r="N1152" s="64"/>
      <c r="O1152" s="64"/>
      <c r="P1152" s="64"/>
      <c r="Q1152" s="64"/>
      <c r="R1152" s="65" t="str">
        <f>IF($A1152="","",IFERROR(MINIFS(Candidates!$K$2:$K$2000,Candidates!$A$2:$A$2000,$A1152),""))</f>
        <v/>
      </c>
      <c r="S1152" s="65" t="str">
        <f>IF($A1152="","",IFERROR(MAXIFS(Candidates!$AA$2:$AA$2000,Candidates!$A$2:$A$2000,$A1152),""))</f>
        <v/>
      </c>
      <c r="T1152" s="64" t="str">
        <f>IFERROR(__xludf.DUMMYFUNCTION("IF($A1152="""","""",IFERROR(TEXTJOIN("", "",TRUE,UNIQUE(FILTER(Candidates!$B$2:$B$2000,Candidates!$A$2:$A$2000=$A1152))),""""))"),"")</f>
        <v/>
      </c>
      <c r="U1152" s="66" t="str">
        <f>IF($A1152="","",COUNTIF(Candidates!$A$2:$A$2000,$A1152))</f>
        <v/>
      </c>
      <c r="V1152" s="64" t="str">
        <f>IFERROR(__xludf.DUMMYFUNCTION("IF($A1152="""","""",IFERROR(INDEX(FILTER(Candidates!$S$2:$S$2000,Candidates!$A$2:$A$2000=$A1152),COUNTIF(Candidates!$A$2:$A$2000,$A1152)),""""))"),"")</f>
        <v/>
      </c>
      <c r="W1152" s="64" t="str">
        <f>IFERROR(__xludf.DUMMYFUNCTION("IF($A1152="""","""",IFERROR(INDEX(FILTER(Candidates!$T$2:$T$2000,Candidates!$A$2:$A$2000=$A1152),COUNTIF(Candidates!$A$2:$A$2000,$A1152)),""""))"),"")</f>
        <v/>
      </c>
      <c r="X1152" s="64"/>
      <c r="Y1152" s="64"/>
      <c r="Z1152" s="65"/>
      <c r="AA1152" s="65"/>
      <c r="AB1152" s="65"/>
      <c r="AC1152" s="65"/>
    </row>
    <row r="1153">
      <c r="A1153" s="64"/>
      <c r="B1153" s="64"/>
      <c r="C1153" s="64"/>
      <c r="D1153" s="64"/>
      <c r="E1153" s="64"/>
      <c r="F1153" s="64"/>
      <c r="G1153" s="64"/>
      <c r="H1153" s="63"/>
      <c r="I1153" s="64"/>
      <c r="J1153" s="64"/>
      <c r="K1153" s="64"/>
      <c r="L1153" s="64"/>
      <c r="M1153" s="64"/>
      <c r="N1153" s="64"/>
      <c r="O1153" s="64"/>
      <c r="P1153" s="64"/>
      <c r="Q1153" s="64"/>
      <c r="R1153" s="65" t="str">
        <f>IF($A1153="","",IFERROR(MINIFS(Candidates!$K$2:$K$2000,Candidates!$A$2:$A$2000,$A1153),""))</f>
        <v/>
      </c>
      <c r="S1153" s="65" t="str">
        <f>IF($A1153="","",IFERROR(MAXIFS(Candidates!$AA$2:$AA$2000,Candidates!$A$2:$A$2000,$A1153),""))</f>
        <v/>
      </c>
      <c r="T1153" s="64" t="str">
        <f>IFERROR(__xludf.DUMMYFUNCTION("IF($A1153="""","""",IFERROR(TEXTJOIN("", "",TRUE,UNIQUE(FILTER(Candidates!$B$2:$B$2000,Candidates!$A$2:$A$2000=$A1153))),""""))"),"")</f>
        <v/>
      </c>
      <c r="U1153" s="66" t="str">
        <f>IF($A1153="","",COUNTIF(Candidates!$A$2:$A$2000,$A1153))</f>
        <v/>
      </c>
      <c r="V1153" s="64" t="str">
        <f>IFERROR(__xludf.DUMMYFUNCTION("IF($A1153="""","""",IFERROR(INDEX(FILTER(Candidates!$S$2:$S$2000,Candidates!$A$2:$A$2000=$A1153),COUNTIF(Candidates!$A$2:$A$2000,$A1153)),""""))"),"")</f>
        <v/>
      </c>
      <c r="W1153" s="64" t="str">
        <f>IFERROR(__xludf.DUMMYFUNCTION("IF($A1153="""","""",IFERROR(INDEX(FILTER(Candidates!$T$2:$T$2000,Candidates!$A$2:$A$2000=$A1153),COUNTIF(Candidates!$A$2:$A$2000,$A1153)),""""))"),"")</f>
        <v/>
      </c>
      <c r="X1153" s="64"/>
      <c r="Y1153" s="64"/>
      <c r="Z1153" s="65"/>
      <c r="AA1153" s="65"/>
      <c r="AB1153" s="65"/>
      <c r="AC1153" s="65"/>
    </row>
    <row r="1154">
      <c r="A1154" s="64"/>
      <c r="B1154" s="64"/>
      <c r="C1154" s="64"/>
      <c r="D1154" s="64"/>
      <c r="E1154" s="64"/>
      <c r="F1154" s="64"/>
      <c r="G1154" s="64"/>
      <c r="H1154" s="63"/>
      <c r="I1154" s="64"/>
      <c r="J1154" s="64"/>
      <c r="K1154" s="64"/>
      <c r="L1154" s="64"/>
      <c r="M1154" s="64"/>
      <c r="N1154" s="64"/>
      <c r="O1154" s="64"/>
      <c r="P1154" s="64"/>
      <c r="Q1154" s="64"/>
      <c r="R1154" s="65" t="str">
        <f>IF($A1154="","",IFERROR(MINIFS(Candidates!$K$2:$K$2000,Candidates!$A$2:$A$2000,$A1154),""))</f>
        <v/>
      </c>
      <c r="S1154" s="65" t="str">
        <f>IF($A1154="","",IFERROR(MAXIFS(Candidates!$AA$2:$AA$2000,Candidates!$A$2:$A$2000,$A1154),""))</f>
        <v/>
      </c>
      <c r="T1154" s="64" t="str">
        <f>IFERROR(__xludf.DUMMYFUNCTION("IF($A1154="""","""",IFERROR(TEXTJOIN("", "",TRUE,UNIQUE(FILTER(Candidates!$B$2:$B$2000,Candidates!$A$2:$A$2000=$A1154))),""""))"),"")</f>
        <v/>
      </c>
      <c r="U1154" s="66" t="str">
        <f>IF($A1154="","",COUNTIF(Candidates!$A$2:$A$2000,$A1154))</f>
        <v/>
      </c>
      <c r="V1154" s="64" t="str">
        <f>IFERROR(__xludf.DUMMYFUNCTION("IF($A1154="""","""",IFERROR(INDEX(FILTER(Candidates!$S$2:$S$2000,Candidates!$A$2:$A$2000=$A1154),COUNTIF(Candidates!$A$2:$A$2000,$A1154)),""""))"),"")</f>
        <v/>
      </c>
      <c r="W1154" s="64" t="str">
        <f>IFERROR(__xludf.DUMMYFUNCTION("IF($A1154="""","""",IFERROR(INDEX(FILTER(Candidates!$T$2:$T$2000,Candidates!$A$2:$A$2000=$A1154),COUNTIF(Candidates!$A$2:$A$2000,$A1154)),""""))"),"")</f>
        <v/>
      </c>
      <c r="X1154" s="64"/>
      <c r="Y1154" s="64"/>
      <c r="Z1154" s="65"/>
      <c r="AA1154" s="65"/>
      <c r="AB1154" s="65"/>
      <c r="AC1154" s="65"/>
    </row>
    <row r="1155">
      <c r="A1155" s="64"/>
      <c r="B1155" s="64"/>
      <c r="C1155" s="64"/>
      <c r="D1155" s="64"/>
      <c r="E1155" s="64"/>
      <c r="F1155" s="64"/>
      <c r="G1155" s="64"/>
      <c r="H1155" s="63"/>
      <c r="I1155" s="64"/>
      <c r="J1155" s="64"/>
      <c r="K1155" s="64"/>
      <c r="L1155" s="64"/>
      <c r="M1155" s="64"/>
      <c r="N1155" s="64"/>
      <c r="O1155" s="64"/>
      <c r="P1155" s="64"/>
      <c r="Q1155" s="64"/>
      <c r="R1155" s="65" t="str">
        <f>IF($A1155="","",IFERROR(MINIFS(Candidates!$K$2:$K$2000,Candidates!$A$2:$A$2000,$A1155),""))</f>
        <v/>
      </c>
      <c r="S1155" s="65" t="str">
        <f>IF($A1155="","",IFERROR(MAXIFS(Candidates!$AA$2:$AA$2000,Candidates!$A$2:$A$2000,$A1155),""))</f>
        <v/>
      </c>
      <c r="T1155" s="64" t="str">
        <f>IFERROR(__xludf.DUMMYFUNCTION("IF($A1155="""","""",IFERROR(TEXTJOIN("", "",TRUE,UNIQUE(FILTER(Candidates!$B$2:$B$2000,Candidates!$A$2:$A$2000=$A1155))),""""))"),"")</f>
        <v/>
      </c>
      <c r="U1155" s="66" t="str">
        <f>IF($A1155="","",COUNTIF(Candidates!$A$2:$A$2000,$A1155))</f>
        <v/>
      </c>
      <c r="V1155" s="64" t="str">
        <f>IFERROR(__xludf.DUMMYFUNCTION("IF($A1155="""","""",IFERROR(INDEX(FILTER(Candidates!$S$2:$S$2000,Candidates!$A$2:$A$2000=$A1155),COUNTIF(Candidates!$A$2:$A$2000,$A1155)),""""))"),"")</f>
        <v/>
      </c>
      <c r="W1155" s="64" t="str">
        <f>IFERROR(__xludf.DUMMYFUNCTION("IF($A1155="""","""",IFERROR(INDEX(FILTER(Candidates!$T$2:$T$2000,Candidates!$A$2:$A$2000=$A1155),COUNTIF(Candidates!$A$2:$A$2000,$A1155)),""""))"),"")</f>
        <v/>
      </c>
      <c r="X1155" s="64"/>
      <c r="Y1155" s="64"/>
      <c r="Z1155" s="65"/>
      <c r="AA1155" s="65"/>
      <c r="AB1155" s="65"/>
      <c r="AC1155" s="65"/>
    </row>
    <row r="1156">
      <c r="A1156" s="64"/>
      <c r="B1156" s="64"/>
      <c r="C1156" s="64"/>
      <c r="D1156" s="64"/>
      <c r="E1156" s="64"/>
      <c r="F1156" s="64"/>
      <c r="G1156" s="64"/>
      <c r="H1156" s="63"/>
      <c r="I1156" s="64"/>
      <c r="J1156" s="64"/>
      <c r="K1156" s="64"/>
      <c r="L1156" s="64"/>
      <c r="M1156" s="64"/>
      <c r="N1156" s="64"/>
      <c r="O1156" s="64"/>
      <c r="P1156" s="64"/>
      <c r="Q1156" s="64"/>
      <c r="R1156" s="65" t="str">
        <f>IF($A1156="","",IFERROR(MINIFS(Candidates!$K$2:$K$2000,Candidates!$A$2:$A$2000,$A1156),""))</f>
        <v/>
      </c>
      <c r="S1156" s="65" t="str">
        <f>IF($A1156="","",IFERROR(MAXIFS(Candidates!$AA$2:$AA$2000,Candidates!$A$2:$A$2000,$A1156),""))</f>
        <v/>
      </c>
      <c r="T1156" s="64" t="str">
        <f>IFERROR(__xludf.DUMMYFUNCTION("IF($A1156="""","""",IFERROR(TEXTJOIN("", "",TRUE,UNIQUE(FILTER(Candidates!$B$2:$B$2000,Candidates!$A$2:$A$2000=$A1156))),""""))"),"")</f>
        <v/>
      </c>
      <c r="U1156" s="66" t="str">
        <f>IF($A1156="","",COUNTIF(Candidates!$A$2:$A$2000,$A1156))</f>
        <v/>
      </c>
      <c r="V1156" s="64" t="str">
        <f>IFERROR(__xludf.DUMMYFUNCTION("IF($A1156="""","""",IFERROR(INDEX(FILTER(Candidates!$S$2:$S$2000,Candidates!$A$2:$A$2000=$A1156),COUNTIF(Candidates!$A$2:$A$2000,$A1156)),""""))"),"")</f>
        <v/>
      </c>
      <c r="W1156" s="64" t="str">
        <f>IFERROR(__xludf.DUMMYFUNCTION("IF($A1156="""","""",IFERROR(INDEX(FILTER(Candidates!$T$2:$T$2000,Candidates!$A$2:$A$2000=$A1156),COUNTIF(Candidates!$A$2:$A$2000,$A1156)),""""))"),"")</f>
        <v/>
      </c>
      <c r="X1156" s="64"/>
      <c r="Y1156" s="64"/>
      <c r="Z1156" s="65"/>
      <c r="AA1156" s="65"/>
      <c r="AB1156" s="65"/>
      <c r="AC1156" s="65"/>
    </row>
    <row r="1157">
      <c r="A1157" s="64"/>
      <c r="B1157" s="64"/>
      <c r="C1157" s="64"/>
      <c r="D1157" s="64"/>
      <c r="E1157" s="64"/>
      <c r="F1157" s="64"/>
      <c r="G1157" s="64"/>
      <c r="H1157" s="63"/>
      <c r="I1157" s="64"/>
      <c r="J1157" s="64"/>
      <c r="K1157" s="64"/>
      <c r="L1157" s="64"/>
      <c r="M1157" s="64"/>
      <c r="N1157" s="64"/>
      <c r="O1157" s="64"/>
      <c r="P1157" s="64"/>
      <c r="Q1157" s="64"/>
      <c r="R1157" s="65" t="str">
        <f>IF($A1157="","",IFERROR(MINIFS(Candidates!$K$2:$K$2000,Candidates!$A$2:$A$2000,$A1157),""))</f>
        <v/>
      </c>
      <c r="S1157" s="65" t="str">
        <f>IF($A1157="","",IFERROR(MAXIFS(Candidates!$AA$2:$AA$2000,Candidates!$A$2:$A$2000,$A1157),""))</f>
        <v/>
      </c>
      <c r="T1157" s="64" t="str">
        <f>IFERROR(__xludf.DUMMYFUNCTION("IF($A1157="""","""",IFERROR(TEXTJOIN("", "",TRUE,UNIQUE(FILTER(Candidates!$B$2:$B$2000,Candidates!$A$2:$A$2000=$A1157))),""""))"),"")</f>
        <v/>
      </c>
      <c r="U1157" s="66" t="str">
        <f>IF($A1157="","",COUNTIF(Candidates!$A$2:$A$2000,$A1157))</f>
        <v/>
      </c>
      <c r="V1157" s="64" t="str">
        <f>IFERROR(__xludf.DUMMYFUNCTION("IF($A1157="""","""",IFERROR(INDEX(FILTER(Candidates!$S$2:$S$2000,Candidates!$A$2:$A$2000=$A1157),COUNTIF(Candidates!$A$2:$A$2000,$A1157)),""""))"),"")</f>
        <v/>
      </c>
      <c r="W1157" s="64" t="str">
        <f>IFERROR(__xludf.DUMMYFUNCTION("IF($A1157="""","""",IFERROR(INDEX(FILTER(Candidates!$T$2:$T$2000,Candidates!$A$2:$A$2000=$A1157),COUNTIF(Candidates!$A$2:$A$2000,$A1157)),""""))"),"")</f>
        <v/>
      </c>
      <c r="X1157" s="64"/>
      <c r="Y1157" s="64"/>
      <c r="Z1157" s="65"/>
      <c r="AA1157" s="65"/>
      <c r="AB1157" s="65"/>
      <c r="AC1157" s="65"/>
    </row>
    <row r="1158">
      <c r="A1158" s="64"/>
      <c r="B1158" s="64"/>
      <c r="C1158" s="64"/>
      <c r="D1158" s="64"/>
      <c r="E1158" s="64"/>
      <c r="F1158" s="64"/>
      <c r="G1158" s="64"/>
      <c r="H1158" s="63"/>
      <c r="I1158" s="64"/>
      <c r="J1158" s="64"/>
      <c r="K1158" s="64"/>
      <c r="L1158" s="64"/>
      <c r="M1158" s="64"/>
      <c r="N1158" s="64"/>
      <c r="O1158" s="64"/>
      <c r="P1158" s="64"/>
      <c r="Q1158" s="64"/>
      <c r="R1158" s="65" t="str">
        <f>IF($A1158="","",IFERROR(MINIFS(Candidates!$K$2:$K$2000,Candidates!$A$2:$A$2000,$A1158),""))</f>
        <v/>
      </c>
      <c r="S1158" s="65" t="str">
        <f>IF($A1158="","",IFERROR(MAXIFS(Candidates!$AA$2:$AA$2000,Candidates!$A$2:$A$2000,$A1158),""))</f>
        <v/>
      </c>
      <c r="T1158" s="64" t="str">
        <f>IFERROR(__xludf.DUMMYFUNCTION("IF($A1158="""","""",IFERROR(TEXTJOIN("", "",TRUE,UNIQUE(FILTER(Candidates!$B$2:$B$2000,Candidates!$A$2:$A$2000=$A1158))),""""))"),"")</f>
        <v/>
      </c>
      <c r="U1158" s="66" t="str">
        <f>IF($A1158="","",COUNTIF(Candidates!$A$2:$A$2000,$A1158))</f>
        <v/>
      </c>
      <c r="V1158" s="64" t="str">
        <f>IFERROR(__xludf.DUMMYFUNCTION("IF($A1158="""","""",IFERROR(INDEX(FILTER(Candidates!$S$2:$S$2000,Candidates!$A$2:$A$2000=$A1158),COUNTIF(Candidates!$A$2:$A$2000,$A1158)),""""))"),"")</f>
        <v/>
      </c>
      <c r="W1158" s="64" t="str">
        <f>IFERROR(__xludf.DUMMYFUNCTION("IF($A1158="""","""",IFERROR(INDEX(FILTER(Candidates!$T$2:$T$2000,Candidates!$A$2:$A$2000=$A1158),COUNTIF(Candidates!$A$2:$A$2000,$A1158)),""""))"),"")</f>
        <v/>
      </c>
      <c r="X1158" s="64"/>
      <c r="Y1158" s="64"/>
      <c r="Z1158" s="65"/>
      <c r="AA1158" s="65"/>
      <c r="AB1158" s="65"/>
      <c r="AC1158" s="65"/>
    </row>
    <row r="1159">
      <c r="A1159" s="64"/>
      <c r="B1159" s="64"/>
      <c r="C1159" s="64"/>
      <c r="D1159" s="64"/>
      <c r="E1159" s="64"/>
      <c r="F1159" s="64"/>
      <c r="G1159" s="64"/>
      <c r="H1159" s="63"/>
      <c r="I1159" s="64"/>
      <c r="J1159" s="64"/>
      <c r="K1159" s="64"/>
      <c r="L1159" s="64"/>
      <c r="M1159" s="64"/>
      <c r="N1159" s="64"/>
      <c r="O1159" s="64"/>
      <c r="P1159" s="64"/>
      <c r="Q1159" s="64"/>
      <c r="R1159" s="65" t="str">
        <f>IF($A1159="","",IFERROR(MINIFS(Candidates!$K$2:$K$2000,Candidates!$A$2:$A$2000,$A1159),""))</f>
        <v/>
      </c>
      <c r="S1159" s="65" t="str">
        <f>IF($A1159="","",IFERROR(MAXIFS(Candidates!$AA$2:$AA$2000,Candidates!$A$2:$A$2000,$A1159),""))</f>
        <v/>
      </c>
      <c r="T1159" s="64" t="str">
        <f>IFERROR(__xludf.DUMMYFUNCTION("IF($A1159="""","""",IFERROR(TEXTJOIN("", "",TRUE,UNIQUE(FILTER(Candidates!$B$2:$B$2000,Candidates!$A$2:$A$2000=$A1159))),""""))"),"")</f>
        <v/>
      </c>
      <c r="U1159" s="66" t="str">
        <f>IF($A1159="","",COUNTIF(Candidates!$A$2:$A$2000,$A1159))</f>
        <v/>
      </c>
      <c r="V1159" s="64" t="str">
        <f>IFERROR(__xludf.DUMMYFUNCTION("IF($A1159="""","""",IFERROR(INDEX(FILTER(Candidates!$S$2:$S$2000,Candidates!$A$2:$A$2000=$A1159),COUNTIF(Candidates!$A$2:$A$2000,$A1159)),""""))"),"")</f>
        <v/>
      </c>
      <c r="W1159" s="64" t="str">
        <f>IFERROR(__xludf.DUMMYFUNCTION("IF($A1159="""","""",IFERROR(INDEX(FILTER(Candidates!$T$2:$T$2000,Candidates!$A$2:$A$2000=$A1159),COUNTIF(Candidates!$A$2:$A$2000,$A1159)),""""))"),"")</f>
        <v/>
      </c>
      <c r="X1159" s="64"/>
      <c r="Y1159" s="64"/>
      <c r="Z1159" s="65"/>
      <c r="AA1159" s="65"/>
      <c r="AB1159" s="65"/>
      <c r="AC1159" s="65"/>
    </row>
    <row r="1160">
      <c r="A1160" s="64"/>
      <c r="B1160" s="64"/>
      <c r="C1160" s="64"/>
      <c r="D1160" s="64"/>
      <c r="E1160" s="64"/>
      <c r="F1160" s="64"/>
      <c r="G1160" s="64"/>
      <c r="H1160" s="63"/>
      <c r="I1160" s="64"/>
      <c r="J1160" s="64"/>
      <c r="K1160" s="64"/>
      <c r="L1160" s="64"/>
      <c r="M1160" s="64"/>
      <c r="N1160" s="64"/>
      <c r="O1160" s="64"/>
      <c r="P1160" s="64"/>
      <c r="Q1160" s="64"/>
      <c r="R1160" s="65" t="str">
        <f>IF($A1160="","",IFERROR(MINIFS(Candidates!$K$2:$K$2000,Candidates!$A$2:$A$2000,$A1160),""))</f>
        <v/>
      </c>
      <c r="S1160" s="65" t="str">
        <f>IF($A1160="","",IFERROR(MAXIFS(Candidates!$AA$2:$AA$2000,Candidates!$A$2:$A$2000,$A1160),""))</f>
        <v/>
      </c>
      <c r="T1160" s="64" t="str">
        <f>IFERROR(__xludf.DUMMYFUNCTION("IF($A1160="""","""",IFERROR(TEXTJOIN("", "",TRUE,UNIQUE(FILTER(Candidates!$B$2:$B$2000,Candidates!$A$2:$A$2000=$A1160))),""""))"),"")</f>
        <v/>
      </c>
      <c r="U1160" s="66" t="str">
        <f>IF($A1160="","",COUNTIF(Candidates!$A$2:$A$2000,$A1160))</f>
        <v/>
      </c>
      <c r="V1160" s="64" t="str">
        <f>IFERROR(__xludf.DUMMYFUNCTION("IF($A1160="""","""",IFERROR(INDEX(FILTER(Candidates!$S$2:$S$2000,Candidates!$A$2:$A$2000=$A1160),COUNTIF(Candidates!$A$2:$A$2000,$A1160)),""""))"),"")</f>
        <v/>
      </c>
      <c r="W1160" s="64" t="str">
        <f>IFERROR(__xludf.DUMMYFUNCTION("IF($A1160="""","""",IFERROR(INDEX(FILTER(Candidates!$T$2:$T$2000,Candidates!$A$2:$A$2000=$A1160),COUNTIF(Candidates!$A$2:$A$2000,$A1160)),""""))"),"")</f>
        <v/>
      </c>
      <c r="X1160" s="64"/>
      <c r="Y1160" s="64"/>
      <c r="Z1160" s="65"/>
      <c r="AA1160" s="65"/>
      <c r="AB1160" s="65"/>
      <c r="AC1160" s="65"/>
    </row>
    <row r="1161">
      <c r="A1161" s="64"/>
      <c r="B1161" s="64"/>
      <c r="C1161" s="64"/>
      <c r="D1161" s="64"/>
      <c r="E1161" s="64"/>
      <c r="F1161" s="64"/>
      <c r="G1161" s="64"/>
      <c r="H1161" s="63"/>
      <c r="I1161" s="64"/>
      <c r="J1161" s="64"/>
      <c r="K1161" s="64"/>
      <c r="L1161" s="64"/>
      <c r="M1161" s="64"/>
      <c r="N1161" s="64"/>
      <c r="O1161" s="64"/>
      <c r="P1161" s="64"/>
      <c r="Q1161" s="64"/>
      <c r="R1161" s="65" t="str">
        <f>IF($A1161="","",IFERROR(MINIFS(Candidates!$K$2:$K$2000,Candidates!$A$2:$A$2000,$A1161),""))</f>
        <v/>
      </c>
      <c r="S1161" s="65" t="str">
        <f>IF($A1161="","",IFERROR(MAXIFS(Candidates!$AA$2:$AA$2000,Candidates!$A$2:$A$2000,$A1161),""))</f>
        <v/>
      </c>
      <c r="T1161" s="64" t="str">
        <f>IFERROR(__xludf.DUMMYFUNCTION("IF($A1161="""","""",IFERROR(TEXTJOIN("", "",TRUE,UNIQUE(FILTER(Candidates!$B$2:$B$2000,Candidates!$A$2:$A$2000=$A1161))),""""))"),"")</f>
        <v/>
      </c>
      <c r="U1161" s="66" t="str">
        <f>IF($A1161="","",COUNTIF(Candidates!$A$2:$A$2000,$A1161))</f>
        <v/>
      </c>
      <c r="V1161" s="64" t="str">
        <f>IFERROR(__xludf.DUMMYFUNCTION("IF($A1161="""","""",IFERROR(INDEX(FILTER(Candidates!$S$2:$S$2000,Candidates!$A$2:$A$2000=$A1161),COUNTIF(Candidates!$A$2:$A$2000,$A1161)),""""))"),"")</f>
        <v/>
      </c>
      <c r="W1161" s="64" t="str">
        <f>IFERROR(__xludf.DUMMYFUNCTION("IF($A1161="""","""",IFERROR(INDEX(FILTER(Candidates!$T$2:$T$2000,Candidates!$A$2:$A$2000=$A1161),COUNTIF(Candidates!$A$2:$A$2000,$A1161)),""""))"),"")</f>
        <v/>
      </c>
      <c r="X1161" s="64"/>
      <c r="Y1161" s="64"/>
      <c r="Z1161" s="65"/>
      <c r="AA1161" s="65"/>
      <c r="AB1161" s="65"/>
      <c r="AC1161" s="65"/>
    </row>
    <row r="1162">
      <c r="A1162" s="64"/>
      <c r="B1162" s="64"/>
      <c r="C1162" s="64"/>
      <c r="D1162" s="64"/>
      <c r="E1162" s="64"/>
      <c r="F1162" s="64"/>
      <c r="G1162" s="64"/>
      <c r="H1162" s="63"/>
      <c r="I1162" s="64"/>
      <c r="J1162" s="64"/>
      <c r="K1162" s="64"/>
      <c r="L1162" s="64"/>
      <c r="M1162" s="64"/>
      <c r="N1162" s="64"/>
      <c r="O1162" s="64"/>
      <c r="P1162" s="64"/>
      <c r="Q1162" s="64"/>
      <c r="R1162" s="65" t="str">
        <f>IF($A1162="","",IFERROR(MINIFS(Candidates!$K$2:$K$2000,Candidates!$A$2:$A$2000,$A1162),""))</f>
        <v/>
      </c>
      <c r="S1162" s="65" t="str">
        <f>IF($A1162="","",IFERROR(MAXIFS(Candidates!$AA$2:$AA$2000,Candidates!$A$2:$A$2000,$A1162),""))</f>
        <v/>
      </c>
      <c r="T1162" s="64" t="str">
        <f>IFERROR(__xludf.DUMMYFUNCTION("IF($A1162="""","""",IFERROR(TEXTJOIN("", "",TRUE,UNIQUE(FILTER(Candidates!$B$2:$B$2000,Candidates!$A$2:$A$2000=$A1162))),""""))"),"")</f>
        <v/>
      </c>
      <c r="U1162" s="66" t="str">
        <f>IF($A1162="","",COUNTIF(Candidates!$A$2:$A$2000,$A1162))</f>
        <v/>
      </c>
      <c r="V1162" s="64" t="str">
        <f>IFERROR(__xludf.DUMMYFUNCTION("IF($A1162="""","""",IFERROR(INDEX(FILTER(Candidates!$S$2:$S$2000,Candidates!$A$2:$A$2000=$A1162),COUNTIF(Candidates!$A$2:$A$2000,$A1162)),""""))"),"")</f>
        <v/>
      </c>
      <c r="W1162" s="64" t="str">
        <f>IFERROR(__xludf.DUMMYFUNCTION("IF($A1162="""","""",IFERROR(INDEX(FILTER(Candidates!$T$2:$T$2000,Candidates!$A$2:$A$2000=$A1162),COUNTIF(Candidates!$A$2:$A$2000,$A1162)),""""))"),"")</f>
        <v/>
      </c>
      <c r="X1162" s="64"/>
      <c r="Y1162" s="64"/>
      <c r="Z1162" s="65"/>
      <c r="AA1162" s="65"/>
      <c r="AB1162" s="65"/>
      <c r="AC1162" s="65"/>
    </row>
    <row r="1163">
      <c r="A1163" s="64"/>
      <c r="B1163" s="64"/>
      <c r="C1163" s="64"/>
      <c r="D1163" s="64"/>
      <c r="E1163" s="64"/>
      <c r="F1163" s="64"/>
      <c r="G1163" s="64"/>
      <c r="H1163" s="63"/>
      <c r="I1163" s="64"/>
      <c r="J1163" s="64"/>
      <c r="K1163" s="64"/>
      <c r="L1163" s="64"/>
      <c r="M1163" s="64"/>
      <c r="N1163" s="64"/>
      <c r="O1163" s="64"/>
      <c r="P1163" s="64"/>
      <c r="Q1163" s="64"/>
      <c r="R1163" s="65" t="str">
        <f>IF($A1163="","",IFERROR(MINIFS(Candidates!$K$2:$K$2000,Candidates!$A$2:$A$2000,$A1163),""))</f>
        <v/>
      </c>
      <c r="S1163" s="65" t="str">
        <f>IF($A1163="","",IFERROR(MAXIFS(Candidates!$AA$2:$AA$2000,Candidates!$A$2:$A$2000,$A1163),""))</f>
        <v/>
      </c>
      <c r="T1163" s="64" t="str">
        <f>IFERROR(__xludf.DUMMYFUNCTION("IF($A1163="""","""",IFERROR(TEXTJOIN("", "",TRUE,UNIQUE(FILTER(Candidates!$B$2:$B$2000,Candidates!$A$2:$A$2000=$A1163))),""""))"),"")</f>
        <v/>
      </c>
      <c r="U1163" s="66" t="str">
        <f>IF($A1163="","",COUNTIF(Candidates!$A$2:$A$2000,$A1163))</f>
        <v/>
      </c>
      <c r="V1163" s="64" t="str">
        <f>IFERROR(__xludf.DUMMYFUNCTION("IF($A1163="""","""",IFERROR(INDEX(FILTER(Candidates!$S$2:$S$2000,Candidates!$A$2:$A$2000=$A1163),COUNTIF(Candidates!$A$2:$A$2000,$A1163)),""""))"),"")</f>
        <v/>
      </c>
      <c r="W1163" s="64" t="str">
        <f>IFERROR(__xludf.DUMMYFUNCTION("IF($A1163="""","""",IFERROR(INDEX(FILTER(Candidates!$T$2:$T$2000,Candidates!$A$2:$A$2000=$A1163),COUNTIF(Candidates!$A$2:$A$2000,$A1163)),""""))"),"")</f>
        <v/>
      </c>
      <c r="X1163" s="64"/>
      <c r="Y1163" s="64"/>
      <c r="Z1163" s="65"/>
      <c r="AA1163" s="65"/>
      <c r="AB1163" s="65"/>
      <c r="AC1163" s="65"/>
    </row>
    <row r="1164">
      <c r="A1164" s="64"/>
      <c r="B1164" s="64"/>
      <c r="C1164" s="64"/>
      <c r="D1164" s="64"/>
      <c r="E1164" s="64"/>
      <c r="F1164" s="64"/>
      <c r="G1164" s="64"/>
      <c r="H1164" s="63"/>
      <c r="I1164" s="64"/>
      <c r="J1164" s="64"/>
      <c r="K1164" s="64"/>
      <c r="L1164" s="64"/>
      <c r="M1164" s="64"/>
      <c r="N1164" s="64"/>
      <c r="O1164" s="64"/>
      <c r="P1164" s="64"/>
      <c r="Q1164" s="64"/>
      <c r="R1164" s="65" t="str">
        <f>IF($A1164="","",IFERROR(MINIFS(Candidates!$K$2:$K$2000,Candidates!$A$2:$A$2000,$A1164),""))</f>
        <v/>
      </c>
      <c r="S1164" s="65" t="str">
        <f>IF($A1164="","",IFERROR(MAXIFS(Candidates!$AA$2:$AA$2000,Candidates!$A$2:$A$2000,$A1164),""))</f>
        <v/>
      </c>
      <c r="T1164" s="64" t="str">
        <f>IFERROR(__xludf.DUMMYFUNCTION("IF($A1164="""","""",IFERROR(TEXTJOIN("", "",TRUE,UNIQUE(FILTER(Candidates!$B$2:$B$2000,Candidates!$A$2:$A$2000=$A1164))),""""))"),"")</f>
        <v/>
      </c>
      <c r="U1164" s="66" t="str">
        <f>IF($A1164="","",COUNTIF(Candidates!$A$2:$A$2000,$A1164))</f>
        <v/>
      </c>
      <c r="V1164" s="64" t="str">
        <f>IFERROR(__xludf.DUMMYFUNCTION("IF($A1164="""","""",IFERROR(INDEX(FILTER(Candidates!$S$2:$S$2000,Candidates!$A$2:$A$2000=$A1164),COUNTIF(Candidates!$A$2:$A$2000,$A1164)),""""))"),"")</f>
        <v/>
      </c>
      <c r="W1164" s="64" t="str">
        <f>IFERROR(__xludf.DUMMYFUNCTION("IF($A1164="""","""",IFERROR(INDEX(FILTER(Candidates!$T$2:$T$2000,Candidates!$A$2:$A$2000=$A1164),COUNTIF(Candidates!$A$2:$A$2000,$A1164)),""""))"),"")</f>
        <v/>
      </c>
      <c r="X1164" s="64"/>
      <c r="Y1164" s="64"/>
      <c r="Z1164" s="65"/>
      <c r="AA1164" s="65"/>
      <c r="AB1164" s="65"/>
      <c r="AC1164" s="65"/>
    </row>
    <row r="1165">
      <c r="A1165" s="64"/>
      <c r="B1165" s="64"/>
      <c r="C1165" s="64"/>
      <c r="D1165" s="64"/>
      <c r="E1165" s="64"/>
      <c r="F1165" s="64"/>
      <c r="G1165" s="64"/>
      <c r="H1165" s="63"/>
      <c r="I1165" s="64"/>
      <c r="J1165" s="64"/>
      <c r="K1165" s="64"/>
      <c r="L1165" s="64"/>
      <c r="M1165" s="64"/>
      <c r="N1165" s="64"/>
      <c r="O1165" s="64"/>
      <c r="P1165" s="64"/>
      <c r="Q1165" s="64"/>
      <c r="R1165" s="65" t="str">
        <f>IF($A1165="","",IFERROR(MINIFS(Candidates!$K$2:$K$2000,Candidates!$A$2:$A$2000,$A1165),""))</f>
        <v/>
      </c>
      <c r="S1165" s="65" t="str">
        <f>IF($A1165="","",IFERROR(MAXIFS(Candidates!$AA$2:$AA$2000,Candidates!$A$2:$A$2000,$A1165),""))</f>
        <v/>
      </c>
      <c r="T1165" s="64" t="str">
        <f>IFERROR(__xludf.DUMMYFUNCTION("IF($A1165="""","""",IFERROR(TEXTJOIN("", "",TRUE,UNIQUE(FILTER(Candidates!$B$2:$B$2000,Candidates!$A$2:$A$2000=$A1165))),""""))"),"")</f>
        <v/>
      </c>
      <c r="U1165" s="66" t="str">
        <f>IF($A1165="","",COUNTIF(Candidates!$A$2:$A$2000,$A1165))</f>
        <v/>
      </c>
      <c r="V1165" s="64" t="str">
        <f>IFERROR(__xludf.DUMMYFUNCTION("IF($A1165="""","""",IFERROR(INDEX(FILTER(Candidates!$S$2:$S$2000,Candidates!$A$2:$A$2000=$A1165),COUNTIF(Candidates!$A$2:$A$2000,$A1165)),""""))"),"")</f>
        <v/>
      </c>
      <c r="W1165" s="64" t="str">
        <f>IFERROR(__xludf.DUMMYFUNCTION("IF($A1165="""","""",IFERROR(INDEX(FILTER(Candidates!$T$2:$T$2000,Candidates!$A$2:$A$2000=$A1165),COUNTIF(Candidates!$A$2:$A$2000,$A1165)),""""))"),"")</f>
        <v/>
      </c>
      <c r="X1165" s="64"/>
      <c r="Y1165" s="64"/>
      <c r="Z1165" s="65"/>
      <c r="AA1165" s="65"/>
      <c r="AB1165" s="65"/>
      <c r="AC1165" s="65"/>
    </row>
    <row r="1166">
      <c r="A1166" s="64"/>
      <c r="B1166" s="64"/>
      <c r="C1166" s="64"/>
      <c r="D1166" s="64"/>
      <c r="E1166" s="64"/>
      <c r="F1166" s="64"/>
      <c r="G1166" s="64"/>
      <c r="H1166" s="63"/>
      <c r="I1166" s="64"/>
      <c r="J1166" s="64"/>
      <c r="K1166" s="64"/>
      <c r="L1166" s="64"/>
      <c r="M1166" s="64"/>
      <c r="N1166" s="64"/>
      <c r="O1166" s="64"/>
      <c r="P1166" s="64"/>
      <c r="Q1166" s="64"/>
      <c r="R1166" s="65" t="str">
        <f>IF($A1166="","",IFERROR(MINIFS(Candidates!$K$2:$K$2000,Candidates!$A$2:$A$2000,$A1166),""))</f>
        <v/>
      </c>
      <c r="S1166" s="65" t="str">
        <f>IF($A1166="","",IFERROR(MAXIFS(Candidates!$AA$2:$AA$2000,Candidates!$A$2:$A$2000,$A1166),""))</f>
        <v/>
      </c>
      <c r="T1166" s="64" t="str">
        <f>IFERROR(__xludf.DUMMYFUNCTION("IF($A1166="""","""",IFERROR(TEXTJOIN("", "",TRUE,UNIQUE(FILTER(Candidates!$B$2:$B$2000,Candidates!$A$2:$A$2000=$A1166))),""""))"),"")</f>
        <v/>
      </c>
      <c r="U1166" s="66" t="str">
        <f>IF($A1166="","",COUNTIF(Candidates!$A$2:$A$2000,$A1166))</f>
        <v/>
      </c>
      <c r="V1166" s="64" t="str">
        <f>IFERROR(__xludf.DUMMYFUNCTION("IF($A1166="""","""",IFERROR(INDEX(FILTER(Candidates!$S$2:$S$2000,Candidates!$A$2:$A$2000=$A1166),COUNTIF(Candidates!$A$2:$A$2000,$A1166)),""""))"),"")</f>
        <v/>
      </c>
      <c r="W1166" s="64" t="str">
        <f>IFERROR(__xludf.DUMMYFUNCTION("IF($A1166="""","""",IFERROR(INDEX(FILTER(Candidates!$T$2:$T$2000,Candidates!$A$2:$A$2000=$A1166),COUNTIF(Candidates!$A$2:$A$2000,$A1166)),""""))"),"")</f>
        <v/>
      </c>
      <c r="X1166" s="64"/>
      <c r="Y1166" s="64"/>
      <c r="Z1166" s="65"/>
      <c r="AA1166" s="65"/>
      <c r="AB1166" s="65"/>
      <c r="AC1166" s="65"/>
    </row>
    <row r="1167">
      <c r="A1167" s="64"/>
      <c r="B1167" s="64"/>
      <c r="C1167" s="64"/>
      <c r="D1167" s="64"/>
      <c r="E1167" s="64"/>
      <c r="F1167" s="64"/>
      <c r="G1167" s="64"/>
      <c r="H1167" s="63"/>
      <c r="I1167" s="64"/>
      <c r="J1167" s="64"/>
      <c r="K1167" s="64"/>
      <c r="L1167" s="64"/>
      <c r="M1167" s="64"/>
      <c r="N1167" s="64"/>
      <c r="O1167" s="64"/>
      <c r="P1167" s="64"/>
      <c r="Q1167" s="64"/>
      <c r="R1167" s="65" t="str">
        <f>IF($A1167="","",IFERROR(MINIFS(Candidates!$K$2:$K$2000,Candidates!$A$2:$A$2000,$A1167),""))</f>
        <v/>
      </c>
      <c r="S1167" s="65" t="str">
        <f>IF($A1167="","",IFERROR(MAXIFS(Candidates!$AA$2:$AA$2000,Candidates!$A$2:$A$2000,$A1167),""))</f>
        <v/>
      </c>
      <c r="T1167" s="64" t="str">
        <f>IFERROR(__xludf.DUMMYFUNCTION("IF($A1167="""","""",IFERROR(TEXTJOIN("", "",TRUE,UNIQUE(FILTER(Candidates!$B$2:$B$2000,Candidates!$A$2:$A$2000=$A1167))),""""))"),"")</f>
        <v/>
      </c>
      <c r="U1167" s="66" t="str">
        <f>IF($A1167="","",COUNTIF(Candidates!$A$2:$A$2000,$A1167))</f>
        <v/>
      </c>
      <c r="V1167" s="64" t="str">
        <f>IFERROR(__xludf.DUMMYFUNCTION("IF($A1167="""","""",IFERROR(INDEX(FILTER(Candidates!$S$2:$S$2000,Candidates!$A$2:$A$2000=$A1167),COUNTIF(Candidates!$A$2:$A$2000,$A1167)),""""))"),"")</f>
        <v/>
      </c>
      <c r="W1167" s="64" t="str">
        <f>IFERROR(__xludf.DUMMYFUNCTION("IF($A1167="""","""",IFERROR(INDEX(FILTER(Candidates!$T$2:$T$2000,Candidates!$A$2:$A$2000=$A1167),COUNTIF(Candidates!$A$2:$A$2000,$A1167)),""""))"),"")</f>
        <v/>
      </c>
      <c r="X1167" s="64"/>
      <c r="Y1167" s="64"/>
      <c r="Z1167" s="65"/>
      <c r="AA1167" s="65"/>
      <c r="AB1167" s="65"/>
      <c r="AC1167" s="65"/>
    </row>
    <row r="1168">
      <c r="A1168" s="64"/>
      <c r="B1168" s="64"/>
      <c r="C1168" s="64"/>
      <c r="D1168" s="64"/>
      <c r="E1168" s="64"/>
      <c r="F1168" s="64"/>
      <c r="G1168" s="64"/>
      <c r="H1168" s="63"/>
      <c r="I1168" s="64"/>
      <c r="J1168" s="64"/>
      <c r="K1168" s="64"/>
      <c r="L1168" s="64"/>
      <c r="M1168" s="64"/>
      <c r="N1168" s="64"/>
      <c r="O1168" s="64"/>
      <c r="P1168" s="64"/>
      <c r="Q1168" s="64"/>
      <c r="R1168" s="65" t="str">
        <f>IF($A1168="","",IFERROR(MINIFS(Candidates!$K$2:$K$2000,Candidates!$A$2:$A$2000,$A1168),""))</f>
        <v/>
      </c>
      <c r="S1168" s="65" t="str">
        <f>IF($A1168="","",IFERROR(MAXIFS(Candidates!$AA$2:$AA$2000,Candidates!$A$2:$A$2000,$A1168),""))</f>
        <v/>
      </c>
      <c r="T1168" s="64" t="str">
        <f>IFERROR(__xludf.DUMMYFUNCTION("IF($A1168="""","""",IFERROR(TEXTJOIN("", "",TRUE,UNIQUE(FILTER(Candidates!$B$2:$B$2000,Candidates!$A$2:$A$2000=$A1168))),""""))"),"")</f>
        <v/>
      </c>
      <c r="U1168" s="66" t="str">
        <f>IF($A1168="","",COUNTIF(Candidates!$A$2:$A$2000,$A1168))</f>
        <v/>
      </c>
      <c r="V1168" s="64" t="str">
        <f>IFERROR(__xludf.DUMMYFUNCTION("IF($A1168="""","""",IFERROR(INDEX(FILTER(Candidates!$S$2:$S$2000,Candidates!$A$2:$A$2000=$A1168),COUNTIF(Candidates!$A$2:$A$2000,$A1168)),""""))"),"")</f>
        <v/>
      </c>
      <c r="W1168" s="64" t="str">
        <f>IFERROR(__xludf.DUMMYFUNCTION("IF($A1168="""","""",IFERROR(INDEX(FILTER(Candidates!$T$2:$T$2000,Candidates!$A$2:$A$2000=$A1168),COUNTIF(Candidates!$A$2:$A$2000,$A1168)),""""))"),"")</f>
        <v/>
      </c>
      <c r="X1168" s="64"/>
      <c r="Y1168" s="64"/>
      <c r="Z1168" s="65"/>
      <c r="AA1168" s="65"/>
      <c r="AB1168" s="65"/>
      <c r="AC1168" s="65"/>
    </row>
    <row r="1169">
      <c r="A1169" s="64"/>
      <c r="B1169" s="64"/>
      <c r="C1169" s="64"/>
      <c r="D1169" s="64"/>
      <c r="E1169" s="64"/>
      <c r="F1169" s="64"/>
      <c r="G1169" s="64"/>
      <c r="H1169" s="63"/>
      <c r="I1169" s="64"/>
      <c r="J1169" s="64"/>
      <c r="K1169" s="64"/>
      <c r="L1169" s="64"/>
      <c r="M1169" s="64"/>
      <c r="N1169" s="64"/>
      <c r="O1169" s="64"/>
      <c r="P1169" s="64"/>
      <c r="Q1169" s="64"/>
      <c r="R1169" s="65" t="str">
        <f>IF($A1169="","",IFERROR(MINIFS(Candidates!$K$2:$K$2000,Candidates!$A$2:$A$2000,$A1169),""))</f>
        <v/>
      </c>
      <c r="S1169" s="65" t="str">
        <f>IF($A1169="","",IFERROR(MAXIFS(Candidates!$AA$2:$AA$2000,Candidates!$A$2:$A$2000,$A1169),""))</f>
        <v/>
      </c>
      <c r="T1169" s="64" t="str">
        <f>IFERROR(__xludf.DUMMYFUNCTION("IF($A1169="""","""",IFERROR(TEXTJOIN("", "",TRUE,UNIQUE(FILTER(Candidates!$B$2:$B$2000,Candidates!$A$2:$A$2000=$A1169))),""""))"),"")</f>
        <v/>
      </c>
      <c r="U1169" s="66" t="str">
        <f>IF($A1169="","",COUNTIF(Candidates!$A$2:$A$2000,$A1169))</f>
        <v/>
      </c>
      <c r="V1169" s="64" t="str">
        <f>IFERROR(__xludf.DUMMYFUNCTION("IF($A1169="""","""",IFERROR(INDEX(FILTER(Candidates!$S$2:$S$2000,Candidates!$A$2:$A$2000=$A1169),COUNTIF(Candidates!$A$2:$A$2000,$A1169)),""""))"),"")</f>
        <v/>
      </c>
      <c r="W1169" s="64" t="str">
        <f>IFERROR(__xludf.DUMMYFUNCTION("IF($A1169="""","""",IFERROR(INDEX(FILTER(Candidates!$T$2:$T$2000,Candidates!$A$2:$A$2000=$A1169),COUNTIF(Candidates!$A$2:$A$2000,$A1169)),""""))"),"")</f>
        <v/>
      </c>
      <c r="X1169" s="64"/>
      <c r="Y1169" s="64"/>
      <c r="Z1169" s="65"/>
      <c r="AA1169" s="65"/>
      <c r="AB1169" s="65"/>
      <c r="AC1169" s="65"/>
    </row>
    <row r="1170">
      <c r="A1170" s="64"/>
      <c r="B1170" s="64"/>
      <c r="C1170" s="64"/>
      <c r="D1170" s="64"/>
      <c r="E1170" s="64"/>
      <c r="F1170" s="64"/>
      <c r="G1170" s="64"/>
      <c r="H1170" s="63"/>
      <c r="I1170" s="64"/>
      <c r="J1170" s="64"/>
      <c r="K1170" s="64"/>
      <c r="L1170" s="64"/>
      <c r="M1170" s="64"/>
      <c r="N1170" s="64"/>
      <c r="O1170" s="64"/>
      <c r="P1170" s="64"/>
      <c r="Q1170" s="64"/>
      <c r="R1170" s="65" t="str">
        <f>IF($A1170="","",IFERROR(MINIFS(Candidates!$K$2:$K$2000,Candidates!$A$2:$A$2000,$A1170),""))</f>
        <v/>
      </c>
      <c r="S1170" s="65" t="str">
        <f>IF($A1170="","",IFERROR(MAXIFS(Candidates!$AA$2:$AA$2000,Candidates!$A$2:$A$2000,$A1170),""))</f>
        <v/>
      </c>
      <c r="T1170" s="64" t="str">
        <f>IFERROR(__xludf.DUMMYFUNCTION("IF($A1170="""","""",IFERROR(TEXTJOIN("", "",TRUE,UNIQUE(FILTER(Candidates!$B$2:$B$2000,Candidates!$A$2:$A$2000=$A1170))),""""))"),"")</f>
        <v/>
      </c>
      <c r="U1170" s="66" t="str">
        <f>IF($A1170="","",COUNTIF(Candidates!$A$2:$A$2000,$A1170))</f>
        <v/>
      </c>
      <c r="V1170" s="64" t="str">
        <f>IFERROR(__xludf.DUMMYFUNCTION("IF($A1170="""","""",IFERROR(INDEX(FILTER(Candidates!$S$2:$S$2000,Candidates!$A$2:$A$2000=$A1170),COUNTIF(Candidates!$A$2:$A$2000,$A1170)),""""))"),"")</f>
        <v/>
      </c>
      <c r="W1170" s="64" t="str">
        <f>IFERROR(__xludf.DUMMYFUNCTION("IF($A1170="""","""",IFERROR(INDEX(FILTER(Candidates!$T$2:$T$2000,Candidates!$A$2:$A$2000=$A1170),COUNTIF(Candidates!$A$2:$A$2000,$A1170)),""""))"),"")</f>
        <v/>
      </c>
      <c r="X1170" s="64"/>
      <c r="Y1170" s="64"/>
      <c r="Z1170" s="65"/>
      <c r="AA1170" s="65"/>
      <c r="AB1170" s="65"/>
      <c r="AC1170" s="65"/>
    </row>
    <row r="1171">
      <c r="A1171" s="64"/>
      <c r="B1171" s="64"/>
      <c r="C1171" s="64"/>
      <c r="D1171" s="64"/>
      <c r="E1171" s="64"/>
      <c r="F1171" s="64"/>
      <c r="G1171" s="64"/>
      <c r="H1171" s="63"/>
      <c r="I1171" s="64"/>
      <c r="J1171" s="64"/>
      <c r="K1171" s="64"/>
      <c r="L1171" s="64"/>
      <c r="M1171" s="64"/>
      <c r="N1171" s="64"/>
      <c r="O1171" s="64"/>
      <c r="P1171" s="64"/>
      <c r="Q1171" s="64"/>
      <c r="R1171" s="65" t="str">
        <f>IF($A1171="","",IFERROR(MINIFS(Candidates!$K$2:$K$2000,Candidates!$A$2:$A$2000,$A1171),""))</f>
        <v/>
      </c>
      <c r="S1171" s="65" t="str">
        <f>IF($A1171="","",IFERROR(MAXIFS(Candidates!$AA$2:$AA$2000,Candidates!$A$2:$A$2000,$A1171),""))</f>
        <v/>
      </c>
      <c r="T1171" s="64" t="str">
        <f>IFERROR(__xludf.DUMMYFUNCTION("IF($A1171="""","""",IFERROR(TEXTJOIN("", "",TRUE,UNIQUE(FILTER(Candidates!$B$2:$B$2000,Candidates!$A$2:$A$2000=$A1171))),""""))"),"")</f>
        <v/>
      </c>
      <c r="U1171" s="66" t="str">
        <f>IF($A1171="","",COUNTIF(Candidates!$A$2:$A$2000,$A1171))</f>
        <v/>
      </c>
      <c r="V1171" s="64" t="str">
        <f>IFERROR(__xludf.DUMMYFUNCTION("IF($A1171="""","""",IFERROR(INDEX(FILTER(Candidates!$S$2:$S$2000,Candidates!$A$2:$A$2000=$A1171),COUNTIF(Candidates!$A$2:$A$2000,$A1171)),""""))"),"")</f>
        <v/>
      </c>
      <c r="W1171" s="64" t="str">
        <f>IFERROR(__xludf.DUMMYFUNCTION("IF($A1171="""","""",IFERROR(INDEX(FILTER(Candidates!$T$2:$T$2000,Candidates!$A$2:$A$2000=$A1171),COUNTIF(Candidates!$A$2:$A$2000,$A1171)),""""))"),"")</f>
        <v/>
      </c>
      <c r="X1171" s="64"/>
      <c r="Y1171" s="64"/>
      <c r="Z1171" s="65"/>
      <c r="AA1171" s="65"/>
      <c r="AB1171" s="65"/>
      <c r="AC1171" s="65"/>
    </row>
    <row r="1172">
      <c r="A1172" s="64"/>
      <c r="B1172" s="64"/>
      <c r="C1172" s="64"/>
      <c r="D1172" s="64"/>
      <c r="E1172" s="64"/>
      <c r="F1172" s="64"/>
      <c r="G1172" s="64"/>
      <c r="H1172" s="63"/>
      <c r="I1172" s="64"/>
      <c r="J1172" s="64"/>
      <c r="K1172" s="64"/>
      <c r="L1172" s="64"/>
      <c r="M1172" s="64"/>
      <c r="N1172" s="64"/>
      <c r="O1172" s="64"/>
      <c r="P1172" s="64"/>
      <c r="Q1172" s="64"/>
      <c r="R1172" s="65" t="str">
        <f>IF($A1172="","",IFERROR(MINIFS(Candidates!$K$2:$K$2000,Candidates!$A$2:$A$2000,$A1172),""))</f>
        <v/>
      </c>
      <c r="S1172" s="65" t="str">
        <f>IF($A1172="","",IFERROR(MAXIFS(Candidates!$AA$2:$AA$2000,Candidates!$A$2:$A$2000,$A1172),""))</f>
        <v/>
      </c>
      <c r="T1172" s="64" t="str">
        <f>IFERROR(__xludf.DUMMYFUNCTION("IF($A1172="""","""",IFERROR(TEXTJOIN("", "",TRUE,UNIQUE(FILTER(Candidates!$B$2:$B$2000,Candidates!$A$2:$A$2000=$A1172))),""""))"),"")</f>
        <v/>
      </c>
      <c r="U1172" s="66" t="str">
        <f>IF($A1172="","",COUNTIF(Candidates!$A$2:$A$2000,$A1172))</f>
        <v/>
      </c>
      <c r="V1172" s="64" t="str">
        <f>IFERROR(__xludf.DUMMYFUNCTION("IF($A1172="""","""",IFERROR(INDEX(FILTER(Candidates!$S$2:$S$2000,Candidates!$A$2:$A$2000=$A1172),COUNTIF(Candidates!$A$2:$A$2000,$A1172)),""""))"),"")</f>
        <v/>
      </c>
      <c r="W1172" s="64" t="str">
        <f>IFERROR(__xludf.DUMMYFUNCTION("IF($A1172="""","""",IFERROR(INDEX(FILTER(Candidates!$T$2:$T$2000,Candidates!$A$2:$A$2000=$A1172),COUNTIF(Candidates!$A$2:$A$2000,$A1172)),""""))"),"")</f>
        <v/>
      </c>
      <c r="X1172" s="64"/>
      <c r="Y1172" s="64"/>
      <c r="Z1172" s="65"/>
      <c r="AA1172" s="65"/>
      <c r="AB1172" s="65"/>
      <c r="AC1172" s="65"/>
    </row>
    <row r="1173">
      <c r="A1173" s="64"/>
      <c r="B1173" s="64"/>
      <c r="C1173" s="64"/>
      <c r="D1173" s="64"/>
      <c r="E1173" s="64"/>
      <c r="F1173" s="64"/>
      <c r="G1173" s="64"/>
      <c r="H1173" s="63"/>
      <c r="I1173" s="64"/>
      <c r="J1173" s="64"/>
      <c r="K1173" s="64"/>
      <c r="L1173" s="64"/>
      <c r="M1173" s="64"/>
      <c r="N1173" s="64"/>
      <c r="O1173" s="64"/>
      <c r="P1173" s="64"/>
      <c r="Q1173" s="64"/>
      <c r="R1173" s="65" t="str">
        <f>IF($A1173="","",IFERROR(MINIFS(Candidates!$K$2:$K$2000,Candidates!$A$2:$A$2000,$A1173),""))</f>
        <v/>
      </c>
      <c r="S1173" s="65" t="str">
        <f>IF($A1173="","",IFERROR(MAXIFS(Candidates!$AA$2:$AA$2000,Candidates!$A$2:$A$2000,$A1173),""))</f>
        <v/>
      </c>
      <c r="T1173" s="64" t="str">
        <f>IFERROR(__xludf.DUMMYFUNCTION("IF($A1173="""","""",IFERROR(TEXTJOIN("", "",TRUE,UNIQUE(FILTER(Candidates!$B$2:$B$2000,Candidates!$A$2:$A$2000=$A1173))),""""))"),"")</f>
        <v/>
      </c>
      <c r="U1173" s="66" t="str">
        <f>IF($A1173="","",COUNTIF(Candidates!$A$2:$A$2000,$A1173))</f>
        <v/>
      </c>
      <c r="V1173" s="64" t="str">
        <f>IFERROR(__xludf.DUMMYFUNCTION("IF($A1173="""","""",IFERROR(INDEX(FILTER(Candidates!$S$2:$S$2000,Candidates!$A$2:$A$2000=$A1173),COUNTIF(Candidates!$A$2:$A$2000,$A1173)),""""))"),"")</f>
        <v/>
      </c>
      <c r="W1173" s="64" t="str">
        <f>IFERROR(__xludf.DUMMYFUNCTION("IF($A1173="""","""",IFERROR(INDEX(FILTER(Candidates!$T$2:$T$2000,Candidates!$A$2:$A$2000=$A1173),COUNTIF(Candidates!$A$2:$A$2000,$A1173)),""""))"),"")</f>
        <v/>
      </c>
      <c r="X1173" s="64"/>
      <c r="Y1173" s="64"/>
      <c r="Z1173" s="65"/>
      <c r="AA1173" s="65"/>
      <c r="AB1173" s="65"/>
      <c r="AC1173" s="65"/>
    </row>
    <row r="1174">
      <c r="A1174" s="64"/>
      <c r="B1174" s="64"/>
      <c r="C1174" s="64"/>
      <c r="D1174" s="64"/>
      <c r="E1174" s="64"/>
      <c r="F1174" s="64"/>
      <c r="G1174" s="64"/>
      <c r="H1174" s="63"/>
      <c r="I1174" s="64"/>
      <c r="J1174" s="64"/>
      <c r="K1174" s="64"/>
      <c r="L1174" s="64"/>
      <c r="M1174" s="64"/>
      <c r="N1174" s="64"/>
      <c r="O1174" s="64"/>
      <c r="P1174" s="64"/>
      <c r="Q1174" s="64"/>
      <c r="R1174" s="65" t="str">
        <f>IF($A1174="","",IFERROR(MINIFS(Candidates!$K$2:$K$2000,Candidates!$A$2:$A$2000,$A1174),""))</f>
        <v/>
      </c>
      <c r="S1174" s="65" t="str">
        <f>IF($A1174="","",IFERROR(MAXIFS(Candidates!$AA$2:$AA$2000,Candidates!$A$2:$A$2000,$A1174),""))</f>
        <v/>
      </c>
      <c r="T1174" s="64" t="str">
        <f>IFERROR(__xludf.DUMMYFUNCTION("IF($A1174="""","""",IFERROR(TEXTJOIN("", "",TRUE,UNIQUE(FILTER(Candidates!$B$2:$B$2000,Candidates!$A$2:$A$2000=$A1174))),""""))"),"")</f>
        <v/>
      </c>
      <c r="U1174" s="66" t="str">
        <f>IF($A1174="","",COUNTIF(Candidates!$A$2:$A$2000,$A1174))</f>
        <v/>
      </c>
      <c r="V1174" s="64" t="str">
        <f>IFERROR(__xludf.DUMMYFUNCTION("IF($A1174="""","""",IFERROR(INDEX(FILTER(Candidates!$S$2:$S$2000,Candidates!$A$2:$A$2000=$A1174),COUNTIF(Candidates!$A$2:$A$2000,$A1174)),""""))"),"")</f>
        <v/>
      </c>
      <c r="W1174" s="64" t="str">
        <f>IFERROR(__xludf.DUMMYFUNCTION("IF($A1174="""","""",IFERROR(INDEX(FILTER(Candidates!$T$2:$T$2000,Candidates!$A$2:$A$2000=$A1174),COUNTIF(Candidates!$A$2:$A$2000,$A1174)),""""))"),"")</f>
        <v/>
      </c>
      <c r="X1174" s="64"/>
      <c r="Y1174" s="64"/>
      <c r="Z1174" s="65"/>
      <c r="AA1174" s="65"/>
      <c r="AB1174" s="65"/>
      <c r="AC1174" s="65"/>
    </row>
    <row r="1175">
      <c r="A1175" s="64"/>
      <c r="B1175" s="64"/>
      <c r="C1175" s="64"/>
      <c r="D1175" s="64"/>
      <c r="E1175" s="64"/>
      <c r="F1175" s="64"/>
      <c r="G1175" s="64"/>
      <c r="H1175" s="63"/>
      <c r="I1175" s="64"/>
      <c r="J1175" s="64"/>
      <c r="K1175" s="64"/>
      <c r="L1175" s="64"/>
      <c r="M1175" s="64"/>
      <c r="N1175" s="64"/>
      <c r="O1175" s="64"/>
      <c r="P1175" s="64"/>
      <c r="Q1175" s="64"/>
      <c r="R1175" s="65" t="str">
        <f>IF($A1175="","",IFERROR(MINIFS(Candidates!$K$2:$K$2000,Candidates!$A$2:$A$2000,$A1175),""))</f>
        <v/>
      </c>
      <c r="S1175" s="65" t="str">
        <f>IF($A1175="","",IFERROR(MAXIFS(Candidates!$AA$2:$AA$2000,Candidates!$A$2:$A$2000,$A1175),""))</f>
        <v/>
      </c>
      <c r="T1175" s="64" t="str">
        <f>IFERROR(__xludf.DUMMYFUNCTION("IF($A1175="""","""",IFERROR(TEXTJOIN("", "",TRUE,UNIQUE(FILTER(Candidates!$B$2:$B$2000,Candidates!$A$2:$A$2000=$A1175))),""""))"),"")</f>
        <v/>
      </c>
      <c r="U1175" s="66" t="str">
        <f>IF($A1175="","",COUNTIF(Candidates!$A$2:$A$2000,$A1175))</f>
        <v/>
      </c>
      <c r="V1175" s="64" t="str">
        <f>IFERROR(__xludf.DUMMYFUNCTION("IF($A1175="""","""",IFERROR(INDEX(FILTER(Candidates!$S$2:$S$2000,Candidates!$A$2:$A$2000=$A1175),COUNTIF(Candidates!$A$2:$A$2000,$A1175)),""""))"),"")</f>
        <v/>
      </c>
      <c r="W1175" s="64" t="str">
        <f>IFERROR(__xludf.DUMMYFUNCTION("IF($A1175="""","""",IFERROR(INDEX(FILTER(Candidates!$T$2:$T$2000,Candidates!$A$2:$A$2000=$A1175),COUNTIF(Candidates!$A$2:$A$2000,$A1175)),""""))"),"")</f>
        <v/>
      </c>
      <c r="X1175" s="64"/>
      <c r="Y1175" s="64"/>
      <c r="Z1175" s="65"/>
      <c r="AA1175" s="65"/>
      <c r="AB1175" s="65"/>
      <c r="AC1175" s="65"/>
    </row>
    <row r="1176">
      <c r="A1176" s="64"/>
      <c r="B1176" s="64"/>
      <c r="C1176" s="64"/>
      <c r="D1176" s="64"/>
      <c r="E1176" s="64"/>
      <c r="F1176" s="64"/>
      <c r="G1176" s="64"/>
      <c r="H1176" s="63"/>
      <c r="I1176" s="64"/>
      <c r="J1176" s="64"/>
      <c r="K1176" s="64"/>
      <c r="L1176" s="64"/>
      <c r="M1176" s="64"/>
      <c r="N1176" s="64"/>
      <c r="O1176" s="64"/>
      <c r="P1176" s="64"/>
      <c r="Q1176" s="64"/>
      <c r="R1176" s="65" t="str">
        <f>IF($A1176="","",IFERROR(MINIFS(Candidates!$K$2:$K$2000,Candidates!$A$2:$A$2000,$A1176),""))</f>
        <v/>
      </c>
      <c r="S1176" s="65" t="str">
        <f>IF($A1176="","",IFERROR(MAXIFS(Candidates!$AA$2:$AA$2000,Candidates!$A$2:$A$2000,$A1176),""))</f>
        <v/>
      </c>
      <c r="T1176" s="64" t="str">
        <f>IFERROR(__xludf.DUMMYFUNCTION("IF($A1176="""","""",IFERROR(TEXTJOIN("", "",TRUE,UNIQUE(FILTER(Candidates!$B$2:$B$2000,Candidates!$A$2:$A$2000=$A1176))),""""))"),"")</f>
        <v/>
      </c>
      <c r="U1176" s="66" t="str">
        <f>IF($A1176="","",COUNTIF(Candidates!$A$2:$A$2000,$A1176))</f>
        <v/>
      </c>
      <c r="V1176" s="64" t="str">
        <f>IFERROR(__xludf.DUMMYFUNCTION("IF($A1176="""","""",IFERROR(INDEX(FILTER(Candidates!$S$2:$S$2000,Candidates!$A$2:$A$2000=$A1176),COUNTIF(Candidates!$A$2:$A$2000,$A1176)),""""))"),"")</f>
        <v/>
      </c>
      <c r="W1176" s="64" t="str">
        <f>IFERROR(__xludf.DUMMYFUNCTION("IF($A1176="""","""",IFERROR(INDEX(FILTER(Candidates!$T$2:$T$2000,Candidates!$A$2:$A$2000=$A1176),COUNTIF(Candidates!$A$2:$A$2000,$A1176)),""""))"),"")</f>
        <v/>
      </c>
      <c r="X1176" s="64"/>
      <c r="Y1176" s="64"/>
      <c r="Z1176" s="65"/>
      <c r="AA1176" s="65"/>
      <c r="AB1176" s="65"/>
      <c r="AC1176" s="65"/>
    </row>
    <row r="1177">
      <c r="A1177" s="64"/>
      <c r="B1177" s="64"/>
      <c r="C1177" s="64"/>
      <c r="D1177" s="64"/>
      <c r="E1177" s="64"/>
      <c r="F1177" s="64"/>
      <c r="G1177" s="64"/>
      <c r="H1177" s="63"/>
      <c r="I1177" s="64"/>
      <c r="J1177" s="64"/>
      <c r="K1177" s="64"/>
      <c r="L1177" s="64"/>
      <c r="M1177" s="64"/>
      <c r="N1177" s="64"/>
      <c r="O1177" s="64"/>
      <c r="P1177" s="64"/>
      <c r="Q1177" s="64"/>
      <c r="R1177" s="65" t="str">
        <f>IF($A1177="","",IFERROR(MINIFS(Candidates!$K$2:$K$2000,Candidates!$A$2:$A$2000,$A1177),""))</f>
        <v/>
      </c>
      <c r="S1177" s="65" t="str">
        <f>IF($A1177="","",IFERROR(MAXIFS(Candidates!$AA$2:$AA$2000,Candidates!$A$2:$A$2000,$A1177),""))</f>
        <v/>
      </c>
      <c r="T1177" s="64" t="str">
        <f>IFERROR(__xludf.DUMMYFUNCTION("IF($A1177="""","""",IFERROR(TEXTJOIN("", "",TRUE,UNIQUE(FILTER(Candidates!$B$2:$B$2000,Candidates!$A$2:$A$2000=$A1177))),""""))"),"")</f>
        <v/>
      </c>
      <c r="U1177" s="66" t="str">
        <f>IF($A1177="","",COUNTIF(Candidates!$A$2:$A$2000,$A1177))</f>
        <v/>
      </c>
      <c r="V1177" s="64" t="str">
        <f>IFERROR(__xludf.DUMMYFUNCTION("IF($A1177="""","""",IFERROR(INDEX(FILTER(Candidates!$S$2:$S$2000,Candidates!$A$2:$A$2000=$A1177),COUNTIF(Candidates!$A$2:$A$2000,$A1177)),""""))"),"")</f>
        <v/>
      </c>
      <c r="W1177" s="64" t="str">
        <f>IFERROR(__xludf.DUMMYFUNCTION("IF($A1177="""","""",IFERROR(INDEX(FILTER(Candidates!$T$2:$T$2000,Candidates!$A$2:$A$2000=$A1177),COUNTIF(Candidates!$A$2:$A$2000,$A1177)),""""))"),"")</f>
        <v/>
      </c>
      <c r="X1177" s="64"/>
      <c r="Y1177" s="64"/>
      <c r="Z1177" s="65"/>
      <c r="AA1177" s="65"/>
      <c r="AB1177" s="65"/>
      <c r="AC1177" s="65"/>
    </row>
    <row r="1178">
      <c r="A1178" s="64"/>
      <c r="B1178" s="64"/>
      <c r="C1178" s="64"/>
      <c r="D1178" s="64"/>
      <c r="E1178" s="64"/>
      <c r="F1178" s="64"/>
      <c r="G1178" s="64"/>
      <c r="H1178" s="63"/>
      <c r="I1178" s="64"/>
      <c r="J1178" s="64"/>
      <c r="K1178" s="64"/>
      <c r="L1178" s="64"/>
      <c r="M1178" s="64"/>
      <c r="N1178" s="64"/>
      <c r="O1178" s="64"/>
      <c r="P1178" s="64"/>
      <c r="Q1178" s="64"/>
      <c r="R1178" s="65" t="str">
        <f>IF($A1178="","",IFERROR(MINIFS(Candidates!$K$2:$K$2000,Candidates!$A$2:$A$2000,$A1178),""))</f>
        <v/>
      </c>
      <c r="S1178" s="65" t="str">
        <f>IF($A1178="","",IFERROR(MAXIFS(Candidates!$AA$2:$AA$2000,Candidates!$A$2:$A$2000,$A1178),""))</f>
        <v/>
      </c>
      <c r="T1178" s="64" t="str">
        <f>IFERROR(__xludf.DUMMYFUNCTION("IF($A1178="""","""",IFERROR(TEXTJOIN("", "",TRUE,UNIQUE(FILTER(Candidates!$B$2:$B$2000,Candidates!$A$2:$A$2000=$A1178))),""""))"),"")</f>
        <v/>
      </c>
      <c r="U1178" s="66" t="str">
        <f>IF($A1178="","",COUNTIF(Candidates!$A$2:$A$2000,$A1178))</f>
        <v/>
      </c>
      <c r="V1178" s="64" t="str">
        <f>IFERROR(__xludf.DUMMYFUNCTION("IF($A1178="""","""",IFERROR(INDEX(FILTER(Candidates!$S$2:$S$2000,Candidates!$A$2:$A$2000=$A1178),COUNTIF(Candidates!$A$2:$A$2000,$A1178)),""""))"),"")</f>
        <v/>
      </c>
      <c r="W1178" s="64" t="str">
        <f>IFERROR(__xludf.DUMMYFUNCTION("IF($A1178="""","""",IFERROR(INDEX(FILTER(Candidates!$T$2:$T$2000,Candidates!$A$2:$A$2000=$A1178),COUNTIF(Candidates!$A$2:$A$2000,$A1178)),""""))"),"")</f>
        <v/>
      </c>
      <c r="X1178" s="64"/>
      <c r="Y1178" s="64"/>
      <c r="Z1178" s="65"/>
      <c r="AA1178" s="65"/>
      <c r="AB1178" s="65"/>
      <c r="AC1178" s="65"/>
    </row>
    <row r="1179">
      <c r="A1179" s="64"/>
      <c r="B1179" s="64"/>
      <c r="C1179" s="64"/>
      <c r="D1179" s="64"/>
      <c r="E1179" s="64"/>
      <c r="F1179" s="64"/>
      <c r="G1179" s="64"/>
      <c r="H1179" s="63"/>
      <c r="I1179" s="64"/>
      <c r="J1179" s="64"/>
      <c r="K1179" s="64"/>
      <c r="L1179" s="64"/>
      <c r="M1179" s="64"/>
      <c r="N1179" s="64"/>
      <c r="O1179" s="64"/>
      <c r="P1179" s="64"/>
      <c r="Q1179" s="64"/>
      <c r="R1179" s="65" t="str">
        <f>IF($A1179="","",IFERROR(MINIFS(Candidates!$K$2:$K$2000,Candidates!$A$2:$A$2000,$A1179),""))</f>
        <v/>
      </c>
      <c r="S1179" s="65" t="str">
        <f>IF($A1179="","",IFERROR(MAXIFS(Candidates!$AA$2:$AA$2000,Candidates!$A$2:$A$2000,$A1179),""))</f>
        <v/>
      </c>
      <c r="T1179" s="64" t="str">
        <f>IFERROR(__xludf.DUMMYFUNCTION("IF($A1179="""","""",IFERROR(TEXTJOIN("", "",TRUE,UNIQUE(FILTER(Candidates!$B$2:$B$2000,Candidates!$A$2:$A$2000=$A1179))),""""))"),"")</f>
        <v/>
      </c>
      <c r="U1179" s="66" t="str">
        <f>IF($A1179="","",COUNTIF(Candidates!$A$2:$A$2000,$A1179))</f>
        <v/>
      </c>
      <c r="V1179" s="64" t="str">
        <f>IFERROR(__xludf.DUMMYFUNCTION("IF($A1179="""","""",IFERROR(INDEX(FILTER(Candidates!$S$2:$S$2000,Candidates!$A$2:$A$2000=$A1179),COUNTIF(Candidates!$A$2:$A$2000,$A1179)),""""))"),"")</f>
        <v/>
      </c>
      <c r="W1179" s="64" t="str">
        <f>IFERROR(__xludf.DUMMYFUNCTION("IF($A1179="""","""",IFERROR(INDEX(FILTER(Candidates!$T$2:$T$2000,Candidates!$A$2:$A$2000=$A1179),COUNTIF(Candidates!$A$2:$A$2000,$A1179)),""""))"),"")</f>
        <v/>
      </c>
      <c r="X1179" s="64"/>
      <c r="Y1179" s="64"/>
      <c r="Z1179" s="65"/>
      <c r="AA1179" s="65"/>
      <c r="AB1179" s="65"/>
      <c r="AC1179" s="65"/>
    </row>
    <row r="1180">
      <c r="A1180" s="64"/>
      <c r="B1180" s="64"/>
      <c r="C1180" s="64"/>
      <c r="D1180" s="64"/>
      <c r="E1180" s="64"/>
      <c r="F1180" s="64"/>
      <c r="G1180" s="64"/>
      <c r="H1180" s="63"/>
      <c r="I1180" s="64"/>
      <c r="J1180" s="64"/>
      <c r="K1180" s="64"/>
      <c r="L1180" s="64"/>
      <c r="M1180" s="64"/>
      <c r="N1180" s="64"/>
      <c r="O1180" s="64"/>
      <c r="P1180" s="64"/>
      <c r="Q1180" s="64"/>
      <c r="R1180" s="65" t="str">
        <f>IF($A1180="","",IFERROR(MINIFS(Candidates!$K$2:$K$2000,Candidates!$A$2:$A$2000,$A1180),""))</f>
        <v/>
      </c>
      <c r="S1180" s="65" t="str">
        <f>IF($A1180="","",IFERROR(MAXIFS(Candidates!$AA$2:$AA$2000,Candidates!$A$2:$A$2000,$A1180),""))</f>
        <v/>
      </c>
      <c r="T1180" s="64" t="str">
        <f>IFERROR(__xludf.DUMMYFUNCTION("IF($A1180="""","""",IFERROR(TEXTJOIN("", "",TRUE,UNIQUE(FILTER(Candidates!$B$2:$B$2000,Candidates!$A$2:$A$2000=$A1180))),""""))"),"")</f>
        <v/>
      </c>
      <c r="U1180" s="66" t="str">
        <f>IF($A1180="","",COUNTIF(Candidates!$A$2:$A$2000,$A1180))</f>
        <v/>
      </c>
      <c r="V1180" s="64" t="str">
        <f>IFERROR(__xludf.DUMMYFUNCTION("IF($A1180="""","""",IFERROR(INDEX(FILTER(Candidates!$S$2:$S$2000,Candidates!$A$2:$A$2000=$A1180),COUNTIF(Candidates!$A$2:$A$2000,$A1180)),""""))"),"")</f>
        <v/>
      </c>
      <c r="W1180" s="64" t="str">
        <f>IFERROR(__xludf.DUMMYFUNCTION("IF($A1180="""","""",IFERROR(INDEX(FILTER(Candidates!$T$2:$T$2000,Candidates!$A$2:$A$2000=$A1180),COUNTIF(Candidates!$A$2:$A$2000,$A1180)),""""))"),"")</f>
        <v/>
      </c>
      <c r="X1180" s="64"/>
      <c r="Y1180" s="64"/>
      <c r="Z1180" s="65"/>
      <c r="AA1180" s="65"/>
      <c r="AB1180" s="65"/>
      <c r="AC1180" s="65"/>
    </row>
    <row r="1181">
      <c r="A1181" s="64"/>
      <c r="B1181" s="64"/>
      <c r="C1181" s="64"/>
      <c r="D1181" s="64"/>
      <c r="E1181" s="64"/>
      <c r="F1181" s="64"/>
      <c r="G1181" s="64"/>
      <c r="H1181" s="63"/>
      <c r="I1181" s="64"/>
      <c r="J1181" s="64"/>
      <c r="K1181" s="64"/>
      <c r="L1181" s="64"/>
      <c r="M1181" s="64"/>
      <c r="N1181" s="64"/>
      <c r="O1181" s="64"/>
      <c r="P1181" s="64"/>
      <c r="Q1181" s="64"/>
      <c r="R1181" s="65" t="str">
        <f>IF($A1181="","",IFERROR(MINIFS(Candidates!$K$2:$K$2000,Candidates!$A$2:$A$2000,$A1181),""))</f>
        <v/>
      </c>
      <c r="S1181" s="65" t="str">
        <f>IF($A1181="","",IFERROR(MAXIFS(Candidates!$AA$2:$AA$2000,Candidates!$A$2:$A$2000,$A1181),""))</f>
        <v/>
      </c>
      <c r="T1181" s="64" t="str">
        <f>IFERROR(__xludf.DUMMYFUNCTION("IF($A1181="""","""",IFERROR(TEXTJOIN("", "",TRUE,UNIQUE(FILTER(Candidates!$B$2:$B$2000,Candidates!$A$2:$A$2000=$A1181))),""""))"),"")</f>
        <v/>
      </c>
      <c r="U1181" s="66" t="str">
        <f>IF($A1181="","",COUNTIF(Candidates!$A$2:$A$2000,$A1181))</f>
        <v/>
      </c>
      <c r="V1181" s="64" t="str">
        <f>IFERROR(__xludf.DUMMYFUNCTION("IF($A1181="""","""",IFERROR(INDEX(FILTER(Candidates!$S$2:$S$2000,Candidates!$A$2:$A$2000=$A1181),COUNTIF(Candidates!$A$2:$A$2000,$A1181)),""""))"),"")</f>
        <v/>
      </c>
      <c r="W1181" s="64" t="str">
        <f>IFERROR(__xludf.DUMMYFUNCTION("IF($A1181="""","""",IFERROR(INDEX(FILTER(Candidates!$T$2:$T$2000,Candidates!$A$2:$A$2000=$A1181),COUNTIF(Candidates!$A$2:$A$2000,$A1181)),""""))"),"")</f>
        <v/>
      </c>
      <c r="X1181" s="64"/>
      <c r="Y1181" s="64"/>
      <c r="Z1181" s="65"/>
      <c r="AA1181" s="65"/>
      <c r="AB1181" s="65"/>
      <c r="AC1181" s="65"/>
    </row>
    <row r="1182">
      <c r="A1182" s="64"/>
      <c r="B1182" s="64"/>
      <c r="C1182" s="64"/>
      <c r="D1182" s="64"/>
      <c r="E1182" s="64"/>
      <c r="F1182" s="64"/>
      <c r="G1182" s="64"/>
      <c r="H1182" s="63"/>
      <c r="I1182" s="64"/>
      <c r="J1182" s="64"/>
      <c r="K1182" s="64"/>
      <c r="L1182" s="64"/>
      <c r="M1182" s="64"/>
      <c r="N1182" s="64"/>
      <c r="O1182" s="64"/>
      <c r="P1182" s="64"/>
      <c r="Q1182" s="64"/>
      <c r="R1182" s="65" t="str">
        <f>IF($A1182="","",IFERROR(MINIFS(Candidates!$K$2:$K$2000,Candidates!$A$2:$A$2000,$A1182),""))</f>
        <v/>
      </c>
      <c r="S1182" s="65" t="str">
        <f>IF($A1182="","",IFERROR(MAXIFS(Candidates!$AA$2:$AA$2000,Candidates!$A$2:$A$2000,$A1182),""))</f>
        <v/>
      </c>
      <c r="T1182" s="64" t="str">
        <f>IFERROR(__xludf.DUMMYFUNCTION("IF($A1182="""","""",IFERROR(TEXTJOIN("", "",TRUE,UNIQUE(FILTER(Candidates!$B$2:$B$2000,Candidates!$A$2:$A$2000=$A1182))),""""))"),"")</f>
        <v/>
      </c>
      <c r="U1182" s="66" t="str">
        <f>IF($A1182="","",COUNTIF(Candidates!$A$2:$A$2000,$A1182))</f>
        <v/>
      </c>
      <c r="V1182" s="64" t="str">
        <f>IFERROR(__xludf.DUMMYFUNCTION("IF($A1182="""","""",IFERROR(INDEX(FILTER(Candidates!$S$2:$S$2000,Candidates!$A$2:$A$2000=$A1182),COUNTIF(Candidates!$A$2:$A$2000,$A1182)),""""))"),"")</f>
        <v/>
      </c>
      <c r="W1182" s="64" t="str">
        <f>IFERROR(__xludf.DUMMYFUNCTION("IF($A1182="""","""",IFERROR(INDEX(FILTER(Candidates!$T$2:$T$2000,Candidates!$A$2:$A$2000=$A1182),COUNTIF(Candidates!$A$2:$A$2000,$A1182)),""""))"),"")</f>
        <v/>
      </c>
      <c r="X1182" s="64"/>
      <c r="Y1182" s="64"/>
      <c r="Z1182" s="65"/>
      <c r="AA1182" s="65"/>
      <c r="AB1182" s="65"/>
      <c r="AC1182" s="65"/>
    </row>
    <row r="1183">
      <c r="A1183" s="64"/>
      <c r="B1183" s="64"/>
      <c r="C1183" s="64"/>
      <c r="D1183" s="64"/>
      <c r="E1183" s="64"/>
      <c r="F1183" s="64"/>
      <c r="G1183" s="64"/>
      <c r="H1183" s="63"/>
      <c r="I1183" s="64"/>
      <c r="J1183" s="64"/>
      <c r="K1183" s="64"/>
      <c r="L1183" s="64"/>
      <c r="M1183" s="64"/>
      <c r="N1183" s="64"/>
      <c r="O1183" s="64"/>
      <c r="P1183" s="64"/>
      <c r="Q1183" s="64"/>
      <c r="R1183" s="65" t="str">
        <f>IF($A1183="","",IFERROR(MINIFS(Candidates!$K$2:$K$2000,Candidates!$A$2:$A$2000,$A1183),""))</f>
        <v/>
      </c>
      <c r="S1183" s="65" t="str">
        <f>IF($A1183="","",IFERROR(MAXIFS(Candidates!$AA$2:$AA$2000,Candidates!$A$2:$A$2000,$A1183),""))</f>
        <v/>
      </c>
      <c r="T1183" s="64" t="str">
        <f>IFERROR(__xludf.DUMMYFUNCTION("IF($A1183="""","""",IFERROR(TEXTJOIN("", "",TRUE,UNIQUE(FILTER(Candidates!$B$2:$B$2000,Candidates!$A$2:$A$2000=$A1183))),""""))"),"")</f>
        <v/>
      </c>
      <c r="U1183" s="66" t="str">
        <f>IF($A1183="","",COUNTIF(Candidates!$A$2:$A$2000,$A1183))</f>
        <v/>
      </c>
      <c r="V1183" s="64" t="str">
        <f>IFERROR(__xludf.DUMMYFUNCTION("IF($A1183="""","""",IFERROR(INDEX(FILTER(Candidates!$S$2:$S$2000,Candidates!$A$2:$A$2000=$A1183),COUNTIF(Candidates!$A$2:$A$2000,$A1183)),""""))"),"")</f>
        <v/>
      </c>
      <c r="W1183" s="64" t="str">
        <f>IFERROR(__xludf.DUMMYFUNCTION("IF($A1183="""","""",IFERROR(INDEX(FILTER(Candidates!$T$2:$T$2000,Candidates!$A$2:$A$2000=$A1183),COUNTIF(Candidates!$A$2:$A$2000,$A1183)),""""))"),"")</f>
        <v/>
      </c>
      <c r="X1183" s="64"/>
      <c r="Y1183" s="64"/>
      <c r="Z1183" s="65"/>
      <c r="AA1183" s="65"/>
      <c r="AB1183" s="65"/>
      <c r="AC1183" s="65"/>
    </row>
    <row r="1184">
      <c r="A1184" s="64"/>
      <c r="B1184" s="64"/>
      <c r="C1184" s="64"/>
      <c r="D1184" s="64"/>
      <c r="E1184" s="64"/>
      <c r="F1184" s="64"/>
      <c r="G1184" s="64"/>
      <c r="H1184" s="63"/>
      <c r="I1184" s="64"/>
      <c r="J1184" s="64"/>
      <c r="K1184" s="64"/>
      <c r="L1184" s="64"/>
      <c r="M1184" s="64"/>
      <c r="N1184" s="64"/>
      <c r="O1184" s="64"/>
      <c r="P1184" s="64"/>
      <c r="Q1184" s="64"/>
      <c r="R1184" s="65" t="str">
        <f>IF($A1184="","",IFERROR(MINIFS(Candidates!$K$2:$K$2000,Candidates!$A$2:$A$2000,$A1184),""))</f>
        <v/>
      </c>
      <c r="S1184" s="65" t="str">
        <f>IF($A1184="","",IFERROR(MAXIFS(Candidates!$AA$2:$AA$2000,Candidates!$A$2:$A$2000,$A1184),""))</f>
        <v/>
      </c>
      <c r="T1184" s="64" t="str">
        <f>IFERROR(__xludf.DUMMYFUNCTION("IF($A1184="""","""",IFERROR(TEXTJOIN("", "",TRUE,UNIQUE(FILTER(Candidates!$B$2:$B$2000,Candidates!$A$2:$A$2000=$A1184))),""""))"),"")</f>
        <v/>
      </c>
      <c r="U1184" s="66" t="str">
        <f>IF($A1184="","",COUNTIF(Candidates!$A$2:$A$2000,$A1184))</f>
        <v/>
      </c>
      <c r="V1184" s="64" t="str">
        <f>IFERROR(__xludf.DUMMYFUNCTION("IF($A1184="""","""",IFERROR(INDEX(FILTER(Candidates!$S$2:$S$2000,Candidates!$A$2:$A$2000=$A1184),COUNTIF(Candidates!$A$2:$A$2000,$A1184)),""""))"),"")</f>
        <v/>
      </c>
      <c r="W1184" s="64" t="str">
        <f>IFERROR(__xludf.DUMMYFUNCTION("IF($A1184="""","""",IFERROR(INDEX(FILTER(Candidates!$T$2:$T$2000,Candidates!$A$2:$A$2000=$A1184),COUNTIF(Candidates!$A$2:$A$2000,$A1184)),""""))"),"")</f>
        <v/>
      </c>
      <c r="X1184" s="64"/>
      <c r="Y1184" s="64"/>
      <c r="Z1184" s="65"/>
      <c r="AA1184" s="65"/>
      <c r="AB1184" s="65"/>
      <c r="AC1184" s="65"/>
    </row>
    <row r="1185">
      <c r="A1185" s="64"/>
      <c r="B1185" s="64"/>
      <c r="C1185" s="64"/>
      <c r="D1185" s="64"/>
      <c r="E1185" s="64"/>
      <c r="F1185" s="64"/>
      <c r="G1185" s="64"/>
      <c r="H1185" s="63"/>
      <c r="I1185" s="64"/>
      <c r="J1185" s="64"/>
      <c r="K1185" s="64"/>
      <c r="L1185" s="64"/>
      <c r="M1185" s="64"/>
      <c r="N1185" s="64"/>
      <c r="O1185" s="64"/>
      <c r="P1185" s="64"/>
      <c r="Q1185" s="64"/>
      <c r="R1185" s="65" t="str">
        <f>IF($A1185="","",IFERROR(MINIFS(Candidates!$K$2:$K$2000,Candidates!$A$2:$A$2000,$A1185),""))</f>
        <v/>
      </c>
      <c r="S1185" s="65" t="str">
        <f>IF($A1185="","",IFERROR(MAXIFS(Candidates!$AA$2:$AA$2000,Candidates!$A$2:$A$2000,$A1185),""))</f>
        <v/>
      </c>
      <c r="T1185" s="64" t="str">
        <f>IFERROR(__xludf.DUMMYFUNCTION("IF($A1185="""","""",IFERROR(TEXTJOIN("", "",TRUE,UNIQUE(FILTER(Candidates!$B$2:$B$2000,Candidates!$A$2:$A$2000=$A1185))),""""))"),"")</f>
        <v/>
      </c>
      <c r="U1185" s="66" t="str">
        <f>IF($A1185="","",COUNTIF(Candidates!$A$2:$A$2000,$A1185))</f>
        <v/>
      </c>
      <c r="V1185" s="64" t="str">
        <f>IFERROR(__xludf.DUMMYFUNCTION("IF($A1185="""","""",IFERROR(INDEX(FILTER(Candidates!$S$2:$S$2000,Candidates!$A$2:$A$2000=$A1185),COUNTIF(Candidates!$A$2:$A$2000,$A1185)),""""))"),"")</f>
        <v/>
      </c>
      <c r="W1185" s="64" t="str">
        <f>IFERROR(__xludf.DUMMYFUNCTION("IF($A1185="""","""",IFERROR(INDEX(FILTER(Candidates!$T$2:$T$2000,Candidates!$A$2:$A$2000=$A1185),COUNTIF(Candidates!$A$2:$A$2000,$A1185)),""""))"),"")</f>
        <v/>
      </c>
      <c r="X1185" s="64"/>
      <c r="Y1185" s="64"/>
      <c r="Z1185" s="65"/>
      <c r="AA1185" s="65"/>
      <c r="AB1185" s="65"/>
      <c r="AC1185" s="65"/>
    </row>
    <row r="1186">
      <c r="A1186" s="64"/>
      <c r="B1186" s="64"/>
      <c r="C1186" s="64"/>
      <c r="D1186" s="64"/>
      <c r="E1186" s="64"/>
      <c r="F1186" s="64"/>
      <c r="G1186" s="64"/>
      <c r="H1186" s="63"/>
      <c r="I1186" s="64"/>
      <c r="J1186" s="64"/>
      <c r="K1186" s="64"/>
      <c r="L1186" s="64"/>
      <c r="M1186" s="64"/>
      <c r="N1186" s="64"/>
      <c r="O1186" s="64"/>
      <c r="P1186" s="64"/>
      <c r="Q1186" s="64"/>
      <c r="R1186" s="65" t="str">
        <f>IF($A1186="","",IFERROR(MINIFS(Candidates!$K$2:$K$2000,Candidates!$A$2:$A$2000,$A1186),""))</f>
        <v/>
      </c>
      <c r="S1186" s="65" t="str">
        <f>IF($A1186="","",IFERROR(MAXIFS(Candidates!$AA$2:$AA$2000,Candidates!$A$2:$A$2000,$A1186),""))</f>
        <v/>
      </c>
      <c r="T1186" s="64" t="str">
        <f>IFERROR(__xludf.DUMMYFUNCTION("IF($A1186="""","""",IFERROR(TEXTJOIN("", "",TRUE,UNIQUE(FILTER(Candidates!$B$2:$B$2000,Candidates!$A$2:$A$2000=$A1186))),""""))"),"")</f>
        <v/>
      </c>
      <c r="U1186" s="66" t="str">
        <f>IF($A1186="","",COUNTIF(Candidates!$A$2:$A$2000,$A1186))</f>
        <v/>
      </c>
      <c r="V1186" s="64" t="str">
        <f>IFERROR(__xludf.DUMMYFUNCTION("IF($A1186="""","""",IFERROR(INDEX(FILTER(Candidates!$S$2:$S$2000,Candidates!$A$2:$A$2000=$A1186),COUNTIF(Candidates!$A$2:$A$2000,$A1186)),""""))"),"")</f>
        <v/>
      </c>
      <c r="W1186" s="64" t="str">
        <f>IFERROR(__xludf.DUMMYFUNCTION("IF($A1186="""","""",IFERROR(INDEX(FILTER(Candidates!$T$2:$T$2000,Candidates!$A$2:$A$2000=$A1186),COUNTIF(Candidates!$A$2:$A$2000,$A1186)),""""))"),"")</f>
        <v/>
      </c>
      <c r="X1186" s="64"/>
      <c r="Y1186" s="64"/>
      <c r="Z1186" s="65"/>
      <c r="AA1186" s="65"/>
      <c r="AB1186" s="65"/>
      <c r="AC1186" s="65"/>
    </row>
    <row r="1187">
      <c r="A1187" s="64"/>
      <c r="B1187" s="64"/>
      <c r="C1187" s="64"/>
      <c r="D1187" s="64"/>
      <c r="E1187" s="64"/>
      <c r="F1187" s="64"/>
      <c r="G1187" s="64"/>
      <c r="H1187" s="63"/>
      <c r="I1187" s="64"/>
      <c r="J1187" s="64"/>
      <c r="K1187" s="64"/>
      <c r="L1187" s="64"/>
      <c r="M1187" s="64"/>
      <c r="N1187" s="64"/>
      <c r="O1187" s="64"/>
      <c r="P1187" s="64"/>
      <c r="Q1187" s="64"/>
      <c r="R1187" s="65" t="str">
        <f>IF($A1187="","",IFERROR(MINIFS(Candidates!$K$2:$K$2000,Candidates!$A$2:$A$2000,$A1187),""))</f>
        <v/>
      </c>
      <c r="S1187" s="65" t="str">
        <f>IF($A1187="","",IFERROR(MAXIFS(Candidates!$AA$2:$AA$2000,Candidates!$A$2:$A$2000,$A1187),""))</f>
        <v/>
      </c>
      <c r="T1187" s="64" t="str">
        <f>IFERROR(__xludf.DUMMYFUNCTION("IF($A1187="""","""",IFERROR(TEXTJOIN("", "",TRUE,UNIQUE(FILTER(Candidates!$B$2:$B$2000,Candidates!$A$2:$A$2000=$A1187))),""""))"),"")</f>
        <v/>
      </c>
      <c r="U1187" s="66" t="str">
        <f>IF($A1187="","",COUNTIF(Candidates!$A$2:$A$2000,$A1187))</f>
        <v/>
      </c>
      <c r="V1187" s="64" t="str">
        <f>IFERROR(__xludf.DUMMYFUNCTION("IF($A1187="""","""",IFERROR(INDEX(FILTER(Candidates!$S$2:$S$2000,Candidates!$A$2:$A$2000=$A1187),COUNTIF(Candidates!$A$2:$A$2000,$A1187)),""""))"),"")</f>
        <v/>
      </c>
      <c r="W1187" s="64" t="str">
        <f>IFERROR(__xludf.DUMMYFUNCTION("IF($A1187="""","""",IFERROR(INDEX(FILTER(Candidates!$T$2:$T$2000,Candidates!$A$2:$A$2000=$A1187),COUNTIF(Candidates!$A$2:$A$2000,$A1187)),""""))"),"")</f>
        <v/>
      </c>
      <c r="X1187" s="64"/>
      <c r="Y1187" s="64"/>
      <c r="Z1187" s="65"/>
      <c r="AA1187" s="65"/>
      <c r="AB1187" s="65"/>
      <c r="AC1187" s="65"/>
    </row>
    <row r="1188">
      <c r="A1188" s="64"/>
      <c r="B1188" s="64"/>
      <c r="C1188" s="64"/>
      <c r="D1188" s="64"/>
      <c r="E1188" s="64"/>
      <c r="F1188" s="64"/>
      <c r="G1188" s="64"/>
      <c r="H1188" s="63"/>
      <c r="I1188" s="64"/>
      <c r="J1188" s="64"/>
      <c r="K1188" s="64"/>
      <c r="L1188" s="64"/>
      <c r="M1188" s="64"/>
      <c r="N1188" s="64"/>
      <c r="O1188" s="64"/>
      <c r="P1188" s="64"/>
      <c r="Q1188" s="64"/>
      <c r="R1188" s="65" t="str">
        <f>IF($A1188="","",IFERROR(MINIFS(Candidates!$K$2:$K$2000,Candidates!$A$2:$A$2000,$A1188),""))</f>
        <v/>
      </c>
      <c r="S1188" s="65" t="str">
        <f>IF($A1188="","",IFERROR(MAXIFS(Candidates!$AA$2:$AA$2000,Candidates!$A$2:$A$2000,$A1188),""))</f>
        <v/>
      </c>
      <c r="T1188" s="64" t="str">
        <f>IFERROR(__xludf.DUMMYFUNCTION("IF($A1188="""","""",IFERROR(TEXTJOIN("", "",TRUE,UNIQUE(FILTER(Candidates!$B$2:$B$2000,Candidates!$A$2:$A$2000=$A1188))),""""))"),"")</f>
        <v/>
      </c>
      <c r="U1188" s="66" t="str">
        <f>IF($A1188="","",COUNTIF(Candidates!$A$2:$A$2000,$A1188))</f>
        <v/>
      </c>
      <c r="V1188" s="64" t="str">
        <f>IFERROR(__xludf.DUMMYFUNCTION("IF($A1188="""","""",IFERROR(INDEX(FILTER(Candidates!$S$2:$S$2000,Candidates!$A$2:$A$2000=$A1188),COUNTIF(Candidates!$A$2:$A$2000,$A1188)),""""))"),"")</f>
        <v/>
      </c>
      <c r="W1188" s="64" t="str">
        <f>IFERROR(__xludf.DUMMYFUNCTION("IF($A1188="""","""",IFERROR(INDEX(FILTER(Candidates!$T$2:$T$2000,Candidates!$A$2:$A$2000=$A1188),COUNTIF(Candidates!$A$2:$A$2000,$A1188)),""""))"),"")</f>
        <v/>
      </c>
      <c r="X1188" s="64"/>
      <c r="Y1188" s="64"/>
      <c r="Z1188" s="65"/>
      <c r="AA1188" s="65"/>
      <c r="AB1188" s="65"/>
      <c r="AC1188" s="65"/>
    </row>
    <row r="1189">
      <c r="A1189" s="64"/>
      <c r="B1189" s="64"/>
      <c r="C1189" s="64"/>
      <c r="D1189" s="64"/>
      <c r="E1189" s="64"/>
      <c r="F1189" s="64"/>
      <c r="G1189" s="64"/>
      <c r="H1189" s="63"/>
      <c r="I1189" s="64"/>
      <c r="J1189" s="64"/>
      <c r="K1189" s="64"/>
      <c r="L1189" s="64"/>
      <c r="M1189" s="64"/>
      <c r="N1189" s="64"/>
      <c r="O1189" s="64"/>
      <c r="P1189" s="64"/>
      <c r="Q1189" s="64"/>
      <c r="R1189" s="65" t="str">
        <f>IF($A1189="","",IFERROR(MINIFS(Candidates!$K$2:$K$2000,Candidates!$A$2:$A$2000,$A1189),""))</f>
        <v/>
      </c>
      <c r="S1189" s="65" t="str">
        <f>IF($A1189="","",IFERROR(MAXIFS(Candidates!$AA$2:$AA$2000,Candidates!$A$2:$A$2000,$A1189),""))</f>
        <v/>
      </c>
      <c r="T1189" s="64" t="str">
        <f>IFERROR(__xludf.DUMMYFUNCTION("IF($A1189="""","""",IFERROR(TEXTJOIN("", "",TRUE,UNIQUE(FILTER(Candidates!$B$2:$B$2000,Candidates!$A$2:$A$2000=$A1189))),""""))"),"")</f>
        <v/>
      </c>
      <c r="U1189" s="66" t="str">
        <f>IF($A1189="","",COUNTIF(Candidates!$A$2:$A$2000,$A1189))</f>
        <v/>
      </c>
      <c r="V1189" s="64" t="str">
        <f>IFERROR(__xludf.DUMMYFUNCTION("IF($A1189="""","""",IFERROR(INDEX(FILTER(Candidates!$S$2:$S$2000,Candidates!$A$2:$A$2000=$A1189),COUNTIF(Candidates!$A$2:$A$2000,$A1189)),""""))"),"")</f>
        <v/>
      </c>
      <c r="W1189" s="64" t="str">
        <f>IFERROR(__xludf.DUMMYFUNCTION("IF($A1189="""","""",IFERROR(INDEX(FILTER(Candidates!$T$2:$T$2000,Candidates!$A$2:$A$2000=$A1189),COUNTIF(Candidates!$A$2:$A$2000,$A1189)),""""))"),"")</f>
        <v/>
      </c>
      <c r="X1189" s="64"/>
      <c r="Y1189" s="64"/>
      <c r="Z1189" s="65"/>
      <c r="AA1189" s="65"/>
      <c r="AB1189" s="65"/>
      <c r="AC1189" s="65"/>
    </row>
    <row r="1190">
      <c r="A1190" s="64"/>
      <c r="B1190" s="64"/>
      <c r="C1190" s="64"/>
      <c r="D1190" s="64"/>
      <c r="E1190" s="64"/>
      <c r="F1190" s="64"/>
      <c r="G1190" s="64"/>
      <c r="H1190" s="63"/>
      <c r="I1190" s="64"/>
      <c r="J1190" s="64"/>
      <c r="K1190" s="64"/>
      <c r="L1190" s="64"/>
      <c r="M1190" s="64"/>
      <c r="N1190" s="64"/>
      <c r="O1190" s="64"/>
      <c r="P1190" s="64"/>
      <c r="Q1190" s="64"/>
      <c r="R1190" s="65" t="str">
        <f>IF($A1190="","",IFERROR(MINIFS(Candidates!$K$2:$K$2000,Candidates!$A$2:$A$2000,$A1190),""))</f>
        <v/>
      </c>
      <c r="S1190" s="65" t="str">
        <f>IF($A1190="","",IFERROR(MAXIFS(Candidates!$AA$2:$AA$2000,Candidates!$A$2:$A$2000,$A1190),""))</f>
        <v/>
      </c>
      <c r="T1190" s="64" t="str">
        <f>IFERROR(__xludf.DUMMYFUNCTION("IF($A1190="""","""",IFERROR(TEXTJOIN("", "",TRUE,UNIQUE(FILTER(Candidates!$B$2:$B$2000,Candidates!$A$2:$A$2000=$A1190))),""""))"),"")</f>
        <v/>
      </c>
      <c r="U1190" s="66" t="str">
        <f>IF($A1190="","",COUNTIF(Candidates!$A$2:$A$2000,$A1190))</f>
        <v/>
      </c>
      <c r="V1190" s="64" t="str">
        <f>IFERROR(__xludf.DUMMYFUNCTION("IF($A1190="""","""",IFERROR(INDEX(FILTER(Candidates!$S$2:$S$2000,Candidates!$A$2:$A$2000=$A1190),COUNTIF(Candidates!$A$2:$A$2000,$A1190)),""""))"),"")</f>
        <v/>
      </c>
      <c r="W1190" s="64" t="str">
        <f>IFERROR(__xludf.DUMMYFUNCTION("IF($A1190="""","""",IFERROR(INDEX(FILTER(Candidates!$T$2:$T$2000,Candidates!$A$2:$A$2000=$A1190),COUNTIF(Candidates!$A$2:$A$2000,$A1190)),""""))"),"")</f>
        <v/>
      </c>
      <c r="X1190" s="64"/>
      <c r="Y1190" s="64"/>
      <c r="Z1190" s="65"/>
      <c r="AA1190" s="65"/>
      <c r="AB1190" s="65"/>
      <c r="AC1190" s="65"/>
    </row>
    <row r="1191">
      <c r="A1191" s="64"/>
      <c r="B1191" s="64"/>
      <c r="C1191" s="64"/>
      <c r="D1191" s="64"/>
      <c r="E1191" s="64"/>
      <c r="F1191" s="64"/>
      <c r="G1191" s="64"/>
      <c r="H1191" s="63"/>
      <c r="I1191" s="64"/>
      <c r="J1191" s="64"/>
      <c r="K1191" s="64"/>
      <c r="L1191" s="64"/>
      <c r="M1191" s="64"/>
      <c r="N1191" s="64"/>
      <c r="O1191" s="64"/>
      <c r="P1191" s="64"/>
      <c r="Q1191" s="64"/>
      <c r="R1191" s="65" t="str">
        <f>IF($A1191="","",IFERROR(MINIFS(Candidates!$K$2:$K$2000,Candidates!$A$2:$A$2000,$A1191),""))</f>
        <v/>
      </c>
      <c r="S1191" s="65" t="str">
        <f>IF($A1191="","",IFERROR(MAXIFS(Candidates!$AA$2:$AA$2000,Candidates!$A$2:$A$2000,$A1191),""))</f>
        <v/>
      </c>
      <c r="T1191" s="64" t="str">
        <f>IFERROR(__xludf.DUMMYFUNCTION("IF($A1191="""","""",IFERROR(TEXTJOIN("", "",TRUE,UNIQUE(FILTER(Candidates!$B$2:$B$2000,Candidates!$A$2:$A$2000=$A1191))),""""))"),"")</f>
        <v/>
      </c>
      <c r="U1191" s="66" t="str">
        <f>IF($A1191="","",COUNTIF(Candidates!$A$2:$A$2000,$A1191))</f>
        <v/>
      </c>
      <c r="V1191" s="64" t="str">
        <f>IFERROR(__xludf.DUMMYFUNCTION("IF($A1191="""","""",IFERROR(INDEX(FILTER(Candidates!$S$2:$S$2000,Candidates!$A$2:$A$2000=$A1191),COUNTIF(Candidates!$A$2:$A$2000,$A1191)),""""))"),"")</f>
        <v/>
      </c>
      <c r="W1191" s="64" t="str">
        <f>IFERROR(__xludf.DUMMYFUNCTION("IF($A1191="""","""",IFERROR(INDEX(FILTER(Candidates!$T$2:$T$2000,Candidates!$A$2:$A$2000=$A1191),COUNTIF(Candidates!$A$2:$A$2000,$A1191)),""""))"),"")</f>
        <v/>
      </c>
      <c r="X1191" s="64"/>
      <c r="Y1191" s="64"/>
      <c r="Z1191" s="65"/>
      <c r="AA1191" s="65"/>
      <c r="AB1191" s="65"/>
      <c r="AC1191" s="65"/>
    </row>
    <row r="1192">
      <c r="A1192" s="64"/>
      <c r="B1192" s="64"/>
      <c r="C1192" s="64"/>
      <c r="D1192" s="64"/>
      <c r="E1192" s="64"/>
      <c r="F1192" s="64"/>
      <c r="G1192" s="64"/>
      <c r="H1192" s="63"/>
      <c r="I1192" s="64"/>
      <c r="J1192" s="64"/>
      <c r="K1192" s="64"/>
      <c r="L1192" s="64"/>
      <c r="M1192" s="64"/>
      <c r="N1192" s="64"/>
      <c r="O1192" s="64"/>
      <c r="P1192" s="64"/>
      <c r="Q1192" s="64"/>
      <c r="R1192" s="65" t="str">
        <f>IF($A1192="","",IFERROR(MINIFS(Candidates!$K$2:$K$2000,Candidates!$A$2:$A$2000,$A1192),""))</f>
        <v/>
      </c>
      <c r="S1192" s="65" t="str">
        <f>IF($A1192="","",IFERROR(MAXIFS(Candidates!$AA$2:$AA$2000,Candidates!$A$2:$A$2000,$A1192),""))</f>
        <v/>
      </c>
      <c r="T1192" s="64" t="str">
        <f>IFERROR(__xludf.DUMMYFUNCTION("IF($A1192="""","""",IFERROR(TEXTJOIN("", "",TRUE,UNIQUE(FILTER(Candidates!$B$2:$B$2000,Candidates!$A$2:$A$2000=$A1192))),""""))"),"")</f>
        <v/>
      </c>
      <c r="U1192" s="66" t="str">
        <f>IF($A1192="","",COUNTIF(Candidates!$A$2:$A$2000,$A1192))</f>
        <v/>
      </c>
      <c r="V1192" s="64" t="str">
        <f>IFERROR(__xludf.DUMMYFUNCTION("IF($A1192="""","""",IFERROR(INDEX(FILTER(Candidates!$S$2:$S$2000,Candidates!$A$2:$A$2000=$A1192),COUNTIF(Candidates!$A$2:$A$2000,$A1192)),""""))"),"")</f>
        <v/>
      </c>
      <c r="W1192" s="64" t="str">
        <f>IFERROR(__xludf.DUMMYFUNCTION("IF($A1192="""","""",IFERROR(INDEX(FILTER(Candidates!$T$2:$T$2000,Candidates!$A$2:$A$2000=$A1192),COUNTIF(Candidates!$A$2:$A$2000,$A1192)),""""))"),"")</f>
        <v/>
      </c>
      <c r="X1192" s="64"/>
      <c r="Y1192" s="64"/>
      <c r="Z1192" s="65"/>
      <c r="AA1192" s="65"/>
      <c r="AB1192" s="65"/>
      <c r="AC1192" s="65"/>
    </row>
    <row r="1193">
      <c r="A1193" s="64"/>
      <c r="B1193" s="64"/>
      <c r="C1193" s="64"/>
      <c r="D1193" s="64"/>
      <c r="E1193" s="64"/>
      <c r="F1193" s="64"/>
      <c r="G1193" s="64"/>
      <c r="H1193" s="63"/>
      <c r="I1193" s="64"/>
      <c r="J1193" s="64"/>
      <c r="K1193" s="64"/>
      <c r="L1193" s="64"/>
      <c r="M1193" s="64"/>
      <c r="N1193" s="64"/>
      <c r="O1193" s="64"/>
      <c r="P1193" s="64"/>
      <c r="Q1193" s="64"/>
      <c r="R1193" s="65" t="str">
        <f>IF($A1193="","",IFERROR(MINIFS(Candidates!$K$2:$K$2000,Candidates!$A$2:$A$2000,$A1193),""))</f>
        <v/>
      </c>
      <c r="S1193" s="65" t="str">
        <f>IF($A1193="","",IFERROR(MAXIFS(Candidates!$AA$2:$AA$2000,Candidates!$A$2:$A$2000,$A1193),""))</f>
        <v/>
      </c>
      <c r="T1193" s="64" t="str">
        <f>IFERROR(__xludf.DUMMYFUNCTION("IF($A1193="""","""",IFERROR(TEXTJOIN("", "",TRUE,UNIQUE(FILTER(Candidates!$B$2:$B$2000,Candidates!$A$2:$A$2000=$A1193))),""""))"),"")</f>
        <v/>
      </c>
      <c r="U1193" s="66" t="str">
        <f>IF($A1193="","",COUNTIF(Candidates!$A$2:$A$2000,$A1193))</f>
        <v/>
      </c>
      <c r="V1193" s="64" t="str">
        <f>IFERROR(__xludf.DUMMYFUNCTION("IF($A1193="""","""",IFERROR(INDEX(FILTER(Candidates!$S$2:$S$2000,Candidates!$A$2:$A$2000=$A1193),COUNTIF(Candidates!$A$2:$A$2000,$A1193)),""""))"),"")</f>
        <v/>
      </c>
      <c r="W1193" s="64" t="str">
        <f>IFERROR(__xludf.DUMMYFUNCTION("IF($A1193="""","""",IFERROR(INDEX(FILTER(Candidates!$T$2:$T$2000,Candidates!$A$2:$A$2000=$A1193),COUNTIF(Candidates!$A$2:$A$2000,$A1193)),""""))"),"")</f>
        <v/>
      </c>
      <c r="X1193" s="64"/>
      <c r="Y1193" s="64"/>
      <c r="Z1193" s="65"/>
      <c r="AA1193" s="65"/>
      <c r="AB1193" s="65"/>
      <c r="AC1193" s="65"/>
    </row>
    <row r="1194">
      <c r="A1194" s="64"/>
      <c r="B1194" s="64"/>
      <c r="C1194" s="64"/>
      <c r="D1194" s="64"/>
      <c r="E1194" s="64"/>
      <c r="F1194" s="64"/>
      <c r="G1194" s="64"/>
      <c r="H1194" s="63"/>
      <c r="I1194" s="64"/>
      <c r="J1194" s="64"/>
      <c r="K1194" s="64"/>
      <c r="L1194" s="64"/>
      <c r="M1194" s="64"/>
      <c r="N1194" s="64"/>
      <c r="O1194" s="64"/>
      <c r="P1194" s="64"/>
      <c r="Q1194" s="64"/>
      <c r="R1194" s="65" t="str">
        <f>IF($A1194="","",IFERROR(MINIFS(Candidates!$K$2:$K$2000,Candidates!$A$2:$A$2000,$A1194),""))</f>
        <v/>
      </c>
      <c r="S1194" s="65" t="str">
        <f>IF($A1194="","",IFERROR(MAXIFS(Candidates!$AA$2:$AA$2000,Candidates!$A$2:$A$2000,$A1194),""))</f>
        <v/>
      </c>
      <c r="T1194" s="64" t="str">
        <f>IFERROR(__xludf.DUMMYFUNCTION("IF($A1194="""","""",IFERROR(TEXTJOIN("", "",TRUE,UNIQUE(FILTER(Candidates!$B$2:$B$2000,Candidates!$A$2:$A$2000=$A1194))),""""))"),"")</f>
        <v/>
      </c>
      <c r="U1194" s="66" t="str">
        <f>IF($A1194="","",COUNTIF(Candidates!$A$2:$A$2000,$A1194))</f>
        <v/>
      </c>
      <c r="V1194" s="64" t="str">
        <f>IFERROR(__xludf.DUMMYFUNCTION("IF($A1194="""","""",IFERROR(INDEX(FILTER(Candidates!$S$2:$S$2000,Candidates!$A$2:$A$2000=$A1194),COUNTIF(Candidates!$A$2:$A$2000,$A1194)),""""))"),"")</f>
        <v/>
      </c>
      <c r="W1194" s="64" t="str">
        <f>IFERROR(__xludf.DUMMYFUNCTION("IF($A1194="""","""",IFERROR(INDEX(FILTER(Candidates!$T$2:$T$2000,Candidates!$A$2:$A$2000=$A1194),COUNTIF(Candidates!$A$2:$A$2000,$A1194)),""""))"),"")</f>
        <v/>
      </c>
      <c r="X1194" s="64"/>
      <c r="Y1194" s="64"/>
      <c r="Z1194" s="65"/>
      <c r="AA1194" s="65"/>
      <c r="AB1194" s="65"/>
      <c r="AC1194" s="65"/>
    </row>
    <row r="1195">
      <c r="A1195" s="64"/>
      <c r="B1195" s="64"/>
      <c r="C1195" s="64"/>
      <c r="D1195" s="64"/>
      <c r="E1195" s="64"/>
      <c r="F1195" s="64"/>
      <c r="G1195" s="64"/>
      <c r="H1195" s="63"/>
      <c r="I1195" s="64"/>
      <c r="J1195" s="64"/>
      <c r="K1195" s="64"/>
      <c r="L1195" s="64"/>
      <c r="M1195" s="64"/>
      <c r="N1195" s="64"/>
      <c r="O1195" s="64"/>
      <c r="P1195" s="64"/>
      <c r="Q1195" s="64"/>
      <c r="R1195" s="65" t="str">
        <f>IF($A1195="","",IFERROR(MINIFS(Candidates!$K$2:$K$2000,Candidates!$A$2:$A$2000,$A1195),""))</f>
        <v/>
      </c>
      <c r="S1195" s="65" t="str">
        <f>IF($A1195="","",IFERROR(MAXIFS(Candidates!$AA$2:$AA$2000,Candidates!$A$2:$A$2000,$A1195),""))</f>
        <v/>
      </c>
      <c r="T1195" s="64" t="str">
        <f>IFERROR(__xludf.DUMMYFUNCTION("IF($A1195="""","""",IFERROR(TEXTJOIN("", "",TRUE,UNIQUE(FILTER(Candidates!$B$2:$B$2000,Candidates!$A$2:$A$2000=$A1195))),""""))"),"")</f>
        <v/>
      </c>
      <c r="U1195" s="66" t="str">
        <f>IF($A1195="","",COUNTIF(Candidates!$A$2:$A$2000,$A1195))</f>
        <v/>
      </c>
      <c r="V1195" s="64" t="str">
        <f>IFERROR(__xludf.DUMMYFUNCTION("IF($A1195="""","""",IFERROR(INDEX(FILTER(Candidates!$S$2:$S$2000,Candidates!$A$2:$A$2000=$A1195),COUNTIF(Candidates!$A$2:$A$2000,$A1195)),""""))"),"")</f>
        <v/>
      </c>
      <c r="W1195" s="64" t="str">
        <f>IFERROR(__xludf.DUMMYFUNCTION("IF($A1195="""","""",IFERROR(INDEX(FILTER(Candidates!$T$2:$T$2000,Candidates!$A$2:$A$2000=$A1195),COUNTIF(Candidates!$A$2:$A$2000,$A1195)),""""))"),"")</f>
        <v/>
      </c>
      <c r="X1195" s="64"/>
      <c r="Y1195" s="64"/>
      <c r="Z1195" s="65"/>
      <c r="AA1195" s="65"/>
      <c r="AB1195" s="65"/>
      <c r="AC1195" s="65"/>
    </row>
    <row r="1196">
      <c r="A1196" s="64"/>
      <c r="B1196" s="64"/>
      <c r="C1196" s="64"/>
      <c r="D1196" s="64"/>
      <c r="E1196" s="64"/>
      <c r="F1196" s="64"/>
      <c r="G1196" s="64"/>
      <c r="H1196" s="63"/>
      <c r="I1196" s="64"/>
      <c r="J1196" s="64"/>
      <c r="K1196" s="64"/>
      <c r="L1196" s="64"/>
      <c r="M1196" s="64"/>
      <c r="N1196" s="64"/>
      <c r="O1196" s="64"/>
      <c r="P1196" s="64"/>
      <c r="Q1196" s="64"/>
      <c r="R1196" s="65" t="str">
        <f>IF($A1196="","",IFERROR(MINIFS(Candidates!$K$2:$K$2000,Candidates!$A$2:$A$2000,$A1196),""))</f>
        <v/>
      </c>
      <c r="S1196" s="65" t="str">
        <f>IF($A1196="","",IFERROR(MAXIFS(Candidates!$AA$2:$AA$2000,Candidates!$A$2:$A$2000,$A1196),""))</f>
        <v/>
      </c>
      <c r="T1196" s="64" t="str">
        <f>IFERROR(__xludf.DUMMYFUNCTION("IF($A1196="""","""",IFERROR(TEXTJOIN("", "",TRUE,UNIQUE(FILTER(Candidates!$B$2:$B$2000,Candidates!$A$2:$A$2000=$A1196))),""""))"),"")</f>
        <v/>
      </c>
      <c r="U1196" s="66" t="str">
        <f>IF($A1196="","",COUNTIF(Candidates!$A$2:$A$2000,$A1196))</f>
        <v/>
      </c>
      <c r="V1196" s="64" t="str">
        <f>IFERROR(__xludf.DUMMYFUNCTION("IF($A1196="""","""",IFERROR(INDEX(FILTER(Candidates!$S$2:$S$2000,Candidates!$A$2:$A$2000=$A1196),COUNTIF(Candidates!$A$2:$A$2000,$A1196)),""""))"),"")</f>
        <v/>
      </c>
      <c r="W1196" s="64" t="str">
        <f>IFERROR(__xludf.DUMMYFUNCTION("IF($A1196="""","""",IFERROR(INDEX(FILTER(Candidates!$T$2:$T$2000,Candidates!$A$2:$A$2000=$A1196),COUNTIF(Candidates!$A$2:$A$2000,$A1196)),""""))"),"")</f>
        <v/>
      </c>
      <c r="X1196" s="64"/>
      <c r="Y1196" s="64"/>
      <c r="Z1196" s="65"/>
      <c r="AA1196" s="65"/>
      <c r="AB1196" s="65"/>
      <c r="AC1196" s="65"/>
    </row>
    <row r="1197">
      <c r="A1197" s="64"/>
      <c r="B1197" s="64"/>
      <c r="C1197" s="64"/>
      <c r="D1197" s="64"/>
      <c r="E1197" s="64"/>
      <c r="F1197" s="64"/>
      <c r="G1197" s="64"/>
      <c r="H1197" s="63"/>
      <c r="I1197" s="64"/>
      <c r="J1197" s="64"/>
      <c r="K1197" s="64"/>
      <c r="L1197" s="64"/>
      <c r="M1197" s="64"/>
      <c r="N1197" s="64"/>
      <c r="O1197" s="64"/>
      <c r="P1197" s="64"/>
      <c r="Q1197" s="64"/>
      <c r="R1197" s="65" t="str">
        <f>IF($A1197="","",IFERROR(MINIFS(Candidates!$K$2:$K$2000,Candidates!$A$2:$A$2000,$A1197),""))</f>
        <v/>
      </c>
      <c r="S1197" s="65" t="str">
        <f>IF($A1197="","",IFERROR(MAXIFS(Candidates!$AA$2:$AA$2000,Candidates!$A$2:$A$2000,$A1197),""))</f>
        <v/>
      </c>
      <c r="T1197" s="64" t="str">
        <f>IFERROR(__xludf.DUMMYFUNCTION("IF($A1197="""","""",IFERROR(TEXTJOIN("", "",TRUE,UNIQUE(FILTER(Candidates!$B$2:$B$2000,Candidates!$A$2:$A$2000=$A1197))),""""))"),"")</f>
        <v/>
      </c>
      <c r="U1197" s="66" t="str">
        <f>IF($A1197="","",COUNTIF(Candidates!$A$2:$A$2000,$A1197))</f>
        <v/>
      </c>
      <c r="V1197" s="64" t="str">
        <f>IFERROR(__xludf.DUMMYFUNCTION("IF($A1197="""","""",IFERROR(INDEX(FILTER(Candidates!$S$2:$S$2000,Candidates!$A$2:$A$2000=$A1197),COUNTIF(Candidates!$A$2:$A$2000,$A1197)),""""))"),"")</f>
        <v/>
      </c>
      <c r="W1197" s="64" t="str">
        <f>IFERROR(__xludf.DUMMYFUNCTION("IF($A1197="""","""",IFERROR(INDEX(FILTER(Candidates!$T$2:$T$2000,Candidates!$A$2:$A$2000=$A1197),COUNTIF(Candidates!$A$2:$A$2000,$A1197)),""""))"),"")</f>
        <v/>
      </c>
      <c r="X1197" s="64"/>
      <c r="Y1197" s="64"/>
      <c r="Z1197" s="65"/>
      <c r="AA1197" s="65"/>
      <c r="AB1197" s="65"/>
      <c r="AC1197" s="65"/>
    </row>
    <row r="1198">
      <c r="A1198" s="64"/>
      <c r="B1198" s="64"/>
      <c r="C1198" s="64"/>
      <c r="D1198" s="64"/>
      <c r="E1198" s="64"/>
      <c r="F1198" s="64"/>
      <c r="G1198" s="64"/>
      <c r="H1198" s="63"/>
      <c r="I1198" s="64"/>
      <c r="J1198" s="64"/>
      <c r="K1198" s="64"/>
      <c r="L1198" s="64"/>
      <c r="M1198" s="64"/>
      <c r="N1198" s="64"/>
      <c r="O1198" s="64"/>
      <c r="P1198" s="64"/>
      <c r="Q1198" s="64"/>
      <c r="R1198" s="65" t="str">
        <f>IF($A1198="","",IFERROR(MINIFS(Candidates!$K$2:$K$2000,Candidates!$A$2:$A$2000,$A1198),""))</f>
        <v/>
      </c>
      <c r="S1198" s="65" t="str">
        <f>IF($A1198="","",IFERROR(MAXIFS(Candidates!$AA$2:$AA$2000,Candidates!$A$2:$A$2000,$A1198),""))</f>
        <v/>
      </c>
      <c r="T1198" s="64" t="str">
        <f>IFERROR(__xludf.DUMMYFUNCTION("IF($A1198="""","""",IFERROR(TEXTJOIN("", "",TRUE,UNIQUE(FILTER(Candidates!$B$2:$B$2000,Candidates!$A$2:$A$2000=$A1198))),""""))"),"")</f>
        <v/>
      </c>
      <c r="U1198" s="66" t="str">
        <f>IF($A1198="","",COUNTIF(Candidates!$A$2:$A$2000,$A1198))</f>
        <v/>
      </c>
      <c r="V1198" s="64" t="str">
        <f>IFERROR(__xludf.DUMMYFUNCTION("IF($A1198="""","""",IFERROR(INDEX(FILTER(Candidates!$S$2:$S$2000,Candidates!$A$2:$A$2000=$A1198),COUNTIF(Candidates!$A$2:$A$2000,$A1198)),""""))"),"")</f>
        <v/>
      </c>
      <c r="W1198" s="64" t="str">
        <f>IFERROR(__xludf.DUMMYFUNCTION("IF($A1198="""","""",IFERROR(INDEX(FILTER(Candidates!$T$2:$T$2000,Candidates!$A$2:$A$2000=$A1198),COUNTIF(Candidates!$A$2:$A$2000,$A1198)),""""))"),"")</f>
        <v/>
      </c>
      <c r="X1198" s="64"/>
      <c r="Y1198" s="64"/>
      <c r="Z1198" s="65"/>
      <c r="AA1198" s="65"/>
      <c r="AB1198" s="65"/>
      <c r="AC1198" s="65"/>
    </row>
    <row r="1199">
      <c r="A1199" s="64"/>
      <c r="B1199" s="64"/>
      <c r="C1199" s="64"/>
      <c r="D1199" s="64"/>
      <c r="E1199" s="64"/>
      <c r="F1199" s="64"/>
      <c r="G1199" s="64"/>
      <c r="H1199" s="63"/>
      <c r="I1199" s="64"/>
      <c r="J1199" s="64"/>
      <c r="K1199" s="64"/>
      <c r="L1199" s="64"/>
      <c r="M1199" s="64"/>
      <c r="N1199" s="64"/>
      <c r="O1199" s="64"/>
      <c r="P1199" s="64"/>
      <c r="Q1199" s="64"/>
      <c r="R1199" s="65" t="str">
        <f>IF($A1199="","",IFERROR(MINIFS(Candidates!$K$2:$K$2000,Candidates!$A$2:$A$2000,$A1199),""))</f>
        <v/>
      </c>
      <c r="S1199" s="65" t="str">
        <f>IF($A1199="","",IFERROR(MAXIFS(Candidates!$AA$2:$AA$2000,Candidates!$A$2:$A$2000,$A1199),""))</f>
        <v/>
      </c>
      <c r="T1199" s="64" t="str">
        <f>IFERROR(__xludf.DUMMYFUNCTION("IF($A1199="""","""",IFERROR(TEXTJOIN("", "",TRUE,UNIQUE(FILTER(Candidates!$B$2:$B$2000,Candidates!$A$2:$A$2000=$A1199))),""""))"),"")</f>
        <v/>
      </c>
      <c r="U1199" s="66" t="str">
        <f>IF($A1199="","",COUNTIF(Candidates!$A$2:$A$2000,$A1199))</f>
        <v/>
      </c>
      <c r="V1199" s="64" t="str">
        <f>IFERROR(__xludf.DUMMYFUNCTION("IF($A1199="""","""",IFERROR(INDEX(FILTER(Candidates!$S$2:$S$2000,Candidates!$A$2:$A$2000=$A1199),COUNTIF(Candidates!$A$2:$A$2000,$A1199)),""""))"),"")</f>
        <v/>
      </c>
      <c r="W1199" s="64" t="str">
        <f>IFERROR(__xludf.DUMMYFUNCTION("IF($A1199="""","""",IFERROR(INDEX(FILTER(Candidates!$T$2:$T$2000,Candidates!$A$2:$A$2000=$A1199),COUNTIF(Candidates!$A$2:$A$2000,$A1199)),""""))"),"")</f>
        <v/>
      </c>
      <c r="X1199" s="64"/>
      <c r="Y1199" s="64"/>
      <c r="Z1199" s="65"/>
      <c r="AA1199" s="65"/>
      <c r="AB1199" s="65"/>
      <c r="AC1199" s="65"/>
    </row>
    <row r="1200">
      <c r="A1200" s="64"/>
      <c r="B1200" s="64"/>
      <c r="C1200" s="64"/>
      <c r="D1200" s="64"/>
      <c r="E1200" s="64"/>
      <c r="F1200" s="64"/>
      <c r="G1200" s="64"/>
      <c r="H1200" s="63"/>
      <c r="I1200" s="64"/>
      <c r="J1200" s="64"/>
      <c r="K1200" s="64"/>
      <c r="L1200" s="64"/>
      <c r="M1200" s="64"/>
      <c r="N1200" s="64"/>
      <c r="O1200" s="64"/>
      <c r="P1200" s="64"/>
      <c r="Q1200" s="64"/>
      <c r="R1200" s="65" t="str">
        <f>IF($A1200="","",IFERROR(MINIFS(Candidates!$K$2:$K$2000,Candidates!$A$2:$A$2000,$A1200),""))</f>
        <v/>
      </c>
      <c r="S1200" s="65" t="str">
        <f>IF($A1200="","",IFERROR(MAXIFS(Candidates!$AA$2:$AA$2000,Candidates!$A$2:$A$2000,$A1200),""))</f>
        <v/>
      </c>
      <c r="T1200" s="64" t="str">
        <f>IFERROR(__xludf.DUMMYFUNCTION("IF($A1200="""","""",IFERROR(TEXTJOIN("", "",TRUE,UNIQUE(FILTER(Candidates!$B$2:$B$2000,Candidates!$A$2:$A$2000=$A1200))),""""))"),"")</f>
        <v/>
      </c>
      <c r="U1200" s="66" t="str">
        <f>IF($A1200="","",COUNTIF(Candidates!$A$2:$A$2000,$A1200))</f>
        <v/>
      </c>
      <c r="V1200" s="64" t="str">
        <f>IFERROR(__xludf.DUMMYFUNCTION("IF($A1200="""","""",IFERROR(INDEX(FILTER(Candidates!$S$2:$S$2000,Candidates!$A$2:$A$2000=$A1200),COUNTIF(Candidates!$A$2:$A$2000,$A1200)),""""))"),"")</f>
        <v/>
      </c>
      <c r="W1200" s="64" t="str">
        <f>IFERROR(__xludf.DUMMYFUNCTION("IF($A1200="""","""",IFERROR(INDEX(FILTER(Candidates!$T$2:$T$2000,Candidates!$A$2:$A$2000=$A1200),COUNTIF(Candidates!$A$2:$A$2000,$A1200)),""""))"),"")</f>
        <v/>
      </c>
      <c r="X1200" s="64"/>
      <c r="Y1200" s="64"/>
      <c r="Z1200" s="65"/>
      <c r="AA1200" s="65"/>
      <c r="AB1200" s="65"/>
      <c r="AC1200" s="65"/>
    </row>
    <row r="1201">
      <c r="A1201" s="64"/>
      <c r="B1201" s="64"/>
      <c r="C1201" s="64"/>
      <c r="D1201" s="64"/>
      <c r="E1201" s="64"/>
      <c r="F1201" s="64"/>
      <c r="G1201" s="64"/>
      <c r="H1201" s="63"/>
      <c r="I1201" s="64"/>
      <c r="J1201" s="64"/>
      <c r="K1201" s="64"/>
      <c r="L1201" s="64"/>
      <c r="M1201" s="64"/>
      <c r="N1201" s="64"/>
      <c r="O1201" s="64"/>
      <c r="P1201" s="64"/>
      <c r="Q1201" s="64"/>
      <c r="R1201" s="65" t="str">
        <f>IF($A1201="","",IFERROR(MINIFS(Candidates!$K$2:$K$2000,Candidates!$A$2:$A$2000,$A1201),""))</f>
        <v/>
      </c>
      <c r="S1201" s="65" t="str">
        <f>IF($A1201="","",IFERROR(MAXIFS(Candidates!$AA$2:$AA$2000,Candidates!$A$2:$A$2000,$A1201),""))</f>
        <v/>
      </c>
      <c r="T1201" s="64" t="str">
        <f>IFERROR(__xludf.DUMMYFUNCTION("IF($A1201="""","""",IFERROR(TEXTJOIN("", "",TRUE,UNIQUE(FILTER(Candidates!$B$2:$B$2000,Candidates!$A$2:$A$2000=$A1201))),""""))"),"")</f>
        <v/>
      </c>
      <c r="U1201" s="66" t="str">
        <f>IF($A1201="","",COUNTIF(Candidates!$A$2:$A$2000,$A1201))</f>
        <v/>
      </c>
      <c r="V1201" s="64" t="str">
        <f>IFERROR(__xludf.DUMMYFUNCTION("IF($A1201="""","""",IFERROR(INDEX(FILTER(Candidates!$S$2:$S$2000,Candidates!$A$2:$A$2000=$A1201),COUNTIF(Candidates!$A$2:$A$2000,$A1201)),""""))"),"")</f>
        <v/>
      </c>
      <c r="W1201" s="64" t="str">
        <f>IFERROR(__xludf.DUMMYFUNCTION("IF($A1201="""","""",IFERROR(INDEX(FILTER(Candidates!$T$2:$T$2000,Candidates!$A$2:$A$2000=$A1201),COUNTIF(Candidates!$A$2:$A$2000,$A1201)),""""))"),"")</f>
        <v/>
      </c>
      <c r="X1201" s="64"/>
      <c r="Y1201" s="64"/>
      <c r="Z1201" s="65"/>
      <c r="AA1201" s="65"/>
      <c r="AB1201" s="65"/>
      <c r="AC1201" s="65"/>
    </row>
    <row r="1202">
      <c r="A1202" s="64"/>
      <c r="B1202" s="64"/>
      <c r="C1202" s="64"/>
      <c r="D1202" s="64"/>
      <c r="E1202" s="64"/>
      <c r="F1202" s="64"/>
      <c r="G1202" s="64"/>
      <c r="H1202" s="63"/>
      <c r="I1202" s="64"/>
      <c r="J1202" s="64"/>
      <c r="K1202" s="64"/>
      <c r="L1202" s="64"/>
      <c r="M1202" s="64"/>
      <c r="N1202" s="64"/>
      <c r="O1202" s="64"/>
      <c r="P1202" s="64"/>
      <c r="Q1202" s="64"/>
      <c r="R1202" s="65" t="str">
        <f>IF($A1202="","",IFERROR(MINIFS(Candidates!$K$2:$K$2000,Candidates!$A$2:$A$2000,$A1202),""))</f>
        <v/>
      </c>
      <c r="S1202" s="65" t="str">
        <f>IF($A1202="","",IFERROR(MAXIFS(Candidates!$AA$2:$AA$2000,Candidates!$A$2:$A$2000,$A1202),""))</f>
        <v/>
      </c>
      <c r="T1202" s="64" t="str">
        <f>IFERROR(__xludf.DUMMYFUNCTION("IF($A1202="""","""",IFERROR(TEXTJOIN("", "",TRUE,UNIQUE(FILTER(Candidates!$B$2:$B$2000,Candidates!$A$2:$A$2000=$A1202))),""""))"),"")</f>
        <v/>
      </c>
      <c r="U1202" s="66" t="str">
        <f>IF($A1202="","",COUNTIF(Candidates!$A$2:$A$2000,$A1202))</f>
        <v/>
      </c>
      <c r="V1202" s="64" t="str">
        <f>IFERROR(__xludf.DUMMYFUNCTION("IF($A1202="""","""",IFERROR(INDEX(FILTER(Candidates!$S$2:$S$2000,Candidates!$A$2:$A$2000=$A1202),COUNTIF(Candidates!$A$2:$A$2000,$A1202)),""""))"),"")</f>
        <v/>
      </c>
      <c r="W1202" s="64" t="str">
        <f>IFERROR(__xludf.DUMMYFUNCTION("IF($A1202="""","""",IFERROR(INDEX(FILTER(Candidates!$T$2:$T$2000,Candidates!$A$2:$A$2000=$A1202),COUNTIF(Candidates!$A$2:$A$2000,$A1202)),""""))"),"")</f>
        <v/>
      </c>
      <c r="X1202" s="64"/>
      <c r="Y1202" s="64"/>
      <c r="Z1202" s="65"/>
      <c r="AA1202" s="65"/>
      <c r="AB1202" s="65"/>
      <c r="AC1202" s="65"/>
    </row>
    <row r="1203">
      <c r="A1203" s="64"/>
      <c r="B1203" s="64"/>
      <c r="C1203" s="64"/>
      <c r="D1203" s="64"/>
      <c r="E1203" s="64"/>
      <c r="F1203" s="64"/>
      <c r="G1203" s="64"/>
      <c r="H1203" s="63"/>
      <c r="I1203" s="64"/>
      <c r="J1203" s="64"/>
      <c r="K1203" s="64"/>
      <c r="L1203" s="64"/>
      <c r="M1203" s="64"/>
      <c r="N1203" s="64"/>
      <c r="O1203" s="64"/>
      <c r="P1203" s="64"/>
      <c r="Q1203" s="64"/>
      <c r="R1203" s="65" t="str">
        <f>IF($A1203="","",IFERROR(MINIFS(Candidates!$K$2:$K$2000,Candidates!$A$2:$A$2000,$A1203),""))</f>
        <v/>
      </c>
      <c r="S1203" s="65" t="str">
        <f>IF($A1203="","",IFERROR(MAXIFS(Candidates!$AA$2:$AA$2000,Candidates!$A$2:$A$2000,$A1203),""))</f>
        <v/>
      </c>
      <c r="T1203" s="64" t="str">
        <f>IFERROR(__xludf.DUMMYFUNCTION("IF($A1203="""","""",IFERROR(TEXTJOIN("", "",TRUE,UNIQUE(FILTER(Candidates!$B$2:$B$2000,Candidates!$A$2:$A$2000=$A1203))),""""))"),"")</f>
        <v/>
      </c>
      <c r="U1203" s="66" t="str">
        <f>IF($A1203="","",COUNTIF(Candidates!$A$2:$A$2000,$A1203))</f>
        <v/>
      </c>
      <c r="V1203" s="64" t="str">
        <f>IFERROR(__xludf.DUMMYFUNCTION("IF($A1203="""","""",IFERROR(INDEX(FILTER(Candidates!$S$2:$S$2000,Candidates!$A$2:$A$2000=$A1203),COUNTIF(Candidates!$A$2:$A$2000,$A1203)),""""))"),"")</f>
        <v/>
      </c>
      <c r="W1203" s="64" t="str">
        <f>IFERROR(__xludf.DUMMYFUNCTION("IF($A1203="""","""",IFERROR(INDEX(FILTER(Candidates!$T$2:$T$2000,Candidates!$A$2:$A$2000=$A1203),COUNTIF(Candidates!$A$2:$A$2000,$A1203)),""""))"),"")</f>
        <v/>
      </c>
      <c r="X1203" s="64"/>
      <c r="Y1203" s="64"/>
      <c r="Z1203" s="65"/>
      <c r="AA1203" s="65"/>
      <c r="AB1203" s="65"/>
      <c r="AC1203" s="65"/>
    </row>
    <row r="1204">
      <c r="A1204" s="64"/>
      <c r="B1204" s="64"/>
      <c r="C1204" s="64"/>
      <c r="D1204" s="64"/>
      <c r="E1204" s="64"/>
      <c r="F1204" s="64"/>
      <c r="G1204" s="64"/>
      <c r="H1204" s="63"/>
      <c r="I1204" s="64"/>
      <c r="J1204" s="64"/>
      <c r="K1204" s="64"/>
      <c r="L1204" s="64"/>
      <c r="M1204" s="64"/>
      <c r="N1204" s="64"/>
      <c r="O1204" s="64"/>
      <c r="P1204" s="64"/>
      <c r="Q1204" s="64"/>
      <c r="R1204" s="65" t="str">
        <f>IF($A1204="","",IFERROR(MINIFS(Candidates!$K$2:$K$2000,Candidates!$A$2:$A$2000,$A1204),""))</f>
        <v/>
      </c>
      <c r="S1204" s="65" t="str">
        <f>IF($A1204="","",IFERROR(MAXIFS(Candidates!$AA$2:$AA$2000,Candidates!$A$2:$A$2000,$A1204),""))</f>
        <v/>
      </c>
      <c r="T1204" s="64" t="str">
        <f>IFERROR(__xludf.DUMMYFUNCTION("IF($A1204="""","""",IFERROR(TEXTJOIN("", "",TRUE,UNIQUE(FILTER(Candidates!$B$2:$B$2000,Candidates!$A$2:$A$2000=$A1204))),""""))"),"")</f>
        <v/>
      </c>
      <c r="U1204" s="66" t="str">
        <f>IF($A1204="","",COUNTIF(Candidates!$A$2:$A$2000,$A1204))</f>
        <v/>
      </c>
      <c r="V1204" s="64" t="str">
        <f>IFERROR(__xludf.DUMMYFUNCTION("IF($A1204="""","""",IFERROR(INDEX(FILTER(Candidates!$S$2:$S$2000,Candidates!$A$2:$A$2000=$A1204),COUNTIF(Candidates!$A$2:$A$2000,$A1204)),""""))"),"")</f>
        <v/>
      </c>
      <c r="W1204" s="64" t="str">
        <f>IFERROR(__xludf.DUMMYFUNCTION("IF($A1204="""","""",IFERROR(INDEX(FILTER(Candidates!$T$2:$T$2000,Candidates!$A$2:$A$2000=$A1204),COUNTIF(Candidates!$A$2:$A$2000,$A1204)),""""))"),"")</f>
        <v/>
      </c>
      <c r="X1204" s="64"/>
      <c r="Y1204" s="64"/>
      <c r="Z1204" s="65"/>
      <c r="AA1204" s="65"/>
      <c r="AB1204" s="65"/>
      <c r="AC1204" s="65"/>
    </row>
    <row r="1205">
      <c r="A1205" s="64"/>
      <c r="B1205" s="64"/>
      <c r="C1205" s="64"/>
      <c r="D1205" s="64"/>
      <c r="E1205" s="64"/>
      <c r="F1205" s="64"/>
      <c r="G1205" s="64"/>
      <c r="H1205" s="63"/>
      <c r="I1205" s="64"/>
      <c r="J1205" s="64"/>
      <c r="K1205" s="64"/>
      <c r="L1205" s="64"/>
      <c r="M1205" s="64"/>
      <c r="N1205" s="64"/>
      <c r="O1205" s="64"/>
      <c r="P1205" s="64"/>
      <c r="Q1205" s="64"/>
      <c r="R1205" s="65" t="str">
        <f>IF($A1205="","",IFERROR(MINIFS(Candidates!$K$2:$K$2000,Candidates!$A$2:$A$2000,$A1205),""))</f>
        <v/>
      </c>
      <c r="S1205" s="65" t="str">
        <f>IF($A1205="","",IFERROR(MAXIFS(Candidates!$AA$2:$AA$2000,Candidates!$A$2:$A$2000,$A1205),""))</f>
        <v/>
      </c>
      <c r="T1205" s="64" t="str">
        <f>IFERROR(__xludf.DUMMYFUNCTION("IF($A1205="""","""",IFERROR(TEXTJOIN("", "",TRUE,UNIQUE(FILTER(Candidates!$B$2:$B$2000,Candidates!$A$2:$A$2000=$A1205))),""""))"),"")</f>
        <v/>
      </c>
      <c r="U1205" s="66" t="str">
        <f>IF($A1205="","",COUNTIF(Candidates!$A$2:$A$2000,$A1205))</f>
        <v/>
      </c>
      <c r="V1205" s="64" t="str">
        <f>IFERROR(__xludf.DUMMYFUNCTION("IF($A1205="""","""",IFERROR(INDEX(FILTER(Candidates!$S$2:$S$2000,Candidates!$A$2:$A$2000=$A1205),COUNTIF(Candidates!$A$2:$A$2000,$A1205)),""""))"),"")</f>
        <v/>
      </c>
      <c r="W1205" s="64" t="str">
        <f>IFERROR(__xludf.DUMMYFUNCTION("IF($A1205="""","""",IFERROR(INDEX(FILTER(Candidates!$T$2:$T$2000,Candidates!$A$2:$A$2000=$A1205),COUNTIF(Candidates!$A$2:$A$2000,$A1205)),""""))"),"")</f>
        <v/>
      </c>
      <c r="X1205" s="64"/>
      <c r="Y1205" s="64"/>
      <c r="Z1205" s="65"/>
      <c r="AA1205" s="65"/>
      <c r="AB1205" s="65"/>
      <c r="AC1205" s="65"/>
    </row>
    <row r="1206">
      <c r="A1206" s="64"/>
      <c r="B1206" s="64"/>
      <c r="C1206" s="64"/>
      <c r="D1206" s="64"/>
      <c r="E1206" s="64"/>
      <c r="F1206" s="64"/>
      <c r="G1206" s="64"/>
      <c r="H1206" s="63"/>
      <c r="I1206" s="64"/>
      <c r="J1206" s="64"/>
      <c r="K1206" s="64"/>
      <c r="L1206" s="64"/>
      <c r="M1206" s="64"/>
      <c r="N1206" s="64"/>
      <c r="O1206" s="64"/>
      <c r="P1206" s="64"/>
      <c r="Q1206" s="64"/>
      <c r="R1206" s="65" t="str">
        <f>IF($A1206="","",IFERROR(MINIFS(Candidates!$K$2:$K$2000,Candidates!$A$2:$A$2000,$A1206),""))</f>
        <v/>
      </c>
      <c r="S1206" s="65" t="str">
        <f>IF($A1206="","",IFERROR(MAXIFS(Candidates!$AA$2:$AA$2000,Candidates!$A$2:$A$2000,$A1206),""))</f>
        <v/>
      </c>
      <c r="T1206" s="64" t="str">
        <f>IFERROR(__xludf.DUMMYFUNCTION("IF($A1206="""","""",IFERROR(TEXTJOIN("", "",TRUE,UNIQUE(FILTER(Candidates!$B$2:$B$2000,Candidates!$A$2:$A$2000=$A1206))),""""))"),"")</f>
        <v/>
      </c>
      <c r="U1206" s="66" t="str">
        <f>IF($A1206="","",COUNTIF(Candidates!$A$2:$A$2000,$A1206))</f>
        <v/>
      </c>
      <c r="V1206" s="64" t="str">
        <f>IFERROR(__xludf.DUMMYFUNCTION("IF($A1206="""","""",IFERROR(INDEX(FILTER(Candidates!$S$2:$S$2000,Candidates!$A$2:$A$2000=$A1206),COUNTIF(Candidates!$A$2:$A$2000,$A1206)),""""))"),"")</f>
        <v/>
      </c>
      <c r="W1206" s="64" t="str">
        <f>IFERROR(__xludf.DUMMYFUNCTION("IF($A1206="""","""",IFERROR(INDEX(FILTER(Candidates!$T$2:$T$2000,Candidates!$A$2:$A$2000=$A1206),COUNTIF(Candidates!$A$2:$A$2000,$A1206)),""""))"),"")</f>
        <v/>
      </c>
      <c r="X1206" s="64"/>
      <c r="Y1206" s="64"/>
      <c r="Z1206" s="65"/>
      <c r="AA1206" s="65"/>
      <c r="AB1206" s="65"/>
      <c r="AC1206" s="65"/>
    </row>
    <row r="1207">
      <c r="A1207" s="64"/>
      <c r="B1207" s="64"/>
      <c r="C1207" s="64"/>
      <c r="D1207" s="64"/>
      <c r="E1207" s="64"/>
      <c r="F1207" s="64"/>
      <c r="G1207" s="64"/>
      <c r="H1207" s="63"/>
      <c r="I1207" s="64"/>
      <c r="J1207" s="64"/>
      <c r="K1207" s="64"/>
      <c r="L1207" s="64"/>
      <c r="M1207" s="64"/>
      <c r="N1207" s="64"/>
      <c r="O1207" s="64"/>
      <c r="P1207" s="64"/>
      <c r="Q1207" s="64"/>
      <c r="R1207" s="65" t="str">
        <f>IF($A1207="","",IFERROR(MINIFS(Candidates!$K$2:$K$2000,Candidates!$A$2:$A$2000,$A1207),""))</f>
        <v/>
      </c>
      <c r="S1207" s="65" t="str">
        <f>IF($A1207="","",IFERROR(MAXIFS(Candidates!$AA$2:$AA$2000,Candidates!$A$2:$A$2000,$A1207),""))</f>
        <v/>
      </c>
      <c r="T1207" s="64" t="str">
        <f>IFERROR(__xludf.DUMMYFUNCTION("IF($A1207="""","""",IFERROR(TEXTJOIN("", "",TRUE,UNIQUE(FILTER(Candidates!$B$2:$B$2000,Candidates!$A$2:$A$2000=$A1207))),""""))"),"")</f>
        <v/>
      </c>
      <c r="U1207" s="66" t="str">
        <f>IF($A1207="","",COUNTIF(Candidates!$A$2:$A$2000,$A1207))</f>
        <v/>
      </c>
      <c r="V1207" s="64" t="str">
        <f>IFERROR(__xludf.DUMMYFUNCTION("IF($A1207="""","""",IFERROR(INDEX(FILTER(Candidates!$S$2:$S$2000,Candidates!$A$2:$A$2000=$A1207),COUNTIF(Candidates!$A$2:$A$2000,$A1207)),""""))"),"")</f>
        <v/>
      </c>
      <c r="W1207" s="64" t="str">
        <f>IFERROR(__xludf.DUMMYFUNCTION("IF($A1207="""","""",IFERROR(INDEX(FILTER(Candidates!$T$2:$T$2000,Candidates!$A$2:$A$2000=$A1207),COUNTIF(Candidates!$A$2:$A$2000,$A1207)),""""))"),"")</f>
        <v/>
      </c>
      <c r="X1207" s="64"/>
      <c r="Y1207" s="64"/>
      <c r="Z1207" s="65"/>
      <c r="AA1207" s="65"/>
      <c r="AB1207" s="65"/>
      <c r="AC1207" s="65"/>
    </row>
    <row r="1208">
      <c r="A1208" s="64"/>
      <c r="B1208" s="64"/>
      <c r="C1208" s="64"/>
      <c r="D1208" s="64"/>
      <c r="E1208" s="64"/>
      <c r="F1208" s="64"/>
      <c r="G1208" s="64"/>
      <c r="H1208" s="63"/>
      <c r="I1208" s="64"/>
      <c r="J1208" s="64"/>
      <c r="K1208" s="64"/>
      <c r="L1208" s="64"/>
      <c r="M1208" s="64"/>
      <c r="N1208" s="64"/>
      <c r="O1208" s="64"/>
      <c r="P1208" s="64"/>
      <c r="Q1208" s="64"/>
      <c r="R1208" s="65" t="str">
        <f>IF($A1208="","",IFERROR(MINIFS(Candidates!$K$2:$K$2000,Candidates!$A$2:$A$2000,$A1208),""))</f>
        <v/>
      </c>
      <c r="S1208" s="65" t="str">
        <f>IF($A1208="","",IFERROR(MAXIFS(Candidates!$AA$2:$AA$2000,Candidates!$A$2:$A$2000,$A1208),""))</f>
        <v/>
      </c>
      <c r="T1208" s="64" t="str">
        <f>IFERROR(__xludf.DUMMYFUNCTION("IF($A1208="""","""",IFERROR(TEXTJOIN("", "",TRUE,UNIQUE(FILTER(Candidates!$B$2:$B$2000,Candidates!$A$2:$A$2000=$A1208))),""""))"),"")</f>
        <v/>
      </c>
      <c r="U1208" s="66" t="str">
        <f>IF($A1208="","",COUNTIF(Candidates!$A$2:$A$2000,$A1208))</f>
        <v/>
      </c>
      <c r="V1208" s="64" t="str">
        <f>IFERROR(__xludf.DUMMYFUNCTION("IF($A1208="""","""",IFERROR(INDEX(FILTER(Candidates!$S$2:$S$2000,Candidates!$A$2:$A$2000=$A1208),COUNTIF(Candidates!$A$2:$A$2000,$A1208)),""""))"),"")</f>
        <v/>
      </c>
      <c r="W1208" s="64" t="str">
        <f>IFERROR(__xludf.DUMMYFUNCTION("IF($A1208="""","""",IFERROR(INDEX(FILTER(Candidates!$T$2:$T$2000,Candidates!$A$2:$A$2000=$A1208),COUNTIF(Candidates!$A$2:$A$2000,$A1208)),""""))"),"")</f>
        <v/>
      </c>
      <c r="X1208" s="64"/>
      <c r="Y1208" s="64"/>
      <c r="Z1208" s="65"/>
      <c r="AA1208" s="65"/>
      <c r="AB1208" s="65"/>
      <c r="AC1208" s="65"/>
    </row>
    <row r="1209">
      <c r="A1209" s="64"/>
      <c r="B1209" s="64"/>
      <c r="C1209" s="64"/>
      <c r="D1209" s="64"/>
      <c r="E1209" s="64"/>
      <c r="F1209" s="64"/>
      <c r="G1209" s="64"/>
      <c r="H1209" s="63"/>
      <c r="I1209" s="64"/>
      <c r="J1209" s="64"/>
      <c r="K1209" s="64"/>
      <c r="L1209" s="64"/>
      <c r="M1209" s="64"/>
      <c r="N1209" s="64"/>
      <c r="O1209" s="64"/>
      <c r="P1209" s="64"/>
      <c r="Q1209" s="64"/>
      <c r="R1209" s="65" t="str">
        <f>IF($A1209="","",IFERROR(MINIFS(Candidates!$K$2:$K$2000,Candidates!$A$2:$A$2000,$A1209),""))</f>
        <v/>
      </c>
      <c r="S1209" s="65" t="str">
        <f>IF($A1209="","",IFERROR(MAXIFS(Candidates!$AA$2:$AA$2000,Candidates!$A$2:$A$2000,$A1209),""))</f>
        <v/>
      </c>
      <c r="T1209" s="64" t="str">
        <f>IFERROR(__xludf.DUMMYFUNCTION("IF($A1209="""","""",IFERROR(TEXTJOIN("", "",TRUE,UNIQUE(FILTER(Candidates!$B$2:$B$2000,Candidates!$A$2:$A$2000=$A1209))),""""))"),"")</f>
        <v/>
      </c>
      <c r="U1209" s="66" t="str">
        <f>IF($A1209="","",COUNTIF(Candidates!$A$2:$A$2000,$A1209))</f>
        <v/>
      </c>
      <c r="V1209" s="64" t="str">
        <f>IFERROR(__xludf.DUMMYFUNCTION("IF($A1209="""","""",IFERROR(INDEX(FILTER(Candidates!$S$2:$S$2000,Candidates!$A$2:$A$2000=$A1209),COUNTIF(Candidates!$A$2:$A$2000,$A1209)),""""))"),"")</f>
        <v/>
      </c>
      <c r="W1209" s="64" t="str">
        <f>IFERROR(__xludf.DUMMYFUNCTION("IF($A1209="""","""",IFERROR(INDEX(FILTER(Candidates!$T$2:$T$2000,Candidates!$A$2:$A$2000=$A1209),COUNTIF(Candidates!$A$2:$A$2000,$A1209)),""""))"),"")</f>
        <v/>
      </c>
      <c r="X1209" s="64"/>
      <c r="Y1209" s="64"/>
      <c r="Z1209" s="65"/>
      <c r="AA1209" s="65"/>
      <c r="AB1209" s="65"/>
      <c r="AC1209" s="65"/>
    </row>
    <row r="1210">
      <c r="A1210" s="64"/>
      <c r="B1210" s="64"/>
      <c r="C1210" s="64"/>
      <c r="D1210" s="64"/>
      <c r="E1210" s="64"/>
      <c r="F1210" s="64"/>
      <c r="G1210" s="64"/>
      <c r="H1210" s="63"/>
      <c r="I1210" s="64"/>
      <c r="J1210" s="64"/>
      <c r="K1210" s="64"/>
      <c r="L1210" s="64"/>
      <c r="M1210" s="64"/>
      <c r="N1210" s="64"/>
      <c r="O1210" s="64"/>
      <c r="P1210" s="64"/>
      <c r="Q1210" s="64"/>
      <c r="R1210" s="65" t="str">
        <f>IF($A1210="","",IFERROR(MINIFS(Candidates!$K$2:$K$2000,Candidates!$A$2:$A$2000,$A1210),""))</f>
        <v/>
      </c>
      <c r="S1210" s="65" t="str">
        <f>IF($A1210="","",IFERROR(MAXIFS(Candidates!$AA$2:$AA$2000,Candidates!$A$2:$A$2000,$A1210),""))</f>
        <v/>
      </c>
      <c r="T1210" s="64" t="str">
        <f>IFERROR(__xludf.DUMMYFUNCTION("IF($A1210="""","""",IFERROR(TEXTJOIN("", "",TRUE,UNIQUE(FILTER(Candidates!$B$2:$B$2000,Candidates!$A$2:$A$2000=$A1210))),""""))"),"")</f>
        <v/>
      </c>
      <c r="U1210" s="66" t="str">
        <f>IF($A1210="","",COUNTIF(Candidates!$A$2:$A$2000,$A1210))</f>
        <v/>
      </c>
      <c r="V1210" s="64" t="str">
        <f>IFERROR(__xludf.DUMMYFUNCTION("IF($A1210="""","""",IFERROR(INDEX(FILTER(Candidates!$S$2:$S$2000,Candidates!$A$2:$A$2000=$A1210),COUNTIF(Candidates!$A$2:$A$2000,$A1210)),""""))"),"")</f>
        <v/>
      </c>
      <c r="W1210" s="64" t="str">
        <f>IFERROR(__xludf.DUMMYFUNCTION("IF($A1210="""","""",IFERROR(INDEX(FILTER(Candidates!$T$2:$T$2000,Candidates!$A$2:$A$2000=$A1210),COUNTIF(Candidates!$A$2:$A$2000,$A1210)),""""))"),"")</f>
        <v/>
      </c>
      <c r="X1210" s="64"/>
      <c r="Y1210" s="64"/>
      <c r="Z1210" s="65"/>
      <c r="AA1210" s="65"/>
      <c r="AB1210" s="65"/>
      <c r="AC1210" s="65"/>
    </row>
    <row r="1211">
      <c r="A1211" s="64"/>
      <c r="B1211" s="64"/>
      <c r="C1211" s="64"/>
      <c r="D1211" s="64"/>
      <c r="E1211" s="64"/>
      <c r="F1211" s="64"/>
      <c r="G1211" s="64"/>
      <c r="H1211" s="63"/>
      <c r="I1211" s="64"/>
      <c r="J1211" s="64"/>
      <c r="K1211" s="64"/>
      <c r="L1211" s="64"/>
      <c r="M1211" s="64"/>
      <c r="N1211" s="64"/>
      <c r="O1211" s="64"/>
      <c r="P1211" s="64"/>
      <c r="Q1211" s="64"/>
      <c r="R1211" s="65" t="str">
        <f>IF($A1211="","",IFERROR(MINIFS(Candidates!$K$2:$K$2000,Candidates!$A$2:$A$2000,$A1211),""))</f>
        <v/>
      </c>
      <c r="S1211" s="65" t="str">
        <f>IF($A1211="","",IFERROR(MAXIFS(Candidates!$AA$2:$AA$2000,Candidates!$A$2:$A$2000,$A1211),""))</f>
        <v/>
      </c>
      <c r="T1211" s="64" t="str">
        <f>IFERROR(__xludf.DUMMYFUNCTION("IF($A1211="""","""",IFERROR(TEXTJOIN("", "",TRUE,UNIQUE(FILTER(Candidates!$B$2:$B$2000,Candidates!$A$2:$A$2000=$A1211))),""""))"),"")</f>
        <v/>
      </c>
      <c r="U1211" s="66" t="str">
        <f>IF($A1211="","",COUNTIF(Candidates!$A$2:$A$2000,$A1211))</f>
        <v/>
      </c>
      <c r="V1211" s="64" t="str">
        <f>IFERROR(__xludf.DUMMYFUNCTION("IF($A1211="""","""",IFERROR(INDEX(FILTER(Candidates!$S$2:$S$2000,Candidates!$A$2:$A$2000=$A1211),COUNTIF(Candidates!$A$2:$A$2000,$A1211)),""""))"),"")</f>
        <v/>
      </c>
      <c r="W1211" s="64" t="str">
        <f>IFERROR(__xludf.DUMMYFUNCTION("IF($A1211="""","""",IFERROR(INDEX(FILTER(Candidates!$T$2:$T$2000,Candidates!$A$2:$A$2000=$A1211),COUNTIF(Candidates!$A$2:$A$2000,$A1211)),""""))"),"")</f>
        <v/>
      </c>
      <c r="X1211" s="64"/>
      <c r="Y1211" s="64"/>
      <c r="Z1211" s="65"/>
      <c r="AA1211" s="65"/>
      <c r="AB1211" s="65"/>
      <c r="AC1211" s="65"/>
    </row>
    <row r="1212">
      <c r="A1212" s="64"/>
      <c r="B1212" s="64"/>
      <c r="C1212" s="64"/>
      <c r="D1212" s="64"/>
      <c r="E1212" s="64"/>
      <c r="F1212" s="64"/>
      <c r="G1212" s="64"/>
      <c r="H1212" s="63"/>
      <c r="I1212" s="64"/>
      <c r="J1212" s="64"/>
      <c r="K1212" s="64"/>
      <c r="L1212" s="64"/>
      <c r="M1212" s="64"/>
      <c r="N1212" s="64"/>
      <c r="O1212" s="64"/>
      <c r="P1212" s="64"/>
      <c r="Q1212" s="64"/>
      <c r="R1212" s="65" t="str">
        <f>IF($A1212="","",IFERROR(MINIFS(Candidates!$K$2:$K$2000,Candidates!$A$2:$A$2000,$A1212),""))</f>
        <v/>
      </c>
      <c r="S1212" s="65" t="str">
        <f>IF($A1212="","",IFERROR(MAXIFS(Candidates!$AA$2:$AA$2000,Candidates!$A$2:$A$2000,$A1212),""))</f>
        <v/>
      </c>
      <c r="T1212" s="64" t="str">
        <f>IFERROR(__xludf.DUMMYFUNCTION("IF($A1212="""","""",IFERROR(TEXTJOIN("", "",TRUE,UNIQUE(FILTER(Candidates!$B$2:$B$2000,Candidates!$A$2:$A$2000=$A1212))),""""))"),"")</f>
        <v/>
      </c>
      <c r="U1212" s="66" t="str">
        <f>IF($A1212="","",COUNTIF(Candidates!$A$2:$A$2000,$A1212))</f>
        <v/>
      </c>
      <c r="V1212" s="64" t="str">
        <f>IFERROR(__xludf.DUMMYFUNCTION("IF($A1212="""","""",IFERROR(INDEX(FILTER(Candidates!$S$2:$S$2000,Candidates!$A$2:$A$2000=$A1212),COUNTIF(Candidates!$A$2:$A$2000,$A1212)),""""))"),"")</f>
        <v/>
      </c>
      <c r="W1212" s="64" t="str">
        <f>IFERROR(__xludf.DUMMYFUNCTION("IF($A1212="""","""",IFERROR(INDEX(FILTER(Candidates!$T$2:$T$2000,Candidates!$A$2:$A$2000=$A1212),COUNTIF(Candidates!$A$2:$A$2000,$A1212)),""""))"),"")</f>
        <v/>
      </c>
      <c r="X1212" s="64"/>
      <c r="Y1212" s="64"/>
      <c r="Z1212" s="65"/>
      <c r="AA1212" s="65"/>
      <c r="AB1212" s="65"/>
      <c r="AC1212" s="65"/>
    </row>
    <row r="1213">
      <c r="A1213" s="64"/>
      <c r="B1213" s="64"/>
      <c r="C1213" s="64"/>
      <c r="D1213" s="64"/>
      <c r="E1213" s="64"/>
      <c r="F1213" s="64"/>
      <c r="G1213" s="64"/>
      <c r="H1213" s="63"/>
      <c r="I1213" s="64"/>
      <c r="J1213" s="64"/>
      <c r="K1213" s="64"/>
      <c r="L1213" s="64"/>
      <c r="M1213" s="64"/>
      <c r="N1213" s="64"/>
      <c r="O1213" s="64"/>
      <c r="P1213" s="64"/>
      <c r="Q1213" s="64"/>
      <c r="R1213" s="65" t="str">
        <f>IF($A1213="","",IFERROR(MINIFS(Candidates!$K$2:$K$2000,Candidates!$A$2:$A$2000,$A1213),""))</f>
        <v/>
      </c>
      <c r="S1213" s="65" t="str">
        <f>IF($A1213="","",IFERROR(MAXIFS(Candidates!$AA$2:$AA$2000,Candidates!$A$2:$A$2000,$A1213),""))</f>
        <v/>
      </c>
      <c r="T1213" s="64" t="str">
        <f>IFERROR(__xludf.DUMMYFUNCTION("IF($A1213="""","""",IFERROR(TEXTJOIN("", "",TRUE,UNIQUE(FILTER(Candidates!$B$2:$B$2000,Candidates!$A$2:$A$2000=$A1213))),""""))"),"")</f>
        <v/>
      </c>
      <c r="U1213" s="66" t="str">
        <f>IF($A1213="","",COUNTIF(Candidates!$A$2:$A$2000,$A1213))</f>
        <v/>
      </c>
      <c r="V1213" s="64" t="str">
        <f>IFERROR(__xludf.DUMMYFUNCTION("IF($A1213="""","""",IFERROR(INDEX(FILTER(Candidates!$S$2:$S$2000,Candidates!$A$2:$A$2000=$A1213),COUNTIF(Candidates!$A$2:$A$2000,$A1213)),""""))"),"")</f>
        <v/>
      </c>
      <c r="W1213" s="64" t="str">
        <f>IFERROR(__xludf.DUMMYFUNCTION("IF($A1213="""","""",IFERROR(INDEX(FILTER(Candidates!$T$2:$T$2000,Candidates!$A$2:$A$2000=$A1213),COUNTIF(Candidates!$A$2:$A$2000,$A1213)),""""))"),"")</f>
        <v/>
      </c>
      <c r="X1213" s="64"/>
      <c r="Y1213" s="64"/>
      <c r="Z1213" s="65"/>
      <c r="AA1213" s="65"/>
      <c r="AB1213" s="65"/>
      <c r="AC1213" s="65"/>
    </row>
    <row r="1214">
      <c r="A1214" s="64"/>
      <c r="B1214" s="64"/>
      <c r="C1214" s="64"/>
      <c r="D1214" s="64"/>
      <c r="E1214" s="64"/>
      <c r="F1214" s="64"/>
      <c r="G1214" s="64"/>
      <c r="H1214" s="63"/>
      <c r="I1214" s="64"/>
      <c r="J1214" s="64"/>
      <c r="K1214" s="64"/>
      <c r="L1214" s="64"/>
      <c r="M1214" s="64"/>
      <c r="N1214" s="64"/>
      <c r="O1214" s="64"/>
      <c r="P1214" s="64"/>
      <c r="Q1214" s="64"/>
      <c r="R1214" s="65" t="str">
        <f>IF($A1214="","",IFERROR(MINIFS(Candidates!$K$2:$K$2000,Candidates!$A$2:$A$2000,$A1214),""))</f>
        <v/>
      </c>
      <c r="S1214" s="65" t="str">
        <f>IF($A1214="","",IFERROR(MAXIFS(Candidates!$AA$2:$AA$2000,Candidates!$A$2:$A$2000,$A1214),""))</f>
        <v/>
      </c>
      <c r="T1214" s="64" t="str">
        <f>IFERROR(__xludf.DUMMYFUNCTION("IF($A1214="""","""",IFERROR(TEXTJOIN("", "",TRUE,UNIQUE(FILTER(Candidates!$B$2:$B$2000,Candidates!$A$2:$A$2000=$A1214))),""""))"),"")</f>
        <v/>
      </c>
      <c r="U1214" s="66" t="str">
        <f>IF($A1214="","",COUNTIF(Candidates!$A$2:$A$2000,$A1214))</f>
        <v/>
      </c>
      <c r="V1214" s="64" t="str">
        <f>IFERROR(__xludf.DUMMYFUNCTION("IF($A1214="""","""",IFERROR(INDEX(FILTER(Candidates!$S$2:$S$2000,Candidates!$A$2:$A$2000=$A1214),COUNTIF(Candidates!$A$2:$A$2000,$A1214)),""""))"),"")</f>
        <v/>
      </c>
      <c r="W1214" s="64" t="str">
        <f>IFERROR(__xludf.DUMMYFUNCTION("IF($A1214="""","""",IFERROR(INDEX(FILTER(Candidates!$T$2:$T$2000,Candidates!$A$2:$A$2000=$A1214),COUNTIF(Candidates!$A$2:$A$2000,$A1214)),""""))"),"")</f>
        <v/>
      </c>
      <c r="X1214" s="64"/>
      <c r="Y1214" s="64"/>
      <c r="Z1214" s="65"/>
      <c r="AA1214" s="65"/>
      <c r="AB1214" s="65"/>
      <c r="AC1214" s="65"/>
    </row>
    <row r="1215">
      <c r="A1215" s="64"/>
      <c r="B1215" s="64"/>
      <c r="C1215" s="64"/>
      <c r="D1215" s="64"/>
      <c r="E1215" s="64"/>
      <c r="F1215" s="64"/>
      <c r="G1215" s="64"/>
      <c r="H1215" s="63"/>
      <c r="I1215" s="64"/>
      <c r="J1215" s="64"/>
      <c r="K1215" s="64"/>
      <c r="L1215" s="64"/>
      <c r="M1215" s="64"/>
      <c r="N1215" s="64"/>
      <c r="O1215" s="64"/>
      <c r="P1215" s="64"/>
      <c r="Q1215" s="64"/>
      <c r="R1215" s="65" t="str">
        <f>IF($A1215="","",IFERROR(MINIFS(Candidates!$K$2:$K$2000,Candidates!$A$2:$A$2000,$A1215),""))</f>
        <v/>
      </c>
      <c r="S1215" s="65" t="str">
        <f>IF($A1215="","",IFERROR(MAXIFS(Candidates!$AA$2:$AA$2000,Candidates!$A$2:$A$2000,$A1215),""))</f>
        <v/>
      </c>
      <c r="T1215" s="64" t="str">
        <f>IFERROR(__xludf.DUMMYFUNCTION("IF($A1215="""","""",IFERROR(TEXTJOIN("", "",TRUE,UNIQUE(FILTER(Candidates!$B$2:$B$2000,Candidates!$A$2:$A$2000=$A1215))),""""))"),"")</f>
        <v/>
      </c>
      <c r="U1215" s="66" t="str">
        <f>IF($A1215="","",COUNTIF(Candidates!$A$2:$A$2000,$A1215))</f>
        <v/>
      </c>
      <c r="V1215" s="64" t="str">
        <f>IFERROR(__xludf.DUMMYFUNCTION("IF($A1215="""","""",IFERROR(INDEX(FILTER(Candidates!$S$2:$S$2000,Candidates!$A$2:$A$2000=$A1215),COUNTIF(Candidates!$A$2:$A$2000,$A1215)),""""))"),"")</f>
        <v/>
      </c>
      <c r="W1215" s="64" t="str">
        <f>IFERROR(__xludf.DUMMYFUNCTION("IF($A1215="""","""",IFERROR(INDEX(FILTER(Candidates!$T$2:$T$2000,Candidates!$A$2:$A$2000=$A1215),COUNTIF(Candidates!$A$2:$A$2000,$A1215)),""""))"),"")</f>
        <v/>
      </c>
      <c r="X1215" s="64"/>
      <c r="Y1215" s="64"/>
      <c r="Z1215" s="65"/>
      <c r="AA1215" s="65"/>
      <c r="AB1215" s="65"/>
      <c r="AC1215" s="65"/>
    </row>
    <row r="1216">
      <c r="A1216" s="64"/>
      <c r="B1216" s="64"/>
      <c r="C1216" s="64"/>
      <c r="D1216" s="64"/>
      <c r="E1216" s="64"/>
      <c r="F1216" s="64"/>
      <c r="G1216" s="64"/>
      <c r="H1216" s="63"/>
      <c r="I1216" s="64"/>
      <c r="J1216" s="64"/>
      <c r="K1216" s="64"/>
      <c r="L1216" s="64"/>
      <c r="M1216" s="64"/>
      <c r="N1216" s="64"/>
      <c r="O1216" s="64"/>
      <c r="P1216" s="64"/>
      <c r="Q1216" s="64"/>
      <c r="R1216" s="65" t="str">
        <f>IF($A1216="","",IFERROR(MINIFS(Candidates!$K$2:$K$2000,Candidates!$A$2:$A$2000,$A1216),""))</f>
        <v/>
      </c>
      <c r="S1216" s="65" t="str">
        <f>IF($A1216="","",IFERROR(MAXIFS(Candidates!$AA$2:$AA$2000,Candidates!$A$2:$A$2000,$A1216),""))</f>
        <v/>
      </c>
      <c r="T1216" s="64" t="str">
        <f>IFERROR(__xludf.DUMMYFUNCTION("IF($A1216="""","""",IFERROR(TEXTJOIN("", "",TRUE,UNIQUE(FILTER(Candidates!$B$2:$B$2000,Candidates!$A$2:$A$2000=$A1216))),""""))"),"")</f>
        <v/>
      </c>
      <c r="U1216" s="66" t="str">
        <f>IF($A1216="","",COUNTIF(Candidates!$A$2:$A$2000,$A1216))</f>
        <v/>
      </c>
      <c r="V1216" s="64" t="str">
        <f>IFERROR(__xludf.DUMMYFUNCTION("IF($A1216="""","""",IFERROR(INDEX(FILTER(Candidates!$S$2:$S$2000,Candidates!$A$2:$A$2000=$A1216),COUNTIF(Candidates!$A$2:$A$2000,$A1216)),""""))"),"")</f>
        <v/>
      </c>
      <c r="W1216" s="64" t="str">
        <f>IFERROR(__xludf.DUMMYFUNCTION("IF($A1216="""","""",IFERROR(INDEX(FILTER(Candidates!$T$2:$T$2000,Candidates!$A$2:$A$2000=$A1216),COUNTIF(Candidates!$A$2:$A$2000,$A1216)),""""))"),"")</f>
        <v/>
      </c>
      <c r="X1216" s="64"/>
      <c r="Y1216" s="64"/>
      <c r="Z1216" s="65"/>
      <c r="AA1216" s="65"/>
      <c r="AB1216" s="65"/>
      <c r="AC1216" s="65"/>
    </row>
    <row r="1217">
      <c r="A1217" s="64"/>
      <c r="B1217" s="64"/>
      <c r="C1217" s="64"/>
      <c r="D1217" s="64"/>
      <c r="E1217" s="64"/>
      <c r="F1217" s="64"/>
      <c r="G1217" s="64"/>
      <c r="H1217" s="63"/>
      <c r="I1217" s="64"/>
      <c r="J1217" s="64"/>
      <c r="K1217" s="64"/>
      <c r="L1217" s="64"/>
      <c r="M1217" s="64"/>
      <c r="N1217" s="64"/>
      <c r="O1217" s="64"/>
      <c r="P1217" s="64"/>
      <c r="Q1217" s="64"/>
      <c r="R1217" s="65" t="str">
        <f>IF($A1217="","",IFERROR(MINIFS(Candidates!$K$2:$K$2000,Candidates!$A$2:$A$2000,$A1217),""))</f>
        <v/>
      </c>
      <c r="S1217" s="65" t="str">
        <f>IF($A1217="","",IFERROR(MAXIFS(Candidates!$AA$2:$AA$2000,Candidates!$A$2:$A$2000,$A1217),""))</f>
        <v/>
      </c>
      <c r="T1217" s="64" t="str">
        <f>IFERROR(__xludf.DUMMYFUNCTION("IF($A1217="""","""",IFERROR(TEXTJOIN("", "",TRUE,UNIQUE(FILTER(Candidates!$B$2:$B$2000,Candidates!$A$2:$A$2000=$A1217))),""""))"),"")</f>
        <v/>
      </c>
      <c r="U1217" s="66" t="str">
        <f>IF($A1217="","",COUNTIF(Candidates!$A$2:$A$2000,$A1217))</f>
        <v/>
      </c>
      <c r="V1217" s="64" t="str">
        <f>IFERROR(__xludf.DUMMYFUNCTION("IF($A1217="""","""",IFERROR(INDEX(FILTER(Candidates!$S$2:$S$2000,Candidates!$A$2:$A$2000=$A1217),COUNTIF(Candidates!$A$2:$A$2000,$A1217)),""""))"),"")</f>
        <v/>
      </c>
      <c r="W1217" s="64" t="str">
        <f>IFERROR(__xludf.DUMMYFUNCTION("IF($A1217="""","""",IFERROR(INDEX(FILTER(Candidates!$T$2:$T$2000,Candidates!$A$2:$A$2000=$A1217),COUNTIF(Candidates!$A$2:$A$2000,$A1217)),""""))"),"")</f>
        <v/>
      </c>
      <c r="X1217" s="64"/>
      <c r="Y1217" s="64"/>
      <c r="Z1217" s="65"/>
      <c r="AA1217" s="65"/>
      <c r="AB1217" s="65"/>
      <c r="AC1217" s="65"/>
    </row>
    <row r="1218">
      <c r="A1218" s="64"/>
      <c r="B1218" s="64"/>
      <c r="C1218" s="64"/>
      <c r="D1218" s="64"/>
      <c r="E1218" s="64"/>
      <c r="F1218" s="64"/>
      <c r="G1218" s="64"/>
      <c r="H1218" s="63"/>
      <c r="I1218" s="64"/>
      <c r="J1218" s="64"/>
      <c r="K1218" s="64"/>
      <c r="L1218" s="64"/>
      <c r="M1218" s="64"/>
      <c r="N1218" s="64"/>
      <c r="O1218" s="64"/>
      <c r="P1218" s="64"/>
      <c r="Q1218" s="64"/>
      <c r="R1218" s="65" t="str">
        <f>IF($A1218="","",IFERROR(MINIFS(Candidates!$K$2:$K$2000,Candidates!$A$2:$A$2000,$A1218),""))</f>
        <v/>
      </c>
      <c r="S1218" s="65" t="str">
        <f>IF($A1218="","",IFERROR(MAXIFS(Candidates!$AA$2:$AA$2000,Candidates!$A$2:$A$2000,$A1218),""))</f>
        <v/>
      </c>
      <c r="T1218" s="64" t="str">
        <f>IFERROR(__xludf.DUMMYFUNCTION("IF($A1218="""","""",IFERROR(TEXTJOIN("", "",TRUE,UNIQUE(FILTER(Candidates!$B$2:$B$2000,Candidates!$A$2:$A$2000=$A1218))),""""))"),"")</f>
        <v/>
      </c>
      <c r="U1218" s="66" t="str">
        <f>IF($A1218="","",COUNTIF(Candidates!$A$2:$A$2000,$A1218))</f>
        <v/>
      </c>
      <c r="V1218" s="64" t="str">
        <f>IFERROR(__xludf.DUMMYFUNCTION("IF($A1218="""","""",IFERROR(INDEX(FILTER(Candidates!$S$2:$S$2000,Candidates!$A$2:$A$2000=$A1218),COUNTIF(Candidates!$A$2:$A$2000,$A1218)),""""))"),"")</f>
        <v/>
      </c>
      <c r="W1218" s="64" t="str">
        <f>IFERROR(__xludf.DUMMYFUNCTION("IF($A1218="""","""",IFERROR(INDEX(FILTER(Candidates!$T$2:$T$2000,Candidates!$A$2:$A$2000=$A1218),COUNTIF(Candidates!$A$2:$A$2000,$A1218)),""""))"),"")</f>
        <v/>
      </c>
      <c r="X1218" s="64"/>
      <c r="Y1218" s="64"/>
      <c r="Z1218" s="65"/>
      <c r="AA1218" s="65"/>
      <c r="AB1218" s="65"/>
      <c r="AC1218" s="65"/>
    </row>
    <row r="1219">
      <c r="A1219" s="64"/>
      <c r="B1219" s="64"/>
      <c r="C1219" s="64"/>
      <c r="D1219" s="64"/>
      <c r="E1219" s="64"/>
      <c r="F1219" s="64"/>
      <c r="G1219" s="64"/>
      <c r="H1219" s="63"/>
      <c r="I1219" s="64"/>
      <c r="J1219" s="64"/>
      <c r="K1219" s="64"/>
      <c r="L1219" s="64"/>
      <c r="M1219" s="64"/>
      <c r="N1219" s="64"/>
      <c r="O1219" s="64"/>
      <c r="P1219" s="64"/>
      <c r="Q1219" s="64"/>
      <c r="R1219" s="65" t="str">
        <f>IF($A1219="","",IFERROR(MINIFS(Candidates!$K$2:$K$2000,Candidates!$A$2:$A$2000,$A1219),""))</f>
        <v/>
      </c>
      <c r="S1219" s="65" t="str">
        <f>IF($A1219="","",IFERROR(MAXIFS(Candidates!$AA$2:$AA$2000,Candidates!$A$2:$A$2000,$A1219),""))</f>
        <v/>
      </c>
      <c r="T1219" s="64" t="str">
        <f>IFERROR(__xludf.DUMMYFUNCTION("IF($A1219="""","""",IFERROR(TEXTJOIN("", "",TRUE,UNIQUE(FILTER(Candidates!$B$2:$B$2000,Candidates!$A$2:$A$2000=$A1219))),""""))"),"")</f>
        <v/>
      </c>
      <c r="U1219" s="66" t="str">
        <f>IF($A1219="","",COUNTIF(Candidates!$A$2:$A$2000,$A1219))</f>
        <v/>
      </c>
      <c r="V1219" s="64" t="str">
        <f>IFERROR(__xludf.DUMMYFUNCTION("IF($A1219="""","""",IFERROR(INDEX(FILTER(Candidates!$S$2:$S$2000,Candidates!$A$2:$A$2000=$A1219),COUNTIF(Candidates!$A$2:$A$2000,$A1219)),""""))"),"")</f>
        <v/>
      </c>
      <c r="W1219" s="64" t="str">
        <f>IFERROR(__xludf.DUMMYFUNCTION("IF($A1219="""","""",IFERROR(INDEX(FILTER(Candidates!$T$2:$T$2000,Candidates!$A$2:$A$2000=$A1219),COUNTIF(Candidates!$A$2:$A$2000,$A1219)),""""))"),"")</f>
        <v/>
      </c>
      <c r="X1219" s="64"/>
      <c r="Y1219" s="64"/>
      <c r="Z1219" s="65"/>
      <c r="AA1219" s="65"/>
      <c r="AB1219" s="65"/>
      <c r="AC1219" s="65"/>
    </row>
    <row r="1220">
      <c r="A1220" s="64"/>
      <c r="B1220" s="64"/>
      <c r="C1220" s="64"/>
      <c r="D1220" s="64"/>
      <c r="E1220" s="64"/>
      <c r="F1220" s="64"/>
      <c r="G1220" s="64"/>
      <c r="H1220" s="63"/>
      <c r="I1220" s="64"/>
      <c r="J1220" s="64"/>
      <c r="K1220" s="64"/>
      <c r="L1220" s="64"/>
      <c r="M1220" s="64"/>
      <c r="N1220" s="64"/>
      <c r="O1220" s="64"/>
      <c r="P1220" s="64"/>
      <c r="Q1220" s="64"/>
      <c r="R1220" s="65" t="str">
        <f>IF($A1220="","",IFERROR(MINIFS(Candidates!$K$2:$K$2000,Candidates!$A$2:$A$2000,$A1220),""))</f>
        <v/>
      </c>
      <c r="S1220" s="65" t="str">
        <f>IF($A1220="","",IFERROR(MAXIFS(Candidates!$AA$2:$AA$2000,Candidates!$A$2:$A$2000,$A1220),""))</f>
        <v/>
      </c>
      <c r="T1220" s="64" t="str">
        <f>IFERROR(__xludf.DUMMYFUNCTION("IF($A1220="""","""",IFERROR(TEXTJOIN("", "",TRUE,UNIQUE(FILTER(Candidates!$B$2:$B$2000,Candidates!$A$2:$A$2000=$A1220))),""""))"),"")</f>
        <v/>
      </c>
      <c r="U1220" s="66" t="str">
        <f>IF($A1220="","",COUNTIF(Candidates!$A$2:$A$2000,$A1220))</f>
        <v/>
      </c>
      <c r="V1220" s="64" t="str">
        <f>IFERROR(__xludf.DUMMYFUNCTION("IF($A1220="""","""",IFERROR(INDEX(FILTER(Candidates!$S$2:$S$2000,Candidates!$A$2:$A$2000=$A1220),COUNTIF(Candidates!$A$2:$A$2000,$A1220)),""""))"),"")</f>
        <v/>
      </c>
      <c r="W1220" s="64" t="str">
        <f>IFERROR(__xludf.DUMMYFUNCTION("IF($A1220="""","""",IFERROR(INDEX(FILTER(Candidates!$T$2:$T$2000,Candidates!$A$2:$A$2000=$A1220),COUNTIF(Candidates!$A$2:$A$2000,$A1220)),""""))"),"")</f>
        <v/>
      </c>
      <c r="X1220" s="64"/>
      <c r="Y1220" s="64"/>
      <c r="Z1220" s="65"/>
      <c r="AA1220" s="65"/>
      <c r="AB1220" s="65"/>
      <c r="AC1220" s="65"/>
    </row>
    <row r="1221">
      <c r="A1221" s="64"/>
      <c r="B1221" s="64"/>
      <c r="C1221" s="64"/>
      <c r="D1221" s="64"/>
      <c r="E1221" s="64"/>
      <c r="F1221" s="64"/>
      <c r="G1221" s="64"/>
      <c r="H1221" s="63"/>
      <c r="I1221" s="64"/>
      <c r="J1221" s="64"/>
      <c r="K1221" s="64"/>
      <c r="L1221" s="64"/>
      <c r="M1221" s="64"/>
      <c r="N1221" s="64"/>
      <c r="O1221" s="64"/>
      <c r="P1221" s="64"/>
      <c r="Q1221" s="64"/>
      <c r="R1221" s="65" t="str">
        <f>IF($A1221="","",IFERROR(MINIFS(Candidates!$K$2:$K$2000,Candidates!$A$2:$A$2000,$A1221),""))</f>
        <v/>
      </c>
      <c r="S1221" s="65" t="str">
        <f>IF($A1221="","",IFERROR(MAXIFS(Candidates!$AA$2:$AA$2000,Candidates!$A$2:$A$2000,$A1221),""))</f>
        <v/>
      </c>
      <c r="T1221" s="64" t="str">
        <f>IFERROR(__xludf.DUMMYFUNCTION("IF($A1221="""","""",IFERROR(TEXTJOIN("", "",TRUE,UNIQUE(FILTER(Candidates!$B$2:$B$2000,Candidates!$A$2:$A$2000=$A1221))),""""))"),"")</f>
        <v/>
      </c>
      <c r="U1221" s="66" t="str">
        <f>IF($A1221="","",COUNTIF(Candidates!$A$2:$A$2000,$A1221))</f>
        <v/>
      </c>
      <c r="V1221" s="64" t="str">
        <f>IFERROR(__xludf.DUMMYFUNCTION("IF($A1221="""","""",IFERROR(INDEX(FILTER(Candidates!$S$2:$S$2000,Candidates!$A$2:$A$2000=$A1221),COUNTIF(Candidates!$A$2:$A$2000,$A1221)),""""))"),"")</f>
        <v/>
      </c>
      <c r="W1221" s="64" t="str">
        <f>IFERROR(__xludf.DUMMYFUNCTION("IF($A1221="""","""",IFERROR(INDEX(FILTER(Candidates!$T$2:$T$2000,Candidates!$A$2:$A$2000=$A1221),COUNTIF(Candidates!$A$2:$A$2000,$A1221)),""""))"),"")</f>
        <v/>
      </c>
      <c r="X1221" s="64"/>
      <c r="Y1221" s="64"/>
      <c r="Z1221" s="65"/>
      <c r="AA1221" s="65"/>
      <c r="AB1221" s="65"/>
      <c r="AC1221" s="65"/>
    </row>
    <row r="1222">
      <c r="A1222" s="64"/>
      <c r="B1222" s="64"/>
      <c r="C1222" s="64"/>
      <c r="D1222" s="64"/>
      <c r="E1222" s="64"/>
      <c r="F1222" s="64"/>
      <c r="G1222" s="64"/>
      <c r="H1222" s="63"/>
      <c r="I1222" s="64"/>
      <c r="J1222" s="64"/>
      <c r="K1222" s="64"/>
      <c r="L1222" s="64"/>
      <c r="M1222" s="64"/>
      <c r="N1222" s="64"/>
      <c r="O1222" s="64"/>
      <c r="P1222" s="64"/>
      <c r="Q1222" s="64"/>
      <c r="R1222" s="65" t="str">
        <f>IF($A1222="","",IFERROR(MINIFS(Candidates!$K$2:$K$2000,Candidates!$A$2:$A$2000,$A1222),""))</f>
        <v/>
      </c>
      <c r="S1222" s="65" t="str">
        <f>IF($A1222="","",IFERROR(MAXIFS(Candidates!$AA$2:$AA$2000,Candidates!$A$2:$A$2000,$A1222),""))</f>
        <v/>
      </c>
      <c r="T1222" s="64" t="str">
        <f>IFERROR(__xludf.DUMMYFUNCTION("IF($A1222="""","""",IFERROR(TEXTJOIN("", "",TRUE,UNIQUE(FILTER(Candidates!$B$2:$B$2000,Candidates!$A$2:$A$2000=$A1222))),""""))"),"")</f>
        <v/>
      </c>
      <c r="U1222" s="66" t="str">
        <f>IF($A1222="","",COUNTIF(Candidates!$A$2:$A$2000,$A1222))</f>
        <v/>
      </c>
      <c r="V1222" s="64" t="str">
        <f>IFERROR(__xludf.DUMMYFUNCTION("IF($A1222="""","""",IFERROR(INDEX(FILTER(Candidates!$S$2:$S$2000,Candidates!$A$2:$A$2000=$A1222),COUNTIF(Candidates!$A$2:$A$2000,$A1222)),""""))"),"")</f>
        <v/>
      </c>
      <c r="W1222" s="64" t="str">
        <f>IFERROR(__xludf.DUMMYFUNCTION("IF($A1222="""","""",IFERROR(INDEX(FILTER(Candidates!$T$2:$T$2000,Candidates!$A$2:$A$2000=$A1222),COUNTIF(Candidates!$A$2:$A$2000,$A1222)),""""))"),"")</f>
        <v/>
      </c>
      <c r="X1222" s="64"/>
      <c r="Y1222" s="64"/>
      <c r="Z1222" s="65"/>
      <c r="AA1222" s="65"/>
      <c r="AB1222" s="65"/>
      <c r="AC1222" s="65"/>
    </row>
    <row r="1223">
      <c r="A1223" s="64"/>
      <c r="B1223" s="64"/>
      <c r="C1223" s="64"/>
      <c r="D1223" s="64"/>
      <c r="E1223" s="64"/>
      <c r="F1223" s="64"/>
      <c r="G1223" s="64"/>
      <c r="H1223" s="63"/>
      <c r="I1223" s="64"/>
      <c r="J1223" s="64"/>
      <c r="K1223" s="64"/>
      <c r="L1223" s="64"/>
      <c r="M1223" s="64"/>
      <c r="N1223" s="64"/>
      <c r="O1223" s="64"/>
      <c r="P1223" s="64"/>
      <c r="Q1223" s="64"/>
      <c r="R1223" s="65" t="str">
        <f>IF($A1223="","",IFERROR(MINIFS(Candidates!$K$2:$K$2000,Candidates!$A$2:$A$2000,$A1223),""))</f>
        <v/>
      </c>
      <c r="S1223" s="65" t="str">
        <f>IF($A1223="","",IFERROR(MAXIFS(Candidates!$AA$2:$AA$2000,Candidates!$A$2:$A$2000,$A1223),""))</f>
        <v/>
      </c>
      <c r="T1223" s="64" t="str">
        <f>IFERROR(__xludf.DUMMYFUNCTION("IF($A1223="""","""",IFERROR(TEXTJOIN("", "",TRUE,UNIQUE(FILTER(Candidates!$B$2:$B$2000,Candidates!$A$2:$A$2000=$A1223))),""""))"),"")</f>
        <v/>
      </c>
      <c r="U1223" s="66" t="str">
        <f>IF($A1223="","",COUNTIF(Candidates!$A$2:$A$2000,$A1223))</f>
        <v/>
      </c>
      <c r="V1223" s="64" t="str">
        <f>IFERROR(__xludf.DUMMYFUNCTION("IF($A1223="""","""",IFERROR(INDEX(FILTER(Candidates!$S$2:$S$2000,Candidates!$A$2:$A$2000=$A1223),COUNTIF(Candidates!$A$2:$A$2000,$A1223)),""""))"),"")</f>
        <v/>
      </c>
      <c r="W1223" s="64" t="str">
        <f>IFERROR(__xludf.DUMMYFUNCTION("IF($A1223="""","""",IFERROR(INDEX(FILTER(Candidates!$T$2:$T$2000,Candidates!$A$2:$A$2000=$A1223),COUNTIF(Candidates!$A$2:$A$2000,$A1223)),""""))"),"")</f>
        <v/>
      </c>
      <c r="X1223" s="64"/>
      <c r="Y1223" s="64"/>
      <c r="Z1223" s="65"/>
      <c r="AA1223" s="65"/>
      <c r="AB1223" s="65"/>
      <c r="AC1223" s="65"/>
    </row>
    <row r="1224">
      <c r="A1224" s="64"/>
      <c r="B1224" s="64"/>
      <c r="C1224" s="64"/>
      <c r="D1224" s="64"/>
      <c r="E1224" s="64"/>
      <c r="F1224" s="64"/>
      <c r="G1224" s="64"/>
      <c r="H1224" s="63"/>
      <c r="I1224" s="64"/>
      <c r="J1224" s="64"/>
      <c r="K1224" s="64"/>
      <c r="L1224" s="64"/>
      <c r="M1224" s="64"/>
      <c r="N1224" s="64"/>
      <c r="O1224" s="64"/>
      <c r="P1224" s="64"/>
      <c r="Q1224" s="64"/>
      <c r="R1224" s="65" t="str">
        <f>IF($A1224="","",IFERROR(MINIFS(Candidates!$K$2:$K$2000,Candidates!$A$2:$A$2000,$A1224),""))</f>
        <v/>
      </c>
      <c r="S1224" s="65" t="str">
        <f>IF($A1224="","",IFERROR(MAXIFS(Candidates!$AA$2:$AA$2000,Candidates!$A$2:$A$2000,$A1224),""))</f>
        <v/>
      </c>
      <c r="T1224" s="64" t="str">
        <f>IFERROR(__xludf.DUMMYFUNCTION("IF($A1224="""","""",IFERROR(TEXTJOIN("", "",TRUE,UNIQUE(FILTER(Candidates!$B$2:$B$2000,Candidates!$A$2:$A$2000=$A1224))),""""))"),"")</f>
        <v/>
      </c>
      <c r="U1224" s="66" t="str">
        <f>IF($A1224="","",COUNTIF(Candidates!$A$2:$A$2000,$A1224))</f>
        <v/>
      </c>
      <c r="V1224" s="64" t="str">
        <f>IFERROR(__xludf.DUMMYFUNCTION("IF($A1224="""","""",IFERROR(INDEX(FILTER(Candidates!$S$2:$S$2000,Candidates!$A$2:$A$2000=$A1224),COUNTIF(Candidates!$A$2:$A$2000,$A1224)),""""))"),"")</f>
        <v/>
      </c>
      <c r="W1224" s="64" t="str">
        <f>IFERROR(__xludf.DUMMYFUNCTION("IF($A1224="""","""",IFERROR(INDEX(FILTER(Candidates!$T$2:$T$2000,Candidates!$A$2:$A$2000=$A1224),COUNTIF(Candidates!$A$2:$A$2000,$A1224)),""""))"),"")</f>
        <v/>
      </c>
      <c r="X1224" s="64"/>
      <c r="Y1224" s="64"/>
      <c r="Z1224" s="65"/>
      <c r="AA1224" s="65"/>
      <c r="AB1224" s="65"/>
      <c r="AC1224" s="65"/>
    </row>
    <row r="1225">
      <c r="A1225" s="64"/>
      <c r="B1225" s="64"/>
      <c r="C1225" s="64"/>
      <c r="D1225" s="64"/>
      <c r="E1225" s="64"/>
      <c r="F1225" s="64"/>
      <c r="G1225" s="64"/>
      <c r="H1225" s="63"/>
      <c r="I1225" s="64"/>
      <c r="J1225" s="64"/>
      <c r="K1225" s="64"/>
      <c r="L1225" s="64"/>
      <c r="M1225" s="64"/>
      <c r="N1225" s="64"/>
      <c r="O1225" s="64"/>
      <c r="P1225" s="64"/>
      <c r="Q1225" s="64"/>
      <c r="R1225" s="65" t="str">
        <f>IF($A1225="","",IFERROR(MINIFS(Candidates!$K$2:$K$2000,Candidates!$A$2:$A$2000,$A1225),""))</f>
        <v/>
      </c>
      <c r="S1225" s="65" t="str">
        <f>IF($A1225="","",IFERROR(MAXIFS(Candidates!$AA$2:$AA$2000,Candidates!$A$2:$A$2000,$A1225),""))</f>
        <v/>
      </c>
      <c r="T1225" s="64" t="str">
        <f>IFERROR(__xludf.DUMMYFUNCTION("IF($A1225="""","""",IFERROR(TEXTJOIN("", "",TRUE,UNIQUE(FILTER(Candidates!$B$2:$B$2000,Candidates!$A$2:$A$2000=$A1225))),""""))"),"")</f>
        <v/>
      </c>
      <c r="U1225" s="66" t="str">
        <f>IF($A1225="","",COUNTIF(Candidates!$A$2:$A$2000,$A1225))</f>
        <v/>
      </c>
      <c r="V1225" s="64" t="str">
        <f>IFERROR(__xludf.DUMMYFUNCTION("IF($A1225="""","""",IFERROR(INDEX(FILTER(Candidates!$S$2:$S$2000,Candidates!$A$2:$A$2000=$A1225),COUNTIF(Candidates!$A$2:$A$2000,$A1225)),""""))"),"")</f>
        <v/>
      </c>
      <c r="W1225" s="64" t="str">
        <f>IFERROR(__xludf.DUMMYFUNCTION("IF($A1225="""","""",IFERROR(INDEX(FILTER(Candidates!$T$2:$T$2000,Candidates!$A$2:$A$2000=$A1225),COUNTIF(Candidates!$A$2:$A$2000,$A1225)),""""))"),"")</f>
        <v/>
      </c>
      <c r="X1225" s="64"/>
      <c r="Y1225" s="64"/>
      <c r="Z1225" s="65"/>
      <c r="AA1225" s="65"/>
      <c r="AB1225" s="65"/>
      <c r="AC1225" s="65"/>
    </row>
    <row r="1226">
      <c r="A1226" s="64"/>
      <c r="B1226" s="64"/>
      <c r="C1226" s="64"/>
      <c r="D1226" s="64"/>
      <c r="E1226" s="64"/>
      <c r="F1226" s="64"/>
      <c r="G1226" s="64"/>
      <c r="H1226" s="63"/>
      <c r="I1226" s="64"/>
      <c r="J1226" s="64"/>
      <c r="K1226" s="64"/>
      <c r="L1226" s="64"/>
      <c r="M1226" s="64"/>
      <c r="N1226" s="64"/>
      <c r="O1226" s="64"/>
      <c r="P1226" s="64"/>
      <c r="Q1226" s="64"/>
      <c r="R1226" s="65" t="str">
        <f>IF($A1226="","",IFERROR(MINIFS(Candidates!$K$2:$K$2000,Candidates!$A$2:$A$2000,$A1226),""))</f>
        <v/>
      </c>
      <c r="S1226" s="65" t="str">
        <f>IF($A1226="","",IFERROR(MAXIFS(Candidates!$AA$2:$AA$2000,Candidates!$A$2:$A$2000,$A1226),""))</f>
        <v/>
      </c>
      <c r="T1226" s="64" t="str">
        <f>IFERROR(__xludf.DUMMYFUNCTION("IF($A1226="""","""",IFERROR(TEXTJOIN("", "",TRUE,UNIQUE(FILTER(Candidates!$B$2:$B$2000,Candidates!$A$2:$A$2000=$A1226))),""""))"),"")</f>
        <v/>
      </c>
      <c r="U1226" s="66" t="str">
        <f>IF($A1226="","",COUNTIF(Candidates!$A$2:$A$2000,$A1226))</f>
        <v/>
      </c>
      <c r="V1226" s="64" t="str">
        <f>IFERROR(__xludf.DUMMYFUNCTION("IF($A1226="""","""",IFERROR(INDEX(FILTER(Candidates!$S$2:$S$2000,Candidates!$A$2:$A$2000=$A1226),COUNTIF(Candidates!$A$2:$A$2000,$A1226)),""""))"),"")</f>
        <v/>
      </c>
      <c r="W1226" s="64" t="str">
        <f>IFERROR(__xludf.DUMMYFUNCTION("IF($A1226="""","""",IFERROR(INDEX(FILTER(Candidates!$T$2:$T$2000,Candidates!$A$2:$A$2000=$A1226),COUNTIF(Candidates!$A$2:$A$2000,$A1226)),""""))"),"")</f>
        <v/>
      </c>
      <c r="X1226" s="64"/>
      <c r="Y1226" s="64"/>
      <c r="Z1226" s="65"/>
      <c r="AA1226" s="65"/>
      <c r="AB1226" s="65"/>
      <c r="AC1226" s="65"/>
    </row>
    <row r="1227">
      <c r="A1227" s="64"/>
      <c r="B1227" s="64"/>
      <c r="C1227" s="64"/>
      <c r="D1227" s="64"/>
      <c r="E1227" s="64"/>
      <c r="F1227" s="64"/>
      <c r="G1227" s="64"/>
      <c r="H1227" s="63"/>
      <c r="I1227" s="64"/>
      <c r="J1227" s="64"/>
      <c r="K1227" s="64"/>
      <c r="L1227" s="64"/>
      <c r="M1227" s="64"/>
      <c r="N1227" s="64"/>
      <c r="O1227" s="64"/>
      <c r="P1227" s="64"/>
      <c r="Q1227" s="64"/>
      <c r="R1227" s="65" t="str">
        <f>IF($A1227="","",IFERROR(MINIFS(Candidates!$K$2:$K$2000,Candidates!$A$2:$A$2000,$A1227),""))</f>
        <v/>
      </c>
      <c r="S1227" s="65" t="str">
        <f>IF($A1227="","",IFERROR(MAXIFS(Candidates!$AA$2:$AA$2000,Candidates!$A$2:$A$2000,$A1227),""))</f>
        <v/>
      </c>
      <c r="T1227" s="64" t="str">
        <f>IFERROR(__xludf.DUMMYFUNCTION("IF($A1227="""","""",IFERROR(TEXTJOIN("", "",TRUE,UNIQUE(FILTER(Candidates!$B$2:$B$2000,Candidates!$A$2:$A$2000=$A1227))),""""))"),"")</f>
        <v/>
      </c>
      <c r="U1227" s="66" t="str">
        <f>IF($A1227="","",COUNTIF(Candidates!$A$2:$A$2000,$A1227))</f>
        <v/>
      </c>
      <c r="V1227" s="64" t="str">
        <f>IFERROR(__xludf.DUMMYFUNCTION("IF($A1227="""","""",IFERROR(INDEX(FILTER(Candidates!$S$2:$S$2000,Candidates!$A$2:$A$2000=$A1227),COUNTIF(Candidates!$A$2:$A$2000,$A1227)),""""))"),"")</f>
        <v/>
      </c>
      <c r="W1227" s="64" t="str">
        <f>IFERROR(__xludf.DUMMYFUNCTION("IF($A1227="""","""",IFERROR(INDEX(FILTER(Candidates!$T$2:$T$2000,Candidates!$A$2:$A$2000=$A1227),COUNTIF(Candidates!$A$2:$A$2000,$A1227)),""""))"),"")</f>
        <v/>
      </c>
      <c r="X1227" s="64"/>
      <c r="Y1227" s="64"/>
      <c r="Z1227" s="65"/>
      <c r="AA1227" s="65"/>
      <c r="AB1227" s="65"/>
      <c r="AC1227" s="65"/>
    </row>
    <row r="1228">
      <c r="A1228" s="64"/>
      <c r="B1228" s="64"/>
      <c r="C1228" s="64"/>
      <c r="D1228" s="64"/>
      <c r="E1228" s="64"/>
      <c r="F1228" s="64"/>
      <c r="G1228" s="64"/>
      <c r="H1228" s="63"/>
      <c r="I1228" s="64"/>
      <c r="J1228" s="64"/>
      <c r="K1228" s="64"/>
      <c r="L1228" s="64"/>
      <c r="M1228" s="64"/>
      <c r="N1228" s="64"/>
      <c r="O1228" s="64"/>
      <c r="P1228" s="64"/>
      <c r="Q1228" s="64"/>
      <c r="R1228" s="65" t="str">
        <f>IF($A1228="","",IFERROR(MINIFS(Candidates!$K$2:$K$2000,Candidates!$A$2:$A$2000,$A1228),""))</f>
        <v/>
      </c>
      <c r="S1228" s="65" t="str">
        <f>IF($A1228="","",IFERROR(MAXIFS(Candidates!$AA$2:$AA$2000,Candidates!$A$2:$A$2000,$A1228),""))</f>
        <v/>
      </c>
      <c r="T1228" s="64" t="str">
        <f>IFERROR(__xludf.DUMMYFUNCTION("IF($A1228="""","""",IFERROR(TEXTJOIN("", "",TRUE,UNIQUE(FILTER(Candidates!$B$2:$B$2000,Candidates!$A$2:$A$2000=$A1228))),""""))"),"")</f>
        <v/>
      </c>
      <c r="U1228" s="66" t="str">
        <f>IF($A1228="","",COUNTIF(Candidates!$A$2:$A$2000,$A1228))</f>
        <v/>
      </c>
      <c r="V1228" s="64" t="str">
        <f>IFERROR(__xludf.DUMMYFUNCTION("IF($A1228="""","""",IFERROR(INDEX(FILTER(Candidates!$S$2:$S$2000,Candidates!$A$2:$A$2000=$A1228),COUNTIF(Candidates!$A$2:$A$2000,$A1228)),""""))"),"")</f>
        <v/>
      </c>
      <c r="W1228" s="64" t="str">
        <f>IFERROR(__xludf.DUMMYFUNCTION("IF($A1228="""","""",IFERROR(INDEX(FILTER(Candidates!$T$2:$T$2000,Candidates!$A$2:$A$2000=$A1228),COUNTIF(Candidates!$A$2:$A$2000,$A1228)),""""))"),"")</f>
        <v/>
      </c>
      <c r="X1228" s="64"/>
      <c r="Y1228" s="64"/>
      <c r="Z1228" s="65"/>
      <c r="AA1228" s="65"/>
      <c r="AB1228" s="65"/>
      <c r="AC1228" s="65"/>
    </row>
    <row r="1229">
      <c r="A1229" s="64"/>
      <c r="B1229" s="64"/>
      <c r="C1229" s="64"/>
      <c r="D1229" s="64"/>
      <c r="E1229" s="64"/>
      <c r="F1229" s="64"/>
      <c r="G1229" s="64"/>
      <c r="H1229" s="63"/>
      <c r="I1229" s="64"/>
      <c r="J1229" s="64"/>
      <c r="K1229" s="64"/>
      <c r="L1229" s="64"/>
      <c r="M1229" s="64"/>
      <c r="N1229" s="64"/>
      <c r="O1229" s="64"/>
      <c r="P1229" s="64"/>
      <c r="Q1229" s="64"/>
      <c r="R1229" s="65" t="str">
        <f>IF($A1229="","",IFERROR(MINIFS(Candidates!$K$2:$K$2000,Candidates!$A$2:$A$2000,$A1229),""))</f>
        <v/>
      </c>
      <c r="S1229" s="65" t="str">
        <f>IF($A1229="","",IFERROR(MAXIFS(Candidates!$AA$2:$AA$2000,Candidates!$A$2:$A$2000,$A1229),""))</f>
        <v/>
      </c>
      <c r="T1229" s="64" t="str">
        <f>IFERROR(__xludf.DUMMYFUNCTION("IF($A1229="""","""",IFERROR(TEXTJOIN("", "",TRUE,UNIQUE(FILTER(Candidates!$B$2:$B$2000,Candidates!$A$2:$A$2000=$A1229))),""""))"),"")</f>
        <v/>
      </c>
      <c r="U1229" s="66" t="str">
        <f>IF($A1229="","",COUNTIF(Candidates!$A$2:$A$2000,$A1229))</f>
        <v/>
      </c>
      <c r="V1229" s="64" t="str">
        <f>IFERROR(__xludf.DUMMYFUNCTION("IF($A1229="""","""",IFERROR(INDEX(FILTER(Candidates!$S$2:$S$2000,Candidates!$A$2:$A$2000=$A1229),COUNTIF(Candidates!$A$2:$A$2000,$A1229)),""""))"),"")</f>
        <v/>
      </c>
      <c r="W1229" s="64" t="str">
        <f>IFERROR(__xludf.DUMMYFUNCTION("IF($A1229="""","""",IFERROR(INDEX(FILTER(Candidates!$T$2:$T$2000,Candidates!$A$2:$A$2000=$A1229),COUNTIF(Candidates!$A$2:$A$2000,$A1229)),""""))"),"")</f>
        <v/>
      </c>
      <c r="X1229" s="64"/>
      <c r="Y1229" s="64"/>
      <c r="Z1229" s="65"/>
      <c r="AA1229" s="65"/>
      <c r="AB1229" s="65"/>
      <c r="AC1229" s="65"/>
    </row>
    <row r="1230">
      <c r="A1230" s="64"/>
      <c r="B1230" s="64"/>
      <c r="C1230" s="64"/>
      <c r="D1230" s="64"/>
      <c r="E1230" s="64"/>
      <c r="F1230" s="64"/>
      <c r="G1230" s="64"/>
      <c r="H1230" s="63"/>
      <c r="I1230" s="64"/>
      <c r="J1230" s="64"/>
      <c r="K1230" s="64"/>
      <c r="L1230" s="64"/>
      <c r="M1230" s="64"/>
      <c r="N1230" s="64"/>
      <c r="O1230" s="64"/>
      <c r="P1230" s="64"/>
      <c r="Q1230" s="64"/>
      <c r="R1230" s="65" t="str">
        <f>IF($A1230="","",IFERROR(MINIFS(Candidates!$K$2:$K$2000,Candidates!$A$2:$A$2000,$A1230),""))</f>
        <v/>
      </c>
      <c r="S1230" s="65" t="str">
        <f>IF($A1230="","",IFERROR(MAXIFS(Candidates!$AA$2:$AA$2000,Candidates!$A$2:$A$2000,$A1230),""))</f>
        <v/>
      </c>
      <c r="T1230" s="64" t="str">
        <f>IFERROR(__xludf.DUMMYFUNCTION("IF($A1230="""","""",IFERROR(TEXTJOIN("", "",TRUE,UNIQUE(FILTER(Candidates!$B$2:$B$2000,Candidates!$A$2:$A$2000=$A1230))),""""))"),"")</f>
        <v/>
      </c>
      <c r="U1230" s="66" t="str">
        <f>IF($A1230="","",COUNTIF(Candidates!$A$2:$A$2000,$A1230))</f>
        <v/>
      </c>
      <c r="V1230" s="64" t="str">
        <f>IFERROR(__xludf.DUMMYFUNCTION("IF($A1230="""","""",IFERROR(INDEX(FILTER(Candidates!$S$2:$S$2000,Candidates!$A$2:$A$2000=$A1230),COUNTIF(Candidates!$A$2:$A$2000,$A1230)),""""))"),"")</f>
        <v/>
      </c>
      <c r="W1230" s="64" t="str">
        <f>IFERROR(__xludf.DUMMYFUNCTION("IF($A1230="""","""",IFERROR(INDEX(FILTER(Candidates!$T$2:$T$2000,Candidates!$A$2:$A$2000=$A1230),COUNTIF(Candidates!$A$2:$A$2000,$A1230)),""""))"),"")</f>
        <v/>
      </c>
      <c r="X1230" s="64"/>
      <c r="Y1230" s="64"/>
      <c r="Z1230" s="65"/>
      <c r="AA1230" s="65"/>
      <c r="AB1230" s="65"/>
      <c r="AC1230" s="65"/>
    </row>
    <row r="1231">
      <c r="A1231" s="64"/>
      <c r="B1231" s="64"/>
      <c r="C1231" s="64"/>
      <c r="D1231" s="64"/>
      <c r="E1231" s="64"/>
      <c r="F1231" s="64"/>
      <c r="G1231" s="64"/>
      <c r="H1231" s="63"/>
      <c r="I1231" s="64"/>
      <c r="J1231" s="64"/>
      <c r="K1231" s="64"/>
      <c r="L1231" s="64"/>
      <c r="M1231" s="64"/>
      <c r="N1231" s="64"/>
      <c r="O1231" s="64"/>
      <c r="P1231" s="64"/>
      <c r="Q1231" s="64"/>
      <c r="R1231" s="65" t="str">
        <f>IF($A1231="","",IFERROR(MINIFS(Candidates!$K$2:$K$2000,Candidates!$A$2:$A$2000,$A1231),""))</f>
        <v/>
      </c>
      <c r="S1231" s="65" t="str">
        <f>IF($A1231="","",IFERROR(MAXIFS(Candidates!$AA$2:$AA$2000,Candidates!$A$2:$A$2000,$A1231),""))</f>
        <v/>
      </c>
      <c r="T1231" s="64" t="str">
        <f>IFERROR(__xludf.DUMMYFUNCTION("IF($A1231="""","""",IFERROR(TEXTJOIN("", "",TRUE,UNIQUE(FILTER(Candidates!$B$2:$B$2000,Candidates!$A$2:$A$2000=$A1231))),""""))"),"")</f>
        <v/>
      </c>
      <c r="U1231" s="66" t="str">
        <f>IF($A1231="","",COUNTIF(Candidates!$A$2:$A$2000,$A1231))</f>
        <v/>
      </c>
      <c r="V1231" s="64" t="str">
        <f>IFERROR(__xludf.DUMMYFUNCTION("IF($A1231="""","""",IFERROR(INDEX(FILTER(Candidates!$S$2:$S$2000,Candidates!$A$2:$A$2000=$A1231),COUNTIF(Candidates!$A$2:$A$2000,$A1231)),""""))"),"")</f>
        <v/>
      </c>
      <c r="W1231" s="64" t="str">
        <f>IFERROR(__xludf.DUMMYFUNCTION("IF($A1231="""","""",IFERROR(INDEX(FILTER(Candidates!$T$2:$T$2000,Candidates!$A$2:$A$2000=$A1231),COUNTIF(Candidates!$A$2:$A$2000,$A1231)),""""))"),"")</f>
        <v/>
      </c>
      <c r="X1231" s="64"/>
      <c r="Y1231" s="64"/>
      <c r="Z1231" s="65"/>
      <c r="AA1231" s="65"/>
      <c r="AB1231" s="65"/>
      <c r="AC1231" s="65"/>
    </row>
    <row r="1232">
      <c r="A1232" s="64"/>
      <c r="B1232" s="64"/>
      <c r="C1232" s="64"/>
      <c r="D1232" s="64"/>
      <c r="E1232" s="64"/>
      <c r="F1232" s="64"/>
      <c r="G1232" s="64"/>
      <c r="H1232" s="63"/>
      <c r="I1232" s="64"/>
      <c r="J1232" s="64"/>
      <c r="K1232" s="64"/>
      <c r="L1232" s="64"/>
      <c r="M1232" s="64"/>
      <c r="N1232" s="64"/>
      <c r="O1232" s="64"/>
      <c r="P1232" s="64"/>
      <c r="Q1232" s="64"/>
      <c r="R1232" s="65" t="str">
        <f>IF($A1232="","",IFERROR(MINIFS(Candidates!$K$2:$K$2000,Candidates!$A$2:$A$2000,$A1232),""))</f>
        <v/>
      </c>
      <c r="S1232" s="65" t="str">
        <f>IF($A1232="","",IFERROR(MAXIFS(Candidates!$AA$2:$AA$2000,Candidates!$A$2:$A$2000,$A1232),""))</f>
        <v/>
      </c>
      <c r="T1232" s="64" t="str">
        <f>IFERROR(__xludf.DUMMYFUNCTION("IF($A1232="""","""",IFERROR(TEXTJOIN("", "",TRUE,UNIQUE(FILTER(Candidates!$B$2:$B$2000,Candidates!$A$2:$A$2000=$A1232))),""""))"),"")</f>
        <v/>
      </c>
      <c r="U1232" s="66" t="str">
        <f>IF($A1232="","",COUNTIF(Candidates!$A$2:$A$2000,$A1232))</f>
        <v/>
      </c>
      <c r="V1232" s="64" t="str">
        <f>IFERROR(__xludf.DUMMYFUNCTION("IF($A1232="""","""",IFERROR(INDEX(FILTER(Candidates!$S$2:$S$2000,Candidates!$A$2:$A$2000=$A1232),COUNTIF(Candidates!$A$2:$A$2000,$A1232)),""""))"),"")</f>
        <v/>
      </c>
      <c r="W1232" s="64" t="str">
        <f>IFERROR(__xludf.DUMMYFUNCTION("IF($A1232="""","""",IFERROR(INDEX(FILTER(Candidates!$T$2:$T$2000,Candidates!$A$2:$A$2000=$A1232),COUNTIF(Candidates!$A$2:$A$2000,$A1232)),""""))"),"")</f>
        <v/>
      </c>
      <c r="X1232" s="64"/>
      <c r="Y1232" s="64"/>
      <c r="Z1232" s="65"/>
      <c r="AA1232" s="65"/>
      <c r="AB1232" s="65"/>
      <c r="AC1232" s="65"/>
    </row>
    <row r="1233">
      <c r="A1233" s="64"/>
      <c r="B1233" s="64"/>
      <c r="C1233" s="64"/>
      <c r="D1233" s="64"/>
      <c r="E1233" s="64"/>
      <c r="F1233" s="64"/>
      <c r="G1233" s="64"/>
      <c r="H1233" s="63"/>
      <c r="I1233" s="64"/>
      <c r="J1233" s="64"/>
      <c r="K1233" s="64"/>
      <c r="L1233" s="64"/>
      <c r="M1233" s="64"/>
      <c r="N1233" s="64"/>
      <c r="O1233" s="64"/>
      <c r="P1233" s="64"/>
      <c r="Q1233" s="64"/>
      <c r="R1233" s="65" t="str">
        <f>IF($A1233="","",IFERROR(MINIFS(Candidates!$K$2:$K$2000,Candidates!$A$2:$A$2000,$A1233),""))</f>
        <v/>
      </c>
      <c r="S1233" s="65" t="str">
        <f>IF($A1233="","",IFERROR(MAXIFS(Candidates!$AA$2:$AA$2000,Candidates!$A$2:$A$2000,$A1233),""))</f>
        <v/>
      </c>
      <c r="T1233" s="64" t="str">
        <f>IFERROR(__xludf.DUMMYFUNCTION("IF($A1233="""","""",IFERROR(TEXTJOIN("", "",TRUE,UNIQUE(FILTER(Candidates!$B$2:$B$2000,Candidates!$A$2:$A$2000=$A1233))),""""))"),"")</f>
        <v/>
      </c>
      <c r="U1233" s="66" t="str">
        <f>IF($A1233="","",COUNTIF(Candidates!$A$2:$A$2000,$A1233))</f>
        <v/>
      </c>
      <c r="V1233" s="64" t="str">
        <f>IFERROR(__xludf.DUMMYFUNCTION("IF($A1233="""","""",IFERROR(INDEX(FILTER(Candidates!$S$2:$S$2000,Candidates!$A$2:$A$2000=$A1233),COUNTIF(Candidates!$A$2:$A$2000,$A1233)),""""))"),"")</f>
        <v/>
      </c>
      <c r="W1233" s="64" t="str">
        <f>IFERROR(__xludf.DUMMYFUNCTION("IF($A1233="""","""",IFERROR(INDEX(FILTER(Candidates!$T$2:$T$2000,Candidates!$A$2:$A$2000=$A1233),COUNTIF(Candidates!$A$2:$A$2000,$A1233)),""""))"),"")</f>
        <v/>
      </c>
      <c r="X1233" s="64"/>
      <c r="Y1233" s="64"/>
      <c r="Z1233" s="65"/>
      <c r="AA1233" s="65"/>
      <c r="AB1233" s="65"/>
      <c r="AC1233" s="65"/>
    </row>
    <row r="1234">
      <c r="A1234" s="64"/>
      <c r="B1234" s="64"/>
      <c r="C1234" s="64"/>
      <c r="D1234" s="64"/>
      <c r="E1234" s="64"/>
      <c r="F1234" s="64"/>
      <c r="G1234" s="64"/>
      <c r="H1234" s="63"/>
      <c r="I1234" s="64"/>
      <c r="J1234" s="64"/>
      <c r="K1234" s="64"/>
      <c r="L1234" s="64"/>
      <c r="M1234" s="64"/>
      <c r="N1234" s="64"/>
      <c r="O1234" s="64"/>
      <c r="P1234" s="64"/>
      <c r="Q1234" s="64"/>
      <c r="R1234" s="65" t="str">
        <f>IF($A1234="","",IFERROR(MINIFS(Candidates!$K$2:$K$2000,Candidates!$A$2:$A$2000,$A1234),""))</f>
        <v/>
      </c>
      <c r="S1234" s="65" t="str">
        <f>IF($A1234="","",IFERROR(MAXIFS(Candidates!$AA$2:$AA$2000,Candidates!$A$2:$A$2000,$A1234),""))</f>
        <v/>
      </c>
      <c r="T1234" s="64" t="str">
        <f>IFERROR(__xludf.DUMMYFUNCTION("IF($A1234="""","""",IFERROR(TEXTJOIN("", "",TRUE,UNIQUE(FILTER(Candidates!$B$2:$B$2000,Candidates!$A$2:$A$2000=$A1234))),""""))"),"")</f>
        <v/>
      </c>
      <c r="U1234" s="66" t="str">
        <f>IF($A1234="","",COUNTIF(Candidates!$A$2:$A$2000,$A1234))</f>
        <v/>
      </c>
      <c r="V1234" s="64" t="str">
        <f>IFERROR(__xludf.DUMMYFUNCTION("IF($A1234="""","""",IFERROR(INDEX(FILTER(Candidates!$S$2:$S$2000,Candidates!$A$2:$A$2000=$A1234),COUNTIF(Candidates!$A$2:$A$2000,$A1234)),""""))"),"")</f>
        <v/>
      </c>
      <c r="W1234" s="64" t="str">
        <f>IFERROR(__xludf.DUMMYFUNCTION("IF($A1234="""","""",IFERROR(INDEX(FILTER(Candidates!$T$2:$T$2000,Candidates!$A$2:$A$2000=$A1234),COUNTIF(Candidates!$A$2:$A$2000,$A1234)),""""))"),"")</f>
        <v/>
      </c>
      <c r="X1234" s="64"/>
      <c r="Y1234" s="64"/>
      <c r="Z1234" s="65"/>
      <c r="AA1234" s="65"/>
      <c r="AB1234" s="65"/>
      <c r="AC1234" s="65"/>
    </row>
    <row r="1235">
      <c r="A1235" s="64"/>
      <c r="B1235" s="64"/>
      <c r="C1235" s="64"/>
      <c r="D1235" s="64"/>
      <c r="E1235" s="64"/>
      <c r="F1235" s="64"/>
      <c r="G1235" s="64"/>
      <c r="H1235" s="63"/>
      <c r="I1235" s="64"/>
      <c r="J1235" s="64"/>
      <c r="K1235" s="64"/>
      <c r="L1235" s="64"/>
      <c r="M1235" s="64"/>
      <c r="N1235" s="64"/>
      <c r="O1235" s="64"/>
      <c r="P1235" s="64"/>
      <c r="Q1235" s="64"/>
      <c r="R1235" s="65" t="str">
        <f>IF($A1235="","",IFERROR(MINIFS(Candidates!$K$2:$K$2000,Candidates!$A$2:$A$2000,$A1235),""))</f>
        <v/>
      </c>
      <c r="S1235" s="65" t="str">
        <f>IF($A1235="","",IFERROR(MAXIFS(Candidates!$AA$2:$AA$2000,Candidates!$A$2:$A$2000,$A1235),""))</f>
        <v/>
      </c>
      <c r="T1235" s="64" t="str">
        <f>IFERROR(__xludf.DUMMYFUNCTION("IF($A1235="""","""",IFERROR(TEXTJOIN("", "",TRUE,UNIQUE(FILTER(Candidates!$B$2:$B$2000,Candidates!$A$2:$A$2000=$A1235))),""""))"),"")</f>
        <v/>
      </c>
      <c r="U1235" s="66" t="str">
        <f>IF($A1235="","",COUNTIF(Candidates!$A$2:$A$2000,$A1235))</f>
        <v/>
      </c>
      <c r="V1235" s="64" t="str">
        <f>IFERROR(__xludf.DUMMYFUNCTION("IF($A1235="""","""",IFERROR(INDEX(FILTER(Candidates!$S$2:$S$2000,Candidates!$A$2:$A$2000=$A1235),COUNTIF(Candidates!$A$2:$A$2000,$A1235)),""""))"),"")</f>
        <v/>
      </c>
      <c r="W1235" s="64" t="str">
        <f>IFERROR(__xludf.DUMMYFUNCTION("IF($A1235="""","""",IFERROR(INDEX(FILTER(Candidates!$T$2:$T$2000,Candidates!$A$2:$A$2000=$A1235),COUNTIF(Candidates!$A$2:$A$2000,$A1235)),""""))"),"")</f>
        <v/>
      </c>
      <c r="X1235" s="64"/>
      <c r="Y1235" s="64"/>
      <c r="Z1235" s="65"/>
      <c r="AA1235" s="65"/>
      <c r="AB1235" s="65"/>
      <c r="AC1235" s="65"/>
    </row>
    <row r="1236">
      <c r="A1236" s="64"/>
      <c r="B1236" s="64"/>
      <c r="C1236" s="64"/>
      <c r="D1236" s="64"/>
      <c r="E1236" s="64"/>
      <c r="F1236" s="64"/>
      <c r="G1236" s="64"/>
      <c r="H1236" s="63"/>
      <c r="I1236" s="64"/>
      <c r="J1236" s="64"/>
      <c r="K1236" s="64"/>
      <c r="L1236" s="64"/>
      <c r="M1236" s="64"/>
      <c r="N1236" s="64"/>
      <c r="O1236" s="64"/>
      <c r="P1236" s="64"/>
      <c r="Q1236" s="64"/>
      <c r="R1236" s="65" t="str">
        <f>IF($A1236="","",IFERROR(MINIFS(Candidates!$K$2:$K$2000,Candidates!$A$2:$A$2000,$A1236),""))</f>
        <v/>
      </c>
      <c r="S1236" s="65" t="str">
        <f>IF($A1236="","",IFERROR(MAXIFS(Candidates!$AA$2:$AA$2000,Candidates!$A$2:$A$2000,$A1236),""))</f>
        <v/>
      </c>
      <c r="T1236" s="64" t="str">
        <f>IFERROR(__xludf.DUMMYFUNCTION("IF($A1236="""","""",IFERROR(TEXTJOIN("", "",TRUE,UNIQUE(FILTER(Candidates!$B$2:$B$2000,Candidates!$A$2:$A$2000=$A1236))),""""))"),"")</f>
        <v/>
      </c>
      <c r="U1236" s="66" t="str">
        <f>IF($A1236="","",COUNTIF(Candidates!$A$2:$A$2000,$A1236))</f>
        <v/>
      </c>
      <c r="V1236" s="64" t="str">
        <f>IFERROR(__xludf.DUMMYFUNCTION("IF($A1236="""","""",IFERROR(INDEX(FILTER(Candidates!$S$2:$S$2000,Candidates!$A$2:$A$2000=$A1236),COUNTIF(Candidates!$A$2:$A$2000,$A1236)),""""))"),"")</f>
        <v/>
      </c>
      <c r="W1236" s="64" t="str">
        <f>IFERROR(__xludf.DUMMYFUNCTION("IF($A1236="""","""",IFERROR(INDEX(FILTER(Candidates!$T$2:$T$2000,Candidates!$A$2:$A$2000=$A1236),COUNTIF(Candidates!$A$2:$A$2000,$A1236)),""""))"),"")</f>
        <v/>
      </c>
      <c r="X1236" s="64"/>
      <c r="Y1236" s="64"/>
      <c r="Z1236" s="65"/>
      <c r="AA1236" s="65"/>
      <c r="AB1236" s="65"/>
      <c r="AC1236" s="65"/>
    </row>
    <row r="1237">
      <c r="A1237" s="64"/>
      <c r="B1237" s="64"/>
      <c r="C1237" s="64"/>
      <c r="D1237" s="64"/>
      <c r="E1237" s="64"/>
      <c r="F1237" s="64"/>
      <c r="G1237" s="64"/>
      <c r="H1237" s="63"/>
      <c r="I1237" s="64"/>
      <c r="J1237" s="64"/>
      <c r="K1237" s="64"/>
      <c r="L1237" s="64"/>
      <c r="M1237" s="64"/>
      <c r="N1237" s="64"/>
      <c r="O1237" s="64"/>
      <c r="P1237" s="64"/>
      <c r="Q1237" s="64"/>
      <c r="R1237" s="65" t="str">
        <f>IF($A1237="","",IFERROR(MINIFS(Candidates!$K$2:$K$2000,Candidates!$A$2:$A$2000,$A1237),""))</f>
        <v/>
      </c>
      <c r="S1237" s="65" t="str">
        <f>IF($A1237="","",IFERROR(MAXIFS(Candidates!$AA$2:$AA$2000,Candidates!$A$2:$A$2000,$A1237),""))</f>
        <v/>
      </c>
      <c r="T1237" s="64" t="str">
        <f>IFERROR(__xludf.DUMMYFUNCTION("IF($A1237="""","""",IFERROR(TEXTJOIN("", "",TRUE,UNIQUE(FILTER(Candidates!$B$2:$B$2000,Candidates!$A$2:$A$2000=$A1237))),""""))"),"")</f>
        <v/>
      </c>
      <c r="U1237" s="66" t="str">
        <f>IF($A1237="","",COUNTIF(Candidates!$A$2:$A$2000,$A1237))</f>
        <v/>
      </c>
      <c r="V1237" s="64" t="str">
        <f>IFERROR(__xludf.DUMMYFUNCTION("IF($A1237="""","""",IFERROR(INDEX(FILTER(Candidates!$S$2:$S$2000,Candidates!$A$2:$A$2000=$A1237),COUNTIF(Candidates!$A$2:$A$2000,$A1237)),""""))"),"")</f>
        <v/>
      </c>
      <c r="W1237" s="64" t="str">
        <f>IFERROR(__xludf.DUMMYFUNCTION("IF($A1237="""","""",IFERROR(INDEX(FILTER(Candidates!$T$2:$T$2000,Candidates!$A$2:$A$2000=$A1237),COUNTIF(Candidates!$A$2:$A$2000,$A1237)),""""))"),"")</f>
        <v/>
      </c>
      <c r="X1237" s="64"/>
      <c r="Y1237" s="64"/>
      <c r="Z1237" s="65"/>
      <c r="AA1237" s="65"/>
      <c r="AB1237" s="65"/>
      <c r="AC1237" s="65"/>
    </row>
    <row r="1238">
      <c r="A1238" s="64"/>
      <c r="B1238" s="64"/>
      <c r="C1238" s="64"/>
      <c r="D1238" s="64"/>
      <c r="E1238" s="64"/>
      <c r="F1238" s="64"/>
      <c r="G1238" s="64"/>
      <c r="H1238" s="63"/>
      <c r="I1238" s="64"/>
      <c r="J1238" s="64"/>
      <c r="K1238" s="64"/>
      <c r="L1238" s="64"/>
      <c r="M1238" s="64"/>
      <c r="N1238" s="64"/>
      <c r="O1238" s="64"/>
      <c r="P1238" s="64"/>
      <c r="Q1238" s="64"/>
      <c r="R1238" s="65" t="str">
        <f>IF($A1238="","",IFERROR(MINIFS(Candidates!$K$2:$K$2000,Candidates!$A$2:$A$2000,$A1238),""))</f>
        <v/>
      </c>
      <c r="S1238" s="65" t="str">
        <f>IF($A1238="","",IFERROR(MAXIFS(Candidates!$AA$2:$AA$2000,Candidates!$A$2:$A$2000,$A1238),""))</f>
        <v/>
      </c>
      <c r="T1238" s="64" t="str">
        <f>IFERROR(__xludf.DUMMYFUNCTION("IF($A1238="""","""",IFERROR(TEXTJOIN("", "",TRUE,UNIQUE(FILTER(Candidates!$B$2:$B$2000,Candidates!$A$2:$A$2000=$A1238))),""""))"),"")</f>
        <v/>
      </c>
      <c r="U1238" s="66" t="str">
        <f>IF($A1238="","",COUNTIF(Candidates!$A$2:$A$2000,$A1238))</f>
        <v/>
      </c>
      <c r="V1238" s="64" t="str">
        <f>IFERROR(__xludf.DUMMYFUNCTION("IF($A1238="""","""",IFERROR(INDEX(FILTER(Candidates!$S$2:$S$2000,Candidates!$A$2:$A$2000=$A1238),COUNTIF(Candidates!$A$2:$A$2000,$A1238)),""""))"),"")</f>
        <v/>
      </c>
      <c r="W1238" s="64" t="str">
        <f>IFERROR(__xludf.DUMMYFUNCTION("IF($A1238="""","""",IFERROR(INDEX(FILTER(Candidates!$T$2:$T$2000,Candidates!$A$2:$A$2000=$A1238),COUNTIF(Candidates!$A$2:$A$2000,$A1238)),""""))"),"")</f>
        <v/>
      </c>
      <c r="X1238" s="64"/>
      <c r="Y1238" s="64"/>
      <c r="Z1238" s="65"/>
      <c r="AA1238" s="65"/>
      <c r="AB1238" s="65"/>
      <c r="AC1238" s="65"/>
    </row>
    <row r="1239">
      <c r="A1239" s="64"/>
      <c r="B1239" s="64"/>
      <c r="C1239" s="64"/>
      <c r="D1239" s="64"/>
      <c r="E1239" s="64"/>
      <c r="F1239" s="64"/>
      <c r="G1239" s="64"/>
      <c r="H1239" s="63"/>
      <c r="I1239" s="64"/>
      <c r="J1239" s="64"/>
      <c r="K1239" s="64"/>
      <c r="L1239" s="64"/>
      <c r="M1239" s="64"/>
      <c r="N1239" s="64"/>
      <c r="O1239" s="64"/>
      <c r="P1239" s="64"/>
      <c r="Q1239" s="64"/>
      <c r="R1239" s="65" t="str">
        <f>IF($A1239="","",IFERROR(MINIFS(Candidates!$K$2:$K$2000,Candidates!$A$2:$A$2000,$A1239),""))</f>
        <v/>
      </c>
      <c r="S1239" s="65" t="str">
        <f>IF($A1239="","",IFERROR(MAXIFS(Candidates!$AA$2:$AA$2000,Candidates!$A$2:$A$2000,$A1239),""))</f>
        <v/>
      </c>
      <c r="T1239" s="64" t="str">
        <f>IFERROR(__xludf.DUMMYFUNCTION("IF($A1239="""","""",IFERROR(TEXTJOIN("", "",TRUE,UNIQUE(FILTER(Candidates!$B$2:$B$2000,Candidates!$A$2:$A$2000=$A1239))),""""))"),"")</f>
        <v/>
      </c>
      <c r="U1239" s="66" t="str">
        <f>IF($A1239="","",COUNTIF(Candidates!$A$2:$A$2000,$A1239))</f>
        <v/>
      </c>
      <c r="V1239" s="64" t="str">
        <f>IFERROR(__xludf.DUMMYFUNCTION("IF($A1239="""","""",IFERROR(INDEX(FILTER(Candidates!$S$2:$S$2000,Candidates!$A$2:$A$2000=$A1239),COUNTIF(Candidates!$A$2:$A$2000,$A1239)),""""))"),"")</f>
        <v/>
      </c>
      <c r="W1239" s="64" t="str">
        <f>IFERROR(__xludf.DUMMYFUNCTION("IF($A1239="""","""",IFERROR(INDEX(FILTER(Candidates!$T$2:$T$2000,Candidates!$A$2:$A$2000=$A1239),COUNTIF(Candidates!$A$2:$A$2000,$A1239)),""""))"),"")</f>
        <v/>
      </c>
      <c r="X1239" s="64"/>
      <c r="Y1239" s="64"/>
      <c r="Z1239" s="65"/>
      <c r="AA1239" s="65"/>
      <c r="AB1239" s="65"/>
      <c r="AC1239" s="65"/>
    </row>
    <row r="1240">
      <c r="A1240" s="64"/>
      <c r="B1240" s="64"/>
      <c r="C1240" s="64"/>
      <c r="D1240" s="64"/>
      <c r="E1240" s="64"/>
      <c r="F1240" s="64"/>
      <c r="G1240" s="64"/>
      <c r="H1240" s="63"/>
      <c r="I1240" s="64"/>
      <c r="J1240" s="64"/>
      <c r="K1240" s="64"/>
      <c r="L1240" s="64"/>
      <c r="M1240" s="64"/>
      <c r="N1240" s="64"/>
      <c r="O1240" s="64"/>
      <c r="P1240" s="64"/>
      <c r="Q1240" s="64"/>
      <c r="R1240" s="65" t="str">
        <f>IF($A1240="","",IFERROR(MINIFS(Candidates!$K$2:$K$2000,Candidates!$A$2:$A$2000,$A1240),""))</f>
        <v/>
      </c>
      <c r="S1240" s="65" t="str">
        <f>IF($A1240="","",IFERROR(MAXIFS(Candidates!$AA$2:$AA$2000,Candidates!$A$2:$A$2000,$A1240),""))</f>
        <v/>
      </c>
      <c r="T1240" s="64" t="str">
        <f>IFERROR(__xludf.DUMMYFUNCTION("IF($A1240="""","""",IFERROR(TEXTJOIN("", "",TRUE,UNIQUE(FILTER(Candidates!$B$2:$B$2000,Candidates!$A$2:$A$2000=$A1240))),""""))"),"")</f>
        <v/>
      </c>
      <c r="U1240" s="66" t="str">
        <f>IF($A1240="","",COUNTIF(Candidates!$A$2:$A$2000,$A1240))</f>
        <v/>
      </c>
      <c r="V1240" s="64" t="str">
        <f>IFERROR(__xludf.DUMMYFUNCTION("IF($A1240="""","""",IFERROR(INDEX(FILTER(Candidates!$S$2:$S$2000,Candidates!$A$2:$A$2000=$A1240),COUNTIF(Candidates!$A$2:$A$2000,$A1240)),""""))"),"")</f>
        <v/>
      </c>
      <c r="W1240" s="64" t="str">
        <f>IFERROR(__xludf.DUMMYFUNCTION("IF($A1240="""","""",IFERROR(INDEX(FILTER(Candidates!$T$2:$T$2000,Candidates!$A$2:$A$2000=$A1240),COUNTIF(Candidates!$A$2:$A$2000,$A1240)),""""))"),"")</f>
        <v/>
      </c>
      <c r="X1240" s="64"/>
      <c r="Y1240" s="64"/>
      <c r="Z1240" s="65"/>
      <c r="AA1240" s="65"/>
      <c r="AB1240" s="65"/>
      <c r="AC1240" s="65"/>
    </row>
    <row r="1241">
      <c r="A1241" s="64"/>
      <c r="B1241" s="64"/>
      <c r="C1241" s="64"/>
      <c r="D1241" s="64"/>
      <c r="E1241" s="64"/>
      <c r="F1241" s="64"/>
      <c r="G1241" s="64"/>
      <c r="H1241" s="63"/>
      <c r="I1241" s="64"/>
      <c r="J1241" s="64"/>
      <c r="K1241" s="64"/>
      <c r="L1241" s="64"/>
      <c r="M1241" s="64"/>
      <c r="N1241" s="64"/>
      <c r="O1241" s="64"/>
      <c r="P1241" s="64"/>
      <c r="Q1241" s="64"/>
      <c r="R1241" s="65" t="str">
        <f>IF($A1241="","",IFERROR(MINIFS(Candidates!$K$2:$K$2000,Candidates!$A$2:$A$2000,$A1241),""))</f>
        <v/>
      </c>
      <c r="S1241" s="65" t="str">
        <f>IF($A1241="","",IFERROR(MAXIFS(Candidates!$AA$2:$AA$2000,Candidates!$A$2:$A$2000,$A1241),""))</f>
        <v/>
      </c>
      <c r="T1241" s="64" t="str">
        <f>IFERROR(__xludf.DUMMYFUNCTION("IF($A1241="""","""",IFERROR(TEXTJOIN("", "",TRUE,UNIQUE(FILTER(Candidates!$B$2:$B$2000,Candidates!$A$2:$A$2000=$A1241))),""""))"),"")</f>
        <v/>
      </c>
      <c r="U1241" s="66" t="str">
        <f>IF($A1241="","",COUNTIF(Candidates!$A$2:$A$2000,$A1241))</f>
        <v/>
      </c>
      <c r="V1241" s="64" t="str">
        <f>IFERROR(__xludf.DUMMYFUNCTION("IF($A1241="""","""",IFERROR(INDEX(FILTER(Candidates!$S$2:$S$2000,Candidates!$A$2:$A$2000=$A1241),COUNTIF(Candidates!$A$2:$A$2000,$A1241)),""""))"),"")</f>
        <v/>
      </c>
      <c r="W1241" s="64" t="str">
        <f>IFERROR(__xludf.DUMMYFUNCTION("IF($A1241="""","""",IFERROR(INDEX(FILTER(Candidates!$T$2:$T$2000,Candidates!$A$2:$A$2000=$A1241),COUNTIF(Candidates!$A$2:$A$2000,$A1241)),""""))"),"")</f>
        <v/>
      </c>
      <c r="X1241" s="64"/>
      <c r="Y1241" s="64"/>
      <c r="Z1241" s="65"/>
      <c r="AA1241" s="65"/>
      <c r="AB1241" s="65"/>
      <c r="AC1241" s="65"/>
    </row>
    <row r="1242">
      <c r="A1242" s="64"/>
      <c r="B1242" s="64"/>
      <c r="C1242" s="64"/>
      <c r="D1242" s="64"/>
      <c r="E1242" s="64"/>
      <c r="F1242" s="64"/>
      <c r="G1242" s="64"/>
      <c r="H1242" s="63"/>
      <c r="I1242" s="64"/>
      <c r="J1242" s="64"/>
      <c r="K1242" s="64"/>
      <c r="L1242" s="64"/>
      <c r="M1242" s="64"/>
      <c r="N1242" s="64"/>
      <c r="O1242" s="64"/>
      <c r="P1242" s="64"/>
      <c r="Q1242" s="64"/>
      <c r="R1242" s="65" t="str">
        <f>IF($A1242="","",IFERROR(MINIFS(Candidates!$K$2:$K$2000,Candidates!$A$2:$A$2000,$A1242),""))</f>
        <v/>
      </c>
      <c r="S1242" s="65" t="str">
        <f>IF($A1242="","",IFERROR(MAXIFS(Candidates!$AA$2:$AA$2000,Candidates!$A$2:$A$2000,$A1242),""))</f>
        <v/>
      </c>
      <c r="T1242" s="64" t="str">
        <f>IFERROR(__xludf.DUMMYFUNCTION("IF($A1242="""","""",IFERROR(TEXTJOIN("", "",TRUE,UNIQUE(FILTER(Candidates!$B$2:$B$2000,Candidates!$A$2:$A$2000=$A1242))),""""))"),"")</f>
        <v/>
      </c>
      <c r="U1242" s="66" t="str">
        <f>IF($A1242="","",COUNTIF(Candidates!$A$2:$A$2000,$A1242))</f>
        <v/>
      </c>
      <c r="V1242" s="64" t="str">
        <f>IFERROR(__xludf.DUMMYFUNCTION("IF($A1242="""","""",IFERROR(INDEX(FILTER(Candidates!$S$2:$S$2000,Candidates!$A$2:$A$2000=$A1242),COUNTIF(Candidates!$A$2:$A$2000,$A1242)),""""))"),"")</f>
        <v/>
      </c>
      <c r="W1242" s="64" t="str">
        <f>IFERROR(__xludf.DUMMYFUNCTION("IF($A1242="""","""",IFERROR(INDEX(FILTER(Candidates!$T$2:$T$2000,Candidates!$A$2:$A$2000=$A1242),COUNTIF(Candidates!$A$2:$A$2000,$A1242)),""""))"),"")</f>
        <v/>
      </c>
      <c r="X1242" s="64"/>
      <c r="Y1242" s="64"/>
      <c r="Z1242" s="65"/>
      <c r="AA1242" s="65"/>
      <c r="AB1242" s="65"/>
      <c r="AC1242" s="65"/>
    </row>
    <row r="1243">
      <c r="A1243" s="64"/>
      <c r="B1243" s="64"/>
      <c r="C1243" s="64"/>
      <c r="D1243" s="64"/>
      <c r="E1243" s="64"/>
      <c r="F1243" s="64"/>
      <c r="G1243" s="64"/>
      <c r="H1243" s="63"/>
      <c r="I1243" s="64"/>
      <c r="J1243" s="64"/>
      <c r="K1243" s="64"/>
      <c r="L1243" s="64"/>
      <c r="M1243" s="64"/>
      <c r="N1243" s="64"/>
      <c r="O1243" s="64"/>
      <c r="P1243" s="64"/>
      <c r="Q1243" s="64"/>
      <c r="R1243" s="65" t="str">
        <f>IF($A1243="","",IFERROR(MINIFS(Candidates!$K$2:$K$2000,Candidates!$A$2:$A$2000,$A1243),""))</f>
        <v/>
      </c>
      <c r="S1243" s="65" t="str">
        <f>IF($A1243="","",IFERROR(MAXIFS(Candidates!$AA$2:$AA$2000,Candidates!$A$2:$A$2000,$A1243),""))</f>
        <v/>
      </c>
      <c r="T1243" s="64" t="str">
        <f>IFERROR(__xludf.DUMMYFUNCTION("IF($A1243="""","""",IFERROR(TEXTJOIN("", "",TRUE,UNIQUE(FILTER(Candidates!$B$2:$B$2000,Candidates!$A$2:$A$2000=$A1243))),""""))"),"")</f>
        <v/>
      </c>
      <c r="U1243" s="66" t="str">
        <f>IF($A1243="","",COUNTIF(Candidates!$A$2:$A$2000,$A1243))</f>
        <v/>
      </c>
      <c r="V1243" s="64" t="str">
        <f>IFERROR(__xludf.DUMMYFUNCTION("IF($A1243="""","""",IFERROR(INDEX(FILTER(Candidates!$S$2:$S$2000,Candidates!$A$2:$A$2000=$A1243),COUNTIF(Candidates!$A$2:$A$2000,$A1243)),""""))"),"")</f>
        <v/>
      </c>
      <c r="W1243" s="64" t="str">
        <f>IFERROR(__xludf.DUMMYFUNCTION("IF($A1243="""","""",IFERROR(INDEX(FILTER(Candidates!$T$2:$T$2000,Candidates!$A$2:$A$2000=$A1243),COUNTIF(Candidates!$A$2:$A$2000,$A1243)),""""))"),"")</f>
        <v/>
      </c>
      <c r="X1243" s="64"/>
      <c r="Y1243" s="64"/>
      <c r="Z1243" s="65"/>
      <c r="AA1243" s="65"/>
      <c r="AB1243" s="65"/>
      <c r="AC1243" s="65"/>
    </row>
    <row r="1244">
      <c r="A1244" s="64"/>
      <c r="B1244" s="64"/>
      <c r="C1244" s="64"/>
      <c r="D1244" s="64"/>
      <c r="E1244" s="64"/>
      <c r="F1244" s="64"/>
      <c r="G1244" s="64"/>
      <c r="H1244" s="63"/>
      <c r="I1244" s="64"/>
      <c r="J1244" s="64"/>
      <c r="K1244" s="64"/>
      <c r="L1244" s="64"/>
      <c r="M1244" s="64"/>
      <c r="N1244" s="64"/>
      <c r="O1244" s="64"/>
      <c r="P1244" s="64"/>
      <c r="Q1244" s="64"/>
      <c r="R1244" s="65" t="str">
        <f>IF($A1244="","",IFERROR(MINIFS(Candidates!$K$2:$K$2000,Candidates!$A$2:$A$2000,$A1244),""))</f>
        <v/>
      </c>
      <c r="S1244" s="65" t="str">
        <f>IF($A1244="","",IFERROR(MAXIFS(Candidates!$AA$2:$AA$2000,Candidates!$A$2:$A$2000,$A1244),""))</f>
        <v/>
      </c>
      <c r="T1244" s="64" t="str">
        <f>IFERROR(__xludf.DUMMYFUNCTION("IF($A1244="""","""",IFERROR(TEXTJOIN("", "",TRUE,UNIQUE(FILTER(Candidates!$B$2:$B$2000,Candidates!$A$2:$A$2000=$A1244))),""""))"),"")</f>
        <v/>
      </c>
      <c r="U1244" s="66" t="str">
        <f>IF($A1244="","",COUNTIF(Candidates!$A$2:$A$2000,$A1244))</f>
        <v/>
      </c>
      <c r="V1244" s="64" t="str">
        <f>IFERROR(__xludf.DUMMYFUNCTION("IF($A1244="""","""",IFERROR(INDEX(FILTER(Candidates!$S$2:$S$2000,Candidates!$A$2:$A$2000=$A1244),COUNTIF(Candidates!$A$2:$A$2000,$A1244)),""""))"),"")</f>
        <v/>
      </c>
      <c r="W1244" s="64" t="str">
        <f>IFERROR(__xludf.DUMMYFUNCTION("IF($A1244="""","""",IFERROR(INDEX(FILTER(Candidates!$T$2:$T$2000,Candidates!$A$2:$A$2000=$A1244),COUNTIF(Candidates!$A$2:$A$2000,$A1244)),""""))"),"")</f>
        <v/>
      </c>
      <c r="X1244" s="64"/>
      <c r="Y1244" s="64"/>
      <c r="Z1244" s="65"/>
      <c r="AA1244" s="65"/>
      <c r="AB1244" s="65"/>
      <c r="AC1244" s="65"/>
    </row>
    <row r="1245">
      <c r="A1245" s="64"/>
      <c r="B1245" s="64"/>
      <c r="C1245" s="64"/>
      <c r="D1245" s="64"/>
      <c r="E1245" s="64"/>
      <c r="F1245" s="64"/>
      <c r="G1245" s="64"/>
      <c r="H1245" s="63"/>
      <c r="I1245" s="64"/>
      <c r="J1245" s="64"/>
      <c r="K1245" s="64"/>
      <c r="L1245" s="64"/>
      <c r="M1245" s="64"/>
      <c r="N1245" s="64"/>
      <c r="O1245" s="64"/>
      <c r="P1245" s="64"/>
      <c r="Q1245" s="64"/>
      <c r="R1245" s="65" t="str">
        <f>IF($A1245="","",IFERROR(MINIFS(Candidates!$K$2:$K$2000,Candidates!$A$2:$A$2000,$A1245),""))</f>
        <v/>
      </c>
      <c r="S1245" s="65" t="str">
        <f>IF($A1245="","",IFERROR(MAXIFS(Candidates!$AA$2:$AA$2000,Candidates!$A$2:$A$2000,$A1245),""))</f>
        <v/>
      </c>
      <c r="T1245" s="64" t="str">
        <f>IFERROR(__xludf.DUMMYFUNCTION("IF($A1245="""","""",IFERROR(TEXTJOIN("", "",TRUE,UNIQUE(FILTER(Candidates!$B$2:$B$2000,Candidates!$A$2:$A$2000=$A1245))),""""))"),"")</f>
        <v/>
      </c>
      <c r="U1245" s="66" t="str">
        <f>IF($A1245="","",COUNTIF(Candidates!$A$2:$A$2000,$A1245))</f>
        <v/>
      </c>
      <c r="V1245" s="64" t="str">
        <f>IFERROR(__xludf.DUMMYFUNCTION("IF($A1245="""","""",IFERROR(INDEX(FILTER(Candidates!$S$2:$S$2000,Candidates!$A$2:$A$2000=$A1245),COUNTIF(Candidates!$A$2:$A$2000,$A1245)),""""))"),"")</f>
        <v/>
      </c>
      <c r="W1245" s="64" t="str">
        <f>IFERROR(__xludf.DUMMYFUNCTION("IF($A1245="""","""",IFERROR(INDEX(FILTER(Candidates!$T$2:$T$2000,Candidates!$A$2:$A$2000=$A1245),COUNTIF(Candidates!$A$2:$A$2000,$A1245)),""""))"),"")</f>
        <v/>
      </c>
      <c r="X1245" s="64"/>
      <c r="Y1245" s="64"/>
      <c r="Z1245" s="65"/>
      <c r="AA1245" s="65"/>
      <c r="AB1245" s="65"/>
      <c r="AC1245" s="65"/>
    </row>
    <row r="1246">
      <c r="A1246" s="64"/>
      <c r="B1246" s="64"/>
      <c r="C1246" s="64"/>
      <c r="D1246" s="64"/>
      <c r="E1246" s="64"/>
      <c r="F1246" s="64"/>
      <c r="G1246" s="64"/>
      <c r="H1246" s="63"/>
      <c r="I1246" s="64"/>
      <c r="J1246" s="64"/>
      <c r="K1246" s="64"/>
      <c r="L1246" s="64"/>
      <c r="M1246" s="64"/>
      <c r="N1246" s="64"/>
      <c r="O1246" s="64"/>
      <c r="P1246" s="64"/>
      <c r="Q1246" s="64"/>
      <c r="R1246" s="65" t="str">
        <f>IF($A1246="","",IFERROR(MINIFS(Candidates!$K$2:$K$2000,Candidates!$A$2:$A$2000,$A1246),""))</f>
        <v/>
      </c>
      <c r="S1246" s="65" t="str">
        <f>IF($A1246="","",IFERROR(MAXIFS(Candidates!$AA$2:$AA$2000,Candidates!$A$2:$A$2000,$A1246),""))</f>
        <v/>
      </c>
      <c r="T1246" s="64" t="str">
        <f>IFERROR(__xludf.DUMMYFUNCTION("IF($A1246="""","""",IFERROR(TEXTJOIN("", "",TRUE,UNIQUE(FILTER(Candidates!$B$2:$B$2000,Candidates!$A$2:$A$2000=$A1246))),""""))"),"")</f>
        <v/>
      </c>
      <c r="U1246" s="66" t="str">
        <f>IF($A1246="","",COUNTIF(Candidates!$A$2:$A$2000,$A1246))</f>
        <v/>
      </c>
      <c r="V1246" s="64" t="str">
        <f>IFERROR(__xludf.DUMMYFUNCTION("IF($A1246="""","""",IFERROR(INDEX(FILTER(Candidates!$S$2:$S$2000,Candidates!$A$2:$A$2000=$A1246),COUNTIF(Candidates!$A$2:$A$2000,$A1246)),""""))"),"")</f>
        <v/>
      </c>
      <c r="W1246" s="64" t="str">
        <f>IFERROR(__xludf.DUMMYFUNCTION("IF($A1246="""","""",IFERROR(INDEX(FILTER(Candidates!$T$2:$T$2000,Candidates!$A$2:$A$2000=$A1246),COUNTIF(Candidates!$A$2:$A$2000,$A1246)),""""))"),"")</f>
        <v/>
      </c>
      <c r="X1246" s="64"/>
      <c r="Y1246" s="64"/>
      <c r="Z1246" s="65"/>
      <c r="AA1246" s="65"/>
      <c r="AB1246" s="65"/>
      <c r="AC1246" s="65"/>
    </row>
    <row r="1247">
      <c r="A1247" s="64"/>
      <c r="B1247" s="64"/>
      <c r="C1247" s="64"/>
      <c r="D1247" s="64"/>
      <c r="E1247" s="64"/>
      <c r="F1247" s="64"/>
      <c r="G1247" s="64"/>
      <c r="H1247" s="63"/>
      <c r="I1247" s="64"/>
      <c r="J1247" s="64"/>
      <c r="K1247" s="64"/>
      <c r="L1247" s="64"/>
      <c r="M1247" s="64"/>
      <c r="N1247" s="64"/>
      <c r="O1247" s="64"/>
      <c r="P1247" s="64"/>
      <c r="Q1247" s="64"/>
      <c r="R1247" s="65" t="str">
        <f>IF($A1247="","",IFERROR(MINIFS(Candidates!$K$2:$K$2000,Candidates!$A$2:$A$2000,$A1247),""))</f>
        <v/>
      </c>
      <c r="S1247" s="65" t="str">
        <f>IF($A1247="","",IFERROR(MAXIFS(Candidates!$AA$2:$AA$2000,Candidates!$A$2:$A$2000,$A1247),""))</f>
        <v/>
      </c>
      <c r="T1247" s="64" t="str">
        <f>IFERROR(__xludf.DUMMYFUNCTION("IF($A1247="""","""",IFERROR(TEXTJOIN("", "",TRUE,UNIQUE(FILTER(Candidates!$B$2:$B$2000,Candidates!$A$2:$A$2000=$A1247))),""""))"),"")</f>
        <v/>
      </c>
      <c r="U1247" s="66" t="str">
        <f>IF($A1247="","",COUNTIF(Candidates!$A$2:$A$2000,$A1247))</f>
        <v/>
      </c>
      <c r="V1247" s="64" t="str">
        <f>IFERROR(__xludf.DUMMYFUNCTION("IF($A1247="""","""",IFERROR(INDEX(FILTER(Candidates!$S$2:$S$2000,Candidates!$A$2:$A$2000=$A1247),COUNTIF(Candidates!$A$2:$A$2000,$A1247)),""""))"),"")</f>
        <v/>
      </c>
      <c r="W1247" s="64" t="str">
        <f>IFERROR(__xludf.DUMMYFUNCTION("IF($A1247="""","""",IFERROR(INDEX(FILTER(Candidates!$T$2:$T$2000,Candidates!$A$2:$A$2000=$A1247),COUNTIF(Candidates!$A$2:$A$2000,$A1247)),""""))"),"")</f>
        <v/>
      </c>
      <c r="X1247" s="64"/>
      <c r="Y1247" s="64"/>
      <c r="Z1247" s="65"/>
      <c r="AA1247" s="65"/>
      <c r="AB1247" s="65"/>
      <c r="AC1247" s="65"/>
    </row>
    <row r="1248">
      <c r="A1248" s="64"/>
      <c r="B1248" s="64"/>
      <c r="C1248" s="64"/>
      <c r="D1248" s="64"/>
      <c r="E1248" s="64"/>
      <c r="F1248" s="64"/>
      <c r="G1248" s="64"/>
      <c r="H1248" s="63"/>
      <c r="I1248" s="64"/>
      <c r="J1248" s="64"/>
      <c r="K1248" s="64"/>
      <c r="L1248" s="64"/>
      <c r="M1248" s="64"/>
      <c r="N1248" s="64"/>
      <c r="O1248" s="64"/>
      <c r="P1248" s="64"/>
      <c r="Q1248" s="64"/>
      <c r="R1248" s="65" t="str">
        <f>IF($A1248="","",IFERROR(MINIFS(Candidates!$K$2:$K$2000,Candidates!$A$2:$A$2000,$A1248),""))</f>
        <v/>
      </c>
      <c r="S1248" s="65" t="str">
        <f>IF($A1248="","",IFERROR(MAXIFS(Candidates!$AA$2:$AA$2000,Candidates!$A$2:$A$2000,$A1248),""))</f>
        <v/>
      </c>
      <c r="T1248" s="64" t="str">
        <f>IFERROR(__xludf.DUMMYFUNCTION("IF($A1248="""","""",IFERROR(TEXTJOIN("", "",TRUE,UNIQUE(FILTER(Candidates!$B$2:$B$2000,Candidates!$A$2:$A$2000=$A1248))),""""))"),"")</f>
        <v/>
      </c>
      <c r="U1248" s="66" t="str">
        <f>IF($A1248="","",COUNTIF(Candidates!$A$2:$A$2000,$A1248))</f>
        <v/>
      </c>
      <c r="V1248" s="64" t="str">
        <f>IFERROR(__xludf.DUMMYFUNCTION("IF($A1248="""","""",IFERROR(INDEX(FILTER(Candidates!$S$2:$S$2000,Candidates!$A$2:$A$2000=$A1248),COUNTIF(Candidates!$A$2:$A$2000,$A1248)),""""))"),"")</f>
        <v/>
      </c>
      <c r="W1248" s="64" t="str">
        <f>IFERROR(__xludf.DUMMYFUNCTION("IF($A1248="""","""",IFERROR(INDEX(FILTER(Candidates!$T$2:$T$2000,Candidates!$A$2:$A$2000=$A1248),COUNTIF(Candidates!$A$2:$A$2000,$A1248)),""""))"),"")</f>
        <v/>
      </c>
      <c r="X1248" s="64"/>
      <c r="Y1248" s="64"/>
      <c r="Z1248" s="65"/>
      <c r="AA1248" s="65"/>
      <c r="AB1248" s="65"/>
      <c r="AC1248" s="65"/>
    </row>
    <row r="1249">
      <c r="A1249" s="64"/>
      <c r="B1249" s="64"/>
      <c r="C1249" s="64"/>
      <c r="D1249" s="64"/>
      <c r="E1249" s="64"/>
      <c r="F1249" s="64"/>
      <c r="G1249" s="64"/>
      <c r="H1249" s="63"/>
      <c r="I1249" s="64"/>
      <c r="J1249" s="64"/>
      <c r="K1249" s="64"/>
      <c r="L1249" s="64"/>
      <c r="M1249" s="64"/>
      <c r="N1249" s="64"/>
      <c r="O1249" s="64"/>
      <c r="P1249" s="64"/>
      <c r="Q1249" s="64"/>
      <c r="R1249" s="65" t="str">
        <f>IF($A1249="","",IFERROR(MINIFS(Candidates!$K$2:$K$2000,Candidates!$A$2:$A$2000,$A1249),""))</f>
        <v/>
      </c>
      <c r="S1249" s="65" t="str">
        <f>IF($A1249="","",IFERROR(MAXIFS(Candidates!$AA$2:$AA$2000,Candidates!$A$2:$A$2000,$A1249),""))</f>
        <v/>
      </c>
      <c r="T1249" s="64" t="str">
        <f>IFERROR(__xludf.DUMMYFUNCTION("IF($A1249="""","""",IFERROR(TEXTJOIN("", "",TRUE,UNIQUE(FILTER(Candidates!$B$2:$B$2000,Candidates!$A$2:$A$2000=$A1249))),""""))"),"")</f>
        <v/>
      </c>
      <c r="U1249" s="66" t="str">
        <f>IF($A1249="","",COUNTIF(Candidates!$A$2:$A$2000,$A1249))</f>
        <v/>
      </c>
      <c r="V1249" s="64" t="str">
        <f>IFERROR(__xludf.DUMMYFUNCTION("IF($A1249="""","""",IFERROR(INDEX(FILTER(Candidates!$S$2:$S$2000,Candidates!$A$2:$A$2000=$A1249),COUNTIF(Candidates!$A$2:$A$2000,$A1249)),""""))"),"")</f>
        <v/>
      </c>
      <c r="W1249" s="64" t="str">
        <f>IFERROR(__xludf.DUMMYFUNCTION("IF($A1249="""","""",IFERROR(INDEX(FILTER(Candidates!$T$2:$T$2000,Candidates!$A$2:$A$2000=$A1249),COUNTIF(Candidates!$A$2:$A$2000,$A1249)),""""))"),"")</f>
        <v/>
      </c>
      <c r="X1249" s="64"/>
      <c r="Y1249" s="64"/>
      <c r="Z1249" s="65"/>
      <c r="AA1249" s="65"/>
      <c r="AB1249" s="65"/>
      <c r="AC1249" s="65"/>
    </row>
    <row r="1250">
      <c r="A1250" s="64"/>
      <c r="B1250" s="64"/>
      <c r="C1250" s="64"/>
      <c r="D1250" s="64"/>
      <c r="E1250" s="64"/>
      <c r="F1250" s="64"/>
      <c r="G1250" s="64"/>
      <c r="H1250" s="63"/>
      <c r="I1250" s="64"/>
      <c r="J1250" s="64"/>
      <c r="K1250" s="64"/>
      <c r="L1250" s="64"/>
      <c r="M1250" s="64"/>
      <c r="N1250" s="64"/>
      <c r="O1250" s="64"/>
      <c r="P1250" s="64"/>
      <c r="Q1250" s="64"/>
      <c r="R1250" s="65" t="str">
        <f>IF($A1250="","",IFERROR(MINIFS(Candidates!$K$2:$K$2000,Candidates!$A$2:$A$2000,$A1250),""))</f>
        <v/>
      </c>
      <c r="S1250" s="65" t="str">
        <f>IF($A1250="","",IFERROR(MAXIFS(Candidates!$AA$2:$AA$2000,Candidates!$A$2:$A$2000,$A1250),""))</f>
        <v/>
      </c>
      <c r="T1250" s="64" t="str">
        <f>IFERROR(__xludf.DUMMYFUNCTION("IF($A1250="""","""",IFERROR(TEXTJOIN("", "",TRUE,UNIQUE(FILTER(Candidates!$B$2:$B$2000,Candidates!$A$2:$A$2000=$A1250))),""""))"),"")</f>
        <v/>
      </c>
      <c r="U1250" s="66" t="str">
        <f>IF($A1250="","",COUNTIF(Candidates!$A$2:$A$2000,$A1250))</f>
        <v/>
      </c>
      <c r="V1250" s="64" t="str">
        <f>IFERROR(__xludf.DUMMYFUNCTION("IF($A1250="""","""",IFERROR(INDEX(FILTER(Candidates!$S$2:$S$2000,Candidates!$A$2:$A$2000=$A1250),COUNTIF(Candidates!$A$2:$A$2000,$A1250)),""""))"),"")</f>
        <v/>
      </c>
      <c r="W1250" s="64" t="str">
        <f>IFERROR(__xludf.DUMMYFUNCTION("IF($A1250="""","""",IFERROR(INDEX(FILTER(Candidates!$T$2:$T$2000,Candidates!$A$2:$A$2000=$A1250),COUNTIF(Candidates!$A$2:$A$2000,$A1250)),""""))"),"")</f>
        <v/>
      </c>
      <c r="X1250" s="64"/>
      <c r="Y1250" s="64"/>
      <c r="Z1250" s="65"/>
      <c r="AA1250" s="65"/>
      <c r="AB1250" s="65"/>
      <c r="AC1250" s="65"/>
    </row>
    <row r="1251">
      <c r="A1251" s="64"/>
      <c r="B1251" s="64"/>
      <c r="C1251" s="64"/>
      <c r="D1251" s="64"/>
      <c r="E1251" s="64"/>
      <c r="F1251" s="64"/>
      <c r="G1251" s="64"/>
      <c r="H1251" s="63"/>
      <c r="I1251" s="64"/>
      <c r="J1251" s="64"/>
      <c r="K1251" s="64"/>
      <c r="L1251" s="64"/>
      <c r="M1251" s="64"/>
      <c r="N1251" s="64"/>
      <c r="O1251" s="64"/>
      <c r="P1251" s="64"/>
      <c r="Q1251" s="64"/>
      <c r="R1251" s="65" t="str">
        <f>IF($A1251="","",IFERROR(MINIFS(Candidates!$K$2:$K$2000,Candidates!$A$2:$A$2000,$A1251),""))</f>
        <v/>
      </c>
      <c r="S1251" s="65" t="str">
        <f>IF($A1251="","",IFERROR(MAXIFS(Candidates!$AA$2:$AA$2000,Candidates!$A$2:$A$2000,$A1251),""))</f>
        <v/>
      </c>
      <c r="T1251" s="64" t="str">
        <f>IFERROR(__xludf.DUMMYFUNCTION("IF($A1251="""","""",IFERROR(TEXTJOIN("", "",TRUE,UNIQUE(FILTER(Candidates!$B$2:$B$2000,Candidates!$A$2:$A$2000=$A1251))),""""))"),"")</f>
        <v/>
      </c>
      <c r="U1251" s="66" t="str">
        <f>IF($A1251="","",COUNTIF(Candidates!$A$2:$A$2000,$A1251))</f>
        <v/>
      </c>
      <c r="V1251" s="64" t="str">
        <f>IFERROR(__xludf.DUMMYFUNCTION("IF($A1251="""","""",IFERROR(INDEX(FILTER(Candidates!$S$2:$S$2000,Candidates!$A$2:$A$2000=$A1251),COUNTIF(Candidates!$A$2:$A$2000,$A1251)),""""))"),"")</f>
        <v/>
      </c>
      <c r="W1251" s="64" t="str">
        <f>IFERROR(__xludf.DUMMYFUNCTION("IF($A1251="""","""",IFERROR(INDEX(FILTER(Candidates!$T$2:$T$2000,Candidates!$A$2:$A$2000=$A1251),COUNTIF(Candidates!$A$2:$A$2000,$A1251)),""""))"),"")</f>
        <v/>
      </c>
      <c r="X1251" s="64"/>
      <c r="Y1251" s="64"/>
      <c r="Z1251" s="65"/>
      <c r="AA1251" s="65"/>
      <c r="AB1251" s="65"/>
      <c r="AC1251" s="65"/>
    </row>
    <row r="1252">
      <c r="A1252" s="64"/>
      <c r="B1252" s="64"/>
      <c r="C1252" s="64"/>
      <c r="D1252" s="64"/>
      <c r="E1252" s="64"/>
      <c r="F1252" s="64"/>
      <c r="G1252" s="64"/>
      <c r="H1252" s="63"/>
      <c r="I1252" s="64"/>
      <c r="J1252" s="64"/>
      <c r="K1252" s="64"/>
      <c r="L1252" s="64"/>
      <c r="M1252" s="64"/>
      <c r="N1252" s="64"/>
      <c r="O1252" s="64"/>
      <c r="P1252" s="64"/>
      <c r="Q1252" s="64"/>
      <c r="R1252" s="65" t="str">
        <f>IF($A1252="","",IFERROR(MINIFS(Candidates!$K$2:$K$2000,Candidates!$A$2:$A$2000,$A1252),""))</f>
        <v/>
      </c>
      <c r="S1252" s="65" t="str">
        <f>IF($A1252="","",IFERROR(MAXIFS(Candidates!$AA$2:$AA$2000,Candidates!$A$2:$A$2000,$A1252),""))</f>
        <v/>
      </c>
      <c r="T1252" s="64" t="str">
        <f>IFERROR(__xludf.DUMMYFUNCTION("IF($A1252="""","""",IFERROR(TEXTJOIN("", "",TRUE,UNIQUE(FILTER(Candidates!$B$2:$B$2000,Candidates!$A$2:$A$2000=$A1252))),""""))"),"")</f>
        <v/>
      </c>
      <c r="U1252" s="66" t="str">
        <f>IF($A1252="","",COUNTIF(Candidates!$A$2:$A$2000,$A1252))</f>
        <v/>
      </c>
      <c r="V1252" s="64" t="str">
        <f>IFERROR(__xludf.DUMMYFUNCTION("IF($A1252="""","""",IFERROR(INDEX(FILTER(Candidates!$S$2:$S$2000,Candidates!$A$2:$A$2000=$A1252),COUNTIF(Candidates!$A$2:$A$2000,$A1252)),""""))"),"")</f>
        <v/>
      </c>
      <c r="W1252" s="64" t="str">
        <f>IFERROR(__xludf.DUMMYFUNCTION("IF($A1252="""","""",IFERROR(INDEX(FILTER(Candidates!$T$2:$T$2000,Candidates!$A$2:$A$2000=$A1252),COUNTIF(Candidates!$A$2:$A$2000,$A1252)),""""))"),"")</f>
        <v/>
      </c>
      <c r="X1252" s="64"/>
      <c r="Y1252" s="64"/>
      <c r="Z1252" s="65"/>
      <c r="AA1252" s="65"/>
      <c r="AB1252" s="65"/>
      <c r="AC1252" s="65"/>
    </row>
    <row r="1253">
      <c r="A1253" s="64"/>
      <c r="B1253" s="64"/>
      <c r="C1253" s="64"/>
      <c r="D1253" s="64"/>
      <c r="E1253" s="64"/>
      <c r="F1253" s="64"/>
      <c r="G1253" s="64"/>
      <c r="H1253" s="63"/>
      <c r="I1253" s="64"/>
      <c r="J1253" s="64"/>
      <c r="K1253" s="64"/>
      <c r="L1253" s="64"/>
      <c r="M1253" s="64"/>
      <c r="N1253" s="64"/>
      <c r="O1253" s="64"/>
      <c r="P1253" s="64"/>
      <c r="Q1253" s="64"/>
      <c r="R1253" s="65" t="str">
        <f>IF($A1253="","",IFERROR(MINIFS(Candidates!$K$2:$K$2000,Candidates!$A$2:$A$2000,$A1253),""))</f>
        <v/>
      </c>
      <c r="S1253" s="65" t="str">
        <f>IF($A1253="","",IFERROR(MAXIFS(Candidates!$AA$2:$AA$2000,Candidates!$A$2:$A$2000,$A1253),""))</f>
        <v/>
      </c>
      <c r="T1253" s="64" t="str">
        <f>IFERROR(__xludf.DUMMYFUNCTION("IF($A1253="""","""",IFERROR(TEXTJOIN("", "",TRUE,UNIQUE(FILTER(Candidates!$B$2:$B$2000,Candidates!$A$2:$A$2000=$A1253))),""""))"),"")</f>
        <v/>
      </c>
      <c r="U1253" s="66" t="str">
        <f>IF($A1253="","",COUNTIF(Candidates!$A$2:$A$2000,$A1253))</f>
        <v/>
      </c>
      <c r="V1253" s="64" t="str">
        <f>IFERROR(__xludf.DUMMYFUNCTION("IF($A1253="""","""",IFERROR(INDEX(FILTER(Candidates!$S$2:$S$2000,Candidates!$A$2:$A$2000=$A1253),COUNTIF(Candidates!$A$2:$A$2000,$A1253)),""""))"),"")</f>
        <v/>
      </c>
      <c r="W1253" s="64" t="str">
        <f>IFERROR(__xludf.DUMMYFUNCTION("IF($A1253="""","""",IFERROR(INDEX(FILTER(Candidates!$T$2:$T$2000,Candidates!$A$2:$A$2000=$A1253),COUNTIF(Candidates!$A$2:$A$2000,$A1253)),""""))"),"")</f>
        <v/>
      </c>
      <c r="X1253" s="64"/>
      <c r="Y1253" s="64"/>
      <c r="Z1253" s="65"/>
      <c r="AA1253" s="65"/>
      <c r="AB1253" s="65"/>
      <c r="AC1253" s="65"/>
    </row>
    <row r="1254">
      <c r="A1254" s="64"/>
      <c r="B1254" s="64"/>
      <c r="C1254" s="64"/>
      <c r="D1254" s="64"/>
      <c r="E1254" s="64"/>
      <c r="F1254" s="64"/>
      <c r="G1254" s="64"/>
      <c r="H1254" s="63"/>
      <c r="I1254" s="64"/>
      <c r="J1254" s="64"/>
      <c r="K1254" s="64"/>
      <c r="L1254" s="64"/>
      <c r="M1254" s="64"/>
      <c r="N1254" s="64"/>
      <c r="O1254" s="64"/>
      <c r="P1254" s="64"/>
      <c r="Q1254" s="64"/>
      <c r="R1254" s="65" t="str">
        <f>IF($A1254="","",IFERROR(MINIFS(Candidates!$K$2:$K$2000,Candidates!$A$2:$A$2000,$A1254),""))</f>
        <v/>
      </c>
      <c r="S1254" s="65" t="str">
        <f>IF($A1254="","",IFERROR(MAXIFS(Candidates!$AA$2:$AA$2000,Candidates!$A$2:$A$2000,$A1254),""))</f>
        <v/>
      </c>
      <c r="T1254" s="64" t="str">
        <f>IFERROR(__xludf.DUMMYFUNCTION("IF($A1254="""","""",IFERROR(TEXTJOIN("", "",TRUE,UNIQUE(FILTER(Candidates!$B$2:$B$2000,Candidates!$A$2:$A$2000=$A1254))),""""))"),"")</f>
        <v/>
      </c>
      <c r="U1254" s="66" t="str">
        <f>IF($A1254="","",COUNTIF(Candidates!$A$2:$A$2000,$A1254))</f>
        <v/>
      </c>
      <c r="V1254" s="64" t="str">
        <f>IFERROR(__xludf.DUMMYFUNCTION("IF($A1254="""","""",IFERROR(INDEX(FILTER(Candidates!$S$2:$S$2000,Candidates!$A$2:$A$2000=$A1254),COUNTIF(Candidates!$A$2:$A$2000,$A1254)),""""))"),"")</f>
        <v/>
      </c>
      <c r="W1254" s="64" t="str">
        <f>IFERROR(__xludf.DUMMYFUNCTION("IF($A1254="""","""",IFERROR(INDEX(FILTER(Candidates!$T$2:$T$2000,Candidates!$A$2:$A$2000=$A1254),COUNTIF(Candidates!$A$2:$A$2000,$A1254)),""""))"),"")</f>
        <v/>
      </c>
      <c r="X1254" s="64"/>
      <c r="Y1254" s="64"/>
      <c r="Z1254" s="65"/>
      <c r="AA1254" s="65"/>
      <c r="AB1254" s="65"/>
      <c r="AC1254" s="65"/>
    </row>
    <row r="1255">
      <c r="A1255" s="64"/>
      <c r="B1255" s="64"/>
      <c r="C1255" s="64"/>
      <c r="D1255" s="64"/>
      <c r="E1255" s="64"/>
      <c r="F1255" s="64"/>
      <c r="G1255" s="64"/>
      <c r="H1255" s="63"/>
      <c r="I1255" s="64"/>
      <c r="J1255" s="64"/>
      <c r="K1255" s="64"/>
      <c r="L1255" s="64"/>
      <c r="M1255" s="64"/>
      <c r="N1255" s="64"/>
      <c r="O1255" s="64"/>
      <c r="P1255" s="64"/>
      <c r="Q1255" s="64"/>
      <c r="R1255" s="65" t="str">
        <f>IF($A1255="","",IFERROR(MINIFS(Candidates!$K$2:$K$2000,Candidates!$A$2:$A$2000,$A1255),""))</f>
        <v/>
      </c>
      <c r="S1255" s="65" t="str">
        <f>IF($A1255="","",IFERROR(MAXIFS(Candidates!$AA$2:$AA$2000,Candidates!$A$2:$A$2000,$A1255),""))</f>
        <v/>
      </c>
      <c r="T1255" s="64" t="str">
        <f>IFERROR(__xludf.DUMMYFUNCTION("IF($A1255="""","""",IFERROR(TEXTJOIN("", "",TRUE,UNIQUE(FILTER(Candidates!$B$2:$B$2000,Candidates!$A$2:$A$2000=$A1255))),""""))"),"")</f>
        <v/>
      </c>
      <c r="U1255" s="66" t="str">
        <f>IF($A1255="","",COUNTIF(Candidates!$A$2:$A$2000,$A1255))</f>
        <v/>
      </c>
      <c r="V1255" s="64" t="str">
        <f>IFERROR(__xludf.DUMMYFUNCTION("IF($A1255="""","""",IFERROR(INDEX(FILTER(Candidates!$S$2:$S$2000,Candidates!$A$2:$A$2000=$A1255),COUNTIF(Candidates!$A$2:$A$2000,$A1255)),""""))"),"")</f>
        <v/>
      </c>
      <c r="W1255" s="64" t="str">
        <f>IFERROR(__xludf.DUMMYFUNCTION("IF($A1255="""","""",IFERROR(INDEX(FILTER(Candidates!$T$2:$T$2000,Candidates!$A$2:$A$2000=$A1255),COUNTIF(Candidates!$A$2:$A$2000,$A1255)),""""))"),"")</f>
        <v/>
      </c>
      <c r="X1255" s="64"/>
      <c r="Y1255" s="64"/>
      <c r="Z1255" s="65"/>
      <c r="AA1255" s="65"/>
      <c r="AB1255" s="65"/>
      <c r="AC1255" s="65"/>
    </row>
    <row r="1256">
      <c r="A1256" s="64"/>
      <c r="B1256" s="64"/>
      <c r="C1256" s="64"/>
      <c r="D1256" s="64"/>
      <c r="E1256" s="64"/>
      <c r="F1256" s="64"/>
      <c r="G1256" s="64"/>
      <c r="H1256" s="63"/>
      <c r="I1256" s="64"/>
      <c r="J1256" s="64"/>
      <c r="K1256" s="64"/>
      <c r="L1256" s="64"/>
      <c r="M1256" s="64"/>
      <c r="N1256" s="64"/>
      <c r="O1256" s="64"/>
      <c r="P1256" s="64"/>
      <c r="Q1256" s="64"/>
      <c r="R1256" s="65" t="str">
        <f>IF($A1256="","",IFERROR(MINIFS(Candidates!$K$2:$K$2000,Candidates!$A$2:$A$2000,$A1256),""))</f>
        <v/>
      </c>
      <c r="S1256" s="65" t="str">
        <f>IF($A1256="","",IFERROR(MAXIFS(Candidates!$AA$2:$AA$2000,Candidates!$A$2:$A$2000,$A1256),""))</f>
        <v/>
      </c>
      <c r="T1256" s="64" t="str">
        <f>IFERROR(__xludf.DUMMYFUNCTION("IF($A1256="""","""",IFERROR(TEXTJOIN("", "",TRUE,UNIQUE(FILTER(Candidates!$B$2:$B$2000,Candidates!$A$2:$A$2000=$A1256))),""""))"),"")</f>
        <v/>
      </c>
      <c r="U1256" s="66" t="str">
        <f>IF($A1256="","",COUNTIF(Candidates!$A$2:$A$2000,$A1256))</f>
        <v/>
      </c>
      <c r="V1256" s="64" t="str">
        <f>IFERROR(__xludf.DUMMYFUNCTION("IF($A1256="""","""",IFERROR(INDEX(FILTER(Candidates!$S$2:$S$2000,Candidates!$A$2:$A$2000=$A1256),COUNTIF(Candidates!$A$2:$A$2000,$A1256)),""""))"),"")</f>
        <v/>
      </c>
      <c r="W1256" s="64" t="str">
        <f>IFERROR(__xludf.DUMMYFUNCTION("IF($A1256="""","""",IFERROR(INDEX(FILTER(Candidates!$T$2:$T$2000,Candidates!$A$2:$A$2000=$A1256),COUNTIF(Candidates!$A$2:$A$2000,$A1256)),""""))"),"")</f>
        <v/>
      </c>
      <c r="X1256" s="64"/>
      <c r="Y1256" s="64"/>
      <c r="Z1256" s="65"/>
      <c r="AA1256" s="65"/>
      <c r="AB1256" s="65"/>
      <c r="AC1256" s="65"/>
    </row>
    <row r="1257">
      <c r="A1257" s="64"/>
      <c r="B1257" s="64"/>
      <c r="C1257" s="64"/>
      <c r="D1257" s="64"/>
      <c r="E1257" s="64"/>
      <c r="F1257" s="64"/>
      <c r="G1257" s="64"/>
      <c r="H1257" s="63"/>
      <c r="I1257" s="64"/>
      <c r="J1257" s="64"/>
      <c r="K1257" s="64"/>
      <c r="L1257" s="64"/>
      <c r="M1257" s="64"/>
      <c r="N1257" s="64"/>
      <c r="O1257" s="64"/>
      <c r="P1257" s="64"/>
      <c r="Q1257" s="64"/>
      <c r="R1257" s="65" t="str">
        <f>IF($A1257="","",IFERROR(MINIFS(Candidates!$K$2:$K$2000,Candidates!$A$2:$A$2000,$A1257),""))</f>
        <v/>
      </c>
      <c r="S1257" s="65" t="str">
        <f>IF($A1257="","",IFERROR(MAXIFS(Candidates!$AA$2:$AA$2000,Candidates!$A$2:$A$2000,$A1257),""))</f>
        <v/>
      </c>
      <c r="T1257" s="64" t="str">
        <f>IFERROR(__xludf.DUMMYFUNCTION("IF($A1257="""","""",IFERROR(TEXTJOIN("", "",TRUE,UNIQUE(FILTER(Candidates!$B$2:$B$2000,Candidates!$A$2:$A$2000=$A1257))),""""))"),"")</f>
        <v/>
      </c>
      <c r="U1257" s="66" t="str">
        <f>IF($A1257="","",COUNTIF(Candidates!$A$2:$A$2000,$A1257))</f>
        <v/>
      </c>
      <c r="V1257" s="64" t="str">
        <f>IFERROR(__xludf.DUMMYFUNCTION("IF($A1257="""","""",IFERROR(INDEX(FILTER(Candidates!$S$2:$S$2000,Candidates!$A$2:$A$2000=$A1257),COUNTIF(Candidates!$A$2:$A$2000,$A1257)),""""))"),"")</f>
        <v/>
      </c>
      <c r="W1257" s="64" t="str">
        <f>IFERROR(__xludf.DUMMYFUNCTION("IF($A1257="""","""",IFERROR(INDEX(FILTER(Candidates!$T$2:$T$2000,Candidates!$A$2:$A$2000=$A1257),COUNTIF(Candidates!$A$2:$A$2000,$A1257)),""""))"),"")</f>
        <v/>
      </c>
      <c r="X1257" s="64"/>
      <c r="Y1257" s="64"/>
      <c r="Z1257" s="65"/>
      <c r="AA1257" s="65"/>
      <c r="AB1257" s="65"/>
      <c r="AC1257" s="65"/>
    </row>
    <row r="1258">
      <c r="A1258" s="64"/>
      <c r="B1258" s="64"/>
      <c r="C1258" s="64"/>
      <c r="D1258" s="64"/>
      <c r="E1258" s="64"/>
      <c r="F1258" s="64"/>
      <c r="G1258" s="64"/>
      <c r="H1258" s="63"/>
      <c r="I1258" s="64"/>
      <c r="J1258" s="64"/>
      <c r="K1258" s="64"/>
      <c r="L1258" s="64"/>
      <c r="M1258" s="64"/>
      <c r="N1258" s="64"/>
      <c r="O1258" s="64"/>
      <c r="P1258" s="64"/>
      <c r="Q1258" s="64"/>
      <c r="R1258" s="65" t="str">
        <f>IF($A1258="","",IFERROR(MINIFS(Candidates!$K$2:$K$2000,Candidates!$A$2:$A$2000,$A1258),""))</f>
        <v/>
      </c>
      <c r="S1258" s="65" t="str">
        <f>IF($A1258="","",IFERROR(MAXIFS(Candidates!$AA$2:$AA$2000,Candidates!$A$2:$A$2000,$A1258),""))</f>
        <v/>
      </c>
      <c r="T1258" s="64" t="str">
        <f>IFERROR(__xludf.DUMMYFUNCTION("IF($A1258="""","""",IFERROR(TEXTJOIN("", "",TRUE,UNIQUE(FILTER(Candidates!$B$2:$B$2000,Candidates!$A$2:$A$2000=$A1258))),""""))"),"")</f>
        <v/>
      </c>
      <c r="U1258" s="66" t="str">
        <f>IF($A1258="","",COUNTIF(Candidates!$A$2:$A$2000,$A1258))</f>
        <v/>
      </c>
      <c r="V1258" s="64" t="str">
        <f>IFERROR(__xludf.DUMMYFUNCTION("IF($A1258="""","""",IFERROR(INDEX(FILTER(Candidates!$S$2:$S$2000,Candidates!$A$2:$A$2000=$A1258),COUNTIF(Candidates!$A$2:$A$2000,$A1258)),""""))"),"")</f>
        <v/>
      </c>
      <c r="W1258" s="64" t="str">
        <f>IFERROR(__xludf.DUMMYFUNCTION("IF($A1258="""","""",IFERROR(INDEX(FILTER(Candidates!$T$2:$T$2000,Candidates!$A$2:$A$2000=$A1258),COUNTIF(Candidates!$A$2:$A$2000,$A1258)),""""))"),"")</f>
        <v/>
      </c>
      <c r="X1258" s="64"/>
      <c r="Y1258" s="64"/>
      <c r="Z1258" s="65"/>
      <c r="AA1258" s="65"/>
      <c r="AB1258" s="65"/>
      <c r="AC1258" s="65"/>
    </row>
    <row r="1259">
      <c r="A1259" s="64"/>
      <c r="B1259" s="64"/>
      <c r="C1259" s="64"/>
      <c r="D1259" s="64"/>
      <c r="E1259" s="64"/>
      <c r="F1259" s="64"/>
      <c r="G1259" s="64"/>
      <c r="H1259" s="63"/>
      <c r="I1259" s="64"/>
      <c r="J1259" s="64"/>
      <c r="K1259" s="64"/>
      <c r="L1259" s="64"/>
      <c r="M1259" s="64"/>
      <c r="N1259" s="64"/>
      <c r="O1259" s="64"/>
      <c r="P1259" s="64"/>
      <c r="Q1259" s="64"/>
      <c r="R1259" s="65" t="str">
        <f>IF($A1259="","",IFERROR(MINIFS(Candidates!$K$2:$K$2000,Candidates!$A$2:$A$2000,$A1259),""))</f>
        <v/>
      </c>
      <c r="S1259" s="65" t="str">
        <f>IF($A1259="","",IFERROR(MAXIFS(Candidates!$AA$2:$AA$2000,Candidates!$A$2:$A$2000,$A1259),""))</f>
        <v/>
      </c>
      <c r="T1259" s="64" t="str">
        <f>IFERROR(__xludf.DUMMYFUNCTION("IF($A1259="""","""",IFERROR(TEXTJOIN("", "",TRUE,UNIQUE(FILTER(Candidates!$B$2:$B$2000,Candidates!$A$2:$A$2000=$A1259))),""""))"),"")</f>
        <v/>
      </c>
      <c r="U1259" s="66" t="str">
        <f>IF($A1259="","",COUNTIF(Candidates!$A$2:$A$2000,$A1259))</f>
        <v/>
      </c>
      <c r="V1259" s="64" t="str">
        <f>IFERROR(__xludf.DUMMYFUNCTION("IF($A1259="""","""",IFERROR(INDEX(FILTER(Candidates!$S$2:$S$2000,Candidates!$A$2:$A$2000=$A1259),COUNTIF(Candidates!$A$2:$A$2000,$A1259)),""""))"),"")</f>
        <v/>
      </c>
      <c r="W1259" s="64" t="str">
        <f>IFERROR(__xludf.DUMMYFUNCTION("IF($A1259="""","""",IFERROR(INDEX(FILTER(Candidates!$T$2:$T$2000,Candidates!$A$2:$A$2000=$A1259),COUNTIF(Candidates!$A$2:$A$2000,$A1259)),""""))"),"")</f>
        <v/>
      </c>
      <c r="X1259" s="64"/>
      <c r="Y1259" s="64"/>
      <c r="Z1259" s="65"/>
      <c r="AA1259" s="65"/>
      <c r="AB1259" s="65"/>
      <c r="AC1259" s="65"/>
    </row>
    <row r="1260">
      <c r="A1260" s="64"/>
      <c r="B1260" s="64"/>
      <c r="C1260" s="64"/>
      <c r="D1260" s="64"/>
      <c r="E1260" s="64"/>
      <c r="F1260" s="64"/>
      <c r="G1260" s="64"/>
      <c r="H1260" s="63"/>
      <c r="I1260" s="64"/>
      <c r="J1260" s="64"/>
      <c r="K1260" s="64"/>
      <c r="L1260" s="64"/>
      <c r="M1260" s="64"/>
      <c r="N1260" s="64"/>
      <c r="O1260" s="64"/>
      <c r="P1260" s="64"/>
      <c r="Q1260" s="64"/>
      <c r="R1260" s="65" t="str">
        <f>IF($A1260="","",IFERROR(MINIFS(Candidates!$K$2:$K$2000,Candidates!$A$2:$A$2000,$A1260),""))</f>
        <v/>
      </c>
      <c r="S1260" s="65" t="str">
        <f>IF($A1260="","",IFERROR(MAXIFS(Candidates!$AA$2:$AA$2000,Candidates!$A$2:$A$2000,$A1260),""))</f>
        <v/>
      </c>
      <c r="T1260" s="64" t="str">
        <f>IFERROR(__xludf.DUMMYFUNCTION("IF($A1260="""","""",IFERROR(TEXTJOIN("", "",TRUE,UNIQUE(FILTER(Candidates!$B$2:$B$2000,Candidates!$A$2:$A$2000=$A1260))),""""))"),"")</f>
        <v/>
      </c>
      <c r="U1260" s="66" t="str">
        <f>IF($A1260="","",COUNTIF(Candidates!$A$2:$A$2000,$A1260))</f>
        <v/>
      </c>
      <c r="V1260" s="64" t="str">
        <f>IFERROR(__xludf.DUMMYFUNCTION("IF($A1260="""","""",IFERROR(INDEX(FILTER(Candidates!$S$2:$S$2000,Candidates!$A$2:$A$2000=$A1260),COUNTIF(Candidates!$A$2:$A$2000,$A1260)),""""))"),"")</f>
        <v/>
      </c>
      <c r="W1260" s="64" t="str">
        <f>IFERROR(__xludf.DUMMYFUNCTION("IF($A1260="""","""",IFERROR(INDEX(FILTER(Candidates!$T$2:$T$2000,Candidates!$A$2:$A$2000=$A1260),COUNTIF(Candidates!$A$2:$A$2000,$A1260)),""""))"),"")</f>
        <v/>
      </c>
      <c r="X1260" s="64"/>
      <c r="Y1260" s="64"/>
      <c r="Z1260" s="65"/>
      <c r="AA1260" s="65"/>
      <c r="AB1260" s="65"/>
      <c r="AC1260" s="65"/>
    </row>
    <row r="1261">
      <c r="A1261" s="64"/>
      <c r="B1261" s="64"/>
      <c r="C1261" s="64"/>
      <c r="D1261" s="64"/>
      <c r="E1261" s="64"/>
      <c r="F1261" s="64"/>
      <c r="G1261" s="64"/>
      <c r="H1261" s="63"/>
      <c r="I1261" s="64"/>
      <c r="J1261" s="64"/>
      <c r="K1261" s="64"/>
      <c r="L1261" s="64"/>
      <c r="M1261" s="64"/>
      <c r="N1261" s="64"/>
      <c r="O1261" s="64"/>
      <c r="P1261" s="64"/>
      <c r="Q1261" s="64"/>
      <c r="R1261" s="65" t="str">
        <f>IF($A1261="","",IFERROR(MINIFS(Candidates!$K$2:$K$2000,Candidates!$A$2:$A$2000,$A1261),""))</f>
        <v/>
      </c>
      <c r="S1261" s="65" t="str">
        <f>IF($A1261="","",IFERROR(MAXIFS(Candidates!$AA$2:$AA$2000,Candidates!$A$2:$A$2000,$A1261),""))</f>
        <v/>
      </c>
      <c r="T1261" s="64" t="str">
        <f>IFERROR(__xludf.DUMMYFUNCTION("IF($A1261="""","""",IFERROR(TEXTJOIN("", "",TRUE,UNIQUE(FILTER(Candidates!$B$2:$B$2000,Candidates!$A$2:$A$2000=$A1261))),""""))"),"")</f>
        <v/>
      </c>
      <c r="U1261" s="66" t="str">
        <f>IF($A1261="","",COUNTIF(Candidates!$A$2:$A$2000,$A1261))</f>
        <v/>
      </c>
      <c r="V1261" s="64" t="str">
        <f>IFERROR(__xludf.DUMMYFUNCTION("IF($A1261="""","""",IFERROR(INDEX(FILTER(Candidates!$S$2:$S$2000,Candidates!$A$2:$A$2000=$A1261),COUNTIF(Candidates!$A$2:$A$2000,$A1261)),""""))"),"")</f>
        <v/>
      </c>
      <c r="W1261" s="64" t="str">
        <f>IFERROR(__xludf.DUMMYFUNCTION("IF($A1261="""","""",IFERROR(INDEX(FILTER(Candidates!$T$2:$T$2000,Candidates!$A$2:$A$2000=$A1261),COUNTIF(Candidates!$A$2:$A$2000,$A1261)),""""))"),"")</f>
        <v/>
      </c>
      <c r="X1261" s="64"/>
      <c r="Y1261" s="64"/>
      <c r="Z1261" s="65"/>
      <c r="AA1261" s="65"/>
      <c r="AB1261" s="65"/>
      <c r="AC1261" s="65"/>
    </row>
    <row r="1262">
      <c r="A1262" s="64"/>
      <c r="B1262" s="64"/>
      <c r="C1262" s="64"/>
      <c r="D1262" s="64"/>
      <c r="E1262" s="64"/>
      <c r="F1262" s="64"/>
      <c r="G1262" s="64"/>
      <c r="H1262" s="63"/>
      <c r="I1262" s="64"/>
      <c r="J1262" s="64"/>
      <c r="K1262" s="64"/>
      <c r="L1262" s="64"/>
      <c r="M1262" s="64"/>
      <c r="N1262" s="64"/>
      <c r="O1262" s="64"/>
      <c r="P1262" s="64"/>
      <c r="Q1262" s="64"/>
      <c r="R1262" s="65" t="str">
        <f>IF($A1262="","",IFERROR(MINIFS(Candidates!$K$2:$K$2000,Candidates!$A$2:$A$2000,$A1262),""))</f>
        <v/>
      </c>
      <c r="S1262" s="65" t="str">
        <f>IF($A1262="","",IFERROR(MAXIFS(Candidates!$AA$2:$AA$2000,Candidates!$A$2:$A$2000,$A1262),""))</f>
        <v/>
      </c>
      <c r="T1262" s="64" t="str">
        <f>IFERROR(__xludf.DUMMYFUNCTION("IF($A1262="""","""",IFERROR(TEXTJOIN("", "",TRUE,UNIQUE(FILTER(Candidates!$B$2:$B$2000,Candidates!$A$2:$A$2000=$A1262))),""""))"),"")</f>
        <v/>
      </c>
      <c r="U1262" s="66" t="str">
        <f>IF($A1262="","",COUNTIF(Candidates!$A$2:$A$2000,$A1262))</f>
        <v/>
      </c>
      <c r="V1262" s="64" t="str">
        <f>IFERROR(__xludf.DUMMYFUNCTION("IF($A1262="""","""",IFERROR(INDEX(FILTER(Candidates!$S$2:$S$2000,Candidates!$A$2:$A$2000=$A1262),COUNTIF(Candidates!$A$2:$A$2000,$A1262)),""""))"),"")</f>
        <v/>
      </c>
      <c r="W1262" s="64" t="str">
        <f>IFERROR(__xludf.DUMMYFUNCTION("IF($A1262="""","""",IFERROR(INDEX(FILTER(Candidates!$T$2:$T$2000,Candidates!$A$2:$A$2000=$A1262),COUNTIF(Candidates!$A$2:$A$2000,$A1262)),""""))"),"")</f>
        <v/>
      </c>
      <c r="X1262" s="64"/>
      <c r="Y1262" s="64"/>
      <c r="Z1262" s="65"/>
      <c r="AA1262" s="65"/>
      <c r="AB1262" s="65"/>
      <c r="AC1262" s="65"/>
    </row>
    <row r="1263">
      <c r="A1263" s="64"/>
      <c r="B1263" s="64"/>
      <c r="C1263" s="64"/>
      <c r="D1263" s="64"/>
      <c r="E1263" s="64"/>
      <c r="F1263" s="64"/>
      <c r="G1263" s="64"/>
      <c r="H1263" s="63"/>
      <c r="I1263" s="64"/>
      <c r="J1263" s="64"/>
      <c r="K1263" s="64"/>
      <c r="L1263" s="64"/>
      <c r="M1263" s="64"/>
      <c r="N1263" s="64"/>
      <c r="O1263" s="64"/>
      <c r="P1263" s="64"/>
      <c r="Q1263" s="64"/>
      <c r="R1263" s="65" t="str">
        <f>IF($A1263="","",IFERROR(MINIFS(Candidates!$K$2:$K$2000,Candidates!$A$2:$A$2000,$A1263),""))</f>
        <v/>
      </c>
      <c r="S1263" s="65" t="str">
        <f>IF($A1263="","",IFERROR(MAXIFS(Candidates!$AA$2:$AA$2000,Candidates!$A$2:$A$2000,$A1263),""))</f>
        <v/>
      </c>
      <c r="T1263" s="64" t="str">
        <f>IFERROR(__xludf.DUMMYFUNCTION("IF($A1263="""","""",IFERROR(TEXTJOIN("", "",TRUE,UNIQUE(FILTER(Candidates!$B$2:$B$2000,Candidates!$A$2:$A$2000=$A1263))),""""))"),"")</f>
        <v/>
      </c>
      <c r="U1263" s="66" t="str">
        <f>IF($A1263="","",COUNTIF(Candidates!$A$2:$A$2000,$A1263))</f>
        <v/>
      </c>
      <c r="V1263" s="64" t="str">
        <f>IFERROR(__xludf.DUMMYFUNCTION("IF($A1263="""","""",IFERROR(INDEX(FILTER(Candidates!$S$2:$S$2000,Candidates!$A$2:$A$2000=$A1263),COUNTIF(Candidates!$A$2:$A$2000,$A1263)),""""))"),"")</f>
        <v/>
      </c>
      <c r="W1263" s="64" t="str">
        <f>IFERROR(__xludf.DUMMYFUNCTION("IF($A1263="""","""",IFERROR(INDEX(FILTER(Candidates!$T$2:$T$2000,Candidates!$A$2:$A$2000=$A1263),COUNTIF(Candidates!$A$2:$A$2000,$A1263)),""""))"),"")</f>
        <v/>
      </c>
      <c r="X1263" s="64"/>
      <c r="Y1263" s="64"/>
      <c r="Z1263" s="65"/>
      <c r="AA1263" s="65"/>
      <c r="AB1263" s="65"/>
      <c r="AC1263" s="65"/>
    </row>
    <row r="1264">
      <c r="A1264" s="64"/>
      <c r="B1264" s="64"/>
      <c r="C1264" s="64"/>
      <c r="D1264" s="64"/>
      <c r="E1264" s="64"/>
      <c r="F1264" s="64"/>
      <c r="G1264" s="64"/>
      <c r="H1264" s="63"/>
      <c r="I1264" s="64"/>
      <c r="J1264" s="64"/>
      <c r="K1264" s="64"/>
      <c r="L1264" s="64"/>
      <c r="M1264" s="64"/>
      <c r="N1264" s="64"/>
      <c r="O1264" s="64"/>
      <c r="P1264" s="64"/>
      <c r="Q1264" s="64"/>
      <c r="R1264" s="65" t="str">
        <f>IF($A1264="","",IFERROR(MINIFS(Candidates!$K$2:$K$2000,Candidates!$A$2:$A$2000,$A1264),""))</f>
        <v/>
      </c>
      <c r="S1264" s="65" t="str">
        <f>IF($A1264="","",IFERROR(MAXIFS(Candidates!$AA$2:$AA$2000,Candidates!$A$2:$A$2000,$A1264),""))</f>
        <v/>
      </c>
      <c r="T1264" s="64" t="str">
        <f>IFERROR(__xludf.DUMMYFUNCTION("IF($A1264="""","""",IFERROR(TEXTJOIN("", "",TRUE,UNIQUE(FILTER(Candidates!$B$2:$B$2000,Candidates!$A$2:$A$2000=$A1264))),""""))"),"")</f>
        <v/>
      </c>
      <c r="U1264" s="66" t="str">
        <f>IF($A1264="","",COUNTIF(Candidates!$A$2:$A$2000,$A1264))</f>
        <v/>
      </c>
      <c r="V1264" s="64" t="str">
        <f>IFERROR(__xludf.DUMMYFUNCTION("IF($A1264="""","""",IFERROR(INDEX(FILTER(Candidates!$S$2:$S$2000,Candidates!$A$2:$A$2000=$A1264),COUNTIF(Candidates!$A$2:$A$2000,$A1264)),""""))"),"")</f>
        <v/>
      </c>
      <c r="W1264" s="64" t="str">
        <f>IFERROR(__xludf.DUMMYFUNCTION("IF($A1264="""","""",IFERROR(INDEX(FILTER(Candidates!$T$2:$T$2000,Candidates!$A$2:$A$2000=$A1264),COUNTIF(Candidates!$A$2:$A$2000,$A1264)),""""))"),"")</f>
        <v/>
      </c>
      <c r="X1264" s="64"/>
      <c r="Y1264" s="64"/>
      <c r="Z1264" s="65"/>
      <c r="AA1264" s="65"/>
      <c r="AB1264" s="65"/>
      <c r="AC1264" s="65"/>
    </row>
    <row r="1265">
      <c r="A1265" s="64"/>
      <c r="B1265" s="64"/>
      <c r="C1265" s="64"/>
      <c r="D1265" s="64"/>
      <c r="E1265" s="64"/>
      <c r="F1265" s="64"/>
      <c r="G1265" s="64"/>
      <c r="H1265" s="63"/>
      <c r="I1265" s="64"/>
      <c r="J1265" s="64"/>
      <c r="K1265" s="64"/>
      <c r="L1265" s="64"/>
      <c r="M1265" s="64"/>
      <c r="N1265" s="64"/>
      <c r="O1265" s="64"/>
      <c r="P1265" s="64"/>
      <c r="Q1265" s="64"/>
      <c r="R1265" s="65" t="str">
        <f>IF($A1265="","",IFERROR(MINIFS(Candidates!$K$2:$K$2000,Candidates!$A$2:$A$2000,$A1265),""))</f>
        <v/>
      </c>
      <c r="S1265" s="65" t="str">
        <f>IF($A1265="","",IFERROR(MAXIFS(Candidates!$AA$2:$AA$2000,Candidates!$A$2:$A$2000,$A1265),""))</f>
        <v/>
      </c>
      <c r="T1265" s="64" t="str">
        <f>IFERROR(__xludf.DUMMYFUNCTION("IF($A1265="""","""",IFERROR(TEXTJOIN("", "",TRUE,UNIQUE(FILTER(Candidates!$B$2:$B$2000,Candidates!$A$2:$A$2000=$A1265))),""""))"),"")</f>
        <v/>
      </c>
      <c r="U1265" s="66" t="str">
        <f>IF($A1265="","",COUNTIF(Candidates!$A$2:$A$2000,$A1265))</f>
        <v/>
      </c>
      <c r="V1265" s="64" t="str">
        <f>IFERROR(__xludf.DUMMYFUNCTION("IF($A1265="""","""",IFERROR(INDEX(FILTER(Candidates!$S$2:$S$2000,Candidates!$A$2:$A$2000=$A1265),COUNTIF(Candidates!$A$2:$A$2000,$A1265)),""""))"),"")</f>
        <v/>
      </c>
      <c r="W1265" s="64" t="str">
        <f>IFERROR(__xludf.DUMMYFUNCTION("IF($A1265="""","""",IFERROR(INDEX(FILTER(Candidates!$T$2:$T$2000,Candidates!$A$2:$A$2000=$A1265),COUNTIF(Candidates!$A$2:$A$2000,$A1265)),""""))"),"")</f>
        <v/>
      </c>
      <c r="X1265" s="64"/>
      <c r="Y1265" s="64"/>
      <c r="Z1265" s="65"/>
      <c r="AA1265" s="65"/>
      <c r="AB1265" s="65"/>
      <c r="AC1265" s="65"/>
    </row>
    <row r="1266">
      <c r="A1266" s="64"/>
      <c r="B1266" s="64"/>
      <c r="C1266" s="64"/>
      <c r="D1266" s="64"/>
      <c r="E1266" s="64"/>
      <c r="F1266" s="64"/>
      <c r="G1266" s="64"/>
      <c r="H1266" s="63"/>
      <c r="I1266" s="64"/>
      <c r="J1266" s="64"/>
      <c r="K1266" s="64"/>
      <c r="L1266" s="64"/>
      <c r="M1266" s="64"/>
      <c r="N1266" s="64"/>
      <c r="O1266" s="64"/>
      <c r="P1266" s="64"/>
      <c r="Q1266" s="64"/>
      <c r="R1266" s="65" t="str">
        <f>IF($A1266="","",IFERROR(MINIFS(Candidates!$K$2:$K$2000,Candidates!$A$2:$A$2000,$A1266),""))</f>
        <v/>
      </c>
      <c r="S1266" s="65" t="str">
        <f>IF($A1266="","",IFERROR(MAXIFS(Candidates!$AA$2:$AA$2000,Candidates!$A$2:$A$2000,$A1266),""))</f>
        <v/>
      </c>
      <c r="T1266" s="64" t="str">
        <f>IFERROR(__xludf.DUMMYFUNCTION("IF($A1266="""","""",IFERROR(TEXTJOIN("", "",TRUE,UNIQUE(FILTER(Candidates!$B$2:$B$2000,Candidates!$A$2:$A$2000=$A1266))),""""))"),"")</f>
        <v/>
      </c>
      <c r="U1266" s="66" t="str">
        <f>IF($A1266="","",COUNTIF(Candidates!$A$2:$A$2000,$A1266))</f>
        <v/>
      </c>
      <c r="V1266" s="64" t="str">
        <f>IFERROR(__xludf.DUMMYFUNCTION("IF($A1266="""","""",IFERROR(INDEX(FILTER(Candidates!$S$2:$S$2000,Candidates!$A$2:$A$2000=$A1266),COUNTIF(Candidates!$A$2:$A$2000,$A1266)),""""))"),"")</f>
        <v/>
      </c>
      <c r="W1266" s="64" t="str">
        <f>IFERROR(__xludf.DUMMYFUNCTION("IF($A1266="""","""",IFERROR(INDEX(FILTER(Candidates!$T$2:$T$2000,Candidates!$A$2:$A$2000=$A1266),COUNTIF(Candidates!$A$2:$A$2000,$A1266)),""""))"),"")</f>
        <v/>
      </c>
      <c r="X1266" s="64"/>
      <c r="Y1266" s="64"/>
      <c r="Z1266" s="65"/>
      <c r="AA1266" s="65"/>
      <c r="AB1266" s="65"/>
      <c r="AC1266" s="65"/>
    </row>
    <row r="1267">
      <c r="A1267" s="64"/>
      <c r="B1267" s="64"/>
      <c r="C1267" s="64"/>
      <c r="D1267" s="64"/>
      <c r="E1267" s="64"/>
      <c r="F1267" s="64"/>
      <c r="G1267" s="64"/>
      <c r="H1267" s="63"/>
      <c r="I1267" s="64"/>
      <c r="J1267" s="64"/>
      <c r="K1267" s="64"/>
      <c r="L1267" s="64"/>
      <c r="M1267" s="64"/>
      <c r="N1267" s="64"/>
      <c r="O1267" s="64"/>
      <c r="P1267" s="64"/>
      <c r="Q1267" s="64"/>
      <c r="R1267" s="65" t="str">
        <f>IF($A1267="","",IFERROR(MINIFS(Candidates!$K$2:$K$2000,Candidates!$A$2:$A$2000,$A1267),""))</f>
        <v/>
      </c>
      <c r="S1267" s="65" t="str">
        <f>IF($A1267="","",IFERROR(MAXIFS(Candidates!$AA$2:$AA$2000,Candidates!$A$2:$A$2000,$A1267),""))</f>
        <v/>
      </c>
      <c r="T1267" s="64" t="str">
        <f>IFERROR(__xludf.DUMMYFUNCTION("IF($A1267="""","""",IFERROR(TEXTJOIN("", "",TRUE,UNIQUE(FILTER(Candidates!$B$2:$B$2000,Candidates!$A$2:$A$2000=$A1267))),""""))"),"")</f>
        <v/>
      </c>
      <c r="U1267" s="66" t="str">
        <f>IF($A1267="","",COUNTIF(Candidates!$A$2:$A$2000,$A1267))</f>
        <v/>
      </c>
      <c r="V1267" s="64" t="str">
        <f>IFERROR(__xludf.DUMMYFUNCTION("IF($A1267="""","""",IFERROR(INDEX(FILTER(Candidates!$S$2:$S$2000,Candidates!$A$2:$A$2000=$A1267),COUNTIF(Candidates!$A$2:$A$2000,$A1267)),""""))"),"")</f>
        <v/>
      </c>
      <c r="W1267" s="64" t="str">
        <f>IFERROR(__xludf.DUMMYFUNCTION("IF($A1267="""","""",IFERROR(INDEX(FILTER(Candidates!$T$2:$T$2000,Candidates!$A$2:$A$2000=$A1267),COUNTIF(Candidates!$A$2:$A$2000,$A1267)),""""))"),"")</f>
        <v/>
      </c>
      <c r="X1267" s="64"/>
      <c r="Y1267" s="64"/>
      <c r="Z1267" s="65"/>
      <c r="AA1267" s="65"/>
      <c r="AB1267" s="65"/>
      <c r="AC1267" s="65"/>
    </row>
    <row r="1268">
      <c r="A1268" s="64"/>
      <c r="B1268" s="64"/>
      <c r="C1268" s="64"/>
      <c r="D1268" s="64"/>
      <c r="E1268" s="64"/>
      <c r="F1268" s="64"/>
      <c r="G1268" s="64"/>
      <c r="H1268" s="63"/>
      <c r="I1268" s="64"/>
      <c r="J1268" s="64"/>
      <c r="K1268" s="64"/>
      <c r="L1268" s="64"/>
      <c r="M1268" s="64"/>
      <c r="N1268" s="64"/>
      <c r="O1268" s="64"/>
      <c r="P1268" s="64"/>
      <c r="Q1268" s="64"/>
      <c r="R1268" s="65" t="str">
        <f>IF($A1268="","",IFERROR(MINIFS(Candidates!$K$2:$K$2000,Candidates!$A$2:$A$2000,$A1268),""))</f>
        <v/>
      </c>
      <c r="S1268" s="65" t="str">
        <f>IF($A1268="","",IFERROR(MAXIFS(Candidates!$AA$2:$AA$2000,Candidates!$A$2:$A$2000,$A1268),""))</f>
        <v/>
      </c>
      <c r="T1268" s="64" t="str">
        <f>IFERROR(__xludf.DUMMYFUNCTION("IF($A1268="""","""",IFERROR(TEXTJOIN("", "",TRUE,UNIQUE(FILTER(Candidates!$B$2:$B$2000,Candidates!$A$2:$A$2000=$A1268))),""""))"),"")</f>
        <v/>
      </c>
      <c r="U1268" s="66" t="str">
        <f>IF($A1268="","",COUNTIF(Candidates!$A$2:$A$2000,$A1268))</f>
        <v/>
      </c>
      <c r="V1268" s="64" t="str">
        <f>IFERROR(__xludf.DUMMYFUNCTION("IF($A1268="""","""",IFERROR(INDEX(FILTER(Candidates!$S$2:$S$2000,Candidates!$A$2:$A$2000=$A1268),COUNTIF(Candidates!$A$2:$A$2000,$A1268)),""""))"),"")</f>
        <v/>
      </c>
      <c r="W1268" s="64" t="str">
        <f>IFERROR(__xludf.DUMMYFUNCTION("IF($A1268="""","""",IFERROR(INDEX(FILTER(Candidates!$T$2:$T$2000,Candidates!$A$2:$A$2000=$A1268),COUNTIF(Candidates!$A$2:$A$2000,$A1268)),""""))"),"")</f>
        <v/>
      </c>
      <c r="X1268" s="64"/>
      <c r="Y1268" s="64"/>
      <c r="Z1268" s="65"/>
      <c r="AA1268" s="65"/>
      <c r="AB1268" s="65"/>
      <c r="AC1268" s="65"/>
    </row>
    <row r="1269">
      <c r="A1269" s="64"/>
      <c r="B1269" s="64"/>
      <c r="C1269" s="64"/>
      <c r="D1269" s="64"/>
      <c r="E1269" s="64"/>
      <c r="F1269" s="64"/>
      <c r="G1269" s="64"/>
      <c r="H1269" s="63"/>
      <c r="I1269" s="64"/>
      <c r="J1269" s="64"/>
      <c r="K1269" s="64"/>
      <c r="L1269" s="64"/>
      <c r="M1269" s="64"/>
      <c r="N1269" s="64"/>
      <c r="O1269" s="64"/>
      <c r="P1269" s="64"/>
      <c r="Q1269" s="64"/>
      <c r="R1269" s="65" t="str">
        <f>IF($A1269="","",IFERROR(MINIFS(Candidates!$K$2:$K$2000,Candidates!$A$2:$A$2000,$A1269),""))</f>
        <v/>
      </c>
      <c r="S1269" s="65" t="str">
        <f>IF($A1269="","",IFERROR(MAXIFS(Candidates!$AA$2:$AA$2000,Candidates!$A$2:$A$2000,$A1269),""))</f>
        <v/>
      </c>
      <c r="T1269" s="64" t="str">
        <f>IFERROR(__xludf.DUMMYFUNCTION("IF($A1269="""","""",IFERROR(TEXTJOIN("", "",TRUE,UNIQUE(FILTER(Candidates!$B$2:$B$2000,Candidates!$A$2:$A$2000=$A1269))),""""))"),"")</f>
        <v/>
      </c>
      <c r="U1269" s="66" t="str">
        <f>IF($A1269="","",COUNTIF(Candidates!$A$2:$A$2000,$A1269))</f>
        <v/>
      </c>
      <c r="V1269" s="64" t="str">
        <f>IFERROR(__xludf.DUMMYFUNCTION("IF($A1269="""","""",IFERROR(INDEX(FILTER(Candidates!$S$2:$S$2000,Candidates!$A$2:$A$2000=$A1269),COUNTIF(Candidates!$A$2:$A$2000,$A1269)),""""))"),"")</f>
        <v/>
      </c>
      <c r="W1269" s="64" t="str">
        <f>IFERROR(__xludf.DUMMYFUNCTION("IF($A1269="""","""",IFERROR(INDEX(FILTER(Candidates!$T$2:$T$2000,Candidates!$A$2:$A$2000=$A1269),COUNTIF(Candidates!$A$2:$A$2000,$A1269)),""""))"),"")</f>
        <v/>
      </c>
      <c r="X1269" s="64"/>
      <c r="Y1269" s="64"/>
      <c r="Z1269" s="65"/>
      <c r="AA1269" s="65"/>
      <c r="AB1269" s="65"/>
      <c r="AC1269" s="65"/>
    </row>
    <row r="1270">
      <c r="A1270" s="64"/>
      <c r="B1270" s="64"/>
      <c r="C1270" s="64"/>
      <c r="D1270" s="64"/>
      <c r="E1270" s="64"/>
      <c r="F1270" s="64"/>
      <c r="G1270" s="64"/>
      <c r="H1270" s="63"/>
      <c r="I1270" s="64"/>
      <c r="J1270" s="64"/>
      <c r="K1270" s="64"/>
      <c r="L1270" s="64"/>
      <c r="M1270" s="64"/>
      <c r="N1270" s="64"/>
      <c r="O1270" s="64"/>
      <c r="P1270" s="64"/>
      <c r="Q1270" s="64"/>
      <c r="R1270" s="65" t="str">
        <f>IF($A1270="","",IFERROR(MINIFS(Candidates!$K$2:$K$2000,Candidates!$A$2:$A$2000,$A1270),""))</f>
        <v/>
      </c>
      <c r="S1270" s="65" t="str">
        <f>IF($A1270="","",IFERROR(MAXIFS(Candidates!$AA$2:$AA$2000,Candidates!$A$2:$A$2000,$A1270),""))</f>
        <v/>
      </c>
      <c r="T1270" s="64" t="str">
        <f>IFERROR(__xludf.DUMMYFUNCTION("IF($A1270="""","""",IFERROR(TEXTJOIN("", "",TRUE,UNIQUE(FILTER(Candidates!$B$2:$B$2000,Candidates!$A$2:$A$2000=$A1270))),""""))"),"")</f>
        <v/>
      </c>
      <c r="U1270" s="66" t="str">
        <f>IF($A1270="","",COUNTIF(Candidates!$A$2:$A$2000,$A1270))</f>
        <v/>
      </c>
      <c r="V1270" s="64" t="str">
        <f>IFERROR(__xludf.DUMMYFUNCTION("IF($A1270="""","""",IFERROR(INDEX(FILTER(Candidates!$S$2:$S$2000,Candidates!$A$2:$A$2000=$A1270),COUNTIF(Candidates!$A$2:$A$2000,$A1270)),""""))"),"")</f>
        <v/>
      </c>
      <c r="W1270" s="64" t="str">
        <f>IFERROR(__xludf.DUMMYFUNCTION("IF($A1270="""","""",IFERROR(INDEX(FILTER(Candidates!$T$2:$T$2000,Candidates!$A$2:$A$2000=$A1270),COUNTIF(Candidates!$A$2:$A$2000,$A1270)),""""))"),"")</f>
        <v/>
      </c>
      <c r="X1270" s="64"/>
      <c r="Y1270" s="64"/>
      <c r="Z1270" s="65"/>
      <c r="AA1270" s="65"/>
      <c r="AB1270" s="65"/>
      <c r="AC1270" s="65"/>
    </row>
    <row r="1271">
      <c r="A1271" s="64"/>
      <c r="B1271" s="64"/>
      <c r="C1271" s="64"/>
      <c r="D1271" s="64"/>
      <c r="E1271" s="64"/>
      <c r="F1271" s="64"/>
      <c r="G1271" s="64"/>
      <c r="H1271" s="63"/>
      <c r="I1271" s="64"/>
      <c r="J1271" s="64"/>
      <c r="K1271" s="64"/>
      <c r="L1271" s="64"/>
      <c r="M1271" s="64"/>
      <c r="N1271" s="64"/>
      <c r="O1271" s="64"/>
      <c r="P1271" s="64"/>
      <c r="Q1271" s="64"/>
      <c r="R1271" s="65" t="str">
        <f>IF($A1271="","",IFERROR(MINIFS(Candidates!$K$2:$K$2000,Candidates!$A$2:$A$2000,$A1271),""))</f>
        <v/>
      </c>
      <c r="S1271" s="65" t="str">
        <f>IF($A1271="","",IFERROR(MAXIFS(Candidates!$AA$2:$AA$2000,Candidates!$A$2:$A$2000,$A1271),""))</f>
        <v/>
      </c>
      <c r="T1271" s="64" t="str">
        <f>IFERROR(__xludf.DUMMYFUNCTION("IF($A1271="""","""",IFERROR(TEXTJOIN("", "",TRUE,UNIQUE(FILTER(Candidates!$B$2:$B$2000,Candidates!$A$2:$A$2000=$A1271))),""""))"),"")</f>
        <v/>
      </c>
      <c r="U1271" s="66" t="str">
        <f>IF($A1271="","",COUNTIF(Candidates!$A$2:$A$2000,$A1271))</f>
        <v/>
      </c>
      <c r="V1271" s="64" t="str">
        <f>IFERROR(__xludf.DUMMYFUNCTION("IF($A1271="""","""",IFERROR(INDEX(FILTER(Candidates!$S$2:$S$2000,Candidates!$A$2:$A$2000=$A1271),COUNTIF(Candidates!$A$2:$A$2000,$A1271)),""""))"),"")</f>
        <v/>
      </c>
      <c r="W1271" s="64" t="str">
        <f>IFERROR(__xludf.DUMMYFUNCTION("IF($A1271="""","""",IFERROR(INDEX(FILTER(Candidates!$T$2:$T$2000,Candidates!$A$2:$A$2000=$A1271),COUNTIF(Candidates!$A$2:$A$2000,$A1271)),""""))"),"")</f>
        <v/>
      </c>
      <c r="X1271" s="64"/>
      <c r="Y1271" s="64"/>
      <c r="Z1271" s="65"/>
      <c r="AA1271" s="65"/>
      <c r="AB1271" s="65"/>
      <c r="AC1271" s="65"/>
    </row>
    <row r="1272">
      <c r="A1272" s="64"/>
      <c r="B1272" s="64"/>
      <c r="C1272" s="64"/>
      <c r="D1272" s="64"/>
      <c r="E1272" s="64"/>
      <c r="F1272" s="64"/>
      <c r="G1272" s="64"/>
      <c r="H1272" s="63"/>
      <c r="I1272" s="64"/>
      <c r="J1272" s="64"/>
      <c r="K1272" s="64"/>
      <c r="L1272" s="64"/>
      <c r="M1272" s="64"/>
      <c r="N1272" s="64"/>
      <c r="O1272" s="64"/>
      <c r="P1272" s="64"/>
      <c r="Q1272" s="64"/>
      <c r="R1272" s="65" t="str">
        <f>IF($A1272="","",IFERROR(MINIFS(Candidates!$K$2:$K$2000,Candidates!$A$2:$A$2000,$A1272),""))</f>
        <v/>
      </c>
      <c r="S1272" s="65" t="str">
        <f>IF($A1272="","",IFERROR(MAXIFS(Candidates!$AA$2:$AA$2000,Candidates!$A$2:$A$2000,$A1272),""))</f>
        <v/>
      </c>
      <c r="T1272" s="64" t="str">
        <f>IFERROR(__xludf.DUMMYFUNCTION("IF($A1272="""","""",IFERROR(TEXTJOIN("", "",TRUE,UNIQUE(FILTER(Candidates!$B$2:$B$2000,Candidates!$A$2:$A$2000=$A1272))),""""))"),"")</f>
        <v/>
      </c>
      <c r="U1272" s="66" t="str">
        <f>IF($A1272="","",COUNTIF(Candidates!$A$2:$A$2000,$A1272))</f>
        <v/>
      </c>
      <c r="V1272" s="64" t="str">
        <f>IFERROR(__xludf.DUMMYFUNCTION("IF($A1272="""","""",IFERROR(INDEX(FILTER(Candidates!$S$2:$S$2000,Candidates!$A$2:$A$2000=$A1272),COUNTIF(Candidates!$A$2:$A$2000,$A1272)),""""))"),"")</f>
        <v/>
      </c>
      <c r="W1272" s="64" t="str">
        <f>IFERROR(__xludf.DUMMYFUNCTION("IF($A1272="""","""",IFERROR(INDEX(FILTER(Candidates!$T$2:$T$2000,Candidates!$A$2:$A$2000=$A1272),COUNTIF(Candidates!$A$2:$A$2000,$A1272)),""""))"),"")</f>
        <v/>
      </c>
      <c r="X1272" s="64"/>
      <c r="Y1272" s="64"/>
      <c r="Z1272" s="65"/>
      <c r="AA1272" s="65"/>
      <c r="AB1272" s="65"/>
      <c r="AC1272" s="65"/>
    </row>
    <row r="1273">
      <c r="A1273" s="64"/>
      <c r="B1273" s="64"/>
      <c r="C1273" s="64"/>
      <c r="D1273" s="64"/>
      <c r="E1273" s="64"/>
      <c r="F1273" s="64"/>
      <c r="G1273" s="64"/>
      <c r="H1273" s="63"/>
      <c r="I1273" s="64"/>
      <c r="J1273" s="64"/>
      <c r="K1273" s="64"/>
      <c r="L1273" s="64"/>
      <c r="M1273" s="64"/>
      <c r="N1273" s="64"/>
      <c r="O1273" s="64"/>
      <c r="P1273" s="64"/>
      <c r="Q1273" s="64"/>
      <c r="R1273" s="65" t="str">
        <f>IF($A1273="","",IFERROR(MINIFS(Candidates!$K$2:$K$2000,Candidates!$A$2:$A$2000,$A1273),""))</f>
        <v/>
      </c>
      <c r="S1273" s="65" t="str">
        <f>IF($A1273="","",IFERROR(MAXIFS(Candidates!$AA$2:$AA$2000,Candidates!$A$2:$A$2000,$A1273),""))</f>
        <v/>
      </c>
      <c r="T1273" s="64" t="str">
        <f>IFERROR(__xludf.DUMMYFUNCTION("IF($A1273="""","""",IFERROR(TEXTJOIN("", "",TRUE,UNIQUE(FILTER(Candidates!$B$2:$B$2000,Candidates!$A$2:$A$2000=$A1273))),""""))"),"")</f>
        <v/>
      </c>
      <c r="U1273" s="66" t="str">
        <f>IF($A1273="","",COUNTIF(Candidates!$A$2:$A$2000,$A1273))</f>
        <v/>
      </c>
      <c r="V1273" s="64" t="str">
        <f>IFERROR(__xludf.DUMMYFUNCTION("IF($A1273="""","""",IFERROR(INDEX(FILTER(Candidates!$S$2:$S$2000,Candidates!$A$2:$A$2000=$A1273),COUNTIF(Candidates!$A$2:$A$2000,$A1273)),""""))"),"")</f>
        <v/>
      </c>
      <c r="W1273" s="64" t="str">
        <f>IFERROR(__xludf.DUMMYFUNCTION("IF($A1273="""","""",IFERROR(INDEX(FILTER(Candidates!$T$2:$T$2000,Candidates!$A$2:$A$2000=$A1273),COUNTIF(Candidates!$A$2:$A$2000,$A1273)),""""))"),"")</f>
        <v/>
      </c>
      <c r="X1273" s="64"/>
      <c r="Y1273" s="64"/>
      <c r="Z1273" s="65"/>
      <c r="AA1273" s="65"/>
      <c r="AB1273" s="65"/>
      <c r="AC1273" s="65"/>
    </row>
    <row r="1274">
      <c r="A1274" s="64"/>
      <c r="B1274" s="64"/>
      <c r="C1274" s="64"/>
      <c r="D1274" s="64"/>
      <c r="E1274" s="64"/>
      <c r="F1274" s="64"/>
      <c r="G1274" s="64"/>
      <c r="H1274" s="63"/>
      <c r="I1274" s="64"/>
      <c r="J1274" s="64"/>
      <c r="K1274" s="64"/>
      <c r="L1274" s="64"/>
      <c r="M1274" s="64"/>
      <c r="N1274" s="64"/>
      <c r="O1274" s="64"/>
      <c r="P1274" s="64"/>
      <c r="Q1274" s="64"/>
      <c r="R1274" s="65" t="str">
        <f>IF($A1274="","",IFERROR(MINIFS(Candidates!$K$2:$K$2000,Candidates!$A$2:$A$2000,$A1274),""))</f>
        <v/>
      </c>
      <c r="S1274" s="65" t="str">
        <f>IF($A1274="","",IFERROR(MAXIFS(Candidates!$AA$2:$AA$2000,Candidates!$A$2:$A$2000,$A1274),""))</f>
        <v/>
      </c>
      <c r="T1274" s="64" t="str">
        <f>IFERROR(__xludf.DUMMYFUNCTION("IF($A1274="""","""",IFERROR(TEXTJOIN("", "",TRUE,UNIQUE(FILTER(Candidates!$B$2:$B$2000,Candidates!$A$2:$A$2000=$A1274))),""""))"),"")</f>
        <v/>
      </c>
      <c r="U1274" s="66" t="str">
        <f>IF($A1274="","",COUNTIF(Candidates!$A$2:$A$2000,$A1274))</f>
        <v/>
      </c>
      <c r="V1274" s="64" t="str">
        <f>IFERROR(__xludf.DUMMYFUNCTION("IF($A1274="""","""",IFERROR(INDEX(FILTER(Candidates!$S$2:$S$2000,Candidates!$A$2:$A$2000=$A1274),COUNTIF(Candidates!$A$2:$A$2000,$A1274)),""""))"),"")</f>
        <v/>
      </c>
      <c r="W1274" s="64" t="str">
        <f>IFERROR(__xludf.DUMMYFUNCTION("IF($A1274="""","""",IFERROR(INDEX(FILTER(Candidates!$T$2:$T$2000,Candidates!$A$2:$A$2000=$A1274),COUNTIF(Candidates!$A$2:$A$2000,$A1274)),""""))"),"")</f>
        <v/>
      </c>
      <c r="X1274" s="64"/>
      <c r="Y1274" s="64"/>
      <c r="Z1274" s="65"/>
      <c r="AA1274" s="65"/>
      <c r="AB1274" s="65"/>
      <c r="AC1274" s="65"/>
    </row>
    <row r="1275">
      <c r="A1275" s="64"/>
      <c r="B1275" s="64"/>
      <c r="C1275" s="64"/>
      <c r="D1275" s="64"/>
      <c r="E1275" s="64"/>
      <c r="F1275" s="64"/>
      <c r="G1275" s="64"/>
      <c r="H1275" s="63"/>
      <c r="I1275" s="64"/>
      <c r="J1275" s="64"/>
      <c r="K1275" s="64"/>
      <c r="L1275" s="64"/>
      <c r="M1275" s="64"/>
      <c r="N1275" s="64"/>
      <c r="O1275" s="64"/>
      <c r="P1275" s="64"/>
      <c r="Q1275" s="64"/>
      <c r="R1275" s="65" t="str">
        <f>IF($A1275="","",IFERROR(MINIFS(Candidates!$K$2:$K$2000,Candidates!$A$2:$A$2000,$A1275),""))</f>
        <v/>
      </c>
      <c r="S1275" s="65" t="str">
        <f>IF($A1275="","",IFERROR(MAXIFS(Candidates!$AA$2:$AA$2000,Candidates!$A$2:$A$2000,$A1275),""))</f>
        <v/>
      </c>
      <c r="T1275" s="64" t="str">
        <f>IFERROR(__xludf.DUMMYFUNCTION("IF($A1275="""","""",IFERROR(TEXTJOIN("", "",TRUE,UNIQUE(FILTER(Candidates!$B$2:$B$2000,Candidates!$A$2:$A$2000=$A1275))),""""))"),"")</f>
        <v/>
      </c>
      <c r="U1275" s="66" t="str">
        <f>IF($A1275="","",COUNTIF(Candidates!$A$2:$A$2000,$A1275))</f>
        <v/>
      </c>
      <c r="V1275" s="64" t="str">
        <f>IFERROR(__xludf.DUMMYFUNCTION("IF($A1275="""","""",IFERROR(INDEX(FILTER(Candidates!$S$2:$S$2000,Candidates!$A$2:$A$2000=$A1275),COUNTIF(Candidates!$A$2:$A$2000,$A1275)),""""))"),"")</f>
        <v/>
      </c>
      <c r="W1275" s="64" t="str">
        <f>IFERROR(__xludf.DUMMYFUNCTION("IF($A1275="""","""",IFERROR(INDEX(FILTER(Candidates!$T$2:$T$2000,Candidates!$A$2:$A$2000=$A1275),COUNTIF(Candidates!$A$2:$A$2000,$A1275)),""""))"),"")</f>
        <v/>
      </c>
      <c r="X1275" s="64"/>
      <c r="Y1275" s="64"/>
      <c r="Z1275" s="65"/>
      <c r="AA1275" s="65"/>
      <c r="AB1275" s="65"/>
      <c r="AC1275" s="65"/>
    </row>
    <row r="1276">
      <c r="A1276" s="64"/>
      <c r="B1276" s="64"/>
      <c r="C1276" s="64"/>
      <c r="D1276" s="64"/>
      <c r="E1276" s="64"/>
      <c r="F1276" s="64"/>
      <c r="G1276" s="64"/>
      <c r="H1276" s="63"/>
      <c r="I1276" s="64"/>
      <c r="J1276" s="64"/>
      <c r="K1276" s="64"/>
      <c r="L1276" s="64"/>
      <c r="M1276" s="64"/>
      <c r="N1276" s="64"/>
      <c r="O1276" s="64"/>
      <c r="P1276" s="64"/>
      <c r="Q1276" s="64"/>
      <c r="R1276" s="65" t="str">
        <f>IF($A1276="","",IFERROR(MINIFS(Candidates!$K$2:$K$2000,Candidates!$A$2:$A$2000,$A1276),""))</f>
        <v/>
      </c>
      <c r="S1276" s="65" t="str">
        <f>IF($A1276="","",IFERROR(MAXIFS(Candidates!$AA$2:$AA$2000,Candidates!$A$2:$A$2000,$A1276),""))</f>
        <v/>
      </c>
      <c r="T1276" s="64" t="str">
        <f>IFERROR(__xludf.DUMMYFUNCTION("IF($A1276="""","""",IFERROR(TEXTJOIN("", "",TRUE,UNIQUE(FILTER(Candidates!$B$2:$B$2000,Candidates!$A$2:$A$2000=$A1276))),""""))"),"")</f>
        <v/>
      </c>
      <c r="U1276" s="66" t="str">
        <f>IF($A1276="","",COUNTIF(Candidates!$A$2:$A$2000,$A1276))</f>
        <v/>
      </c>
      <c r="V1276" s="64" t="str">
        <f>IFERROR(__xludf.DUMMYFUNCTION("IF($A1276="""","""",IFERROR(INDEX(FILTER(Candidates!$S$2:$S$2000,Candidates!$A$2:$A$2000=$A1276),COUNTIF(Candidates!$A$2:$A$2000,$A1276)),""""))"),"")</f>
        <v/>
      </c>
      <c r="W1276" s="64" t="str">
        <f>IFERROR(__xludf.DUMMYFUNCTION("IF($A1276="""","""",IFERROR(INDEX(FILTER(Candidates!$T$2:$T$2000,Candidates!$A$2:$A$2000=$A1276),COUNTIF(Candidates!$A$2:$A$2000,$A1276)),""""))"),"")</f>
        <v/>
      </c>
      <c r="X1276" s="64"/>
      <c r="Y1276" s="64"/>
      <c r="Z1276" s="65"/>
      <c r="AA1276" s="65"/>
      <c r="AB1276" s="65"/>
      <c r="AC1276" s="65"/>
    </row>
    <row r="1277">
      <c r="A1277" s="64"/>
      <c r="B1277" s="64"/>
      <c r="C1277" s="64"/>
      <c r="D1277" s="64"/>
      <c r="E1277" s="64"/>
      <c r="F1277" s="64"/>
      <c r="G1277" s="64"/>
      <c r="H1277" s="63"/>
      <c r="I1277" s="64"/>
      <c r="J1277" s="64"/>
      <c r="K1277" s="64"/>
      <c r="L1277" s="64"/>
      <c r="M1277" s="64"/>
      <c r="N1277" s="64"/>
      <c r="O1277" s="64"/>
      <c r="P1277" s="64"/>
      <c r="Q1277" s="64"/>
      <c r="R1277" s="65" t="str">
        <f>IF($A1277="","",IFERROR(MINIFS(Candidates!$K$2:$K$2000,Candidates!$A$2:$A$2000,$A1277),""))</f>
        <v/>
      </c>
      <c r="S1277" s="65" t="str">
        <f>IF($A1277="","",IFERROR(MAXIFS(Candidates!$AA$2:$AA$2000,Candidates!$A$2:$A$2000,$A1277),""))</f>
        <v/>
      </c>
      <c r="T1277" s="64" t="str">
        <f>IFERROR(__xludf.DUMMYFUNCTION("IF($A1277="""","""",IFERROR(TEXTJOIN("", "",TRUE,UNIQUE(FILTER(Candidates!$B$2:$B$2000,Candidates!$A$2:$A$2000=$A1277))),""""))"),"")</f>
        <v/>
      </c>
      <c r="U1277" s="66" t="str">
        <f>IF($A1277="","",COUNTIF(Candidates!$A$2:$A$2000,$A1277))</f>
        <v/>
      </c>
      <c r="V1277" s="64" t="str">
        <f>IFERROR(__xludf.DUMMYFUNCTION("IF($A1277="""","""",IFERROR(INDEX(FILTER(Candidates!$S$2:$S$2000,Candidates!$A$2:$A$2000=$A1277),COUNTIF(Candidates!$A$2:$A$2000,$A1277)),""""))"),"")</f>
        <v/>
      </c>
      <c r="W1277" s="64" t="str">
        <f>IFERROR(__xludf.DUMMYFUNCTION("IF($A1277="""","""",IFERROR(INDEX(FILTER(Candidates!$T$2:$T$2000,Candidates!$A$2:$A$2000=$A1277),COUNTIF(Candidates!$A$2:$A$2000,$A1277)),""""))"),"")</f>
        <v/>
      </c>
      <c r="X1277" s="64"/>
      <c r="Y1277" s="64"/>
      <c r="Z1277" s="65"/>
      <c r="AA1277" s="65"/>
      <c r="AB1277" s="65"/>
      <c r="AC1277" s="65"/>
    </row>
    <row r="1278">
      <c r="A1278" s="64"/>
      <c r="B1278" s="64"/>
      <c r="C1278" s="64"/>
      <c r="D1278" s="64"/>
      <c r="E1278" s="64"/>
      <c r="F1278" s="64"/>
      <c r="G1278" s="64"/>
      <c r="H1278" s="63"/>
      <c r="I1278" s="64"/>
      <c r="J1278" s="64"/>
      <c r="K1278" s="64"/>
      <c r="L1278" s="64"/>
      <c r="M1278" s="64"/>
      <c r="N1278" s="64"/>
      <c r="O1278" s="64"/>
      <c r="P1278" s="64"/>
      <c r="Q1278" s="64"/>
      <c r="R1278" s="65" t="str">
        <f>IF($A1278="","",IFERROR(MINIFS(Candidates!$K$2:$K$2000,Candidates!$A$2:$A$2000,$A1278),""))</f>
        <v/>
      </c>
      <c r="S1278" s="65" t="str">
        <f>IF($A1278="","",IFERROR(MAXIFS(Candidates!$AA$2:$AA$2000,Candidates!$A$2:$A$2000,$A1278),""))</f>
        <v/>
      </c>
      <c r="T1278" s="64" t="str">
        <f>IFERROR(__xludf.DUMMYFUNCTION("IF($A1278="""","""",IFERROR(TEXTJOIN("", "",TRUE,UNIQUE(FILTER(Candidates!$B$2:$B$2000,Candidates!$A$2:$A$2000=$A1278))),""""))"),"")</f>
        <v/>
      </c>
      <c r="U1278" s="66" t="str">
        <f>IF($A1278="","",COUNTIF(Candidates!$A$2:$A$2000,$A1278))</f>
        <v/>
      </c>
      <c r="V1278" s="64" t="str">
        <f>IFERROR(__xludf.DUMMYFUNCTION("IF($A1278="""","""",IFERROR(INDEX(FILTER(Candidates!$S$2:$S$2000,Candidates!$A$2:$A$2000=$A1278),COUNTIF(Candidates!$A$2:$A$2000,$A1278)),""""))"),"")</f>
        <v/>
      </c>
      <c r="W1278" s="64" t="str">
        <f>IFERROR(__xludf.DUMMYFUNCTION("IF($A1278="""","""",IFERROR(INDEX(FILTER(Candidates!$T$2:$T$2000,Candidates!$A$2:$A$2000=$A1278),COUNTIF(Candidates!$A$2:$A$2000,$A1278)),""""))"),"")</f>
        <v/>
      </c>
      <c r="X1278" s="64"/>
      <c r="Y1278" s="64"/>
      <c r="Z1278" s="65"/>
      <c r="AA1278" s="65"/>
      <c r="AB1278" s="65"/>
      <c r="AC1278" s="65"/>
    </row>
    <row r="1279">
      <c r="A1279" s="64"/>
      <c r="B1279" s="64"/>
      <c r="C1279" s="64"/>
      <c r="D1279" s="64"/>
      <c r="E1279" s="64"/>
      <c r="F1279" s="64"/>
      <c r="G1279" s="64"/>
      <c r="H1279" s="63"/>
      <c r="I1279" s="64"/>
      <c r="J1279" s="64"/>
      <c r="K1279" s="64"/>
      <c r="L1279" s="64"/>
      <c r="M1279" s="64"/>
      <c r="N1279" s="64"/>
      <c r="O1279" s="64"/>
      <c r="P1279" s="64"/>
      <c r="Q1279" s="64"/>
      <c r="R1279" s="65" t="str">
        <f>IF($A1279="","",IFERROR(MINIFS(Candidates!$K$2:$K$2000,Candidates!$A$2:$A$2000,$A1279),""))</f>
        <v/>
      </c>
      <c r="S1279" s="65" t="str">
        <f>IF($A1279="","",IFERROR(MAXIFS(Candidates!$AA$2:$AA$2000,Candidates!$A$2:$A$2000,$A1279),""))</f>
        <v/>
      </c>
      <c r="T1279" s="64" t="str">
        <f>IFERROR(__xludf.DUMMYFUNCTION("IF($A1279="""","""",IFERROR(TEXTJOIN("", "",TRUE,UNIQUE(FILTER(Candidates!$B$2:$B$2000,Candidates!$A$2:$A$2000=$A1279))),""""))"),"")</f>
        <v/>
      </c>
      <c r="U1279" s="66" t="str">
        <f>IF($A1279="","",COUNTIF(Candidates!$A$2:$A$2000,$A1279))</f>
        <v/>
      </c>
      <c r="V1279" s="64" t="str">
        <f>IFERROR(__xludf.DUMMYFUNCTION("IF($A1279="""","""",IFERROR(INDEX(FILTER(Candidates!$S$2:$S$2000,Candidates!$A$2:$A$2000=$A1279),COUNTIF(Candidates!$A$2:$A$2000,$A1279)),""""))"),"")</f>
        <v/>
      </c>
      <c r="W1279" s="64" t="str">
        <f>IFERROR(__xludf.DUMMYFUNCTION("IF($A1279="""","""",IFERROR(INDEX(FILTER(Candidates!$T$2:$T$2000,Candidates!$A$2:$A$2000=$A1279),COUNTIF(Candidates!$A$2:$A$2000,$A1279)),""""))"),"")</f>
        <v/>
      </c>
      <c r="X1279" s="64"/>
      <c r="Y1279" s="64"/>
      <c r="Z1279" s="65"/>
      <c r="AA1279" s="65"/>
      <c r="AB1279" s="65"/>
      <c r="AC1279" s="65"/>
    </row>
    <row r="1280">
      <c r="A1280" s="64"/>
      <c r="B1280" s="64"/>
      <c r="C1280" s="64"/>
      <c r="D1280" s="64"/>
      <c r="E1280" s="64"/>
      <c r="F1280" s="64"/>
      <c r="G1280" s="64"/>
      <c r="H1280" s="63"/>
      <c r="I1280" s="64"/>
      <c r="J1280" s="64"/>
      <c r="K1280" s="64"/>
      <c r="L1280" s="64"/>
      <c r="M1280" s="64"/>
      <c r="N1280" s="64"/>
      <c r="O1280" s="64"/>
      <c r="P1280" s="64"/>
      <c r="Q1280" s="64"/>
      <c r="R1280" s="65" t="str">
        <f>IF($A1280="","",IFERROR(MINIFS(Candidates!$K$2:$K$2000,Candidates!$A$2:$A$2000,$A1280),""))</f>
        <v/>
      </c>
      <c r="S1280" s="65" t="str">
        <f>IF($A1280="","",IFERROR(MAXIFS(Candidates!$AA$2:$AA$2000,Candidates!$A$2:$A$2000,$A1280),""))</f>
        <v/>
      </c>
      <c r="T1280" s="64" t="str">
        <f>IFERROR(__xludf.DUMMYFUNCTION("IF($A1280="""","""",IFERROR(TEXTJOIN("", "",TRUE,UNIQUE(FILTER(Candidates!$B$2:$B$2000,Candidates!$A$2:$A$2000=$A1280))),""""))"),"")</f>
        <v/>
      </c>
      <c r="U1280" s="66" t="str">
        <f>IF($A1280="","",COUNTIF(Candidates!$A$2:$A$2000,$A1280))</f>
        <v/>
      </c>
      <c r="V1280" s="64" t="str">
        <f>IFERROR(__xludf.DUMMYFUNCTION("IF($A1280="""","""",IFERROR(INDEX(FILTER(Candidates!$S$2:$S$2000,Candidates!$A$2:$A$2000=$A1280),COUNTIF(Candidates!$A$2:$A$2000,$A1280)),""""))"),"")</f>
        <v/>
      </c>
      <c r="W1280" s="64" t="str">
        <f>IFERROR(__xludf.DUMMYFUNCTION("IF($A1280="""","""",IFERROR(INDEX(FILTER(Candidates!$T$2:$T$2000,Candidates!$A$2:$A$2000=$A1280),COUNTIF(Candidates!$A$2:$A$2000,$A1280)),""""))"),"")</f>
        <v/>
      </c>
      <c r="X1280" s="64"/>
      <c r="Y1280" s="64"/>
      <c r="Z1280" s="65"/>
      <c r="AA1280" s="65"/>
      <c r="AB1280" s="65"/>
      <c r="AC1280" s="65"/>
    </row>
    <row r="1281">
      <c r="A1281" s="64"/>
      <c r="B1281" s="64"/>
      <c r="C1281" s="64"/>
      <c r="D1281" s="64"/>
      <c r="E1281" s="64"/>
      <c r="F1281" s="64"/>
      <c r="G1281" s="64"/>
      <c r="H1281" s="63"/>
      <c r="I1281" s="64"/>
      <c r="J1281" s="64"/>
      <c r="K1281" s="64"/>
      <c r="L1281" s="64"/>
      <c r="M1281" s="64"/>
      <c r="N1281" s="64"/>
      <c r="O1281" s="64"/>
      <c r="P1281" s="64"/>
      <c r="Q1281" s="64"/>
      <c r="R1281" s="65" t="str">
        <f>IF($A1281="","",IFERROR(MINIFS(Candidates!$K$2:$K$2000,Candidates!$A$2:$A$2000,$A1281),""))</f>
        <v/>
      </c>
      <c r="S1281" s="65" t="str">
        <f>IF($A1281="","",IFERROR(MAXIFS(Candidates!$AA$2:$AA$2000,Candidates!$A$2:$A$2000,$A1281),""))</f>
        <v/>
      </c>
      <c r="T1281" s="64" t="str">
        <f>IFERROR(__xludf.DUMMYFUNCTION("IF($A1281="""","""",IFERROR(TEXTJOIN("", "",TRUE,UNIQUE(FILTER(Candidates!$B$2:$B$2000,Candidates!$A$2:$A$2000=$A1281))),""""))"),"")</f>
        <v/>
      </c>
      <c r="U1281" s="66" t="str">
        <f>IF($A1281="","",COUNTIF(Candidates!$A$2:$A$2000,$A1281))</f>
        <v/>
      </c>
      <c r="V1281" s="64" t="str">
        <f>IFERROR(__xludf.DUMMYFUNCTION("IF($A1281="""","""",IFERROR(INDEX(FILTER(Candidates!$S$2:$S$2000,Candidates!$A$2:$A$2000=$A1281),COUNTIF(Candidates!$A$2:$A$2000,$A1281)),""""))"),"")</f>
        <v/>
      </c>
      <c r="W1281" s="64" t="str">
        <f>IFERROR(__xludf.DUMMYFUNCTION("IF($A1281="""","""",IFERROR(INDEX(FILTER(Candidates!$T$2:$T$2000,Candidates!$A$2:$A$2000=$A1281),COUNTIF(Candidates!$A$2:$A$2000,$A1281)),""""))"),"")</f>
        <v/>
      </c>
      <c r="X1281" s="64"/>
      <c r="Y1281" s="64"/>
      <c r="Z1281" s="65"/>
      <c r="AA1281" s="65"/>
      <c r="AB1281" s="65"/>
      <c r="AC1281" s="65"/>
    </row>
    <row r="1282">
      <c r="A1282" s="64"/>
      <c r="B1282" s="64"/>
      <c r="C1282" s="64"/>
      <c r="D1282" s="64"/>
      <c r="E1282" s="64"/>
      <c r="F1282" s="64"/>
      <c r="G1282" s="64"/>
      <c r="H1282" s="63"/>
      <c r="I1282" s="64"/>
      <c r="J1282" s="64"/>
      <c r="K1282" s="64"/>
      <c r="L1282" s="64"/>
      <c r="M1282" s="64"/>
      <c r="N1282" s="64"/>
      <c r="O1282" s="64"/>
      <c r="P1282" s="64"/>
      <c r="Q1282" s="64"/>
      <c r="R1282" s="65" t="str">
        <f>IF($A1282="","",IFERROR(MINIFS(Candidates!$K$2:$K$2000,Candidates!$A$2:$A$2000,$A1282),""))</f>
        <v/>
      </c>
      <c r="S1282" s="65" t="str">
        <f>IF($A1282="","",IFERROR(MAXIFS(Candidates!$AA$2:$AA$2000,Candidates!$A$2:$A$2000,$A1282),""))</f>
        <v/>
      </c>
      <c r="T1282" s="64" t="str">
        <f>IFERROR(__xludf.DUMMYFUNCTION("IF($A1282="""","""",IFERROR(TEXTJOIN("", "",TRUE,UNIQUE(FILTER(Candidates!$B$2:$B$2000,Candidates!$A$2:$A$2000=$A1282))),""""))"),"")</f>
        <v/>
      </c>
      <c r="U1282" s="66" t="str">
        <f>IF($A1282="","",COUNTIF(Candidates!$A$2:$A$2000,$A1282))</f>
        <v/>
      </c>
      <c r="V1282" s="64" t="str">
        <f>IFERROR(__xludf.DUMMYFUNCTION("IF($A1282="""","""",IFERROR(INDEX(FILTER(Candidates!$S$2:$S$2000,Candidates!$A$2:$A$2000=$A1282),COUNTIF(Candidates!$A$2:$A$2000,$A1282)),""""))"),"")</f>
        <v/>
      </c>
      <c r="W1282" s="64" t="str">
        <f>IFERROR(__xludf.DUMMYFUNCTION("IF($A1282="""","""",IFERROR(INDEX(FILTER(Candidates!$T$2:$T$2000,Candidates!$A$2:$A$2000=$A1282),COUNTIF(Candidates!$A$2:$A$2000,$A1282)),""""))"),"")</f>
        <v/>
      </c>
      <c r="X1282" s="64"/>
      <c r="Y1282" s="64"/>
      <c r="Z1282" s="65"/>
      <c r="AA1282" s="65"/>
      <c r="AB1282" s="65"/>
      <c r="AC1282" s="65"/>
    </row>
    <row r="1283">
      <c r="A1283" s="64"/>
      <c r="B1283" s="64"/>
      <c r="C1283" s="64"/>
      <c r="D1283" s="64"/>
      <c r="E1283" s="64"/>
      <c r="F1283" s="64"/>
      <c r="G1283" s="64"/>
      <c r="H1283" s="63"/>
      <c r="I1283" s="64"/>
      <c r="J1283" s="64"/>
      <c r="K1283" s="64"/>
      <c r="L1283" s="64"/>
      <c r="M1283" s="64"/>
      <c r="N1283" s="64"/>
      <c r="O1283" s="64"/>
      <c r="P1283" s="64"/>
      <c r="Q1283" s="64"/>
      <c r="R1283" s="65" t="str">
        <f>IF($A1283="","",IFERROR(MINIFS(Candidates!$K$2:$K$2000,Candidates!$A$2:$A$2000,$A1283),""))</f>
        <v/>
      </c>
      <c r="S1283" s="65" t="str">
        <f>IF($A1283="","",IFERROR(MAXIFS(Candidates!$AA$2:$AA$2000,Candidates!$A$2:$A$2000,$A1283),""))</f>
        <v/>
      </c>
      <c r="T1283" s="64" t="str">
        <f>IFERROR(__xludf.DUMMYFUNCTION("IF($A1283="""","""",IFERROR(TEXTJOIN("", "",TRUE,UNIQUE(FILTER(Candidates!$B$2:$B$2000,Candidates!$A$2:$A$2000=$A1283))),""""))"),"")</f>
        <v/>
      </c>
      <c r="U1283" s="66" t="str">
        <f>IF($A1283="","",COUNTIF(Candidates!$A$2:$A$2000,$A1283))</f>
        <v/>
      </c>
      <c r="V1283" s="64" t="str">
        <f>IFERROR(__xludf.DUMMYFUNCTION("IF($A1283="""","""",IFERROR(INDEX(FILTER(Candidates!$S$2:$S$2000,Candidates!$A$2:$A$2000=$A1283),COUNTIF(Candidates!$A$2:$A$2000,$A1283)),""""))"),"")</f>
        <v/>
      </c>
      <c r="W1283" s="64" t="str">
        <f>IFERROR(__xludf.DUMMYFUNCTION("IF($A1283="""","""",IFERROR(INDEX(FILTER(Candidates!$T$2:$T$2000,Candidates!$A$2:$A$2000=$A1283),COUNTIF(Candidates!$A$2:$A$2000,$A1283)),""""))"),"")</f>
        <v/>
      </c>
      <c r="X1283" s="64"/>
      <c r="Y1283" s="64"/>
      <c r="Z1283" s="65"/>
      <c r="AA1283" s="65"/>
      <c r="AB1283" s="65"/>
      <c r="AC1283" s="65"/>
    </row>
    <row r="1284">
      <c r="A1284" s="64"/>
      <c r="B1284" s="64"/>
      <c r="C1284" s="64"/>
      <c r="D1284" s="64"/>
      <c r="E1284" s="64"/>
      <c r="F1284" s="64"/>
      <c r="G1284" s="64"/>
      <c r="H1284" s="63"/>
      <c r="I1284" s="64"/>
      <c r="J1284" s="64"/>
      <c r="K1284" s="64"/>
      <c r="L1284" s="64"/>
      <c r="M1284" s="64"/>
      <c r="N1284" s="64"/>
      <c r="O1284" s="64"/>
      <c r="P1284" s="64"/>
      <c r="Q1284" s="64"/>
      <c r="R1284" s="65" t="str">
        <f>IF($A1284="","",IFERROR(MINIFS(Candidates!$K$2:$K$2000,Candidates!$A$2:$A$2000,$A1284),""))</f>
        <v/>
      </c>
      <c r="S1284" s="65" t="str">
        <f>IF($A1284="","",IFERROR(MAXIFS(Candidates!$AA$2:$AA$2000,Candidates!$A$2:$A$2000,$A1284),""))</f>
        <v/>
      </c>
      <c r="T1284" s="64" t="str">
        <f>IFERROR(__xludf.DUMMYFUNCTION("IF($A1284="""","""",IFERROR(TEXTJOIN("", "",TRUE,UNIQUE(FILTER(Candidates!$B$2:$B$2000,Candidates!$A$2:$A$2000=$A1284))),""""))"),"")</f>
        <v/>
      </c>
      <c r="U1284" s="66" t="str">
        <f>IF($A1284="","",COUNTIF(Candidates!$A$2:$A$2000,$A1284))</f>
        <v/>
      </c>
      <c r="V1284" s="64" t="str">
        <f>IFERROR(__xludf.DUMMYFUNCTION("IF($A1284="""","""",IFERROR(INDEX(FILTER(Candidates!$S$2:$S$2000,Candidates!$A$2:$A$2000=$A1284),COUNTIF(Candidates!$A$2:$A$2000,$A1284)),""""))"),"")</f>
        <v/>
      </c>
      <c r="W1284" s="64" t="str">
        <f>IFERROR(__xludf.DUMMYFUNCTION("IF($A1284="""","""",IFERROR(INDEX(FILTER(Candidates!$T$2:$T$2000,Candidates!$A$2:$A$2000=$A1284),COUNTIF(Candidates!$A$2:$A$2000,$A1284)),""""))"),"")</f>
        <v/>
      </c>
      <c r="X1284" s="64"/>
      <c r="Y1284" s="64"/>
      <c r="Z1284" s="65"/>
      <c r="AA1284" s="65"/>
      <c r="AB1284" s="65"/>
      <c r="AC1284" s="65"/>
    </row>
    <row r="1285">
      <c r="A1285" s="64"/>
      <c r="B1285" s="64"/>
      <c r="C1285" s="64"/>
      <c r="D1285" s="64"/>
      <c r="E1285" s="64"/>
      <c r="F1285" s="64"/>
      <c r="G1285" s="64"/>
      <c r="H1285" s="63"/>
      <c r="I1285" s="64"/>
      <c r="J1285" s="64"/>
      <c r="K1285" s="64"/>
      <c r="L1285" s="64"/>
      <c r="M1285" s="64"/>
      <c r="N1285" s="64"/>
      <c r="O1285" s="64"/>
      <c r="P1285" s="64"/>
      <c r="Q1285" s="64"/>
      <c r="R1285" s="65" t="str">
        <f>IF($A1285="","",IFERROR(MINIFS(Candidates!$K$2:$K$2000,Candidates!$A$2:$A$2000,$A1285),""))</f>
        <v/>
      </c>
      <c r="S1285" s="65" t="str">
        <f>IF($A1285="","",IFERROR(MAXIFS(Candidates!$AA$2:$AA$2000,Candidates!$A$2:$A$2000,$A1285),""))</f>
        <v/>
      </c>
      <c r="T1285" s="64" t="str">
        <f>IFERROR(__xludf.DUMMYFUNCTION("IF($A1285="""","""",IFERROR(TEXTJOIN("", "",TRUE,UNIQUE(FILTER(Candidates!$B$2:$B$2000,Candidates!$A$2:$A$2000=$A1285))),""""))"),"")</f>
        <v/>
      </c>
      <c r="U1285" s="66" t="str">
        <f>IF($A1285="","",COUNTIF(Candidates!$A$2:$A$2000,$A1285))</f>
        <v/>
      </c>
      <c r="V1285" s="64" t="str">
        <f>IFERROR(__xludf.DUMMYFUNCTION("IF($A1285="""","""",IFERROR(INDEX(FILTER(Candidates!$S$2:$S$2000,Candidates!$A$2:$A$2000=$A1285),COUNTIF(Candidates!$A$2:$A$2000,$A1285)),""""))"),"")</f>
        <v/>
      </c>
      <c r="W1285" s="64" t="str">
        <f>IFERROR(__xludf.DUMMYFUNCTION("IF($A1285="""","""",IFERROR(INDEX(FILTER(Candidates!$T$2:$T$2000,Candidates!$A$2:$A$2000=$A1285),COUNTIF(Candidates!$A$2:$A$2000,$A1285)),""""))"),"")</f>
        <v/>
      </c>
      <c r="X1285" s="64"/>
      <c r="Y1285" s="64"/>
      <c r="Z1285" s="65"/>
      <c r="AA1285" s="65"/>
      <c r="AB1285" s="65"/>
      <c r="AC1285" s="65"/>
    </row>
    <row r="1286">
      <c r="A1286" s="64"/>
      <c r="B1286" s="64"/>
      <c r="C1286" s="64"/>
      <c r="D1286" s="64"/>
      <c r="E1286" s="64"/>
      <c r="F1286" s="64"/>
      <c r="G1286" s="64"/>
      <c r="H1286" s="63"/>
      <c r="I1286" s="64"/>
      <c r="J1286" s="64"/>
      <c r="K1286" s="64"/>
      <c r="L1286" s="64"/>
      <c r="M1286" s="64"/>
      <c r="N1286" s="64"/>
      <c r="O1286" s="64"/>
      <c r="P1286" s="64"/>
      <c r="Q1286" s="64"/>
      <c r="R1286" s="65" t="str">
        <f>IF($A1286="","",IFERROR(MINIFS(Candidates!$K$2:$K$2000,Candidates!$A$2:$A$2000,$A1286),""))</f>
        <v/>
      </c>
      <c r="S1286" s="65" t="str">
        <f>IF($A1286="","",IFERROR(MAXIFS(Candidates!$AA$2:$AA$2000,Candidates!$A$2:$A$2000,$A1286),""))</f>
        <v/>
      </c>
      <c r="T1286" s="64" t="str">
        <f>IFERROR(__xludf.DUMMYFUNCTION("IF($A1286="""","""",IFERROR(TEXTJOIN("", "",TRUE,UNIQUE(FILTER(Candidates!$B$2:$B$2000,Candidates!$A$2:$A$2000=$A1286))),""""))"),"")</f>
        <v/>
      </c>
      <c r="U1286" s="66" t="str">
        <f>IF($A1286="","",COUNTIF(Candidates!$A$2:$A$2000,$A1286))</f>
        <v/>
      </c>
      <c r="V1286" s="64" t="str">
        <f>IFERROR(__xludf.DUMMYFUNCTION("IF($A1286="""","""",IFERROR(INDEX(FILTER(Candidates!$S$2:$S$2000,Candidates!$A$2:$A$2000=$A1286),COUNTIF(Candidates!$A$2:$A$2000,$A1286)),""""))"),"")</f>
        <v/>
      </c>
      <c r="W1286" s="64" t="str">
        <f>IFERROR(__xludf.DUMMYFUNCTION("IF($A1286="""","""",IFERROR(INDEX(FILTER(Candidates!$T$2:$T$2000,Candidates!$A$2:$A$2000=$A1286),COUNTIF(Candidates!$A$2:$A$2000,$A1286)),""""))"),"")</f>
        <v/>
      </c>
      <c r="X1286" s="64"/>
      <c r="Y1286" s="64"/>
      <c r="Z1286" s="65"/>
      <c r="AA1286" s="65"/>
      <c r="AB1286" s="65"/>
      <c r="AC1286" s="65"/>
    </row>
    <row r="1287">
      <c r="A1287" s="64"/>
      <c r="B1287" s="64"/>
      <c r="C1287" s="64"/>
      <c r="D1287" s="64"/>
      <c r="E1287" s="64"/>
      <c r="F1287" s="64"/>
      <c r="G1287" s="64"/>
      <c r="H1287" s="63"/>
      <c r="I1287" s="64"/>
      <c r="J1287" s="64"/>
      <c r="K1287" s="64"/>
      <c r="L1287" s="64"/>
      <c r="M1287" s="64"/>
      <c r="N1287" s="64"/>
      <c r="O1287" s="64"/>
      <c r="P1287" s="64"/>
      <c r="Q1287" s="64"/>
      <c r="R1287" s="65" t="str">
        <f>IF($A1287="","",IFERROR(MINIFS(Candidates!$K$2:$K$2000,Candidates!$A$2:$A$2000,$A1287),""))</f>
        <v/>
      </c>
      <c r="S1287" s="65" t="str">
        <f>IF($A1287="","",IFERROR(MAXIFS(Candidates!$AA$2:$AA$2000,Candidates!$A$2:$A$2000,$A1287),""))</f>
        <v/>
      </c>
      <c r="T1287" s="64" t="str">
        <f>IFERROR(__xludf.DUMMYFUNCTION("IF($A1287="""","""",IFERROR(TEXTJOIN("", "",TRUE,UNIQUE(FILTER(Candidates!$B$2:$B$2000,Candidates!$A$2:$A$2000=$A1287))),""""))"),"")</f>
        <v/>
      </c>
      <c r="U1287" s="66" t="str">
        <f>IF($A1287="","",COUNTIF(Candidates!$A$2:$A$2000,$A1287))</f>
        <v/>
      </c>
      <c r="V1287" s="64" t="str">
        <f>IFERROR(__xludf.DUMMYFUNCTION("IF($A1287="""","""",IFERROR(INDEX(FILTER(Candidates!$S$2:$S$2000,Candidates!$A$2:$A$2000=$A1287),COUNTIF(Candidates!$A$2:$A$2000,$A1287)),""""))"),"")</f>
        <v/>
      </c>
      <c r="W1287" s="64" t="str">
        <f>IFERROR(__xludf.DUMMYFUNCTION("IF($A1287="""","""",IFERROR(INDEX(FILTER(Candidates!$T$2:$T$2000,Candidates!$A$2:$A$2000=$A1287),COUNTIF(Candidates!$A$2:$A$2000,$A1287)),""""))"),"")</f>
        <v/>
      </c>
      <c r="X1287" s="64"/>
      <c r="Y1287" s="64"/>
      <c r="Z1287" s="65"/>
      <c r="AA1287" s="65"/>
      <c r="AB1287" s="65"/>
      <c r="AC1287" s="65"/>
    </row>
    <row r="1288">
      <c r="A1288" s="64"/>
      <c r="B1288" s="64"/>
      <c r="C1288" s="64"/>
      <c r="D1288" s="64"/>
      <c r="E1288" s="64"/>
      <c r="F1288" s="64"/>
      <c r="G1288" s="64"/>
      <c r="H1288" s="63"/>
      <c r="I1288" s="64"/>
      <c r="J1288" s="64"/>
      <c r="K1288" s="64"/>
      <c r="L1288" s="64"/>
      <c r="M1288" s="64"/>
      <c r="N1288" s="64"/>
      <c r="O1288" s="64"/>
      <c r="P1288" s="64"/>
      <c r="Q1288" s="64"/>
      <c r="R1288" s="65" t="str">
        <f>IF($A1288="","",IFERROR(MINIFS(Candidates!$K$2:$K$2000,Candidates!$A$2:$A$2000,$A1288),""))</f>
        <v/>
      </c>
      <c r="S1288" s="65" t="str">
        <f>IF($A1288="","",IFERROR(MAXIFS(Candidates!$AA$2:$AA$2000,Candidates!$A$2:$A$2000,$A1288),""))</f>
        <v/>
      </c>
      <c r="T1288" s="64" t="str">
        <f>IFERROR(__xludf.DUMMYFUNCTION("IF($A1288="""","""",IFERROR(TEXTJOIN("", "",TRUE,UNIQUE(FILTER(Candidates!$B$2:$B$2000,Candidates!$A$2:$A$2000=$A1288))),""""))"),"")</f>
        <v/>
      </c>
      <c r="U1288" s="66" t="str">
        <f>IF($A1288="","",COUNTIF(Candidates!$A$2:$A$2000,$A1288))</f>
        <v/>
      </c>
      <c r="V1288" s="64" t="str">
        <f>IFERROR(__xludf.DUMMYFUNCTION("IF($A1288="""","""",IFERROR(INDEX(FILTER(Candidates!$S$2:$S$2000,Candidates!$A$2:$A$2000=$A1288),COUNTIF(Candidates!$A$2:$A$2000,$A1288)),""""))"),"")</f>
        <v/>
      </c>
      <c r="W1288" s="64" t="str">
        <f>IFERROR(__xludf.DUMMYFUNCTION("IF($A1288="""","""",IFERROR(INDEX(FILTER(Candidates!$T$2:$T$2000,Candidates!$A$2:$A$2000=$A1288),COUNTIF(Candidates!$A$2:$A$2000,$A1288)),""""))"),"")</f>
        <v/>
      </c>
      <c r="X1288" s="64"/>
      <c r="Y1288" s="64"/>
      <c r="Z1288" s="65"/>
      <c r="AA1288" s="65"/>
      <c r="AB1288" s="65"/>
      <c r="AC1288" s="65"/>
    </row>
    <row r="1289">
      <c r="A1289" s="64"/>
      <c r="B1289" s="64"/>
      <c r="C1289" s="64"/>
      <c r="D1289" s="64"/>
      <c r="E1289" s="64"/>
      <c r="F1289" s="64"/>
      <c r="G1289" s="64"/>
      <c r="H1289" s="63"/>
      <c r="I1289" s="64"/>
      <c r="J1289" s="64"/>
      <c r="K1289" s="64"/>
      <c r="L1289" s="64"/>
      <c r="M1289" s="64"/>
      <c r="N1289" s="64"/>
      <c r="O1289" s="64"/>
      <c r="P1289" s="64"/>
      <c r="Q1289" s="64"/>
      <c r="R1289" s="65" t="str">
        <f>IF($A1289="","",IFERROR(MINIFS(Candidates!$K$2:$K$2000,Candidates!$A$2:$A$2000,$A1289),""))</f>
        <v/>
      </c>
      <c r="S1289" s="65" t="str">
        <f>IF($A1289="","",IFERROR(MAXIFS(Candidates!$AA$2:$AA$2000,Candidates!$A$2:$A$2000,$A1289),""))</f>
        <v/>
      </c>
      <c r="T1289" s="64" t="str">
        <f>IFERROR(__xludf.DUMMYFUNCTION("IF($A1289="""","""",IFERROR(TEXTJOIN("", "",TRUE,UNIQUE(FILTER(Candidates!$B$2:$B$2000,Candidates!$A$2:$A$2000=$A1289))),""""))"),"")</f>
        <v/>
      </c>
      <c r="U1289" s="66" t="str">
        <f>IF($A1289="","",COUNTIF(Candidates!$A$2:$A$2000,$A1289))</f>
        <v/>
      </c>
      <c r="V1289" s="64" t="str">
        <f>IFERROR(__xludf.DUMMYFUNCTION("IF($A1289="""","""",IFERROR(INDEX(FILTER(Candidates!$S$2:$S$2000,Candidates!$A$2:$A$2000=$A1289),COUNTIF(Candidates!$A$2:$A$2000,$A1289)),""""))"),"")</f>
        <v/>
      </c>
      <c r="W1289" s="64" t="str">
        <f>IFERROR(__xludf.DUMMYFUNCTION("IF($A1289="""","""",IFERROR(INDEX(FILTER(Candidates!$T$2:$T$2000,Candidates!$A$2:$A$2000=$A1289),COUNTIF(Candidates!$A$2:$A$2000,$A1289)),""""))"),"")</f>
        <v/>
      </c>
      <c r="X1289" s="64"/>
      <c r="Y1289" s="64"/>
      <c r="Z1289" s="65"/>
      <c r="AA1289" s="65"/>
      <c r="AB1289" s="65"/>
      <c r="AC1289" s="65"/>
    </row>
    <row r="1290">
      <c r="A1290" s="64"/>
      <c r="B1290" s="64"/>
      <c r="C1290" s="64"/>
      <c r="D1290" s="64"/>
      <c r="E1290" s="64"/>
      <c r="F1290" s="64"/>
      <c r="G1290" s="64"/>
      <c r="H1290" s="63"/>
      <c r="I1290" s="64"/>
      <c r="J1290" s="64"/>
      <c r="K1290" s="64"/>
      <c r="L1290" s="64"/>
      <c r="M1290" s="64"/>
      <c r="N1290" s="64"/>
      <c r="O1290" s="64"/>
      <c r="P1290" s="64"/>
      <c r="Q1290" s="64"/>
      <c r="R1290" s="65" t="str">
        <f>IF($A1290="","",IFERROR(MINIFS(Candidates!$K$2:$K$2000,Candidates!$A$2:$A$2000,$A1290),""))</f>
        <v/>
      </c>
      <c r="S1290" s="65" t="str">
        <f>IF($A1290="","",IFERROR(MAXIFS(Candidates!$AA$2:$AA$2000,Candidates!$A$2:$A$2000,$A1290),""))</f>
        <v/>
      </c>
      <c r="T1290" s="64" t="str">
        <f>IFERROR(__xludf.DUMMYFUNCTION("IF($A1290="""","""",IFERROR(TEXTJOIN("", "",TRUE,UNIQUE(FILTER(Candidates!$B$2:$B$2000,Candidates!$A$2:$A$2000=$A1290))),""""))"),"")</f>
        <v/>
      </c>
      <c r="U1290" s="66" t="str">
        <f>IF($A1290="","",COUNTIF(Candidates!$A$2:$A$2000,$A1290))</f>
        <v/>
      </c>
      <c r="V1290" s="64" t="str">
        <f>IFERROR(__xludf.DUMMYFUNCTION("IF($A1290="""","""",IFERROR(INDEX(FILTER(Candidates!$S$2:$S$2000,Candidates!$A$2:$A$2000=$A1290),COUNTIF(Candidates!$A$2:$A$2000,$A1290)),""""))"),"")</f>
        <v/>
      </c>
      <c r="W1290" s="64" t="str">
        <f>IFERROR(__xludf.DUMMYFUNCTION("IF($A1290="""","""",IFERROR(INDEX(FILTER(Candidates!$T$2:$T$2000,Candidates!$A$2:$A$2000=$A1290),COUNTIF(Candidates!$A$2:$A$2000,$A1290)),""""))"),"")</f>
        <v/>
      </c>
      <c r="X1290" s="64"/>
      <c r="Y1290" s="64"/>
      <c r="Z1290" s="65"/>
      <c r="AA1290" s="65"/>
      <c r="AB1290" s="65"/>
      <c r="AC1290" s="65"/>
    </row>
    <row r="1291">
      <c r="A1291" s="64"/>
      <c r="B1291" s="64"/>
      <c r="C1291" s="64"/>
      <c r="D1291" s="64"/>
      <c r="E1291" s="64"/>
      <c r="F1291" s="64"/>
      <c r="G1291" s="64"/>
      <c r="H1291" s="63"/>
      <c r="I1291" s="64"/>
      <c r="J1291" s="64"/>
      <c r="K1291" s="64"/>
      <c r="L1291" s="64"/>
      <c r="M1291" s="64"/>
      <c r="N1291" s="64"/>
      <c r="O1291" s="64"/>
      <c r="P1291" s="64"/>
      <c r="Q1291" s="64"/>
      <c r="R1291" s="65" t="str">
        <f>IF($A1291="","",IFERROR(MINIFS(Candidates!$K$2:$K$2000,Candidates!$A$2:$A$2000,$A1291),""))</f>
        <v/>
      </c>
      <c r="S1291" s="65" t="str">
        <f>IF($A1291="","",IFERROR(MAXIFS(Candidates!$AA$2:$AA$2000,Candidates!$A$2:$A$2000,$A1291),""))</f>
        <v/>
      </c>
      <c r="T1291" s="64" t="str">
        <f>IFERROR(__xludf.DUMMYFUNCTION("IF($A1291="""","""",IFERROR(TEXTJOIN("", "",TRUE,UNIQUE(FILTER(Candidates!$B$2:$B$2000,Candidates!$A$2:$A$2000=$A1291))),""""))"),"")</f>
        <v/>
      </c>
      <c r="U1291" s="66" t="str">
        <f>IF($A1291="","",COUNTIF(Candidates!$A$2:$A$2000,$A1291))</f>
        <v/>
      </c>
      <c r="V1291" s="64" t="str">
        <f>IFERROR(__xludf.DUMMYFUNCTION("IF($A1291="""","""",IFERROR(INDEX(FILTER(Candidates!$S$2:$S$2000,Candidates!$A$2:$A$2000=$A1291),COUNTIF(Candidates!$A$2:$A$2000,$A1291)),""""))"),"")</f>
        <v/>
      </c>
      <c r="W1291" s="64" t="str">
        <f>IFERROR(__xludf.DUMMYFUNCTION("IF($A1291="""","""",IFERROR(INDEX(FILTER(Candidates!$T$2:$T$2000,Candidates!$A$2:$A$2000=$A1291),COUNTIF(Candidates!$A$2:$A$2000,$A1291)),""""))"),"")</f>
        <v/>
      </c>
      <c r="X1291" s="64"/>
      <c r="Y1291" s="64"/>
      <c r="Z1291" s="65"/>
      <c r="AA1291" s="65"/>
      <c r="AB1291" s="65"/>
      <c r="AC1291" s="65"/>
    </row>
    <row r="1292">
      <c r="A1292" s="64"/>
      <c r="B1292" s="64"/>
      <c r="C1292" s="64"/>
      <c r="D1292" s="64"/>
      <c r="E1292" s="64"/>
      <c r="F1292" s="64"/>
      <c r="G1292" s="64"/>
      <c r="H1292" s="63"/>
      <c r="I1292" s="64"/>
      <c r="J1292" s="64"/>
      <c r="K1292" s="64"/>
      <c r="L1292" s="64"/>
      <c r="M1292" s="64"/>
      <c r="N1292" s="64"/>
      <c r="O1292" s="64"/>
      <c r="P1292" s="64"/>
      <c r="Q1292" s="64"/>
      <c r="R1292" s="65" t="str">
        <f>IF($A1292="","",IFERROR(MINIFS(Candidates!$K$2:$K$2000,Candidates!$A$2:$A$2000,$A1292),""))</f>
        <v/>
      </c>
      <c r="S1292" s="65" t="str">
        <f>IF($A1292="","",IFERROR(MAXIFS(Candidates!$AA$2:$AA$2000,Candidates!$A$2:$A$2000,$A1292),""))</f>
        <v/>
      </c>
      <c r="T1292" s="64" t="str">
        <f>IFERROR(__xludf.DUMMYFUNCTION("IF($A1292="""","""",IFERROR(TEXTJOIN("", "",TRUE,UNIQUE(FILTER(Candidates!$B$2:$B$2000,Candidates!$A$2:$A$2000=$A1292))),""""))"),"")</f>
        <v/>
      </c>
      <c r="U1292" s="66" t="str">
        <f>IF($A1292="","",COUNTIF(Candidates!$A$2:$A$2000,$A1292))</f>
        <v/>
      </c>
      <c r="V1292" s="64" t="str">
        <f>IFERROR(__xludf.DUMMYFUNCTION("IF($A1292="""","""",IFERROR(INDEX(FILTER(Candidates!$S$2:$S$2000,Candidates!$A$2:$A$2000=$A1292),COUNTIF(Candidates!$A$2:$A$2000,$A1292)),""""))"),"")</f>
        <v/>
      </c>
      <c r="W1292" s="64" t="str">
        <f>IFERROR(__xludf.DUMMYFUNCTION("IF($A1292="""","""",IFERROR(INDEX(FILTER(Candidates!$T$2:$T$2000,Candidates!$A$2:$A$2000=$A1292),COUNTIF(Candidates!$A$2:$A$2000,$A1292)),""""))"),"")</f>
        <v/>
      </c>
      <c r="X1292" s="64"/>
      <c r="Y1292" s="64"/>
      <c r="Z1292" s="65"/>
      <c r="AA1292" s="65"/>
      <c r="AB1292" s="65"/>
      <c r="AC1292" s="65"/>
    </row>
    <row r="1293">
      <c r="A1293" s="64"/>
      <c r="B1293" s="64"/>
      <c r="C1293" s="64"/>
      <c r="D1293" s="64"/>
      <c r="E1293" s="64"/>
      <c r="F1293" s="64"/>
      <c r="G1293" s="64"/>
      <c r="H1293" s="63"/>
      <c r="I1293" s="64"/>
      <c r="J1293" s="64"/>
      <c r="K1293" s="64"/>
      <c r="L1293" s="64"/>
      <c r="M1293" s="64"/>
      <c r="N1293" s="64"/>
      <c r="O1293" s="64"/>
      <c r="P1293" s="64"/>
      <c r="Q1293" s="64"/>
      <c r="R1293" s="65" t="str">
        <f>IF($A1293="","",IFERROR(MINIFS(Candidates!$K$2:$K$2000,Candidates!$A$2:$A$2000,$A1293),""))</f>
        <v/>
      </c>
      <c r="S1293" s="65" t="str">
        <f>IF($A1293="","",IFERROR(MAXIFS(Candidates!$AA$2:$AA$2000,Candidates!$A$2:$A$2000,$A1293),""))</f>
        <v/>
      </c>
      <c r="T1293" s="64" t="str">
        <f>IFERROR(__xludf.DUMMYFUNCTION("IF($A1293="""","""",IFERROR(TEXTJOIN("", "",TRUE,UNIQUE(FILTER(Candidates!$B$2:$B$2000,Candidates!$A$2:$A$2000=$A1293))),""""))"),"")</f>
        <v/>
      </c>
      <c r="U1293" s="66" t="str">
        <f>IF($A1293="","",COUNTIF(Candidates!$A$2:$A$2000,$A1293))</f>
        <v/>
      </c>
      <c r="V1293" s="64" t="str">
        <f>IFERROR(__xludf.DUMMYFUNCTION("IF($A1293="""","""",IFERROR(INDEX(FILTER(Candidates!$S$2:$S$2000,Candidates!$A$2:$A$2000=$A1293),COUNTIF(Candidates!$A$2:$A$2000,$A1293)),""""))"),"")</f>
        <v/>
      </c>
      <c r="W1293" s="64" t="str">
        <f>IFERROR(__xludf.DUMMYFUNCTION("IF($A1293="""","""",IFERROR(INDEX(FILTER(Candidates!$T$2:$T$2000,Candidates!$A$2:$A$2000=$A1293),COUNTIF(Candidates!$A$2:$A$2000,$A1293)),""""))"),"")</f>
        <v/>
      </c>
      <c r="X1293" s="64"/>
      <c r="Y1293" s="64"/>
      <c r="Z1293" s="65"/>
      <c r="AA1293" s="65"/>
      <c r="AB1293" s="65"/>
      <c r="AC1293" s="65"/>
    </row>
    <row r="1294">
      <c r="A1294" s="64"/>
      <c r="B1294" s="64"/>
      <c r="C1294" s="64"/>
      <c r="D1294" s="64"/>
      <c r="E1294" s="64"/>
      <c r="F1294" s="64"/>
      <c r="G1294" s="64"/>
      <c r="H1294" s="63"/>
      <c r="I1294" s="64"/>
      <c r="J1294" s="64"/>
      <c r="K1294" s="64"/>
      <c r="L1294" s="64"/>
      <c r="M1294" s="64"/>
      <c r="N1294" s="64"/>
      <c r="O1294" s="64"/>
      <c r="P1294" s="64"/>
      <c r="Q1294" s="64"/>
      <c r="R1294" s="65" t="str">
        <f>IF($A1294="","",IFERROR(MINIFS(Candidates!$K$2:$K$2000,Candidates!$A$2:$A$2000,$A1294),""))</f>
        <v/>
      </c>
      <c r="S1294" s="65" t="str">
        <f>IF($A1294="","",IFERROR(MAXIFS(Candidates!$AA$2:$AA$2000,Candidates!$A$2:$A$2000,$A1294),""))</f>
        <v/>
      </c>
      <c r="T1294" s="64" t="str">
        <f>IFERROR(__xludf.DUMMYFUNCTION("IF($A1294="""","""",IFERROR(TEXTJOIN("", "",TRUE,UNIQUE(FILTER(Candidates!$B$2:$B$2000,Candidates!$A$2:$A$2000=$A1294))),""""))"),"")</f>
        <v/>
      </c>
      <c r="U1294" s="66" t="str">
        <f>IF($A1294="","",COUNTIF(Candidates!$A$2:$A$2000,$A1294))</f>
        <v/>
      </c>
      <c r="V1294" s="64" t="str">
        <f>IFERROR(__xludf.DUMMYFUNCTION("IF($A1294="""","""",IFERROR(INDEX(FILTER(Candidates!$S$2:$S$2000,Candidates!$A$2:$A$2000=$A1294),COUNTIF(Candidates!$A$2:$A$2000,$A1294)),""""))"),"")</f>
        <v/>
      </c>
      <c r="W1294" s="64" t="str">
        <f>IFERROR(__xludf.DUMMYFUNCTION("IF($A1294="""","""",IFERROR(INDEX(FILTER(Candidates!$T$2:$T$2000,Candidates!$A$2:$A$2000=$A1294),COUNTIF(Candidates!$A$2:$A$2000,$A1294)),""""))"),"")</f>
        <v/>
      </c>
      <c r="X1294" s="64"/>
      <c r="Y1294" s="64"/>
      <c r="Z1294" s="65"/>
      <c r="AA1294" s="65"/>
      <c r="AB1294" s="65"/>
      <c r="AC1294" s="65"/>
    </row>
    <row r="1295">
      <c r="A1295" s="64"/>
      <c r="B1295" s="64"/>
      <c r="C1295" s="64"/>
      <c r="D1295" s="64"/>
      <c r="E1295" s="64"/>
      <c r="F1295" s="64"/>
      <c r="G1295" s="64"/>
      <c r="H1295" s="63"/>
      <c r="I1295" s="64"/>
      <c r="J1295" s="64"/>
      <c r="K1295" s="64"/>
      <c r="L1295" s="64"/>
      <c r="M1295" s="64"/>
      <c r="N1295" s="64"/>
      <c r="O1295" s="64"/>
      <c r="P1295" s="64"/>
      <c r="Q1295" s="64"/>
      <c r="R1295" s="65" t="str">
        <f>IF($A1295="","",IFERROR(MINIFS(Candidates!$K$2:$K$2000,Candidates!$A$2:$A$2000,$A1295),""))</f>
        <v/>
      </c>
      <c r="S1295" s="65" t="str">
        <f>IF($A1295="","",IFERROR(MAXIFS(Candidates!$AA$2:$AA$2000,Candidates!$A$2:$A$2000,$A1295),""))</f>
        <v/>
      </c>
      <c r="T1295" s="64" t="str">
        <f>IFERROR(__xludf.DUMMYFUNCTION("IF($A1295="""","""",IFERROR(TEXTJOIN("", "",TRUE,UNIQUE(FILTER(Candidates!$B$2:$B$2000,Candidates!$A$2:$A$2000=$A1295))),""""))"),"")</f>
        <v/>
      </c>
      <c r="U1295" s="66" t="str">
        <f>IF($A1295="","",COUNTIF(Candidates!$A$2:$A$2000,$A1295))</f>
        <v/>
      </c>
      <c r="V1295" s="64" t="str">
        <f>IFERROR(__xludf.DUMMYFUNCTION("IF($A1295="""","""",IFERROR(INDEX(FILTER(Candidates!$S$2:$S$2000,Candidates!$A$2:$A$2000=$A1295),COUNTIF(Candidates!$A$2:$A$2000,$A1295)),""""))"),"")</f>
        <v/>
      </c>
      <c r="W1295" s="64" t="str">
        <f>IFERROR(__xludf.DUMMYFUNCTION("IF($A1295="""","""",IFERROR(INDEX(FILTER(Candidates!$T$2:$T$2000,Candidates!$A$2:$A$2000=$A1295),COUNTIF(Candidates!$A$2:$A$2000,$A1295)),""""))"),"")</f>
        <v/>
      </c>
      <c r="X1295" s="64"/>
      <c r="Y1295" s="64"/>
      <c r="Z1295" s="65"/>
      <c r="AA1295" s="65"/>
      <c r="AB1295" s="65"/>
      <c r="AC1295" s="65"/>
    </row>
    <row r="1296">
      <c r="A1296" s="64"/>
      <c r="B1296" s="64"/>
      <c r="C1296" s="64"/>
      <c r="D1296" s="64"/>
      <c r="E1296" s="64"/>
      <c r="F1296" s="64"/>
      <c r="G1296" s="64"/>
      <c r="H1296" s="63"/>
      <c r="I1296" s="64"/>
      <c r="J1296" s="64"/>
      <c r="K1296" s="64"/>
      <c r="L1296" s="64"/>
      <c r="M1296" s="64"/>
      <c r="N1296" s="64"/>
      <c r="O1296" s="64"/>
      <c r="P1296" s="64"/>
      <c r="Q1296" s="64"/>
      <c r="R1296" s="65" t="str">
        <f>IF($A1296="","",IFERROR(MINIFS(Candidates!$K$2:$K$2000,Candidates!$A$2:$A$2000,$A1296),""))</f>
        <v/>
      </c>
      <c r="S1296" s="65" t="str">
        <f>IF($A1296="","",IFERROR(MAXIFS(Candidates!$AA$2:$AA$2000,Candidates!$A$2:$A$2000,$A1296),""))</f>
        <v/>
      </c>
      <c r="T1296" s="64" t="str">
        <f>IFERROR(__xludf.DUMMYFUNCTION("IF($A1296="""","""",IFERROR(TEXTJOIN("", "",TRUE,UNIQUE(FILTER(Candidates!$B$2:$B$2000,Candidates!$A$2:$A$2000=$A1296))),""""))"),"")</f>
        <v/>
      </c>
      <c r="U1296" s="66" t="str">
        <f>IF($A1296="","",COUNTIF(Candidates!$A$2:$A$2000,$A1296))</f>
        <v/>
      </c>
      <c r="V1296" s="64" t="str">
        <f>IFERROR(__xludf.DUMMYFUNCTION("IF($A1296="""","""",IFERROR(INDEX(FILTER(Candidates!$S$2:$S$2000,Candidates!$A$2:$A$2000=$A1296),COUNTIF(Candidates!$A$2:$A$2000,$A1296)),""""))"),"")</f>
        <v/>
      </c>
      <c r="W1296" s="64" t="str">
        <f>IFERROR(__xludf.DUMMYFUNCTION("IF($A1296="""","""",IFERROR(INDEX(FILTER(Candidates!$T$2:$T$2000,Candidates!$A$2:$A$2000=$A1296),COUNTIF(Candidates!$A$2:$A$2000,$A1296)),""""))"),"")</f>
        <v/>
      </c>
      <c r="X1296" s="64"/>
      <c r="Y1296" s="64"/>
      <c r="Z1296" s="65"/>
      <c r="AA1296" s="65"/>
      <c r="AB1296" s="65"/>
      <c r="AC1296" s="65"/>
    </row>
    <row r="1297">
      <c r="A1297" s="64"/>
      <c r="B1297" s="64"/>
      <c r="C1297" s="64"/>
      <c r="D1297" s="64"/>
      <c r="E1297" s="64"/>
      <c r="F1297" s="64"/>
      <c r="G1297" s="64"/>
      <c r="H1297" s="63"/>
      <c r="I1297" s="64"/>
      <c r="J1297" s="64"/>
      <c r="K1297" s="64"/>
      <c r="L1297" s="64"/>
      <c r="M1297" s="64"/>
      <c r="N1297" s="64"/>
      <c r="O1297" s="64"/>
      <c r="P1297" s="64"/>
      <c r="Q1297" s="64"/>
      <c r="R1297" s="65" t="str">
        <f>IF($A1297="","",IFERROR(MINIFS(Candidates!$K$2:$K$2000,Candidates!$A$2:$A$2000,$A1297),""))</f>
        <v/>
      </c>
      <c r="S1297" s="65" t="str">
        <f>IF($A1297="","",IFERROR(MAXIFS(Candidates!$AA$2:$AA$2000,Candidates!$A$2:$A$2000,$A1297),""))</f>
        <v/>
      </c>
      <c r="T1297" s="64" t="str">
        <f>IFERROR(__xludf.DUMMYFUNCTION("IF($A1297="""","""",IFERROR(TEXTJOIN("", "",TRUE,UNIQUE(FILTER(Candidates!$B$2:$B$2000,Candidates!$A$2:$A$2000=$A1297))),""""))"),"")</f>
        <v/>
      </c>
      <c r="U1297" s="66" t="str">
        <f>IF($A1297="","",COUNTIF(Candidates!$A$2:$A$2000,$A1297))</f>
        <v/>
      </c>
      <c r="V1297" s="64" t="str">
        <f>IFERROR(__xludf.DUMMYFUNCTION("IF($A1297="""","""",IFERROR(INDEX(FILTER(Candidates!$S$2:$S$2000,Candidates!$A$2:$A$2000=$A1297),COUNTIF(Candidates!$A$2:$A$2000,$A1297)),""""))"),"")</f>
        <v/>
      </c>
      <c r="W1297" s="64" t="str">
        <f>IFERROR(__xludf.DUMMYFUNCTION("IF($A1297="""","""",IFERROR(INDEX(FILTER(Candidates!$T$2:$T$2000,Candidates!$A$2:$A$2000=$A1297),COUNTIF(Candidates!$A$2:$A$2000,$A1297)),""""))"),"")</f>
        <v/>
      </c>
      <c r="X1297" s="64"/>
      <c r="Y1297" s="64"/>
      <c r="Z1297" s="65"/>
      <c r="AA1297" s="65"/>
      <c r="AB1297" s="65"/>
      <c r="AC1297" s="65"/>
    </row>
    <row r="1298">
      <c r="A1298" s="64"/>
      <c r="B1298" s="64"/>
      <c r="C1298" s="64"/>
      <c r="D1298" s="64"/>
      <c r="E1298" s="64"/>
      <c r="F1298" s="64"/>
      <c r="G1298" s="64"/>
      <c r="H1298" s="63"/>
      <c r="I1298" s="64"/>
      <c r="J1298" s="64"/>
      <c r="K1298" s="64"/>
      <c r="L1298" s="64"/>
      <c r="M1298" s="64"/>
      <c r="N1298" s="64"/>
      <c r="O1298" s="64"/>
      <c r="P1298" s="64"/>
      <c r="Q1298" s="64"/>
      <c r="R1298" s="65" t="str">
        <f>IF($A1298="","",IFERROR(MINIFS(Candidates!$K$2:$K$2000,Candidates!$A$2:$A$2000,$A1298),""))</f>
        <v/>
      </c>
      <c r="S1298" s="65" t="str">
        <f>IF($A1298="","",IFERROR(MAXIFS(Candidates!$AA$2:$AA$2000,Candidates!$A$2:$A$2000,$A1298),""))</f>
        <v/>
      </c>
      <c r="T1298" s="64" t="str">
        <f>IFERROR(__xludf.DUMMYFUNCTION("IF($A1298="""","""",IFERROR(TEXTJOIN("", "",TRUE,UNIQUE(FILTER(Candidates!$B$2:$B$2000,Candidates!$A$2:$A$2000=$A1298))),""""))"),"")</f>
        <v/>
      </c>
      <c r="U1298" s="66" t="str">
        <f>IF($A1298="","",COUNTIF(Candidates!$A$2:$A$2000,$A1298))</f>
        <v/>
      </c>
      <c r="V1298" s="64" t="str">
        <f>IFERROR(__xludf.DUMMYFUNCTION("IF($A1298="""","""",IFERROR(INDEX(FILTER(Candidates!$S$2:$S$2000,Candidates!$A$2:$A$2000=$A1298),COUNTIF(Candidates!$A$2:$A$2000,$A1298)),""""))"),"")</f>
        <v/>
      </c>
      <c r="W1298" s="64" t="str">
        <f>IFERROR(__xludf.DUMMYFUNCTION("IF($A1298="""","""",IFERROR(INDEX(FILTER(Candidates!$T$2:$T$2000,Candidates!$A$2:$A$2000=$A1298),COUNTIF(Candidates!$A$2:$A$2000,$A1298)),""""))"),"")</f>
        <v/>
      </c>
      <c r="X1298" s="64"/>
      <c r="Y1298" s="64"/>
      <c r="Z1298" s="65"/>
      <c r="AA1298" s="65"/>
      <c r="AB1298" s="65"/>
      <c r="AC1298" s="65"/>
    </row>
    <row r="1299">
      <c r="A1299" s="64"/>
      <c r="B1299" s="64"/>
      <c r="C1299" s="64"/>
      <c r="D1299" s="64"/>
      <c r="E1299" s="64"/>
      <c r="F1299" s="64"/>
      <c r="G1299" s="64"/>
      <c r="H1299" s="63"/>
      <c r="I1299" s="64"/>
      <c r="J1299" s="64"/>
      <c r="K1299" s="64"/>
      <c r="L1299" s="64"/>
      <c r="M1299" s="64"/>
      <c r="N1299" s="64"/>
      <c r="O1299" s="64"/>
      <c r="P1299" s="64"/>
      <c r="Q1299" s="64"/>
      <c r="R1299" s="65" t="str">
        <f>IF($A1299="","",IFERROR(MINIFS(Candidates!$K$2:$K$2000,Candidates!$A$2:$A$2000,$A1299),""))</f>
        <v/>
      </c>
      <c r="S1299" s="65" t="str">
        <f>IF($A1299="","",IFERROR(MAXIFS(Candidates!$AA$2:$AA$2000,Candidates!$A$2:$A$2000,$A1299),""))</f>
        <v/>
      </c>
      <c r="T1299" s="64" t="str">
        <f>IFERROR(__xludf.DUMMYFUNCTION("IF($A1299="""","""",IFERROR(TEXTJOIN("", "",TRUE,UNIQUE(FILTER(Candidates!$B$2:$B$2000,Candidates!$A$2:$A$2000=$A1299))),""""))"),"")</f>
        <v/>
      </c>
      <c r="U1299" s="66" t="str">
        <f>IF($A1299="","",COUNTIF(Candidates!$A$2:$A$2000,$A1299))</f>
        <v/>
      </c>
      <c r="V1299" s="64" t="str">
        <f>IFERROR(__xludf.DUMMYFUNCTION("IF($A1299="""","""",IFERROR(INDEX(FILTER(Candidates!$S$2:$S$2000,Candidates!$A$2:$A$2000=$A1299),COUNTIF(Candidates!$A$2:$A$2000,$A1299)),""""))"),"")</f>
        <v/>
      </c>
      <c r="W1299" s="64" t="str">
        <f>IFERROR(__xludf.DUMMYFUNCTION("IF($A1299="""","""",IFERROR(INDEX(FILTER(Candidates!$T$2:$T$2000,Candidates!$A$2:$A$2000=$A1299),COUNTIF(Candidates!$A$2:$A$2000,$A1299)),""""))"),"")</f>
        <v/>
      </c>
      <c r="X1299" s="64"/>
      <c r="Y1299" s="64"/>
      <c r="Z1299" s="65"/>
      <c r="AA1299" s="65"/>
      <c r="AB1299" s="65"/>
      <c r="AC1299" s="65"/>
    </row>
    <row r="1300">
      <c r="A1300" s="64"/>
      <c r="B1300" s="64"/>
      <c r="C1300" s="64"/>
      <c r="D1300" s="64"/>
      <c r="E1300" s="64"/>
      <c r="F1300" s="64"/>
      <c r="G1300" s="64"/>
      <c r="H1300" s="63"/>
      <c r="I1300" s="64"/>
      <c r="J1300" s="64"/>
      <c r="K1300" s="64"/>
      <c r="L1300" s="64"/>
      <c r="M1300" s="64"/>
      <c r="N1300" s="64"/>
      <c r="O1300" s="64"/>
      <c r="P1300" s="64"/>
      <c r="Q1300" s="64"/>
      <c r="R1300" s="65" t="str">
        <f>IF($A1300="","",IFERROR(MINIFS(Candidates!$K$2:$K$2000,Candidates!$A$2:$A$2000,$A1300),""))</f>
        <v/>
      </c>
      <c r="S1300" s="65" t="str">
        <f>IF($A1300="","",IFERROR(MAXIFS(Candidates!$AA$2:$AA$2000,Candidates!$A$2:$A$2000,$A1300),""))</f>
        <v/>
      </c>
      <c r="T1300" s="64" t="str">
        <f>IFERROR(__xludf.DUMMYFUNCTION("IF($A1300="""","""",IFERROR(TEXTJOIN("", "",TRUE,UNIQUE(FILTER(Candidates!$B$2:$B$2000,Candidates!$A$2:$A$2000=$A1300))),""""))"),"")</f>
        <v/>
      </c>
      <c r="U1300" s="66" t="str">
        <f>IF($A1300="","",COUNTIF(Candidates!$A$2:$A$2000,$A1300))</f>
        <v/>
      </c>
      <c r="V1300" s="64" t="str">
        <f>IFERROR(__xludf.DUMMYFUNCTION("IF($A1300="""","""",IFERROR(INDEX(FILTER(Candidates!$S$2:$S$2000,Candidates!$A$2:$A$2000=$A1300),COUNTIF(Candidates!$A$2:$A$2000,$A1300)),""""))"),"")</f>
        <v/>
      </c>
      <c r="W1300" s="64" t="str">
        <f>IFERROR(__xludf.DUMMYFUNCTION("IF($A1300="""","""",IFERROR(INDEX(FILTER(Candidates!$T$2:$T$2000,Candidates!$A$2:$A$2000=$A1300),COUNTIF(Candidates!$A$2:$A$2000,$A1300)),""""))"),"")</f>
        <v/>
      </c>
      <c r="X1300" s="64"/>
      <c r="Y1300" s="64"/>
      <c r="Z1300" s="65"/>
      <c r="AA1300" s="65"/>
      <c r="AB1300" s="65"/>
      <c r="AC1300" s="65"/>
    </row>
    <row r="1301">
      <c r="A1301" s="64"/>
      <c r="B1301" s="64"/>
      <c r="C1301" s="64"/>
      <c r="D1301" s="64"/>
      <c r="E1301" s="64"/>
      <c r="F1301" s="64"/>
      <c r="G1301" s="64"/>
      <c r="H1301" s="63"/>
      <c r="I1301" s="64"/>
      <c r="J1301" s="64"/>
      <c r="K1301" s="64"/>
      <c r="L1301" s="64"/>
      <c r="M1301" s="64"/>
      <c r="N1301" s="64"/>
      <c r="O1301" s="64"/>
      <c r="P1301" s="64"/>
      <c r="Q1301" s="64"/>
      <c r="R1301" s="65" t="str">
        <f>IF($A1301="","",IFERROR(MINIFS(Candidates!$K$2:$K$2000,Candidates!$A$2:$A$2000,$A1301),""))</f>
        <v/>
      </c>
      <c r="S1301" s="65" t="str">
        <f>IF($A1301="","",IFERROR(MAXIFS(Candidates!$AA$2:$AA$2000,Candidates!$A$2:$A$2000,$A1301),""))</f>
        <v/>
      </c>
      <c r="T1301" s="64" t="str">
        <f>IFERROR(__xludf.DUMMYFUNCTION("IF($A1301="""","""",IFERROR(TEXTJOIN("", "",TRUE,UNIQUE(FILTER(Candidates!$B$2:$B$2000,Candidates!$A$2:$A$2000=$A1301))),""""))"),"")</f>
        <v/>
      </c>
      <c r="U1301" s="66" t="str">
        <f>IF($A1301="","",COUNTIF(Candidates!$A$2:$A$2000,$A1301))</f>
        <v/>
      </c>
      <c r="V1301" s="64" t="str">
        <f>IFERROR(__xludf.DUMMYFUNCTION("IF($A1301="""","""",IFERROR(INDEX(FILTER(Candidates!$S$2:$S$2000,Candidates!$A$2:$A$2000=$A1301),COUNTIF(Candidates!$A$2:$A$2000,$A1301)),""""))"),"")</f>
        <v/>
      </c>
      <c r="W1301" s="64" t="str">
        <f>IFERROR(__xludf.DUMMYFUNCTION("IF($A1301="""","""",IFERROR(INDEX(FILTER(Candidates!$T$2:$T$2000,Candidates!$A$2:$A$2000=$A1301),COUNTIF(Candidates!$A$2:$A$2000,$A1301)),""""))"),"")</f>
        <v/>
      </c>
      <c r="X1301" s="64"/>
      <c r="Y1301" s="64"/>
      <c r="Z1301" s="65"/>
      <c r="AA1301" s="65"/>
      <c r="AB1301" s="65"/>
      <c r="AC1301" s="65"/>
    </row>
    <row r="1302">
      <c r="A1302" s="64"/>
      <c r="B1302" s="64"/>
      <c r="C1302" s="64"/>
      <c r="D1302" s="64"/>
      <c r="E1302" s="64"/>
      <c r="F1302" s="64"/>
      <c r="G1302" s="64"/>
      <c r="H1302" s="63"/>
      <c r="I1302" s="64"/>
      <c r="J1302" s="64"/>
      <c r="K1302" s="64"/>
      <c r="L1302" s="64"/>
      <c r="M1302" s="64"/>
      <c r="N1302" s="64"/>
      <c r="O1302" s="64"/>
      <c r="P1302" s="64"/>
      <c r="Q1302" s="64"/>
      <c r="R1302" s="65" t="str">
        <f>IF($A1302="","",IFERROR(MINIFS(Candidates!$K$2:$K$2000,Candidates!$A$2:$A$2000,$A1302),""))</f>
        <v/>
      </c>
      <c r="S1302" s="65" t="str">
        <f>IF($A1302="","",IFERROR(MAXIFS(Candidates!$AA$2:$AA$2000,Candidates!$A$2:$A$2000,$A1302),""))</f>
        <v/>
      </c>
      <c r="T1302" s="64" t="str">
        <f>IFERROR(__xludf.DUMMYFUNCTION("IF($A1302="""","""",IFERROR(TEXTJOIN("", "",TRUE,UNIQUE(FILTER(Candidates!$B$2:$B$2000,Candidates!$A$2:$A$2000=$A1302))),""""))"),"")</f>
        <v/>
      </c>
      <c r="U1302" s="66" t="str">
        <f>IF($A1302="","",COUNTIF(Candidates!$A$2:$A$2000,$A1302))</f>
        <v/>
      </c>
      <c r="V1302" s="64" t="str">
        <f>IFERROR(__xludf.DUMMYFUNCTION("IF($A1302="""","""",IFERROR(INDEX(FILTER(Candidates!$S$2:$S$2000,Candidates!$A$2:$A$2000=$A1302),COUNTIF(Candidates!$A$2:$A$2000,$A1302)),""""))"),"")</f>
        <v/>
      </c>
      <c r="W1302" s="64" t="str">
        <f>IFERROR(__xludf.DUMMYFUNCTION("IF($A1302="""","""",IFERROR(INDEX(FILTER(Candidates!$T$2:$T$2000,Candidates!$A$2:$A$2000=$A1302),COUNTIF(Candidates!$A$2:$A$2000,$A1302)),""""))"),"")</f>
        <v/>
      </c>
      <c r="X1302" s="64"/>
      <c r="Y1302" s="64"/>
      <c r="Z1302" s="65"/>
      <c r="AA1302" s="65"/>
      <c r="AB1302" s="65"/>
      <c r="AC1302" s="65"/>
    </row>
    <row r="1303">
      <c r="A1303" s="64"/>
      <c r="B1303" s="64"/>
      <c r="C1303" s="64"/>
      <c r="D1303" s="64"/>
      <c r="E1303" s="64"/>
      <c r="F1303" s="64"/>
      <c r="G1303" s="64"/>
      <c r="H1303" s="63"/>
      <c r="I1303" s="64"/>
      <c r="J1303" s="64"/>
      <c r="K1303" s="64"/>
      <c r="L1303" s="64"/>
      <c r="M1303" s="64"/>
      <c r="N1303" s="64"/>
      <c r="O1303" s="64"/>
      <c r="P1303" s="64"/>
      <c r="Q1303" s="64"/>
      <c r="R1303" s="65" t="str">
        <f>IF($A1303="","",IFERROR(MINIFS(Candidates!$K$2:$K$2000,Candidates!$A$2:$A$2000,$A1303),""))</f>
        <v/>
      </c>
      <c r="S1303" s="65" t="str">
        <f>IF($A1303="","",IFERROR(MAXIFS(Candidates!$AA$2:$AA$2000,Candidates!$A$2:$A$2000,$A1303),""))</f>
        <v/>
      </c>
      <c r="T1303" s="64" t="str">
        <f>IFERROR(__xludf.DUMMYFUNCTION("IF($A1303="""","""",IFERROR(TEXTJOIN("", "",TRUE,UNIQUE(FILTER(Candidates!$B$2:$B$2000,Candidates!$A$2:$A$2000=$A1303))),""""))"),"")</f>
        <v/>
      </c>
      <c r="U1303" s="66" t="str">
        <f>IF($A1303="","",COUNTIF(Candidates!$A$2:$A$2000,$A1303))</f>
        <v/>
      </c>
      <c r="V1303" s="64" t="str">
        <f>IFERROR(__xludf.DUMMYFUNCTION("IF($A1303="""","""",IFERROR(INDEX(FILTER(Candidates!$S$2:$S$2000,Candidates!$A$2:$A$2000=$A1303),COUNTIF(Candidates!$A$2:$A$2000,$A1303)),""""))"),"")</f>
        <v/>
      </c>
      <c r="W1303" s="64" t="str">
        <f>IFERROR(__xludf.DUMMYFUNCTION("IF($A1303="""","""",IFERROR(INDEX(FILTER(Candidates!$T$2:$T$2000,Candidates!$A$2:$A$2000=$A1303),COUNTIF(Candidates!$A$2:$A$2000,$A1303)),""""))"),"")</f>
        <v/>
      </c>
      <c r="X1303" s="64"/>
      <c r="Y1303" s="64"/>
      <c r="Z1303" s="65"/>
      <c r="AA1303" s="65"/>
      <c r="AB1303" s="65"/>
      <c r="AC1303" s="65"/>
    </row>
    <row r="1304">
      <c r="A1304" s="64"/>
      <c r="B1304" s="64"/>
      <c r="C1304" s="64"/>
      <c r="D1304" s="64"/>
      <c r="E1304" s="64"/>
      <c r="F1304" s="64"/>
      <c r="G1304" s="64"/>
      <c r="H1304" s="63"/>
      <c r="I1304" s="64"/>
      <c r="J1304" s="64"/>
      <c r="K1304" s="64"/>
      <c r="L1304" s="64"/>
      <c r="M1304" s="64"/>
      <c r="N1304" s="64"/>
      <c r="O1304" s="64"/>
      <c r="P1304" s="64"/>
      <c r="Q1304" s="64"/>
      <c r="R1304" s="65" t="str">
        <f>IF($A1304="","",IFERROR(MINIFS(Candidates!$K$2:$K$2000,Candidates!$A$2:$A$2000,$A1304),""))</f>
        <v/>
      </c>
      <c r="S1304" s="65" t="str">
        <f>IF($A1304="","",IFERROR(MAXIFS(Candidates!$AA$2:$AA$2000,Candidates!$A$2:$A$2000,$A1304),""))</f>
        <v/>
      </c>
      <c r="T1304" s="64" t="str">
        <f>IFERROR(__xludf.DUMMYFUNCTION("IF($A1304="""","""",IFERROR(TEXTJOIN("", "",TRUE,UNIQUE(FILTER(Candidates!$B$2:$B$2000,Candidates!$A$2:$A$2000=$A1304))),""""))"),"")</f>
        <v/>
      </c>
      <c r="U1304" s="66" t="str">
        <f>IF($A1304="","",COUNTIF(Candidates!$A$2:$A$2000,$A1304))</f>
        <v/>
      </c>
      <c r="V1304" s="64" t="str">
        <f>IFERROR(__xludf.DUMMYFUNCTION("IF($A1304="""","""",IFERROR(INDEX(FILTER(Candidates!$S$2:$S$2000,Candidates!$A$2:$A$2000=$A1304),COUNTIF(Candidates!$A$2:$A$2000,$A1304)),""""))"),"")</f>
        <v/>
      </c>
      <c r="W1304" s="64" t="str">
        <f>IFERROR(__xludf.DUMMYFUNCTION("IF($A1304="""","""",IFERROR(INDEX(FILTER(Candidates!$T$2:$T$2000,Candidates!$A$2:$A$2000=$A1304),COUNTIF(Candidates!$A$2:$A$2000,$A1304)),""""))"),"")</f>
        <v/>
      </c>
      <c r="X1304" s="64"/>
      <c r="Y1304" s="64"/>
      <c r="Z1304" s="65"/>
      <c r="AA1304" s="65"/>
      <c r="AB1304" s="65"/>
      <c r="AC1304" s="65"/>
    </row>
    <row r="1305">
      <c r="A1305" s="64"/>
      <c r="B1305" s="64"/>
      <c r="C1305" s="64"/>
      <c r="D1305" s="64"/>
      <c r="E1305" s="64"/>
      <c r="F1305" s="64"/>
      <c r="G1305" s="64"/>
      <c r="H1305" s="63"/>
      <c r="I1305" s="64"/>
      <c r="J1305" s="64"/>
      <c r="K1305" s="64"/>
      <c r="L1305" s="64"/>
      <c r="M1305" s="64"/>
      <c r="N1305" s="64"/>
      <c r="O1305" s="64"/>
      <c r="P1305" s="64"/>
      <c r="Q1305" s="64"/>
      <c r="R1305" s="65" t="str">
        <f>IF($A1305="","",IFERROR(MINIFS(Candidates!$K$2:$K$2000,Candidates!$A$2:$A$2000,$A1305),""))</f>
        <v/>
      </c>
      <c r="S1305" s="65" t="str">
        <f>IF($A1305="","",IFERROR(MAXIFS(Candidates!$AA$2:$AA$2000,Candidates!$A$2:$A$2000,$A1305),""))</f>
        <v/>
      </c>
      <c r="T1305" s="64" t="str">
        <f>IFERROR(__xludf.DUMMYFUNCTION("IF($A1305="""","""",IFERROR(TEXTJOIN("", "",TRUE,UNIQUE(FILTER(Candidates!$B$2:$B$2000,Candidates!$A$2:$A$2000=$A1305))),""""))"),"")</f>
        <v/>
      </c>
      <c r="U1305" s="66" t="str">
        <f>IF($A1305="","",COUNTIF(Candidates!$A$2:$A$2000,$A1305))</f>
        <v/>
      </c>
      <c r="V1305" s="64" t="str">
        <f>IFERROR(__xludf.DUMMYFUNCTION("IF($A1305="""","""",IFERROR(INDEX(FILTER(Candidates!$S$2:$S$2000,Candidates!$A$2:$A$2000=$A1305),COUNTIF(Candidates!$A$2:$A$2000,$A1305)),""""))"),"")</f>
        <v/>
      </c>
      <c r="W1305" s="64" t="str">
        <f>IFERROR(__xludf.DUMMYFUNCTION("IF($A1305="""","""",IFERROR(INDEX(FILTER(Candidates!$T$2:$T$2000,Candidates!$A$2:$A$2000=$A1305),COUNTIF(Candidates!$A$2:$A$2000,$A1305)),""""))"),"")</f>
        <v/>
      </c>
      <c r="X1305" s="64"/>
      <c r="Y1305" s="64"/>
      <c r="Z1305" s="65"/>
      <c r="AA1305" s="65"/>
      <c r="AB1305" s="65"/>
      <c r="AC1305" s="65"/>
    </row>
    <row r="1306">
      <c r="A1306" s="64"/>
      <c r="B1306" s="64"/>
      <c r="C1306" s="64"/>
      <c r="D1306" s="64"/>
      <c r="E1306" s="64"/>
      <c r="F1306" s="64"/>
      <c r="G1306" s="64"/>
      <c r="H1306" s="63"/>
      <c r="I1306" s="64"/>
      <c r="J1306" s="64"/>
      <c r="K1306" s="64"/>
      <c r="L1306" s="64"/>
      <c r="M1306" s="64"/>
      <c r="N1306" s="64"/>
      <c r="O1306" s="64"/>
      <c r="P1306" s="64"/>
      <c r="Q1306" s="64"/>
      <c r="R1306" s="65" t="str">
        <f>IF($A1306="","",IFERROR(MINIFS(Candidates!$K$2:$K$2000,Candidates!$A$2:$A$2000,$A1306),""))</f>
        <v/>
      </c>
      <c r="S1306" s="65" t="str">
        <f>IF($A1306="","",IFERROR(MAXIFS(Candidates!$AA$2:$AA$2000,Candidates!$A$2:$A$2000,$A1306),""))</f>
        <v/>
      </c>
      <c r="T1306" s="64" t="str">
        <f>IFERROR(__xludf.DUMMYFUNCTION("IF($A1306="""","""",IFERROR(TEXTJOIN("", "",TRUE,UNIQUE(FILTER(Candidates!$B$2:$B$2000,Candidates!$A$2:$A$2000=$A1306))),""""))"),"")</f>
        <v/>
      </c>
      <c r="U1306" s="66" t="str">
        <f>IF($A1306="","",COUNTIF(Candidates!$A$2:$A$2000,$A1306))</f>
        <v/>
      </c>
      <c r="V1306" s="64" t="str">
        <f>IFERROR(__xludf.DUMMYFUNCTION("IF($A1306="""","""",IFERROR(INDEX(FILTER(Candidates!$S$2:$S$2000,Candidates!$A$2:$A$2000=$A1306),COUNTIF(Candidates!$A$2:$A$2000,$A1306)),""""))"),"")</f>
        <v/>
      </c>
      <c r="W1306" s="64" t="str">
        <f>IFERROR(__xludf.DUMMYFUNCTION("IF($A1306="""","""",IFERROR(INDEX(FILTER(Candidates!$T$2:$T$2000,Candidates!$A$2:$A$2000=$A1306),COUNTIF(Candidates!$A$2:$A$2000,$A1306)),""""))"),"")</f>
        <v/>
      </c>
      <c r="X1306" s="64"/>
      <c r="Y1306" s="64"/>
      <c r="Z1306" s="65"/>
      <c r="AA1306" s="65"/>
      <c r="AB1306" s="65"/>
      <c r="AC1306" s="65"/>
    </row>
    <row r="1307">
      <c r="A1307" s="64"/>
      <c r="B1307" s="64"/>
      <c r="C1307" s="64"/>
      <c r="D1307" s="64"/>
      <c r="E1307" s="64"/>
      <c r="F1307" s="64"/>
      <c r="G1307" s="64"/>
      <c r="H1307" s="63"/>
      <c r="I1307" s="64"/>
      <c r="J1307" s="64"/>
      <c r="K1307" s="64"/>
      <c r="L1307" s="64"/>
      <c r="M1307" s="64"/>
      <c r="N1307" s="64"/>
      <c r="O1307" s="64"/>
      <c r="P1307" s="64"/>
      <c r="Q1307" s="64"/>
      <c r="R1307" s="65" t="str">
        <f>IF($A1307="","",IFERROR(MINIFS(Candidates!$K$2:$K$2000,Candidates!$A$2:$A$2000,$A1307),""))</f>
        <v/>
      </c>
      <c r="S1307" s="65" t="str">
        <f>IF($A1307="","",IFERROR(MAXIFS(Candidates!$AA$2:$AA$2000,Candidates!$A$2:$A$2000,$A1307),""))</f>
        <v/>
      </c>
      <c r="T1307" s="64" t="str">
        <f>IFERROR(__xludf.DUMMYFUNCTION("IF($A1307="""","""",IFERROR(TEXTJOIN("", "",TRUE,UNIQUE(FILTER(Candidates!$B$2:$B$2000,Candidates!$A$2:$A$2000=$A1307))),""""))"),"")</f>
        <v/>
      </c>
      <c r="U1307" s="66" t="str">
        <f>IF($A1307="","",COUNTIF(Candidates!$A$2:$A$2000,$A1307))</f>
        <v/>
      </c>
      <c r="V1307" s="64" t="str">
        <f>IFERROR(__xludf.DUMMYFUNCTION("IF($A1307="""","""",IFERROR(INDEX(FILTER(Candidates!$S$2:$S$2000,Candidates!$A$2:$A$2000=$A1307),COUNTIF(Candidates!$A$2:$A$2000,$A1307)),""""))"),"")</f>
        <v/>
      </c>
      <c r="W1307" s="64" t="str">
        <f>IFERROR(__xludf.DUMMYFUNCTION("IF($A1307="""","""",IFERROR(INDEX(FILTER(Candidates!$T$2:$T$2000,Candidates!$A$2:$A$2000=$A1307),COUNTIF(Candidates!$A$2:$A$2000,$A1307)),""""))"),"")</f>
        <v/>
      </c>
      <c r="X1307" s="64"/>
      <c r="Y1307" s="64"/>
      <c r="Z1307" s="65"/>
      <c r="AA1307" s="65"/>
      <c r="AB1307" s="65"/>
      <c r="AC1307" s="65"/>
    </row>
    <row r="1308">
      <c r="A1308" s="64"/>
      <c r="B1308" s="64"/>
      <c r="C1308" s="64"/>
      <c r="D1308" s="64"/>
      <c r="E1308" s="64"/>
      <c r="F1308" s="64"/>
      <c r="G1308" s="64"/>
      <c r="H1308" s="63"/>
      <c r="I1308" s="64"/>
      <c r="J1308" s="64"/>
      <c r="K1308" s="64"/>
      <c r="L1308" s="64"/>
      <c r="M1308" s="64"/>
      <c r="N1308" s="64"/>
      <c r="O1308" s="64"/>
      <c r="P1308" s="64"/>
      <c r="Q1308" s="64"/>
      <c r="R1308" s="65" t="str">
        <f>IF($A1308="","",IFERROR(MINIFS(Candidates!$K$2:$K$2000,Candidates!$A$2:$A$2000,$A1308),""))</f>
        <v/>
      </c>
      <c r="S1308" s="65" t="str">
        <f>IF($A1308="","",IFERROR(MAXIFS(Candidates!$AA$2:$AA$2000,Candidates!$A$2:$A$2000,$A1308),""))</f>
        <v/>
      </c>
      <c r="T1308" s="64" t="str">
        <f>IFERROR(__xludf.DUMMYFUNCTION("IF($A1308="""","""",IFERROR(TEXTJOIN("", "",TRUE,UNIQUE(FILTER(Candidates!$B$2:$B$2000,Candidates!$A$2:$A$2000=$A1308))),""""))"),"")</f>
        <v/>
      </c>
      <c r="U1308" s="66" t="str">
        <f>IF($A1308="","",COUNTIF(Candidates!$A$2:$A$2000,$A1308))</f>
        <v/>
      </c>
      <c r="V1308" s="64" t="str">
        <f>IFERROR(__xludf.DUMMYFUNCTION("IF($A1308="""","""",IFERROR(INDEX(FILTER(Candidates!$S$2:$S$2000,Candidates!$A$2:$A$2000=$A1308),COUNTIF(Candidates!$A$2:$A$2000,$A1308)),""""))"),"")</f>
        <v/>
      </c>
      <c r="W1308" s="64" t="str">
        <f>IFERROR(__xludf.DUMMYFUNCTION("IF($A1308="""","""",IFERROR(INDEX(FILTER(Candidates!$T$2:$T$2000,Candidates!$A$2:$A$2000=$A1308),COUNTIF(Candidates!$A$2:$A$2000,$A1308)),""""))"),"")</f>
        <v/>
      </c>
      <c r="X1308" s="64"/>
      <c r="Y1308" s="64"/>
      <c r="Z1308" s="65"/>
      <c r="AA1308" s="65"/>
      <c r="AB1308" s="65"/>
      <c r="AC1308" s="65"/>
    </row>
    <row r="1309">
      <c r="A1309" s="64"/>
      <c r="B1309" s="64"/>
      <c r="C1309" s="64"/>
      <c r="D1309" s="64"/>
      <c r="E1309" s="64"/>
      <c r="F1309" s="64"/>
      <c r="G1309" s="64"/>
      <c r="H1309" s="63"/>
      <c r="I1309" s="64"/>
      <c r="J1309" s="64"/>
      <c r="K1309" s="64"/>
      <c r="L1309" s="64"/>
      <c r="M1309" s="64"/>
      <c r="N1309" s="64"/>
      <c r="O1309" s="64"/>
      <c r="P1309" s="64"/>
      <c r="Q1309" s="64"/>
      <c r="R1309" s="65" t="str">
        <f>IF($A1309="","",IFERROR(MINIFS(Candidates!$K$2:$K$2000,Candidates!$A$2:$A$2000,$A1309),""))</f>
        <v/>
      </c>
      <c r="S1309" s="65" t="str">
        <f>IF($A1309="","",IFERROR(MAXIFS(Candidates!$AA$2:$AA$2000,Candidates!$A$2:$A$2000,$A1309),""))</f>
        <v/>
      </c>
      <c r="T1309" s="64" t="str">
        <f>IFERROR(__xludf.DUMMYFUNCTION("IF($A1309="""","""",IFERROR(TEXTJOIN("", "",TRUE,UNIQUE(FILTER(Candidates!$B$2:$B$2000,Candidates!$A$2:$A$2000=$A1309))),""""))"),"")</f>
        <v/>
      </c>
      <c r="U1309" s="66" t="str">
        <f>IF($A1309="","",COUNTIF(Candidates!$A$2:$A$2000,$A1309))</f>
        <v/>
      </c>
      <c r="V1309" s="64" t="str">
        <f>IFERROR(__xludf.DUMMYFUNCTION("IF($A1309="""","""",IFERROR(INDEX(FILTER(Candidates!$S$2:$S$2000,Candidates!$A$2:$A$2000=$A1309),COUNTIF(Candidates!$A$2:$A$2000,$A1309)),""""))"),"")</f>
        <v/>
      </c>
      <c r="W1309" s="64" t="str">
        <f>IFERROR(__xludf.DUMMYFUNCTION("IF($A1309="""","""",IFERROR(INDEX(FILTER(Candidates!$T$2:$T$2000,Candidates!$A$2:$A$2000=$A1309),COUNTIF(Candidates!$A$2:$A$2000,$A1309)),""""))"),"")</f>
        <v/>
      </c>
      <c r="X1309" s="64"/>
      <c r="Y1309" s="64"/>
      <c r="Z1309" s="65"/>
      <c r="AA1309" s="65"/>
      <c r="AB1309" s="65"/>
      <c r="AC1309" s="65"/>
    </row>
    <row r="1310">
      <c r="A1310" s="64"/>
      <c r="B1310" s="64"/>
      <c r="C1310" s="64"/>
      <c r="D1310" s="64"/>
      <c r="E1310" s="64"/>
      <c r="F1310" s="64"/>
      <c r="G1310" s="64"/>
      <c r="H1310" s="63"/>
      <c r="I1310" s="64"/>
      <c r="J1310" s="64"/>
      <c r="K1310" s="64"/>
      <c r="L1310" s="64"/>
      <c r="M1310" s="64"/>
      <c r="N1310" s="64"/>
      <c r="O1310" s="64"/>
      <c r="P1310" s="64"/>
      <c r="Q1310" s="64"/>
      <c r="R1310" s="65" t="str">
        <f>IF($A1310="","",IFERROR(MINIFS(Candidates!$K$2:$K$2000,Candidates!$A$2:$A$2000,$A1310),""))</f>
        <v/>
      </c>
      <c r="S1310" s="65" t="str">
        <f>IF($A1310="","",IFERROR(MAXIFS(Candidates!$AA$2:$AA$2000,Candidates!$A$2:$A$2000,$A1310),""))</f>
        <v/>
      </c>
      <c r="T1310" s="64" t="str">
        <f>IFERROR(__xludf.DUMMYFUNCTION("IF($A1310="""","""",IFERROR(TEXTJOIN("", "",TRUE,UNIQUE(FILTER(Candidates!$B$2:$B$2000,Candidates!$A$2:$A$2000=$A1310))),""""))"),"")</f>
        <v/>
      </c>
      <c r="U1310" s="66" t="str">
        <f>IF($A1310="","",COUNTIF(Candidates!$A$2:$A$2000,$A1310))</f>
        <v/>
      </c>
      <c r="V1310" s="64" t="str">
        <f>IFERROR(__xludf.DUMMYFUNCTION("IF($A1310="""","""",IFERROR(INDEX(FILTER(Candidates!$S$2:$S$2000,Candidates!$A$2:$A$2000=$A1310),COUNTIF(Candidates!$A$2:$A$2000,$A1310)),""""))"),"")</f>
        <v/>
      </c>
      <c r="W1310" s="64" t="str">
        <f>IFERROR(__xludf.DUMMYFUNCTION("IF($A1310="""","""",IFERROR(INDEX(FILTER(Candidates!$T$2:$T$2000,Candidates!$A$2:$A$2000=$A1310),COUNTIF(Candidates!$A$2:$A$2000,$A1310)),""""))"),"")</f>
        <v/>
      </c>
      <c r="X1310" s="64"/>
      <c r="Y1310" s="64"/>
      <c r="Z1310" s="65"/>
      <c r="AA1310" s="65"/>
      <c r="AB1310" s="65"/>
      <c r="AC1310" s="65"/>
    </row>
    <row r="1311">
      <c r="A1311" s="64"/>
      <c r="B1311" s="64"/>
      <c r="C1311" s="64"/>
      <c r="D1311" s="64"/>
      <c r="E1311" s="64"/>
      <c r="F1311" s="64"/>
      <c r="G1311" s="64"/>
      <c r="H1311" s="63"/>
      <c r="I1311" s="64"/>
      <c r="J1311" s="64"/>
      <c r="K1311" s="64"/>
      <c r="L1311" s="64"/>
      <c r="M1311" s="64"/>
      <c r="N1311" s="64"/>
      <c r="O1311" s="64"/>
      <c r="P1311" s="64"/>
      <c r="Q1311" s="64"/>
      <c r="R1311" s="65" t="str">
        <f>IF($A1311="","",IFERROR(MINIFS(Candidates!$K$2:$K$2000,Candidates!$A$2:$A$2000,$A1311),""))</f>
        <v/>
      </c>
      <c r="S1311" s="65" t="str">
        <f>IF($A1311="","",IFERROR(MAXIFS(Candidates!$AA$2:$AA$2000,Candidates!$A$2:$A$2000,$A1311),""))</f>
        <v/>
      </c>
      <c r="T1311" s="64" t="str">
        <f>IFERROR(__xludf.DUMMYFUNCTION("IF($A1311="""","""",IFERROR(TEXTJOIN("", "",TRUE,UNIQUE(FILTER(Candidates!$B$2:$B$2000,Candidates!$A$2:$A$2000=$A1311))),""""))"),"")</f>
        <v/>
      </c>
      <c r="U1311" s="66" t="str">
        <f>IF($A1311="","",COUNTIF(Candidates!$A$2:$A$2000,$A1311))</f>
        <v/>
      </c>
      <c r="V1311" s="64" t="str">
        <f>IFERROR(__xludf.DUMMYFUNCTION("IF($A1311="""","""",IFERROR(INDEX(FILTER(Candidates!$S$2:$S$2000,Candidates!$A$2:$A$2000=$A1311),COUNTIF(Candidates!$A$2:$A$2000,$A1311)),""""))"),"")</f>
        <v/>
      </c>
      <c r="W1311" s="64" t="str">
        <f>IFERROR(__xludf.DUMMYFUNCTION("IF($A1311="""","""",IFERROR(INDEX(FILTER(Candidates!$T$2:$T$2000,Candidates!$A$2:$A$2000=$A1311),COUNTIF(Candidates!$A$2:$A$2000,$A1311)),""""))"),"")</f>
        <v/>
      </c>
      <c r="X1311" s="64"/>
      <c r="Y1311" s="64"/>
      <c r="Z1311" s="65"/>
      <c r="AA1311" s="65"/>
      <c r="AB1311" s="65"/>
      <c r="AC1311" s="65"/>
    </row>
    <row r="1312">
      <c r="A1312" s="64"/>
      <c r="B1312" s="64"/>
      <c r="C1312" s="64"/>
      <c r="D1312" s="64"/>
      <c r="E1312" s="64"/>
      <c r="F1312" s="64"/>
      <c r="G1312" s="64"/>
      <c r="H1312" s="63"/>
      <c r="I1312" s="64"/>
      <c r="J1312" s="64"/>
      <c r="K1312" s="64"/>
      <c r="L1312" s="64"/>
      <c r="M1312" s="64"/>
      <c r="N1312" s="64"/>
      <c r="O1312" s="64"/>
      <c r="P1312" s="64"/>
      <c r="Q1312" s="64"/>
      <c r="R1312" s="65" t="str">
        <f>IF($A1312="","",IFERROR(MINIFS(Candidates!$K$2:$K$2000,Candidates!$A$2:$A$2000,$A1312),""))</f>
        <v/>
      </c>
      <c r="S1312" s="65" t="str">
        <f>IF($A1312="","",IFERROR(MAXIFS(Candidates!$AA$2:$AA$2000,Candidates!$A$2:$A$2000,$A1312),""))</f>
        <v/>
      </c>
      <c r="T1312" s="64" t="str">
        <f>IFERROR(__xludf.DUMMYFUNCTION("IF($A1312="""","""",IFERROR(TEXTJOIN("", "",TRUE,UNIQUE(FILTER(Candidates!$B$2:$B$2000,Candidates!$A$2:$A$2000=$A1312))),""""))"),"")</f>
        <v/>
      </c>
      <c r="U1312" s="66" t="str">
        <f>IF($A1312="","",COUNTIF(Candidates!$A$2:$A$2000,$A1312))</f>
        <v/>
      </c>
      <c r="V1312" s="64" t="str">
        <f>IFERROR(__xludf.DUMMYFUNCTION("IF($A1312="""","""",IFERROR(INDEX(FILTER(Candidates!$S$2:$S$2000,Candidates!$A$2:$A$2000=$A1312),COUNTIF(Candidates!$A$2:$A$2000,$A1312)),""""))"),"")</f>
        <v/>
      </c>
      <c r="W1312" s="64" t="str">
        <f>IFERROR(__xludf.DUMMYFUNCTION("IF($A1312="""","""",IFERROR(INDEX(FILTER(Candidates!$T$2:$T$2000,Candidates!$A$2:$A$2000=$A1312),COUNTIF(Candidates!$A$2:$A$2000,$A1312)),""""))"),"")</f>
        <v/>
      </c>
      <c r="X1312" s="64"/>
      <c r="Y1312" s="64"/>
      <c r="Z1312" s="65"/>
      <c r="AA1312" s="65"/>
      <c r="AB1312" s="65"/>
      <c r="AC1312" s="65"/>
    </row>
    <row r="1313">
      <c r="A1313" s="64"/>
      <c r="B1313" s="64"/>
      <c r="C1313" s="64"/>
      <c r="D1313" s="64"/>
      <c r="E1313" s="64"/>
      <c r="F1313" s="64"/>
      <c r="G1313" s="64"/>
      <c r="H1313" s="63"/>
      <c r="I1313" s="64"/>
      <c r="J1313" s="64"/>
      <c r="K1313" s="64"/>
      <c r="L1313" s="64"/>
      <c r="M1313" s="64"/>
      <c r="N1313" s="64"/>
      <c r="O1313" s="64"/>
      <c r="P1313" s="64"/>
      <c r="Q1313" s="64"/>
      <c r="R1313" s="65" t="str">
        <f>IF($A1313="","",IFERROR(MINIFS(Candidates!$K$2:$K$2000,Candidates!$A$2:$A$2000,$A1313),""))</f>
        <v/>
      </c>
      <c r="S1313" s="65" t="str">
        <f>IF($A1313="","",IFERROR(MAXIFS(Candidates!$AA$2:$AA$2000,Candidates!$A$2:$A$2000,$A1313),""))</f>
        <v/>
      </c>
      <c r="T1313" s="64" t="str">
        <f>IFERROR(__xludf.DUMMYFUNCTION("IF($A1313="""","""",IFERROR(TEXTJOIN("", "",TRUE,UNIQUE(FILTER(Candidates!$B$2:$B$2000,Candidates!$A$2:$A$2000=$A1313))),""""))"),"")</f>
        <v/>
      </c>
      <c r="U1313" s="66" t="str">
        <f>IF($A1313="","",COUNTIF(Candidates!$A$2:$A$2000,$A1313))</f>
        <v/>
      </c>
      <c r="V1313" s="64" t="str">
        <f>IFERROR(__xludf.DUMMYFUNCTION("IF($A1313="""","""",IFERROR(INDEX(FILTER(Candidates!$S$2:$S$2000,Candidates!$A$2:$A$2000=$A1313),COUNTIF(Candidates!$A$2:$A$2000,$A1313)),""""))"),"")</f>
        <v/>
      </c>
      <c r="W1313" s="64" t="str">
        <f>IFERROR(__xludf.DUMMYFUNCTION("IF($A1313="""","""",IFERROR(INDEX(FILTER(Candidates!$T$2:$T$2000,Candidates!$A$2:$A$2000=$A1313),COUNTIF(Candidates!$A$2:$A$2000,$A1313)),""""))"),"")</f>
        <v/>
      </c>
      <c r="X1313" s="64"/>
      <c r="Y1313" s="64"/>
      <c r="Z1313" s="65"/>
      <c r="AA1313" s="65"/>
      <c r="AB1313" s="65"/>
      <c r="AC1313" s="65"/>
    </row>
    <row r="1314">
      <c r="A1314" s="64"/>
      <c r="B1314" s="64"/>
      <c r="C1314" s="64"/>
      <c r="D1314" s="64"/>
      <c r="E1314" s="64"/>
      <c r="F1314" s="64"/>
      <c r="G1314" s="64"/>
      <c r="H1314" s="63"/>
      <c r="I1314" s="64"/>
      <c r="J1314" s="64"/>
      <c r="K1314" s="64"/>
      <c r="L1314" s="64"/>
      <c r="M1314" s="64"/>
      <c r="N1314" s="64"/>
      <c r="O1314" s="64"/>
      <c r="P1314" s="64"/>
      <c r="Q1314" s="64"/>
      <c r="R1314" s="65" t="str">
        <f>IF($A1314="","",IFERROR(MINIFS(Candidates!$K$2:$K$2000,Candidates!$A$2:$A$2000,$A1314),""))</f>
        <v/>
      </c>
      <c r="S1314" s="65" t="str">
        <f>IF($A1314="","",IFERROR(MAXIFS(Candidates!$AA$2:$AA$2000,Candidates!$A$2:$A$2000,$A1314),""))</f>
        <v/>
      </c>
      <c r="T1314" s="64" t="str">
        <f>IFERROR(__xludf.DUMMYFUNCTION("IF($A1314="""","""",IFERROR(TEXTJOIN("", "",TRUE,UNIQUE(FILTER(Candidates!$B$2:$B$2000,Candidates!$A$2:$A$2000=$A1314))),""""))"),"")</f>
        <v/>
      </c>
      <c r="U1314" s="66" t="str">
        <f>IF($A1314="","",COUNTIF(Candidates!$A$2:$A$2000,$A1314))</f>
        <v/>
      </c>
      <c r="V1314" s="64" t="str">
        <f>IFERROR(__xludf.DUMMYFUNCTION("IF($A1314="""","""",IFERROR(INDEX(FILTER(Candidates!$S$2:$S$2000,Candidates!$A$2:$A$2000=$A1314),COUNTIF(Candidates!$A$2:$A$2000,$A1314)),""""))"),"")</f>
        <v/>
      </c>
      <c r="W1314" s="64" t="str">
        <f>IFERROR(__xludf.DUMMYFUNCTION("IF($A1314="""","""",IFERROR(INDEX(FILTER(Candidates!$T$2:$T$2000,Candidates!$A$2:$A$2000=$A1314),COUNTIF(Candidates!$A$2:$A$2000,$A1314)),""""))"),"")</f>
        <v/>
      </c>
      <c r="X1314" s="64"/>
      <c r="Y1314" s="64"/>
      <c r="Z1314" s="65"/>
      <c r="AA1314" s="65"/>
      <c r="AB1314" s="65"/>
      <c r="AC1314" s="65"/>
    </row>
    <row r="1315">
      <c r="A1315" s="64"/>
      <c r="B1315" s="64"/>
      <c r="C1315" s="64"/>
      <c r="D1315" s="64"/>
      <c r="E1315" s="64"/>
      <c r="F1315" s="64"/>
      <c r="G1315" s="64"/>
      <c r="H1315" s="63"/>
      <c r="I1315" s="64"/>
      <c r="J1315" s="64"/>
      <c r="K1315" s="64"/>
      <c r="L1315" s="64"/>
      <c r="M1315" s="64"/>
      <c r="N1315" s="64"/>
      <c r="O1315" s="64"/>
      <c r="P1315" s="64"/>
      <c r="Q1315" s="64"/>
      <c r="R1315" s="65" t="str">
        <f>IF($A1315="","",IFERROR(MINIFS(Candidates!$K$2:$K$2000,Candidates!$A$2:$A$2000,$A1315),""))</f>
        <v/>
      </c>
      <c r="S1315" s="65" t="str">
        <f>IF($A1315="","",IFERROR(MAXIFS(Candidates!$AA$2:$AA$2000,Candidates!$A$2:$A$2000,$A1315),""))</f>
        <v/>
      </c>
      <c r="T1315" s="64" t="str">
        <f>IFERROR(__xludf.DUMMYFUNCTION("IF($A1315="""","""",IFERROR(TEXTJOIN("", "",TRUE,UNIQUE(FILTER(Candidates!$B$2:$B$2000,Candidates!$A$2:$A$2000=$A1315))),""""))"),"")</f>
        <v/>
      </c>
      <c r="U1315" s="66" t="str">
        <f>IF($A1315="","",COUNTIF(Candidates!$A$2:$A$2000,$A1315))</f>
        <v/>
      </c>
      <c r="V1315" s="64" t="str">
        <f>IFERROR(__xludf.DUMMYFUNCTION("IF($A1315="""","""",IFERROR(INDEX(FILTER(Candidates!$S$2:$S$2000,Candidates!$A$2:$A$2000=$A1315),COUNTIF(Candidates!$A$2:$A$2000,$A1315)),""""))"),"")</f>
        <v/>
      </c>
      <c r="W1315" s="64" t="str">
        <f>IFERROR(__xludf.DUMMYFUNCTION("IF($A1315="""","""",IFERROR(INDEX(FILTER(Candidates!$T$2:$T$2000,Candidates!$A$2:$A$2000=$A1315),COUNTIF(Candidates!$A$2:$A$2000,$A1315)),""""))"),"")</f>
        <v/>
      </c>
      <c r="X1315" s="64"/>
      <c r="Y1315" s="64"/>
      <c r="Z1315" s="65"/>
      <c r="AA1315" s="65"/>
      <c r="AB1315" s="65"/>
      <c r="AC1315" s="65"/>
    </row>
    <row r="1316">
      <c r="A1316" s="64"/>
      <c r="B1316" s="64"/>
      <c r="C1316" s="64"/>
      <c r="D1316" s="64"/>
      <c r="E1316" s="64"/>
      <c r="F1316" s="64"/>
      <c r="G1316" s="64"/>
      <c r="H1316" s="63"/>
      <c r="I1316" s="64"/>
      <c r="J1316" s="64"/>
      <c r="K1316" s="64"/>
      <c r="L1316" s="64"/>
      <c r="M1316" s="64"/>
      <c r="N1316" s="64"/>
      <c r="O1316" s="64"/>
      <c r="P1316" s="64"/>
      <c r="Q1316" s="64"/>
      <c r="R1316" s="65" t="str">
        <f>IF($A1316="","",IFERROR(MINIFS(Candidates!$K$2:$K$2000,Candidates!$A$2:$A$2000,$A1316),""))</f>
        <v/>
      </c>
      <c r="S1316" s="65" t="str">
        <f>IF($A1316="","",IFERROR(MAXIFS(Candidates!$AA$2:$AA$2000,Candidates!$A$2:$A$2000,$A1316),""))</f>
        <v/>
      </c>
      <c r="T1316" s="64" t="str">
        <f>IFERROR(__xludf.DUMMYFUNCTION("IF($A1316="""","""",IFERROR(TEXTJOIN("", "",TRUE,UNIQUE(FILTER(Candidates!$B$2:$B$2000,Candidates!$A$2:$A$2000=$A1316))),""""))"),"")</f>
        <v/>
      </c>
      <c r="U1316" s="66" t="str">
        <f>IF($A1316="","",COUNTIF(Candidates!$A$2:$A$2000,$A1316))</f>
        <v/>
      </c>
      <c r="V1316" s="64" t="str">
        <f>IFERROR(__xludf.DUMMYFUNCTION("IF($A1316="""","""",IFERROR(INDEX(FILTER(Candidates!$S$2:$S$2000,Candidates!$A$2:$A$2000=$A1316),COUNTIF(Candidates!$A$2:$A$2000,$A1316)),""""))"),"")</f>
        <v/>
      </c>
      <c r="W1316" s="64" t="str">
        <f>IFERROR(__xludf.DUMMYFUNCTION("IF($A1316="""","""",IFERROR(INDEX(FILTER(Candidates!$T$2:$T$2000,Candidates!$A$2:$A$2000=$A1316),COUNTIF(Candidates!$A$2:$A$2000,$A1316)),""""))"),"")</f>
        <v/>
      </c>
      <c r="X1316" s="64"/>
      <c r="Y1316" s="64"/>
      <c r="Z1316" s="65"/>
      <c r="AA1316" s="65"/>
      <c r="AB1316" s="65"/>
      <c r="AC1316" s="65"/>
    </row>
    <row r="1317">
      <c r="A1317" s="64"/>
      <c r="B1317" s="64"/>
      <c r="C1317" s="64"/>
      <c r="D1317" s="64"/>
      <c r="E1317" s="64"/>
      <c r="F1317" s="64"/>
      <c r="G1317" s="64"/>
      <c r="H1317" s="63"/>
      <c r="I1317" s="64"/>
      <c r="J1317" s="64"/>
      <c r="K1317" s="64"/>
      <c r="L1317" s="64"/>
      <c r="M1317" s="64"/>
      <c r="N1317" s="64"/>
      <c r="O1317" s="64"/>
      <c r="P1317" s="64"/>
      <c r="Q1317" s="64"/>
      <c r="R1317" s="65" t="str">
        <f>IF($A1317="","",IFERROR(MINIFS(Candidates!$K$2:$K$2000,Candidates!$A$2:$A$2000,$A1317),""))</f>
        <v/>
      </c>
      <c r="S1317" s="65" t="str">
        <f>IF($A1317="","",IFERROR(MAXIFS(Candidates!$AA$2:$AA$2000,Candidates!$A$2:$A$2000,$A1317),""))</f>
        <v/>
      </c>
      <c r="T1317" s="64" t="str">
        <f>IFERROR(__xludf.DUMMYFUNCTION("IF($A1317="""","""",IFERROR(TEXTJOIN("", "",TRUE,UNIQUE(FILTER(Candidates!$B$2:$B$2000,Candidates!$A$2:$A$2000=$A1317))),""""))"),"")</f>
        <v/>
      </c>
      <c r="U1317" s="66" t="str">
        <f>IF($A1317="","",COUNTIF(Candidates!$A$2:$A$2000,$A1317))</f>
        <v/>
      </c>
      <c r="V1317" s="64" t="str">
        <f>IFERROR(__xludf.DUMMYFUNCTION("IF($A1317="""","""",IFERROR(INDEX(FILTER(Candidates!$S$2:$S$2000,Candidates!$A$2:$A$2000=$A1317),COUNTIF(Candidates!$A$2:$A$2000,$A1317)),""""))"),"")</f>
        <v/>
      </c>
      <c r="W1317" s="64" t="str">
        <f>IFERROR(__xludf.DUMMYFUNCTION("IF($A1317="""","""",IFERROR(INDEX(FILTER(Candidates!$T$2:$T$2000,Candidates!$A$2:$A$2000=$A1317),COUNTIF(Candidates!$A$2:$A$2000,$A1317)),""""))"),"")</f>
        <v/>
      </c>
      <c r="X1317" s="64"/>
      <c r="Y1317" s="64"/>
      <c r="Z1317" s="65"/>
      <c r="AA1317" s="65"/>
      <c r="AB1317" s="65"/>
      <c r="AC1317" s="65"/>
    </row>
    <row r="1318">
      <c r="A1318" s="64"/>
      <c r="B1318" s="64"/>
      <c r="C1318" s="64"/>
      <c r="D1318" s="64"/>
      <c r="E1318" s="64"/>
      <c r="F1318" s="64"/>
      <c r="G1318" s="64"/>
      <c r="H1318" s="63"/>
      <c r="I1318" s="64"/>
      <c r="J1318" s="64"/>
      <c r="K1318" s="64"/>
      <c r="L1318" s="64"/>
      <c r="M1318" s="64"/>
      <c r="N1318" s="64"/>
      <c r="O1318" s="64"/>
      <c r="P1318" s="64"/>
      <c r="Q1318" s="64"/>
      <c r="R1318" s="65" t="str">
        <f>IF($A1318="","",IFERROR(MINIFS(Candidates!$K$2:$K$2000,Candidates!$A$2:$A$2000,$A1318),""))</f>
        <v/>
      </c>
      <c r="S1318" s="65" t="str">
        <f>IF($A1318="","",IFERROR(MAXIFS(Candidates!$AA$2:$AA$2000,Candidates!$A$2:$A$2000,$A1318),""))</f>
        <v/>
      </c>
      <c r="T1318" s="64" t="str">
        <f>IFERROR(__xludf.DUMMYFUNCTION("IF($A1318="""","""",IFERROR(TEXTJOIN("", "",TRUE,UNIQUE(FILTER(Candidates!$B$2:$B$2000,Candidates!$A$2:$A$2000=$A1318))),""""))"),"")</f>
        <v/>
      </c>
      <c r="U1318" s="66" t="str">
        <f>IF($A1318="","",COUNTIF(Candidates!$A$2:$A$2000,$A1318))</f>
        <v/>
      </c>
      <c r="V1318" s="64" t="str">
        <f>IFERROR(__xludf.DUMMYFUNCTION("IF($A1318="""","""",IFERROR(INDEX(FILTER(Candidates!$S$2:$S$2000,Candidates!$A$2:$A$2000=$A1318),COUNTIF(Candidates!$A$2:$A$2000,$A1318)),""""))"),"")</f>
        <v/>
      </c>
      <c r="W1318" s="64" t="str">
        <f>IFERROR(__xludf.DUMMYFUNCTION("IF($A1318="""","""",IFERROR(INDEX(FILTER(Candidates!$T$2:$T$2000,Candidates!$A$2:$A$2000=$A1318),COUNTIF(Candidates!$A$2:$A$2000,$A1318)),""""))"),"")</f>
        <v/>
      </c>
      <c r="X1318" s="64"/>
      <c r="Y1318" s="64"/>
      <c r="Z1318" s="65"/>
      <c r="AA1318" s="65"/>
      <c r="AB1318" s="65"/>
      <c r="AC1318" s="65"/>
    </row>
    <row r="1319">
      <c r="A1319" s="64"/>
      <c r="B1319" s="64"/>
      <c r="C1319" s="64"/>
      <c r="D1319" s="64"/>
      <c r="E1319" s="64"/>
      <c r="F1319" s="64"/>
      <c r="G1319" s="64"/>
      <c r="H1319" s="63"/>
      <c r="I1319" s="64"/>
      <c r="J1319" s="64"/>
      <c r="K1319" s="64"/>
      <c r="L1319" s="64"/>
      <c r="M1319" s="64"/>
      <c r="N1319" s="64"/>
      <c r="O1319" s="64"/>
      <c r="P1319" s="64"/>
      <c r="Q1319" s="64"/>
      <c r="R1319" s="65" t="str">
        <f>IF($A1319="","",IFERROR(MINIFS(Candidates!$K$2:$K$2000,Candidates!$A$2:$A$2000,$A1319),""))</f>
        <v/>
      </c>
      <c r="S1319" s="65" t="str">
        <f>IF($A1319="","",IFERROR(MAXIFS(Candidates!$AA$2:$AA$2000,Candidates!$A$2:$A$2000,$A1319),""))</f>
        <v/>
      </c>
      <c r="T1319" s="64" t="str">
        <f>IFERROR(__xludf.DUMMYFUNCTION("IF($A1319="""","""",IFERROR(TEXTJOIN("", "",TRUE,UNIQUE(FILTER(Candidates!$B$2:$B$2000,Candidates!$A$2:$A$2000=$A1319))),""""))"),"")</f>
        <v/>
      </c>
      <c r="U1319" s="66" t="str">
        <f>IF($A1319="","",COUNTIF(Candidates!$A$2:$A$2000,$A1319))</f>
        <v/>
      </c>
      <c r="V1319" s="64" t="str">
        <f>IFERROR(__xludf.DUMMYFUNCTION("IF($A1319="""","""",IFERROR(INDEX(FILTER(Candidates!$S$2:$S$2000,Candidates!$A$2:$A$2000=$A1319),COUNTIF(Candidates!$A$2:$A$2000,$A1319)),""""))"),"")</f>
        <v/>
      </c>
      <c r="W1319" s="64" t="str">
        <f>IFERROR(__xludf.DUMMYFUNCTION("IF($A1319="""","""",IFERROR(INDEX(FILTER(Candidates!$T$2:$T$2000,Candidates!$A$2:$A$2000=$A1319),COUNTIF(Candidates!$A$2:$A$2000,$A1319)),""""))"),"")</f>
        <v/>
      </c>
      <c r="X1319" s="64"/>
      <c r="Y1319" s="64"/>
      <c r="Z1319" s="65"/>
      <c r="AA1319" s="65"/>
      <c r="AB1319" s="65"/>
      <c r="AC1319" s="65"/>
    </row>
    <row r="1320">
      <c r="A1320" s="64"/>
      <c r="B1320" s="64"/>
      <c r="C1320" s="64"/>
      <c r="D1320" s="64"/>
      <c r="E1320" s="64"/>
      <c r="F1320" s="64"/>
      <c r="G1320" s="64"/>
      <c r="H1320" s="63"/>
      <c r="I1320" s="64"/>
      <c r="J1320" s="64"/>
      <c r="K1320" s="64"/>
      <c r="L1320" s="64"/>
      <c r="M1320" s="64"/>
      <c r="N1320" s="64"/>
      <c r="O1320" s="64"/>
      <c r="P1320" s="64"/>
      <c r="Q1320" s="64"/>
      <c r="R1320" s="65" t="str">
        <f>IF($A1320="","",IFERROR(MINIFS(Candidates!$K$2:$K$2000,Candidates!$A$2:$A$2000,$A1320),""))</f>
        <v/>
      </c>
      <c r="S1320" s="65" t="str">
        <f>IF($A1320="","",IFERROR(MAXIFS(Candidates!$AA$2:$AA$2000,Candidates!$A$2:$A$2000,$A1320),""))</f>
        <v/>
      </c>
      <c r="T1320" s="64" t="str">
        <f>IFERROR(__xludf.DUMMYFUNCTION("IF($A1320="""","""",IFERROR(TEXTJOIN("", "",TRUE,UNIQUE(FILTER(Candidates!$B$2:$B$2000,Candidates!$A$2:$A$2000=$A1320))),""""))"),"")</f>
        <v/>
      </c>
      <c r="U1320" s="66" t="str">
        <f>IF($A1320="","",COUNTIF(Candidates!$A$2:$A$2000,$A1320))</f>
        <v/>
      </c>
      <c r="V1320" s="64" t="str">
        <f>IFERROR(__xludf.DUMMYFUNCTION("IF($A1320="""","""",IFERROR(INDEX(FILTER(Candidates!$S$2:$S$2000,Candidates!$A$2:$A$2000=$A1320),COUNTIF(Candidates!$A$2:$A$2000,$A1320)),""""))"),"")</f>
        <v/>
      </c>
      <c r="W1320" s="64" t="str">
        <f>IFERROR(__xludf.DUMMYFUNCTION("IF($A1320="""","""",IFERROR(INDEX(FILTER(Candidates!$T$2:$T$2000,Candidates!$A$2:$A$2000=$A1320),COUNTIF(Candidates!$A$2:$A$2000,$A1320)),""""))"),"")</f>
        <v/>
      </c>
      <c r="X1320" s="64"/>
      <c r="Y1320" s="64"/>
      <c r="Z1320" s="65"/>
      <c r="AA1320" s="65"/>
      <c r="AB1320" s="65"/>
      <c r="AC1320" s="65"/>
    </row>
    <row r="1321">
      <c r="A1321" s="64"/>
      <c r="B1321" s="64"/>
      <c r="C1321" s="64"/>
      <c r="D1321" s="64"/>
      <c r="E1321" s="64"/>
      <c r="F1321" s="64"/>
      <c r="G1321" s="64"/>
      <c r="H1321" s="63"/>
      <c r="I1321" s="64"/>
      <c r="J1321" s="64"/>
      <c r="K1321" s="64"/>
      <c r="L1321" s="64"/>
      <c r="M1321" s="64"/>
      <c r="N1321" s="64"/>
      <c r="O1321" s="64"/>
      <c r="P1321" s="64"/>
      <c r="Q1321" s="64"/>
      <c r="R1321" s="65" t="str">
        <f>IF($A1321="","",IFERROR(MINIFS(Candidates!$K$2:$K$2000,Candidates!$A$2:$A$2000,$A1321),""))</f>
        <v/>
      </c>
      <c r="S1321" s="65" t="str">
        <f>IF($A1321="","",IFERROR(MAXIFS(Candidates!$AA$2:$AA$2000,Candidates!$A$2:$A$2000,$A1321),""))</f>
        <v/>
      </c>
      <c r="T1321" s="64" t="str">
        <f>IFERROR(__xludf.DUMMYFUNCTION("IF($A1321="""","""",IFERROR(TEXTJOIN("", "",TRUE,UNIQUE(FILTER(Candidates!$B$2:$B$2000,Candidates!$A$2:$A$2000=$A1321))),""""))"),"")</f>
        <v/>
      </c>
      <c r="U1321" s="66" t="str">
        <f>IF($A1321="","",COUNTIF(Candidates!$A$2:$A$2000,$A1321))</f>
        <v/>
      </c>
      <c r="V1321" s="64" t="str">
        <f>IFERROR(__xludf.DUMMYFUNCTION("IF($A1321="""","""",IFERROR(INDEX(FILTER(Candidates!$S$2:$S$2000,Candidates!$A$2:$A$2000=$A1321),COUNTIF(Candidates!$A$2:$A$2000,$A1321)),""""))"),"")</f>
        <v/>
      </c>
      <c r="W1321" s="64" t="str">
        <f>IFERROR(__xludf.DUMMYFUNCTION("IF($A1321="""","""",IFERROR(INDEX(FILTER(Candidates!$T$2:$T$2000,Candidates!$A$2:$A$2000=$A1321),COUNTIF(Candidates!$A$2:$A$2000,$A1321)),""""))"),"")</f>
        <v/>
      </c>
      <c r="X1321" s="64"/>
      <c r="Y1321" s="64"/>
      <c r="Z1321" s="65"/>
      <c r="AA1321" s="65"/>
      <c r="AB1321" s="65"/>
      <c r="AC1321" s="65"/>
    </row>
    <row r="1322">
      <c r="A1322" s="64"/>
      <c r="B1322" s="64"/>
      <c r="C1322" s="64"/>
      <c r="D1322" s="64"/>
      <c r="E1322" s="64"/>
      <c r="F1322" s="64"/>
      <c r="G1322" s="64"/>
      <c r="H1322" s="63"/>
      <c r="I1322" s="64"/>
      <c r="J1322" s="64"/>
      <c r="K1322" s="64"/>
      <c r="L1322" s="64"/>
      <c r="M1322" s="64"/>
      <c r="N1322" s="64"/>
      <c r="O1322" s="64"/>
      <c r="P1322" s="64"/>
      <c r="Q1322" s="64"/>
      <c r="R1322" s="65" t="str">
        <f>IF($A1322="","",IFERROR(MINIFS(Candidates!$K$2:$K$2000,Candidates!$A$2:$A$2000,$A1322),""))</f>
        <v/>
      </c>
      <c r="S1322" s="65" t="str">
        <f>IF($A1322="","",IFERROR(MAXIFS(Candidates!$AA$2:$AA$2000,Candidates!$A$2:$A$2000,$A1322),""))</f>
        <v/>
      </c>
      <c r="T1322" s="64" t="str">
        <f>IFERROR(__xludf.DUMMYFUNCTION("IF($A1322="""","""",IFERROR(TEXTJOIN("", "",TRUE,UNIQUE(FILTER(Candidates!$B$2:$B$2000,Candidates!$A$2:$A$2000=$A1322))),""""))"),"")</f>
        <v/>
      </c>
      <c r="U1322" s="66" t="str">
        <f>IF($A1322="","",COUNTIF(Candidates!$A$2:$A$2000,$A1322))</f>
        <v/>
      </c>
      <c r="V1322" s="64" t="str">
        <f>IFERROR(__xludf.DUMMYFUNCTION("IF($A1322="""","""",IFERROR(INDEX(FILTER(Candidates!$S$2:$S$2000,Candidates!$A$2:$A$2000=$A1322),COUNTIF(Candidates!$A$2:$A$2000,$A1322)),""""))"),"")</f>
        <v/>
      </c>
      <c r="W1322" s="64" t="str">
        <f>IFERROR(__xludf.DUMMYFUNCTION("IF($A1322="""","""",IFERROR(INDEX(FILTER(Candidates!$T$2:$T$2000,Candidates!$A$2:$A$2000=$A1322),COUNTIF(Candidates!$A$2:$A$2000,$A1322)),""""))"),"")</f>
        <v/>
      </c>
      <c r="X1322" s="64"/>
      <c r="Y1322" s="64"/>
      <c r="Z1322" s="65"/>
      <c r="AA1322" s="65"/>
      <c r="AB1322" s="65"/>
      <c r="AC1322" s="65"/>
    </row>
    <row r="1323">
      <c r="A1323" s="64"/>
      <c r="B1323" s="64"/>
      <c r="C1323" s="64"/>
      <c r="D1323" s="64"/>
      <c r="E1323" s="64"/>
      <c r="F1323" s="64"/>
      <c r="G1323" s="64"/>
      <c r="H1323" s="63"/>
      <c r="I1323" s="64"/>
      <c r="J1323" s="64"/>
      <c r="K1323" s="64"/>
      <c r="L1323" s="64"/>
      <c r="M1323" s="64"/>
      <c r="N1323" s="64"/>
      <c r="O1323" s="64"/>
      <c r="P1323" s="64"/>
      <c r="Q1323" s="64"/>
      <c r="R1323" s="65" t="str">
        <f>IF($A1323="","",IFERROR(MINIFS(Candidates!$K$2:$K$2000,Candidates!$A$2:$A$2000,$A1323),""))</f>
        <v/>
      </c>
      <c r="S1323" s="65" t="str">
        <f>IF($A1323="","",IFERROR(MAXIFS(Candidates!$AA$2:$AA$2000,Candidates!$A$2:$A$2000,$A1323),""))</f>
        <v/>
      </c>
      <c r="T1323" s="64" t="str">
        <f>IFERROR(__xludf.DUMMYFUNCTION("IF($A1323="""","""",IFERROR(TEXTJOIN("", "",TRUE,UNIQUE(FILTER(Candidates!$B$2:$B$2000,Candidates!$A$2:$A$2000=$A1323))),""""))"),"")</f>
        <v/>
      </c>
      <c r="U1323" s="66" t="str">
        <f>IF($A1323="","",COUNTIF(Candidates!$A$2:$A$2000,$A1323))</f>
        <v/>
      </c>
      <c r="V1323" s="64" t="str">
        <f>IFERROR(__xludf.DUMMYFUNCTION("IF($A1323="""","""",IFERROR(INDEX(FILTER(Candidates!$S$2:$S$2000,Candidates!$A$2:$A$2000=$A1323),COUNTIF(Candidates!$A$2:$A$2000,$A1323)),""""))"),"")</f>
        <v/>
      </c>
      <c r="W1323" s="64" t="str">
        <f>IFERROR(__xludf.DUMMYFUNCTION("IF($A1323="""","""",IFERROR(INDEX(FILTER(Candidates!$T$2:$T$2000,Candidates!$A$2:$A$2000=$A1323),COUNTIF(Candidates!$A$2:$A$2000,$A1323)),""""))"),"")</f>
        <v/>
      </c>
      <c r="X1323" s="64"/>
      <c r="Y1323" s="64"/>
      <c r="Z1323" s="65"/>
      <c r="AA1323" s="65"/>
      <c r="AB1323" s="65"/>
      <c r="AC1323" s="65"/>
    </row>
    <row r="1324">
      <c r="A1324" s="64"/>
      <c r="B1324" s="64"/>
      <c r="C1324" s="64"/>
      <c r="D1324" s="64"/>
      <c r="E1324" s="64"/>
      <c r="F1324" s="64"/>
      <c r="G1324" s="64"/>
      <c r="H1324" s="63"/>
      <c r="I1324" s="64"/>
      <c r="J1324" s="64"/>
      <c r="K1324" s="64"/>
      <c r="L1324" s="64"/>
      <c r="M1324" s="64"/>
      <c r="N1324" s="64"/>
      <c r="O1324" s="64"/>
      <c r="P1324" s="64"/>
      <c r="Q1324" s="64"/>
      <c r="R1324" s="65" t="str">
        <f>IF($A1324="","",IFERROR(MINIFS(Candidates!$K$2:$K$2000,Candidates!$A$2:$A$2000,$A1324),""))</f>
        <v/>
      </c>
      <c r="S1324" s="65" t="str">
        <f>IF($A1324="","",IFERROR(MAXIFS(Candidates!$AA$2:$AA$2000,Candidates!$A$2:$A$2000,$A1324),""))</f>
        <v/>
      </c>
      <c r="T1324" s="64" t="str">
        <f>IFERROR(__xludf.DUMMYFUNCTION("IF($A1324="""","""",IFERROR(TEXTJOIN("", "",TRUE,UNIQUE(FILTER(Candidates!$B$2:$B$2000,Candidates!$A$2:$A$2000=$A1324))),""""))"),"")</f>
        <v/>
      </c>
      <c r="U1324" s="66" t="str">
        <f>IF($A1324="","",COUNTIF(Candidates!$A$2:$A$2000,$A1324))</f>
        <v/>
      </c>
      <c r="V1324" s="64" t="str">
        <f>IFERROR(__xludf.DUMMYFUNCTION("IF($A1324="""","""",IFERROR(INDEX(FILTER(Candidates!$S$2:$S$2000,Candidates!$A$2:$A$2000=$A1324),COUNTIF(Candidates!$A$2:$A$2000,$A1324)),""""))"),"")</f>
        <v/>
      </c>
      <c r="W1324" s="64" t="str">
        <f>IFERROR(__xludf.DUMMYFUNCTION("IF($A1324="""","""",IFERROR(INDEX(FILTER(Candidates!$T$2:$T$2000,Candidates!$A$2:$A$2000=$A1324),COUNTIF(Candidates!$A$2:$A$2000,$A1324)),""""))"),"")</f>
        <v/>
      </c>
      <c r="X1324" s="64"/>
      <c r="Y1324" s="64"/>
      <c r="Z1324" s="65"/>
      <c r="AA1324" s="65"/>
      <c r="AB1324" s="65"/>
      <c r="AC1324" s="65"/>
    </row>
    <row r="1325">
      <c r="A1325" s="64"/>
      <c r="B1325" s="64"/>
      <c r="C1325" s="64"/>
      <c r="D1325" s="64"/>
      <c r="E1325" s="64"/>
      <c r="F1325" s="64"/>
      <c r="G1325" s="64"/>
      <c r="H1325" s="63"/>
      <c r="I1325" s="64"/>
      <c r="J1325" s="64"/>
      <c r="K1325" s="64"/>
      <c r="L1325" s="64"/>
      <c r="M1325" s="64"/>
      <c r="N1325" s="64"/>
      <c r="O1325" s="64"/>
      <c r="P1325" s="64"/>
      <c r="Q1325" s="64"/>
      <c r="R1325" s="65" t="str">
        <f>IF($A1325="","",IFERROR(MINIFS(Candidates!$K$2:$K$2000,Candidates!$A$2:$A$2000,$A1325),""))</f>
        <v/>
      </c>
      <c r="S1325" s="65" t="str">
        <f>IF($A1325="","",IFERROR(MAXIFS(Candidates!$AA$2:$AA$2000,Candidates!$A$2:$A$2000,$A1325),""))</f>
        <v/>
      </c>
      <c r="T1325" s="64" t="str">
        <f>IFERROR(__xludf.DUMMYFUNCTION("IF($A1325="""","""",IFERROR(TEXTJOIN("", "",TRUE,UNIQUE(FILTER(Candidates!$B$2:$B$2000,Candidates!$A$2:$A$2000=$A1325))),""""))"),"")</f>
        <v/>
      </c>
      <c r="U1325" s="66" t="str">
        <f>IF($A1325="","",COUNTIF(Candidates!$A$2:$A$2000,$A1325))</f>
        <v/>
      </c>
      <c r="V1325" s="64" t="str">
        <f>IFERROR(__xludf.DUMMYFUNCTION("IF($A1325="""","""",IFERROR(INDEX(FILTER(Candidates!$S$2:$S$2000,Candidates!$A$2:$A$2000=$A1325),COUNTIF(Candidates!$A$2:$A$2000,$A1325)),""""))"),"")</f>
        <v/>
      </c>
      <c r="W1325" s="64" t="str">
        <f>IFERROR(__xludf.DUMMYFUNCTION("IF($A1325="""","""",IFERROR(INDEX(FILTER(Candidates!$T$2:$T$2000,Candidates!$A$2:$A$2000=$A1325),COUNTIF(Candidates!$A$2:$A$2000,$A1325)),""""))"),"")</f>
        <v/>
      </c>
      <c r="X1325" s="64"/>
      <c r="Y1325" s="64"/>
      <c r="Z1325" s="65"/>
      <c r="AA1325" s="65"/>
      <c r="AB1325" s="65"/>
      <c r="AC1325" s="65"/>
    </row>
    <row r="1326">
      <c r="A1326" s="64"/>
      <c r="B1326" s="64"/>
      <c r="C1326" s="64"/>
      <c r="D1326" s="64"/>
      <c r="E1326" s="64"/>
      <c r="F1326" s="64"/>
      <c r="G1326" s="64"/>
      <c r="H1326" s="63"/>
      <c r="I1326" s="64"/>
      <c r="J1326" s="64"/>
      <c r="K1326" s="64"/>
      <c r="L1326" s="64"/>
      <c r="M1326" s="64"/>
      <c r="N1326" s="64"/>
      <c r="O1326" s="64"/>
      <c r="P1326" s="64"/>
      <c r="Q1326" s="64"/>
      <c r="R1326" s="65" t="str">
        <f>IF($A1326="","",IFERROR(MINIFS(Candidates!$K$2:$K$2000,Candidates!$A$2:$A$2000,$A1326),""))</f>
        <v/>
      </c>
      <c r="S1326" s="65" t="str">
        <f>IF($A1326="","",IFERROR(MAXIFS(Candidates!$AA$2:$AA$2000,Candidates!$A$2:$A$2000,$A1326),""))</f>
        <v/>
      </c>
      <c r="T1326" s="64" t="str">
        <f>IFERROR(__xludf.DUMMYFUNCTION("IF($A1326="""","""",IFERROR(TEXTJOIN("", "",TRUE,UNIQUE(FILTER(Candidates!$B$2:$B$2000,Candidates!$A$2:$A$2000=$A1326))),""""))"),"")</f>
        <v/>
      </c>
      <c r="U1326" s="66" t="str">
        <f>IF($A1326="","",COUNTIF(Candidates!$A$2:$A$2000,$A1326))</f>
        <v/>
      </c>
      <c r="V1326" s="64" t="str">
        <f>IFERROR(__xludf.DUMMYFUNCTION("IF($A1326="""","""",IFERROR(INDEX(FILTER(Candidates!$S$2:$S$2000,Candidates!$A$2:$A$2000=$A1326),COUNTIF(Candidates!$A$2:$A$2000,$A1326)),""""))"),"")</f>
        <v/>
      </c>
      <c r="W1326" s="64" t="str">
        <f>IFERROR(__xludf.DUMMYFUNCTION("IF($A1326="""","""",IFERROR(INDEX(FILTER(Candidates!$T$2:$T$2000,Candidates!$A$2:$A$2000=$A1326),COUNTIF(Candidates!$A$2:$A$2000,$A1326)),""""))"),"")</f>
        <v/>
      </c>
      <c r="X1326" s="64"/>
      <c r="Y1326" s="64"/>
      <c r="Z1326" s="65"/>
      <c r="AA1326" s="65"/>
      <c r="AB1326" s="65"/>
      <c r="AC1326" s="65"/>
    </row>
    <row r="1327">
      <c r="A1327" s="64"/>
      <c r="B1327" s="64"/>
      <c r="C1327" s="64"/>
      <c r="D1327" s="64"/>
      <c r="E1327" s="64"/>
      <c r="F1327" s="64"/>
      <c r="G1327" s="64"/>
      <c r="H1327" s="63"/>
      <c r="I1327" s="64"/>
      <c r="J1327" s="64"/>
      <c r="K1327" s="64"/>
      <c r="L1327" s="64"/>
      <c r="M1327" s="64"/>
      <c r="N1327" s="64"/>
      <c r="O1327" s="64"/>
      <c r="P1327" s="64"/>
      <c r="Q1327" s="64"/>
      <c r="R1327" s="65" t="str">
        <f>IF($A1327="","",IFERROR(MINIFS(Candidates!$K$2:$K$2000,Candidates!$A$2:$A$2000,$A1327),""))</f>
        <v/>
      </c>
      <c r="S1327" s="65" t="str">
        <f>IF($A1327="","",IFERROR(MAXIFS(Candidates!$AA$2:$AA$2000,Candidates!$A$2:$A$2000,$A1327),""))</f>
        <v/>
      </c>
      <c r="T1327" s="64" t="str">
        <f>IFERROR(__xludf.DUMMYFUNCTION("IF($A1327="""","""",IFERROR(TEXTJOIN("", "",TRUE,UNIQUE(FILTER(Candidates!$B$2:$B$2000,Candidates!$A$2:$A$2000=$A1327))),""""))"),"")</f>
        <v/>
      </c>
      <c r="U1327" s="66" t="str">
        <f>IF($A1327="","",COUNTIF(Candidates!$A$2:$A$2000,$A1327))</f>
        <v/>
      </c>
      <c r="V1327" s="64" t="str">
        <f>IFERROR(__xludf.DUMMYFUNCTION("IF($A1327="""","""",IFERROR(INDEX(FILTER(Candidates!$S$2:$S$2000,Candidates!$A$2:$A$2000=$A1327),COUNTIF(Candidates!$A$2:$A$2000,$A1327)),""""))"),"")</f>
        <v/>
      </c>
      <c r="W1327" s="64" t="str">
        <f>IFERROR(__xludf.DUMMYFUNCTION("IF($A1327="""","""",IFERROR(INDEX(FILTER(Candidates!$T$2:$T$2000,Candidates!$A$2:$A$2000=$A1327),COUNTIF(Candidates!$A$2:$A$2000,$A1327)),""""))"),"")</f>
        <v/>
      </c>
      <c r="X1327" s="64"/>
      <c r="Y1327" s="64"/>
      <c r="Z1327" s="65"/>
      <c r="AA1327" s="65"/>
      <c r="AB1327" s="65"/>
      <c r="AC1327" s="65"/>
    </row>
    <row r="1328">
      <c r="A1328" s="64"/>
      <c r="B1328" s="64"/>
      <c r="C1328" s="64"/>
      <c r="D1328" s="64"/>
      <c r="E1328" s="64"/>
      <c r="F1328" s="64"/>
      <c r="G1328" s="64"/>
      <c r="H1328" s="63"/>
      <c r="I1328" s="64"/>
      <c r="J1328" s="64"/>
      <c r="K1328" s="64"/>
      <c r="L1328" s="64"/>
      <c r="M1328" s="64"/>
      <c r="N1328" s="64"/>
      <c r="O1328" s="64"/>
      <c r="P1328" s="64"/>
      <c r="Q1328" s="64"/>
      <c r="R1328" s="65" t="str">
        <f>IF($A1328="","",IFERROR(MINIFS(Candidates!$K$2:$K$2000,Candidates!$A$2:$A$2000,$A1328),""))</f>
        <v/>
      </c>
      <c r="S1328" s="65" t="str">
        <f>IF($A1328="","",IFERROR(MAXIFS(Candidates!$AA$2:$AA$2000,Candidates!$A$2:$A$2000,$A1328),""))</f>
        <v/>
      </c>
      <c r="T1328" s="64" t="str">
        <f>IFERROR(__xludf.DUMMYFUNCTION("IF($A1328="""","""",IFERROR(TEXTJOIN("", "",TRUE,UNIQUE(FILTER(Candidates!$B$2:$B$2000,Candidates!$A$2:$A$2000=$A1328))),""""))"),"")</f>
        <v/>
      </c>
      <c r="U1328" s="66" t="str">
        <f>IF($A1328="","",COUNTIF(Candidates!$A$2:$A$2000,$A1328))</f>
        <v/>
      </c>
      <c r="V1328" s="64" t="str">
        <f>IFERROR(__xludf.DUMMYFUNCTION("IF($A1328="""","""",IFERROR(INDEX(FILTER(Candidates!$S$2:$S$2000,Candidates!$A$2:$A$2000=$A1328),COUNTIF(Candidates!$A$2:$A$2000,$A1328)),""""))"),"")</f>
        <v/>
      </c>
      <c r="W1328" s="64" t="str">
        <f>IFERROR(__xludf.DUMMYFUNCTION("IF($A1328="""","""",IFERROR(INDEX(FILTER(Candidates!$T$2:$T$2000,Candidates!$A$2:$A$2000=$A1328),COUNTIF(Candidates!$A$2:$A$2000,$A1328)),""""))"),"")</f>
        <v/>
      </c>
      <c r="X1328" s="64"/>
      <c r="Y1328" s="64"/>
      <c r="Z1328" s="65"/>
      <c r="AA1328" s="65"/>
      <c r="AB1328" s="65"/>
      <c r="AC1328" s="65"/>
    </row>
    <row r="1329">
      <c r="A1329" s="64"/>
      <c r="B1329" s="64"/>
      <c r="C1329" s="64"/>
      <c r="D1329" s="64"/>
      <c r="E1329" s="64"/>
      <c r="F1329" s="64"/>
      <c r="G1329" s="64"/>
      <c r="H1329" s="63"/>
      <c r="I1329" s="64"/>
      <c r="J1329" s="64"/>
      <c r="K1329" s="64"/>
      <c r="L1329" s="64"/>
      <c r="M1329" s="64"/>
      <c r="N1329" s="64"/>
      <c r="O1329" s="64"/>
      <c r="P1329" s="64"/>
      <c r="Q1329" s="64"/>
      <c r="R1329" s="65" t="str">
        <f>IF($A1329="","",IFERROR(MINIFS(Candidates!$K$2:$K$2000,Candidates!$A$2:$A$2000,$A1329),""))</f>
        <v/>
      </c>
      <c r="S1329" s="65" t="str">
        <f>IF($A1329="","",IFERROR(MAXIFS(Candidates!$AA$2:$AA$2000,Candidates!$A$2:$A$2000,$A1329),""))</f>
        <v/>
      </c>
      <c r="T1329" s="64" t="str">
        <f>IFERROR(__xludf.DUMMYFUNCTION("IF($A1329="""","""",IFERROR(TEXTJOIN("", "",TRUE,UNIQUE(FILTER(Candidates!$B$2:$B$2000,Candidates!$A$2:$A$2000=$A1329))),""""))"),"")</f>
        <v/>
      </c>
      <c r="U1329" s="66" t="str">
        <f>IF($A1329="","",COUNTIF(Candidates!$A$2:$A$2000,$A1329))</f>
        <v/>
      </c>
      <c r="V1329" s="64" t="str">
        <f>IFERROR(__xludf.DUMMYFUNCTION("IF($A1329="""","""",IFERROR(INDEX(FILTER(Candidates!$S$2:$S$2000,Candidates!$A$2:$A$2000=$A1329),COUNTIF(Candidates!$A$2:$A$2000,$A1329)),""""))"),"")</f>
        <v/>
      </c>
      <c r="W1329" s="64" t="str">
        <f>IFERROR(__xludf.DUMMYFUNCTION("IF($A1329="""","""",IFERROR(INDEX(FILTER(Candidates!$T$2:$T$2000,Candidates!$A$2:$A$2000=$A1329),COUNTIF(Candidates!$A$2:$A$2000,$A1329)),""""))"),"")</f>
        <v/>
      </c>
      <c r="X1329" s="64"/>
      <c r="Y1329" s="64"/>
      <c r="Z1329" s="65"/>
      <c r="AA1329" s="65"/>
      <c r="AB1329" s="65"/>
      <c r="AC1329" s="65"/>
    </row>
    <row r="1330">
      <c r="A1330" s="64"/>
      <c r="B1330" s="64"/>
      <c r="C1330" s="64"/>
      <c r="D1330" s="64"/>
      <c r="E1330" s="64"/>
      <c r="F1330" s="64"/>
      <c r="G1330" s="64"/>
      <c r="H1330" s="63"/>
      <c r="I1330" s="64"/>
      <c r="J1330" s="64"/>
      <c r="K1330" s="64"/>
      <c r="L1330" s="64"/>
      <c r="M1330" s="64"/>
      <c r="N1330" s="64"/>
      <c r="O1330" s="64"/>
      <c r="P1330" s="64"/>
      <c r="Q1330" s="64"/>
      <c r="R1330" s="65" t="str">
        <f>IF($A1330="","",IFERROR(MINIFS(Candidates!$K$2:$K$2000,Candidates!$A$2:$A$2000,$A1330),""))</f>
        <v/>
      </c>
      <c r="S1330" s="65" t="str">
        <f>IF($A1330="","",IFERROR(MAXIFS(Candidates!$AA$2:$AA$2000,Candidates!$A$2:$A$2000,$A1330),""))</f>
        <v/>
      </c>
      <c r="T1330" s="64" t="str">
        <f>IFERROR(__xludf.DUMMYFUNCTION("IF($A1330="""","""",IFERROR(TEXTJOIN("", "",TRUE,UNIQUE(FILTER(Candidates!$B$2:$B$2000,Candidates!$A$2:$A$2000=$A1330))),""""))"),"")</f>
        <v/>
      </c>
      <c r="U1330" s="66" t="str">
        <f>IF($A1330="","",COUNTIF(Candidates!$A$2:$A$2000,$A1330))</f>
        <v/>
      </c>
      <c r="V1330" s="64" t="str">
        <f>IFERROR(__xludf.DUMMYFUNCTION("IF($A1330="""","""",IFERROR(INDEX(FILTER(Candidates!$S$2:$S$2000,Candidates!$A$2:$A$2000=$A1330),COUNTIF(Candidates!$A$2:$A$2000,$A1330)),""""))"),"")</f>
        <v/>
      </c>
      <c r="W1330" s="64" t="str">
        <f>IFERROR(__xludf.DUMMYFUNCTION("IF($A1330="""","""",IFERROR(INDEX(FILTER(Candidates!$T$2:$T$2000,Candidates!$A$2:$A$2000=$A1330),COUNTIF(Candidates!$A$2:$A$2000,$A1330)),""""))"),"")</f>
        <v/>
      </c>
      <c r="X1330" s="64"/>
      <c r="Y1330" s="64"/>
      <c r="Z1330" s="65"/>
      <c r="AA1330" s="65"/>
      <c r="AB1330" s="65"/>
      <c r="AC1330" s="65"/>
    </row>
    <row r="1331">
      <c r="A1331" s="64"/>
      <c r="B1331" s="64"/>
      <c r="C1331" s="64"/>
      <c r="D1331" s="64"/>
      <c r="E1331" s="64"/>
      <c r="F1331" s="64"/>
      <c r="G1331" s="64"/>
      <c r="H1331" s="63"/>
      <c r="I1331" s="64"/>
      <c r="J1331" s="64"/>
      <c r="K1331" s="64"/>
      <c r="L1331" s="64"/>
      <c r="M1331" s="64"/>
      <c r="N1331" s="64"/>
      <c r="O1331" s="64"/>
      <c r="P1331" s="64"/>
      <c r="Q1331" s="64"/>
      <c r="R1331" s="65" t="str">
        <f>IF($A1331="","",IFERROR(MINIFS(Candidates!$K$2:$K$2000,Candidates!$A$2:$A$2000,$A1331),""))</f>
        <v/>
      </c>
      <c r="S1331" s="65" t="str">
        <f>IF($A1331="","",IFERROR(MAXIFS(Candidates!$AA$2:$AA$2000,Candidates!$A$2:$A$2000,$A1331),""))</f>
        <v/>
      </c>
      <c r="T1331" s="64" t="str">
        <f>IFERROR(__xludf.DUMMYFUNCTION("IF($A1331="""","""",IFERROR(TEXTJOIN("", "",TRUE,UNIQUE(FILTER(Candidates!$B$2:$B$2000,Candidates!$A$2:$A$2000=$A1331))),""""))"),"")</f>
        <v/>
      </c>
      <c r="U1331" s="66" t="str">
        <f>IF($A1331="","",COUNTIF(Candidates!$A$2:$A$2000,$A1331))</f>
        <v/>
      </c>
      <c r="V1331" s="64" t="str">
        <f>IFERROR(__xludf.DUMMYFUNCTION("IF($A1331="""","""",IFERROR(INDEX(FILTER(Candidates!$S$2:$S$2000,Candidates!$A$2:$A$2000=$A1331),COUNTIF(Candidates!$A$2:$A$2000,$A1331)),""""))"),"")</f>
        <v/>
      </c>
      <c r="W1331" s="64" t="str">
        <f>IFERROR(__xludf.DUMMYFUNCTION("IF($A1331="""","""",IFERROR(INDEX(FILTER(Candidates!$T$2:$T$2000,Candidates!$A$2:$A$2000=$A1331),COUNTIF(Candidates!$A$2:$A$2000,$A1331)),""""))"),"")</f>
        <v/>
      </c>
      <c r="X1331" s="64"/>
      <c r="Y1331" s="64"/>
      <c r="Z1331" s="65"/>
      <c r="AA1331" s="65"/>
      <c r="AB1331" s="65"/>
      <c r="AC1331" s="65"/>
    </row>
    <row r="1332">
      <c r="A1332" s="64"/>
      <c r="B1332" s="64"/>
      <c r="C1332" s="64"/>
      <c r="D1332" s="64"/>
      <c r="E1332" s="64"/>
      <c r="F1332" s="64"/>
      <c r="G1332" s="64"/>
      <c r="H1332" s="63"/>
      <c r="I1332" s="64"/>
      <c r="J1332" s="64"/>
      <c r="K1332" s="64"/>
      <c r="L1332" s="64"/>
      <c r="M1332" s="64"/>
      <c r="N1332" s="64"/>
      <c r="O1332" s="64"/>
      <c r="P1332" s="64"/>
      <c r="Q1332" s="64"/>
      <c r="R1332" s="65" t="str">
        <f>IF($A1332="","",IFERROR(MINIFS(Candidates!$K$2:$K$2000,Candidates!$A$2:$A$2000,$A1332),""))</f>
        <v/>
      </c>
      <c r="S1332" s="65" t="str">
        <f>IF($A1332="","",IFERROR(MAXIFS(Candidates!$AA$2:$AA$2000,Candidates!$A$2:$A$2000,$A1332),""))</f>
        <v/>
      </c>
      <c r="T1332" s="64" t="str">
        <f>IFERROR(__xludf.DUMMYFUNCTION("IF($A1332="""","""",IFERROR(TEXTJOIN("", "",TRUE,UNIQUE(FILTER(Candidates!$B$2:$B$2000,Candidates!$A$2:$A$2000=$A1332))),""""))"),"")</f>
        <v/>
      </c>
      <c r="U1332" s="66" t="str">
        <f>IF($A1332="","",COUNTIF(Candidates!$A$2:$A$2000,$A1332))</f>
        <v/>
      </c>
      <c r="V1332" s="64" t="str">
        <f>IFERROR(__xludf.DUMMYFUNCTION("IF($A1332="""","""",IFERROR(INDEX(FILTER(Candidates!$S$2:$S$2000,Candidates!$A$2:$A$2000=$A1332),COUNTIF(Candidates!$A$2:$A$2000,$A1332)),""""))"),"")</f>
        <v/>
      </c>
      <c r="W1332" s="64" t="str">
        <f>IFERROR(__xludf.DUMMYFUNCTION("IF($A1332="""","""",IFERROR(INDEX(FILTER(Candidates!$T$2:$T$2000,Candidates!$A$2:$A$2000=$A1332),COUNTIF(Candidates!$A$2:$A$2000,$A1332)),""""))"),"")</f>
        <v/>
      </c>
      <c r="X1332" s="64"/>
      <c r="Y1332" s="64"/>
      <c r="Z1332" s="65"/>
      <c r="AA1332" s="65"/>
      <c r="AB1332" s="65"/>
      <c r="AC1332" s="65"/>
    </row>
    <row r="1333">
      <c r="A1333" s="64"/>
      <c r="B1333" s="64"/>
      <c r="C1333" s="64"/>
      <c r="D1333" s="64"/>
      <c r="E1333" s="64"/>
      <c r="F1333" s="64"/>
      <c r="G1333" s="64"/>
      <c r="H1333" s="63"/>
      <c r="I1333" s="64"/>
      <c r="J1333" s="64"/>
      <c r="K1333" s="64"/>
      <c r="L1333" s="64"/>
      <c r="M1333" s="64"/>
      <c r="N1333" s="64"/>
      <c r="O1333" s="64"/>
      <c r="P1333" s="64"/>
      <c r="Q1333" s="64"/>
      <c r="R1333" s="65" t="str">
        <f>IF($A1333="","",IFERROR(MINIFS(Candidates!$K$2:$K$2000,Candidates!$A$2:$A$2000,$A1333),""))</f>
        <v/>
      </c>
      <c r="S1333" s="65" t="str">
        <f>IF($A1333="","",IFERROR(MAXIFS(Candidates!$AA$2:$AA$2000,Candidates!$A$2:$A$2000,$A1333),""))</f>
        <v/>
      </c>
      <c r="T1333" s="64" t="str">
        <f>IFERROR(__xludf.DUMMYFUNCTION("IF($A1333="""","""",IFERROR(TEXTJOIN("", "",TRUE,UNIQUE(FILTER(Candidates!$B$2:$B$2000,Candidates!$A$2:$A$2000=$A1333))),""""))"),"")</f>
        <v/>
      </c>
      <c r="U1333" s="66" t="str">
        <f>IF($A1333="","",COUNTIF(Candidates!$A$2:$A$2000,$A1333))</f>
        <v/>
      </c>
      <c r="V1333" s="64" t="str">
        <f>IFERROR(__xludf.DUMMYFUNCTION("IF($A1333="""","""",IFERROR(INDEX(FILTER(Candidates!$S$2:$S$2000,Candidates!$A$2:$A$2000=$A1333),COUNTIF(Candidates!$A$2:$A$2000,$A1333)),""""))"),"")</f>
        <v/>
      </c>
      <c r="W1333" s="64" t="str">
        <f>IFERROR(__xludf.DUMMYFUNCTION("IF($A1333="""","""",IFERROR(INDEX(FILTER(Candidates!$T$2:$T$2000,Candidates!$A$2:$A$2000=$A1333),COUNTIF(Candidates!$A$2:$A$2000,$A1333)),""""))"),"")</f>
        <v/>
      </c>
      <c r="X1333" s="64"/>
      <c r="Y1333" s="64"/>
      <c r="Z1333" s="65"/>
      <c r="AA1333" s="65"/>
      <c r="AB1333" s="65"/>
      <c r="AC1333" s="65"/>
    </row>
    <row r="1334">
      <c r="A1334" s="64"/>
      <c r="B1334" s="64"/>
      <c r="C1334" s="64"/>
      <c r="D1334" s="64"/>
      <c r="E1334" s="64"/>
      <c r="F1334" s="64"/>
      <c r="G1334" s="64"/>
      <c r="H1334" s="63"/>
      <c r="I1334" s="64"/>
      <c r="J1334" s="64"/>
      <c r="K1334" s="64"/>
      <c r="L1334" s="64"/>
      <c r="M1334" s="64"/>
      <c r="N1334" s="64"/>
      <c r="O1334" s="64"/>
      <c r="P1334" s="64"/>
      <c r="Q1334" s="64"/>
      <c r="R1334" s="65" t="str">
        <f>IF($A1334="","",IFERROR(MINIFS(Candidates!$K$2:$K$2000,Candidates!$A$2:$A$2000,$A1334),""))</f>
        <v/>
      </c>
      <c r="S1334" s="65" t="str">
        <f>IF($A1334="","",IFERROR(MAXIFS(Candidates!$AA$2:$AA$2000,Candidates!$A$2:$A$2000,$A1334),""))</f>
        <v/>
      </c>
      <c r="T1334" s="64" t="str">
        <f>IFERROR(__xludf.DUMMYFUNCTION("IF($A1334="""","""",IFERROR(TEXTJOIN("", "",TRUE,UNIQUE(FILTER(Candidates!$B$2:$B$2000,Candidates!$A$2:$A$2000=$A1334))),""""))"),"")</f>
        <v/>
      </c>
      <c r="U1334" s="66" t="str">
        <f>IF($A1334="","",COUNTIF(Candidates!$A$2:$A$2000,$A1334))</f>
        <v/>
      </c>
      <c r="V1334" s="64" t="str">
        <f>IFERROR(__xludf.DUMMYFUNCTION("IF($A1334="""","""",IFERROR(INDEX(FILTER(Candidates!$S$2:$S$2000,Candidates!$A$2:$A$2000=$A1334),COUNTIF(Candidates!$A$2:$A$2000,$A1334)),""""))"),"")</f>
        <v/>
      </c>
      <c r="W1334" s="64" t="str">
        <f>IFERROR(__xludf.DUMMYFUNCTION("IF($A1334="""","""",IFERROR(INDEX(FILTER(Candidates!$T$2:$T$2000,Candidates!$A$2:$A$2000=$A1334),COUNTIF(Candidates!$A$2:$A$2000,$A1334)),""""))"),"")</f>
        <v/>
      </c>
      <c r="X1334" s="64"/>
      <c r="Y1334" s="64"/>
      <c r="Z1334" s="65"/>
      <c r="AA1334" s="65"/>
      <c r="AB1334" s="65"/>
      <c r="AC1334" s="65"/>
    </row>
    <row r="1335">
      <c r="A1335" s="64"/>
      <c r="B1335" s="64"/>
      <c r="C1335" s="64"/>
      <c r="D1335" s="64"/>
      <c r="E1335" s="64"/>
      <c r="F1335" s="64"/>
      <c r="G1335" s="64"/>
      <c r="H1335" s="63"/>
      <c r="I1335" s="64"/>
      <c r="J1335" s="64"/>
      <c r="K1335" s="64"/>
      <c r="L1335" s="64"/>
      <c r="M1335" s="64"/>
      <c r="N1335" s="64"/>
      <c r="O1335" s="64"/>
      <c r="P1335" s="64"/>
      <c r="Q1335" s="64"/>
      <c r="R1335" s="65" t="str">
        <f>IF($A1335="","",IFERROR(MINIFS(Candidates!$K$2:$K$2000,Candidates!$A$2:$A$2000,$A1335),""))</f>
        <v/>
      </c>
      <c r="S1335" s="65" t="str">
        <f>IF($A1335="","",IFERROR(MAXIFS(Candidates!$AA$2:$AA$2000,Candidates!$A$2:$A$2000,$A1335),""))</f>
        <v/>
      </c>
      <c r="T1335" s="64" t="str">
        <f>IFERROR(__xludf.DUMMYFUNCTION("IF($A1335="""","""",IFERROR(TEXTJOIN("", "",TRUE,UNIQUE(FILTER(Candidates!$B$2:$B$2000,Candidates!$A$2:$A$2000=$A1335))),""""))"),"")</f>
        <v/>
      </c>
      <c r="U1335" s="66" t="str">
        <f>IF($A1335="","",COUNTIF(Candidates!$A$2:$A$2000,$A1335))</f>
        <v/>
      </c>
      <c r="V1335" s="64" t="str">
        <f>IFERROR(__xludf.DUMMYFUNCTION("IF($A1335="""","""",IFERROR(INDEX(FILTER(Candidates!$S$2:$S$2000,Candidates!$A$2:$A$2000=$A1335),COUNTIF(Candidates!$A$2:$A$2000,$A1335)),""""))"),"")</f>
        <v/>
      </c>
      <c r="W1335" s="64" t="str">
        <f>IFERROR(__xludf.DUMMYFUNCTION("IF($A1335="""","""",IFERROR(INDEX(FILTER(Candidates!$T$2:$T$2000,Candidates!$A$2:$A$2000=$A1335),COUNTIF(Candidates!$A$2:$A$2000,$A1335)),""""))"),"")</f>
        <v/>
      </c>
      <c r="X1335" s="64"/>
      <c r="Y1335" s="64"/>
      <c r="Z1335" s="65"/>
      <c r="AA1335" s="65"/>
      <c r="AB1335" s="65"/>
      <c r="AC1335" s="65"/>
    </row>
    <row r="1336">
      <c r="A1336" s="64"/>
      <c r="B1336" s="64"/>
      <c r="C1336" s="64"/>
      <c r="D1336" s="64"/>
      <c r="E1336" s="64"/>
      <c r="F1336" s="64"/>
      <c r="G1336" s="64"/>
      <c r="H1336" s="63"/>
      <c r="I1336" s="64"/>
      <c r="J1336" s="64"/>
      <c r="K1336" s="64"/>
      <c r="L1336" s="64"/>
      <c r="M1336" s="64"/>
      <c r="N1336" s="64"/>
      <c r="O1336" s="64"/>
      <c r="P1336" s="64"/>
      <c r="Q1336" s="64"/>
      <c r="R1336" s="65" t="str">
        <f>IF($A1336="","",IFERROR(MINIFS(Candidates!$K$2:$K$2000,Candidates!$A$2:$A$2000,$A1336),""))</f>
        <v/>
      </c>
      <c r="S1336" s="65" t="str">
        <f>IF($A1336="","",IFERROR(MAXIFS(Candidates!$AA$2:$AA$2000,Candidates!$A$2:$A$2000,$A1336),""))</f>
        <v/>
      </c>
      <c r="T1336" s="64" t="str">
        <f>IFERROR(__xludf.DUMMYFUNCTION("IF($A1336="""","""",IFERROR(TEXTJOIN("", "",TRUE,UNIQUE(FILTER(Candidates!$B$2:$B$2000,Candidates!$A$2:$A$2000=$A1336))),""""))"),"")</f>
        <v/>
      </c>
      <c r="U1336" s="66" t="str">
        <f>IF($A1336="","",COUNTIF(Candidates!$A$2:$A$2000,$A1336))</f>
        <v/>
      </c>
      <c r="V1336" s="64" t="str">
        <f>IFERROR(__xludf.DUMMYFUNCTION("IF($A1336="""","""",IFERROR(INDEX(FILTER(Candidates!$S$2:$S$2000,Candidates!$A$2:$A$2000=$A1336),COUNTIF(Candidates!$A$2:$A$2000,$A1336)),""""))"),"")</f>
        <v/>
      </c>
      <c r="W1336" s="64" t="str">
        <f>IFERROR(__xludf.DUMMYFUNCTION("IF($A1336="""","""",IFERROR(INDEX(FILTER(Candidates!$T$2:$T$2000,Candidates!$A$2:$A$2000=$A1336),COUNTIF(Candidates!$A$2:$A$2000,$A1336)),""""))"),"")</f>
        <v/>
      </c>
      <c r="X1336" s="64"/>
      <c r="Y1336" s="64"/>
      <c r="Z1336" s="65"/>
      <c r="AA1336" s="65"/>
      <c r="AB1336" s="65"/>
      <c r="AC1336" s="65"/>
    </row>
    <row r="1337">
      <c r="A1337" s="64"/>
      <c r="B1337" s="64"/>
      <c r="C1337" s="64"/>
      <c r="D1337" s="64"/>
      <c r="E1337" s="64"/>
      <c r="F1337" s="64"/>
      <c r="G1337" s="64"/>
      <c r="H1337" s="63"/>
      <c r="I1337" s="64"/>
      <c r="J1337" s="64"/>
      <c r="K1337" s="64"/>
      <c r="L1337" s="64"/>
      <c r="M1337" s="64"/>
      <c r="N1337" s="64"/>
      <c r="O1337" s="64"/>
      <c r="P1337" s="64"/>
      <c r="Q1337" s="64"/>
      <c r="R1337" s="65" t="str">
        <f>IF($A1337="","",IFERROR(MINIFS(Candidates!$K$2:$K$2000,Candidates!$A$2:$A$2000,$A1337),""))</f>
        <v/>
      </c>
      <c r="S1337" s="65" t="str">
        <f>IF($A1337="","",IFERROR(MAXIFS(Candidates!$AA$2:$AA$2000,Candidates!$A$2:$A$2000,$A1337),""))</f>
        <v/>
      </c>
      <c r="T1337" s="64" t="str">
        <f>IFERROR(__xludf.DUMMYFUNCTION("IF($A1337="""","""",IFERROR(TEXTJOIN("", "",TRUE,UNIQUE(FILTER(Candidates!$B$2:$B$2000,Candidates!$A$2:$A$2000=$A1337))),""""))"),"")</f>
        <v/>
      </c>
      <c r="U1337" s="66" t="str">
        <f>IF($A1337="","",COUNTIF(Candidates!$A$2:$A$2000,$A1337))</f>
        <v/>
      </c>
      <c r="V1337" s="64" t="str">
        <f>IFERROR(__xludf.DUMMYFUNCTION("IF($A1337="""","""",IFERROR(INDEX(FILTER(Candidates!$S$2:$S$2000,Candidates!$A$2:$A$2000=$A1337),COUNTIF(Candidates!$A$2:$A$2000,$A1337)),""""))"),"")</f>
        <v/>
      </c>
      <c r="W1337" s="64" t="str">
        <f>IFERROR(__xludf.DUMMYFUNCTION("IF($A1337="""","""",IFERROR(INDEX(FILTER(Candidates!$T$2:$T$2000,Candidates!$A$2:$A$2000=$A1337),COUNTIF(Candidates!$A$2:$A$2000,$A1337)),""""))"),"")</f>
        <v/>
      </c>
      <c r="X1337" s="64"/>
      <c r="Y1337" s="64"/>
      <c r="Z1337" s="65"/>
      <c r="AA1337" s="65"/>
      <c r="AB1337" s="65"/>
      <c r="AC1337" s="65"/>
    </row>
    <row r="1338">
      <c r="A1338" s="64"/>
      <c r="B1338" s="64"/>
      <c r="C1338" s="64"/>
      <c r="D1338" s="64"/>
      <c r="E1338" s="64"/>
      <c r="F1338" s="64"/>
      <c r="G1338" s="64"/>
      <c r="H1338" s="63"/>
      <c r="I1338" s="64"/>
      <c r="J1338" s="64"/>
      <c r="K1338" s="64"/>
      <c r="L1338" s="64"/>
      <c r="M1338" s="64"/>
      <c r="N1338" s="64"/>
      <c r="O1338" s="64"/>
      <c r="P1338" s="64"/>
      <c r="Q1338" s="64"/>
      <c r="R1338" s="65" t="str">
        <f>IF($A1338="","",IFERROR(MINIFS(Candidates!$K$2:$K$2000,Candidates!$A$2:$A$2000,$A1338),""))</f>
        <v/>
      </c>
      <c r="S1338" s="65" t="str">
        <f>IF($A1338="","",IFERROR(MAXIFS(Candidates!$AA$2:$AA$2000,Candidates!$A$2:$A$2000,$A1338),""))</f>
        <v/>
      </c>
      <c r="T1338" s="64" t="str">
        <f>IFERROR(__xludf.DUMMYFUNCTION("IF($A1338="""","""",IFERROR(TEXTJOIN("", "",TRUE,UNIQUE(FILTER(Candidates!$B$2:$B$2000,Candidates!$A$2:$A$2000=$A1338))),""""))"),"")</f>
        <v/>
      </c>
      <c r="U1338" s="66" t="str">
        <f>IF($A1338="","",COUNTIF(Candidates!$A$2:$A$2000,$A1338))</f>
        <v/>
      </c>
      <c r="V1338" s="64" t="str">
        <f>IFERROR(__xludf.DUMMYFUNCTION("IF($A1338="""","""",IFERROR(INDEX(FILTER(Candidates!$S$2:$S$2000,Candidates!$A$2:$A$2000=$A1338),COUNTIF(Candidates!$A$2:$A$2000,$A1338)),""""))"),"")</f>
        <v/>
      </c>
      <c r="W1338" s="64" t="str">
        <f>IFERROR(__xludf.DUMMYFUNCTION("IF($A1338="""","""",IFERROR(INDEX(FILTER(Candidates!$T$2:$T$2000,Candidates!$A$2:$A$2000=$A1338),COUNTIF(Candidates!$A$2:$A$2000,$A1338)),""""))"),"")</f>
        <v/>
      </c>
      <c r="X1338" s="64"/>
      <c r="Y1338" s="64"/>
      <c r="Z1338" s="65"/>
      <c r="AA1338" s="65"/>
      <c r="AB1338" s="65"/>
      <c r="AC1338" s="65"/>
    </row>
    <row r="1339">
      <c r="A1339" s="64"/>
      <c r="B1339" s="64"/>
      <c r="C1339" s="64"/>
      <c r="D1339" s="64"/>
      <c r="E1339" s="64"/>
      <c r="F1339" s="64"/>
      <c r="G1339" s="64"/>
      <c r="H1339" s="63"/>
      <c r="I1339" s="64"/>
      <c r="J1339" s="64"/>
      <c r="K1339" s="64"/>
      <c r="L1339" s="64"/>
      <c r="M1339" s="64"/>
      <c r="N1339" s="64"/>
      <c r="O1339" s="64"/>
      <c r="P1339" s="64"/>
      <c r="Q1339" s="64"/>
      <c r="R1339" s="65" t="str">
        <f>IF($A1339="","",IFERROR(MINIFS(Candidates!$K$2:$K$2000,Candidates!$A$2:$A$2000,$A1339),""))</f>
        <v/>
      </c>
      <c r="S1339" s="65" t="str">
        <f>IF($A1339="","",IFERROR(MAXIFS(Candidates!$AA$2:$AA$2000,Candidates!$A$2:$A$2000,$A1339),""))</f>
        <v/>
      </c>
      <c r="T1339" s="64" t="str">
        <f>IFERROR(__xludf.DUMMYFUNCTION("IF($A1339="""","""",IFERROR(TEXTJOIN("", "",TRUE,UNIQUE(FILTER(Candidates!$B$2:$B$2000,Candidates!$A$2:$A$2000=$A1339))),""""))"),"")</f>
        <v/>
      </c>
      <c r="U1339" s="66" t="str">
        <f>IF($A1339="","",COUNTIF(Candidates!$A$2:$A$2000,$A1339))</f>
        <v/>
      </c>
      <c r="V1339" s="64" t="str">
        <f>IFERROR(__xludf.DUMMYFUNCTION("IF($A1339="""","""",IFERROR(INDEX(FILTER(Candidates!$S$2:$S$2000,Candidates!$A$2:$A$2000=$A1339),COUNTIF(Candidates!$A$2:$A$2000,$A1339)),""""))"),"")</f>
        <v/>
      </c>
      <c r="W1339" s="64" t="str">
        <f>IFERROR(__xludf.DUMMYFUNCTION("IF($A1339="""","""",IFERROR(INDEX(FILTER(Candidates!$T$2:$T$2000,Candidates!$A$2:$A$2000=$A1339),COUNTIF(Candidates!$A$2:$A$2000,$A1339)),""""))"),"")</f>
        <v/>
      </c>
      <c r="X1339" s="64"/>
      <c r="Y1339" s="64"/>
      <c r="Z1339" s="65"/>
      <c r="AA1339" s="65"/>
      <c r="AB1339" s="65"/>
      <c r="AC1339" s="65"/>
    </row>
    <row r="1340">
      <c r="A1340" s="64"/>
      <c r="B1340" s="64"/>
      <c r="C1340" s="64"/>
      <c r="D1340" s="64"/>
      <c r="E1340" s="64"/>
      <c r="F1340" s="64"/>
      <c r="G1340" s="64"/>
      <c r="H1340" s="63"/>
      <c r="I1340" s="64"/>
      <c r="J1340" s="64"/>
      <c r="K1340" s="64"/>
      <c r="L1340" s="64"/>
      <c r="M1340" s="64"/>
      <c r="N1340" s="64"/>
      <c r="O1340" s="64"/>
      <c r="P1340" s="64"/>
      <c r="Q1340" s="64"/>
      <c r="R1340" s="65" t="str">
        <f>IF($A1340="","",IFERROR(MINIFS(Candidates!$K$2:$K$2000,Candidates!$A$2:$A$2000,$A1340),""))</f>
        <v/>
      </c>
      <c r="S1340" s="65" t="str">
        <f>IF($A1340="","",IFERROR(MAXIFS(Candidates!$AA$2:$AA$2000,Candidates!$A$2:$A$2000,$A1340),""))</f>
        <v/>
      </c>
      <c r="T1340" s="64" t="str">
        <f>IFERROR(__xludf.DUMMYFUNCTION("IF($A1340="""","""",IFERROR(TEXTJOIN("", "",TRUE,UNIQUE(FILTER(Candidates!$B$2:$B$2000,Candidates!$A$2:$A$2000=$A1340))),""""))"),"")</f>
        <v/>
      </c>
      <c r="U1340" s="66" t="str">
        <f>IF($A1340="","",COUNTIF(Candidates!$A$2:$A$2000,$A1340))</f>
        <v/>
      </c>
      <c r="V1340" s="64" t="str">
        <f>IFERROR(__xludf.DUMMYFUNCTION("IF($A1340="""","""",IFERROR(INDEX(FILTER(Candidates!$S$2:$S$2000,Candidates!$A$2:$A$2000=$A1340),COUNTIF(Candidates!$A$2:$A$2000,$A1340)),""""))"),"")</f>
        <v/>
      </c>
      <c r="W1340" s="64" t="str">
        <f>IFERROR(__xludf.DUMMYFUNCTION("IF($A1340="""","""",IFERROR(INDEX(FILTER(Candidates!$T$2:$T$2000,Candidates!$A$2:$A$2000=$A1340),COUNTIF(Candidates!$A$2:$A$2000,$A1340)),""""))"),"")</f>
        <v/>
      </c>
      <c r="X1340" s="64"/>
      <c r="Y1340" s="64"/>
      <c r="Z1340" s="65"/>
      <c r="AA1340" s="65"/>
      <c r="AB1340" s="65"/>
      <c r="AC1340" s="65"/>
    </row>
    <row r="1341">
      <c r="A1341" s="64"/>
      <c r="B1341" s="64"/>
      <c r="C1341" s="64"/>
      <c r="D1341" s="64"/>
      <c r="E1341" s="64"/>
      <c r="F1341" s="64"/>
      <c r="G1341" s="64"/>
      <c r="H1341" s="63"/>
      <c r="I1341" s="64"/>
      <c r="J1341" s="64"/>
      <c r="K1341" s="64"/>
      <c r="L1341" s="64"/>
      <c r="M1341" s="64"/>
      <c r="N1341" s="64"/>
      <c r="O1341" s="64"/>
      <c r="P1341" s="64"/>
      <c r="Q1341" s="64"/>
      <c r="R1341" s="65" t="str">
        <f>IF($A1341="","",IFERROR(MINIFS(Candidates!$K$2:$K$2000,Candidates!$A$2:$A$2000,$A1341),""))</f>
        <v/>
      </c>
      <c r="S1341" s="65" t="str">
        <f>IF($A1341="","",IFERROR(MAXIFS(Candidates!$AA$2:$AA$2000,Candidates!$A$2:$A$2000,$A1341),""))</f>
        <v/>
      </c>
      <c r="T1341" s="64" t="str">
        <f>IFERROR(__xludf.DUMMYFUNCTION("IF($A1341="""","""",IFERROR(TEXTJOIN("", "",TRUE,UNIQUE(FILTER(Candidates!$B$2:$B$2000,Candidates!$A$2:$A$2000=$A1341))),""""))"),"")</f>
        <v/>
      </c>
      <c r="U1341" s="66" t="str">
        <f>IF($A1341="","",COUNTIF(Candidates!$A$2:$A$2000,$A1341))</f>
        <v/>
      </c>
      <c r="V1341" s="64" t="str">
        <f>IFERROR(__xludf.DUMMYFUNCTION("IF($A1341="""","""",IFERROR(INDEX(FILTER(Candidates!$S$2:$S$2000,Candidates!$A$2:$A$2000=$A1341),COUNTIF(Candidates!$A$2:$A$2000,$A1341)),""""))"),"")</f>
        <v/>
      </c>
      <c r="W1341" s="64" t="str">
        <f>IFERROR(__xludf.DUMMYFUNCTION("IF($A1341="""","""",IFERROR(INDEX(FILTER(Candidates!$T$2:$T$2000,Candidates!$A$2:$A$2000=$A1341),COUNTIF(Candidates!$A$2:$A$2000,$A1341)),""""))"),"")</f>
        <v/>
      </c>
      <c r="X1341" s="64"/>
      <c r="Y1341" s="64"/>
      <c r="Z1341" s="65"/>
      <c r="AA1341" s="65"/>
      <c r="AB1341" s="65"/>
      <c r="AC1341" s="65"/>
    </row>
    <row r="1342">
      <c r="A1342" s="64"/>
      <c r="B1342" s="64"/>
      <c r="C1342" s="64"/>
      <c r="D1342" s="64"/>
      <c r="E1342" s="64"/>
      <c r="F1342" s="64"/>
      <c r="G1342" s="64"/>
      <c r="H1342" s="63"/>
      <c r="I1342" s="64"/>
      <c r="J1342" s="64"/>
      <c r="K1342" s="64"/>
      <c r="L1342" s="64"/>
      <c r="M1342" s="64"/>
      <c r="N1342" s="64"/>
      <c r="O1342" s="64"/>
      <c r="P1342" s="64"/>
      <c r="Q1342" s="64"/>
      <c r="R1342" s="65" t="str">
        <f>IF($A1342="","",IFERROR(MINIFS(Candidates!$K$2:$K$2000,Candidates!$A$2:$A$2000,$A1342),""))</f>
        <v/>
      </c>
      <c r="S1342" s="65" t="str">
        <f>IF($A1342="","",IFERROR(MAXIFS(Candidates!$AA$2:$AA$2000,Candidates!$A$2:$A$2000,$A1342),""))</f>
        <v/>
      </c>
      <c r="T1342" s="64" t="str">
        <f>IFERROR(__xludf.DUMMYFUNCTION("IF($A1342="""","""",IFERROR(TEXTJOIN("", "",TRUE,UNIQUE(FILTER(Candidates!$B$2:$B$2000,Candidates!$A$2:$A$2000=$A1342))),""""))"),"")</f>
        <v/>
      </c>
      <c r="U1342" s="66" t="str">
        <f>IF($A1342="","",COUNTIF(Candidates!$A$2:$A$2000,$A1342))</f>
        <v/>
      </c>
      <c r="V1342" s="64" t="str">
        <f>IFERROR(__xludf.DUMMYFUNCTION("IF($A1342="""","""",IFERROR(INDEX(FILTER(Candidates!$S$2:$S$2000,Candidates!$A$2:$A$2000=$A1342),COUNTIF(Candidates!$A$2:$A$2000,$A1342)),""""))"),"")</f>
        <v/>
      </c>
      <c r="W1342" s="64" t="str">
        <f>IFERROR(__xludf.DUMMYFUNCTION("IF($A1342="""","""",IFERROR(INDEX(FILTER(Candidates!$T$2:$T$2000,Candidates!$A$2:$A$2000=$A1342),COUNTIF(Candidates!$A$2:$A$2000,$A1342)),""""))"),"")</f>
        <v/>
      </c>
      <c r="X1342" s="64"/>
      <c r="Y1342" s="64"/>
      <c r="Z1342" s="65"/>
      <c r="AA1342" s="65"/>
      <c r="AB1342" s="65"/>
      <c r="AC1342" s="65"/>
    </row>
    <row r="1343">
      <c r="A1343" s="64"/>
      <c r="B1343" s="64"/>
      <c r="C1343" s="64"/>
      <c r="D1343" s="64"/>
      <c r="E1343" s="64"/>
      <c r="F1343" s="64"/>
      <c r="G1343" s="64"/>
      <c r="H1343" s="63"/>
      <c r="I1343" s="64"/>
      <c r="J1343" s="64"/>
      <c r="K1343" s="64"/>
      <c r="L1343" s="64"/>
      <c r="M1343" s="64"/>
      <c r="N1343" s="64"/>
      <c r="O1343" s="64"/>
      <c r="P1343" s="64"/>
      <c r="Q1343" s="64"/>
      <c r="R1343" s="65" t="str">
        <f>IF($A1343="","",IFERROR(MINIFS(Candidates!$K$2:$K$2000,Candidates!$A$2:$A$2000,$A1343),""))</f>
        <v/>
      </c>
      <c r="S1343" s="65" t="str">
        <f>IF($A1343="","",IFERROR(MAXIFS(Candidates!$AA$2:$AA$2000,Candidates!$A$2:$A$2000,$A1343),""))</f>
        <v/>
      </c>
      <c r="T1343" s="64" t="str">
        <f>IFERROR(__xludf.DUMMYFUNCTION("IF($A1343="""","""",IFERROR(TEXTJOIN("", "",TRUE,UNIQUE(FILTER(Candidates!$B$2:$B$2000,Candidates!$A$2:$A$2000=$A1343))),""""))"),"")</f>
        <v/>
      </c>
      <c r="U1343" s="66" t="str">
        <f>IF($A1343="","",COUNTIF(Candidates!$A$2:$A$2000,$A1343))</f>
        <v/>
      </c>
      <c r="V1343" s="64" t="str">
        <f>IFERROR(__xludf.DUMMYFUNCTION("IF($A1343="""","""",IFERROR(INDEX(FILTER(Candidates!$S$2:$S$2000,Candidates!$A$2:$A$2000=$A1343),COUNTIF(Candidates!$A$2:$A$2000,$A1343)),""""))"),"")</f>
        <v/>
      </c>
      <c r="W1343" s="64" t="str">
        <f>IFERROR(__xludf.DUMMYFUNCTION("IF($A1343="""","""",IFERROR(INDEX(FILTER(Candidates!$T$2:$T$2000,Candidates!$A$2:$A$2000=$A1343),COUNTIF(Candidates!$A$2:$A$2000,$A1343)),""""))"),"")</f>
        <v/>
      </c>
      <c r="X1343" s="64"/>
      <c r="Y1343" s="64"/>
      <c r="Z1343" s="65"/>
      <c r="AA1343" s="65"/>
      <c r="AB1343" s="65"/>
      <c r="AC1343" s="65"/>
    </row>
    <row r="1344">
      <c r="A1344" s="64"/>
      <c r="B1344" s="64"/>
      <c r="C1344" s="64"/>
      <c r="D1344" s="64"/>
      <c r="E1344" s="64"/>
      <c r="F1344" s="64"/>
      <c r="G1344" s="64"/>
      <c r="H1344" s="63"/>
      <c r="I1344" s="64"/>
      <c r="J1344" s="64"/>
      <c r="K1344" s="64"/>
      <c r="L1344" s="64"/>
      <c r="M1344" s="64"/>
      <c r="N1344" s="64"/>
      <c r="O1344" s="64"/>
      <c r="P1344" s="64"/>
      <c r="Q1344" s="64"/>
      <c r="R1344" s="65" t="str">
        <f>IF($A1344="","",IFERROR(MINIFS(Candidates!$K$2:$K$2000,Candidates!$A$2:$A$2000,$A1344),""))</f>
        <v/>
      </c>
      <c r="S1344" s="65" t="str">
        <f>IF($A1344="","",IFERROR(MAXIFS(Candidates!$AA$2:$AA$2000,Candidates!$A$2:$A$2000,$A1344),""))</f>
        <v/>
      </c>
      <c r="T1344" s="64" t="str">
        <f>IFERROR(__xludf.DUMMYFUNCTION("IF($A1344="""","""",IFERROR(TEXTJOIN("", "",TRUE,UNIQUE(FILTER(Candidates!$B$2:$B$2000,Candidates!$A$2:$A$2000=$A1344))),""""))"),"")</f>
        <v/>
      </c>
      <c r="U1344" s="66" t="str">
        <f>IF($A1344="","",COUNTIF(Candidates!$A$2:$A$2000,$A1344))</f>
        <v/>
      </c>
      <c r="V1344" s="64" t="str">
        <f>IFERROR(__xludf.DUMMYFUNCTION("IF($A1344="""","""",IFERROR(INDEX(FILTER(Candidates!$S$2:$S$2000,Candidates!$A$2:$A$2000=$A1344),COUNTIF(Candidates!$A$2:$A$2000,$A1344)),""""))"),"")</f>
        <v/>
      </c>
      <c r="W1344" s="64" t="str">
        <f>IFERROR(__xludf.DUMMYFUNCTION("IF($A1344="""","""",IFERROR(INDEX(FILTER(Candidates!$T$2:$T$2000,Candidates!$A$2:$A$2000=$A1344),COUNTIF(Candidates!$A$2:$A$2000,$A1344)),""""))"),"")</f>
        <v/>
      </c>
      <c r="X1344" s="64"/>
      <c r="Y1344" s="64"/>
      <c r="Z1344" s="65"/>
      <c r="AA1344" s="65"/>
      <c r="AB1344" s="65"/>
      <c r="AC1344" s="65"/>
    </row>
    <row r="1345">
      <c r="A1345" s="64"/>
      <c r="B1345" s="64"/>
      <c r="C1345" s="64"/>
      <c r="D1345" s="64"/>
      <c r="E1345" s="64"/>
      <c r="F1345" s="64"/>
      <c r="G1345" s="64"/>
      <c r="H1345" s="63"/>
      <c r="I1345" s="64"/>
      <c r="J1345" s="64"/>
      <c r="K1345" s="64"/>
      <c r="L1345" s="64"/>
      <c r="M1345" s="64"/>
      <c r="N1345" s="64"/>
      <c r="O1345" s="64"/>
      <c r="P1345" s="64"/>
      <c r="Q1345" s="64"/>
      <c r="R1345" s="65" t="str">
        <f>IF($A1345="","",IFERROR(MINIFS(Candidates!$K$2:$K$2000,Candidates!$A$2:$A$2000,$A1345),""))</f>
        <v/>
      </c>
      <c r="S1345" s="65" t="str">
        <f>IF($A1345="","",IFERROR(MAXIFS(Candidates!$AA$2:$AA$2000,Candidates!$A$2:$A$2000,$A1345),""))</f>
        <v/>
      </c>
      <c r="T1345" s="64" t="str">
        <f>IFERROR(__xludf.DUMMYFUNCTION("IF($A1345="""","""",IFERROR(TEXTJOIN("", "",TRUE,UNIQUE(FILTER(Candidates!$B$2:$B$2000,Candidates!$A$2:$A$2000=$A1345))),""""))"),"")</f>
        <v/>
      </c>
      <c r="U1345" s="66" t="str">
        <f>IF($A1345="","",COUNTIF(Candidates!$A$2:$A$2000,$A1345))</f>
        <v/>
      </c>
      <c r="V1345" s="64" t="str">
        <f>IFERROR(__xludf.DUMMYFUNCTION("IF($A1345="""","""",IFERROR(INDEX(FILTER(Candidates!$S$2:$S$2000,Candidates!$A$2:$A$2000=$A1345),COUNTIF(Candidates!$A$2:$A$2000,$A1345)),""""))"),"")</f>
        <v/>
      </c>
      <c r="W1345" s="64" t="str">
        <f>IFERROR(__xludf.DUMMYFUNCTION("IF($A1345="""","""",IFERROR(INDEX(FILTER(Candidates!$T$2:$T$2000,Candidates!$A$2:$A$2000=$A1345),COUNTIF(Candidates!$A$2:$A$2000,$A1345)),""""))"),"")</f>
        <v/>
      </c>
      <c r="X1345" s="64"/>
      <c r="Y1345" s="64"/>
      <c r="Z1345" s="65"/>
      <c r="AA1345" s="65"/>
      <c r="AB1345" s="65"/>
      <c r="AC1345" s="65"/>
    </row>
    <row r="1346">
      <c r="A1346" s="64"/>
      <c r="B1346" s="64"/>
      <c r="C1346" s="64"/>
      <c r="D1346" s="64"/>
      <c r="E1346" s="64"/>
      <c r="F1346" s="64"/>
      <c r="G1346" s="64"/>
      <c r="H1346" s="63"/>
      <c r="I1346" s="64"/>
      <c r="J1346" s="64"/>
      <c r="K1346" s="64"/>
      <c r="L1346" s="64"/>
      <c r="M1346" s="64"/>
      <c r="N1346" s="64"/>
      <c r="O1346" s="64"/>
      <c r="P1346" s="64"/>
      <c r="Q1346" s="64"/>
      <c r="R1346" s="65" t="str">
        <f>IF($A1346="","",IFERROR(MINIFS(Candidates!$K$2:$K$2000,Candidates!$A$2:$A$2000,$A1346),""))</f>
        <v/>
      </c>
      <c r="S1346" s="65" t="str">
        <f>IF($A1346="","",IFERROR(MAXIFS(Candidates!$AA$2:$AA$2000,Candidates!$A$2:$A$2000,$A1346),""))</f>
        <v/>
      </c>
      <c r="T1346" s="64" t="str">
        <f>IFERROR(__xludf.DUMMYFUNCTION("IF($A1346="""","""",IFERROR(TEXTJOIN("", "",TRUE,UNIQUE(FILTER(Candidates!$B$2:$B$2000,Candidates!$A$2:$A$2000=$A1346))),""""))"),"")</f>
        <v/>
      </c>
      <c r="U1346" s="66" t="str">
        <f>IF($A1346="","",COUNTIF(Candidates!$A$2:$A$2000,$A1346))</f>
        <v/>
      </c>
      <c r="V1346" s="64" t="str">
        <f>IFERROR(__xludf.DUMMYFUNCTION("IF($A1346="""","""",IFERROR(INDEX(FILTER(Candidates!$S$2:$S$2000,Candidates!$A$2:$A$2000=$A1346),COUNTIF(Candidates!$A$2:$A$2000,$A1346)),""""))"),"")</f>
        <v/>
      </c>
      <c r="W1346" s="64" t="str">
        <f>IFERROR(__xludf.DUMMYFUNCTION("IF($A1346="""","""",IFERROR(INDEX(FILTER(Candidates!$T$2:$T$2000,Candidates!$A$2:$A$2000=$A1346),COUNTIF(Candidates!$A$2:$A$2000,$A1346)),""""))"),"")</f>
        <v/>
      </c>
      <c r="X1346" s="64"/>
      <c r="Y1346" s="64"/>
      <c r="Z1346" s="65"/>
      <c r="AA1346" s="65"/>
      <c r="AB1346" s="65"/>
      <c r="AC1346" s="65"/>
    </row>
    <row r="1347">
      <c r="A1347" s="64"/>
      <c r="B1347" s="64"/>
      <c r="C1347" s="64"/>
      <c r="D1347" s="64"/>
      <c r="E1347" s="64"/>
      <c r="F1347" s="64"/>
      <c r="G1347" s="64"/>
      <c r="H1347" s="63"/>
      <c r="I1347" s="64"/>
      <c r="J1347" s="64"/>
      <c r="K1347" s="64"/>
      <c r="L1347" s="64"/>
      <c r="M1347" s="64"/>
      <c r="N1347" s="64"/>
      <c r="O1347" s="64"/>
      <c r="P1347" s="64"/>
      <c r="Q1347" s="64"/>
      <c r="R1347" s="65" t="str">
        <f>IF($A1347="","",IFERROR(MINIFS(Candidates!$K$2:$K$2000,Candidates!$A$2:$A$2000,$A1347),""))</f>
        <v/>
      </c>
      <c r="S1347" s="65" t="str">
        <f>IF($A1347="","",IFERROR(MAXIFS(Candidates!$AA$2:$AA$2000,Candidates!$A$2:$A$2000,$A1347),""))</f>
        <v/>
      </c>
      <c r="T1347" s="64" t="str">
        <f>IFERROR(__xludf.DUMMYFUNCTION("IF($A1347="""","""",IFERROR(TEXTJOIN("", "",TRUE,UNIQUE(FILTER(Candidates!$B$2:$B$2000,Candidates!$A$2:$A$2000=$A1347))),""""))"),"")</f>
        <v/>
      </c>
      <c r="U1347" s="66" t="str">
        <f>IF($A1347="","",COUNTIF(Candidates!$A$2:$A$2000,$A1347))</f>
        <v/>
      </c>
      <c r="V1347" s="64" t="str">
        <f>IFERROR(__xludf.DUMMYFUNCTION("IF($A1347="""","""",IFERROR(INDEX(FILTER(Candidates!$S$2:$S$2000,Candidates!$A$2:$A$2000=$A1347),COUNTIF(Candidates!$A$2:$A$2000,$A1347)),""""))"),"")</f>
        <v/>
      </c>
      <c r="W1347" s="64" t="str">
        <f>IFERROR(__xludf.DUMMYFUNCTION("IF($A1347="""","""",IFERROR(INDEX(FILTER(Candidates!$T$2:$T$2000,Candidates!$A$2:$A$2000=$A1347),COUNTIF(Candidates!$A$2:$A$2000,$A1347)),""""))"),"")</f>
        <v/>
      </c>
      <c r="X1347" s="64"/>
      <c r="Y1347" s="64"/>
      <c r="Z1347" s="65"/>
      <c r="AA1347" s="65"/>
      <c r="AB1347" s="65"/>
      <c r="AC1347" s="65"/>
    </row>
    <row r="1348">
      <c r="A1348" s="64"/>
      <c r="B1348" s="64"/>
      <c r="C1348" s="64"/>
      <c r="D1348" s="64"/>
      <c r="E1348" s="64"/>
      <c r="F1348" s="64"/>
      <c r="G1348" s="64"/>
      <c r="H1348" s="63"/>
      <c r="I1348" s="64"/>
      <c r="J1348" s="64"/>
      <c r="K1348" s="64"/>
      <c r="L1348" s="64"/>
      <c r="M1348" s="64"/>
      <c r="N1348" s="64"/>
      <c r="O1348" s="64"/>
      <c r="P1348" s="64"/>
      <c r="Q1348" s="64"/>
      <c r="R1348" s="65" t="str">
        <f>IF($A1348="","",IFERROR(MINIFS(Candidates!$K$2:$K$2000,Candidates!$A$2:$A$2000,$A1348),""))</f>
        <v/>
      </c>
      <c r="S1348" s="65" t="str">
        <f>IF($A1348="","",IFERROR(MAXIFS(Candidates!$AA$2:$AA$2000,Candidates!$A$2:$A$2000,$A1348),""))</f>
        <v/>
      </c>
      <c r="T1348" s="64" t="str">
        <f>IFERROR(__xludf.DUMMYFUNCTION("IF($A1348="""","""",IFERROR(TEXTJOIN("", "",TRUE,UNIQUE(FILTER(Candidates!$B$2:$B$2000,Candidates!$A$2:$A$2000=$A1348))),""""))"),"")</f>
        <v/>
      </c>
      <c r="U1348" s="66" t="str">
        <f>IF($A1348="","",COUNTIF(Candidates!$A$2:$A$2000,$A1348))</f>
        <v/>
      </c>
      <c r="V1348" s="64" t="str">
        <f>IFERROR(__xludf.DUMMYFUNCTION("IF($A1348="""","""",IFERROR(INDEX(FILTER(Candidates!$S$2:$S$2000,Candidates!$A$2:$A$2000=$A1348),COUNTIF(Candidates!$A$2:$A$2000,$A1348)),""""))"),"")</f>
        <v/>
      </c>
      <c r="W1348" s="64" t="str">
        <f>IFERROR(__xludf.DUMMYFUNCTION("IF($A1348="""","""",IFERROR(INDEX(FILTER(Candidates!$T$2:$T$2000,Candidates!$A$2:$A$2000=$A1348),COUNTIF(Candidates!$A$2:$A$2000,$A1348)),""""))"),"")</f>
        <v/>
      </c>
      <c r="X1348" s="64"/>
      <c r="Y1348" s="64"/>
      <c r="Z1348" s="65"/>
      <c r="AA1348" s="65"/>
      <c r="AB1348" s="65"/>
      <c r="AC1348" s="65"/>
    </row>
    <row r="1349">
      <c r="A1349" s="64"/>
      <c r="B1349" s="64"/>
      <c r="C1349" s="64"/>
      <c r="D1349" s="64"/>
      <c r="E1349" s="64"/>
      <c r="F1349" s="64"/>
      <c r="G1349" s="64"/>
      <c r="H1349" s="63"/>
      <c r="I1349" s="64"/>
      <c r="J1349" s="64"/>
      <c r="K1349" s="64"/>
      <c r="L1349" s="64"/>
      <c r="M1349" s="64"/>
      <c r="N1349" s="64"/>
      <c r="O1349" s="64"/>
      <c r="P1349" s="64"/>
      <c r="Q1349" s="64"/>
      <c r="R1349" s="65" t="str">
        <f>IF($A1349="","",IFERROR(MINIFS(Candidates!$K$2:$K$2000,Candidates!$A$2:$A$2000,$A1349),""))</f>
        <v/>
      </c>
      <c r="S1349" s="65" t="str">
        <f>IF($A1349="","",IFERROR(MAXIFS(Candidates!$AA$2:$AA$2000,Candidates!$A$2:$A$2000,$A1349),""))</f>
        <v/>
      </c>
      <c r="T1349" s="64" t="str">
        <f>IFERROR(__xludf.DUMMYFUNCTION("IF($A1349="""","""",IFERROR(TEXTJOIN("", "",TRUE,UNIQUE(FILTER(Candidates!$B$2:$B$2000,Candidates!$A$2:$A$2000=$A1349))),""""))"),"")</f>
        <v/>
      </c>
      <c r="U1349" s="66" t="str">
        <f>IF($A1349="","",COUNTIF(Candidates!$A$2:$A$2000,$A1349))</f>
        <v/>
      </c>
      <c r="V1349" s="64" t="str">
        <f>IFERROR(__xludf.DUMMYFUNCTION("IF($A1349="""","""",IFERROR(INDEX(FILTER(Candidates!$S$2:$S$2000,Candidates!$A$2:$A$2000=$A1349),COUNTIF(Candidates!$A$2:$A$2000,$A1349)),""""))"),"")</f>
        <v/>
      </c>
      <c r="W1349" s="64" t="str">
        <f>IFERROR(__xludf.DUMMYFUNCTION("IF($A1349="""","""",IFERROR(INDEX(FILTER(Candidates!$T$2:$T$2000,Candidates!$A$2:$A$2000=$A1349),COUNTIF(Candidates!$A$2:$A$2000,$A1349)),""""))"),"")</f>
        <v/>
      </c>
      <c r="X1349" s="64"/>
      <c r="Y1349" s="64"/>
      <c r="Z1349" s="65"/>
      <c r="AA1349" s="65"/>
      <c r="AB1349" s="65"/>
      <c r="AC1349" s="65"/>
    </row>
    <row r="1350">
      <c r="A1350" s="64"/>
      <c r="B1350" s="64"/>
      <c r="C1350" s="64"/>
      <c r="D1350" s="64"/>
      <c r="E1350" s="64"/>
      <c r="F1350" s="64"/>
      <c r="G1350" s="64"/>
      <c r="H1350" s="63"/>
      <c r="I1350" s="64"/>
      <c r="J1350" s="64"/>
      <c r="K1350" s="64"/>
      <c r="L1350" s="64"/>
      <c r="M1350" s="64"/>
      <c r="N1350" s="64"/>
      <c r="O1350" s="64"/>
      <c r="P1350" s="64"/>
      <c r="Q1350" s="64"/>
      <c r="R1350" s="65" t="str">
        <f>IF($A1350="","",IFERROR(MINIFS(Candidates!$K$2:$K$2000,Candidates!$A$2:$A$2000,$A1350),""))</f>
        <v/>
      </c>
      <c r="S1350" s="65" t="str">
        <f>IF($A1350="","",IFERROR(MAXIFS(Candidates!$AA$2:$AA$2000,Candidates!$A$2:$A$2000,$A1350),""))</f>
        <v/>
      </c>
      <c r="T1350" s="64" t="str">
        <f>IFERROR(__xludf.DUMMYFUNCTION("IF($A1350="""","""",IFERROR(TEXTJOIN("", "",TRUE,UNIQUE(FILTER(Candidates!$B$2:$B$2000,Candidates!$A$2:$A$2000=$A1350))),""""))"),"")</f>
        <v/>
      </c>
      <c r="U1350" s="66" t="str">
        <f>IF($A1350="","",COUNTIF(Candidates!$A$2:$A$2000,$A1350))</f>
        <v/>
      </c>
      <c r="V1350" s="64" t="str">
        <f>IFERROR(__xludf.DUMMYFUNCTION("IF($A1350="""","""",IFERROR(INDEX(FILTER(Candidates!$S$2:$S$2000,Candidates!$A$2:$A$2000=$A1350),COUNTIF(Candidates!$A$2:$A$2000,$A1350)),""""))"),"")</f>
        <v/>
      </c>
      <c r="W1350" s="64" t="str">
        <f>IFERROR(__xludf.DUMMYFUNCTION("IF($A1350="""","""",IFERROR(INDEX(FILTER(Candidates!$T$2:$T$2000,Candidates!$A$2:$A$2000=$A1350),COUNTIF(Candidates!$A$2:$A$2000,$A1350)),""""))"),"")</f>
        <v/>
      </c>
      <c r="X1350" s="64"/>
      <c r="Y1350" s="64"/>
      <c r="Z1350" s="65"/>
      <c r="AA1350" s="65"/>
      <c r="AB1350" s="65"/>
      <c r="AC1350" s="65"/>
    </row>
    <row r="1351">
      <c r="A1351" s="64"/>
      <c r="B1351" s="64"/>
      <c r="C1351" s="64"/>
      <c r="D1351" s="64"/>
      <c r="E1351" s="64"/>
      <c r="F1351" s="64"/>
      <c r="G1351" s="64"/>
      <c r="H1351" s="63"/>
      <c r="I1351" s="64"/>
      <c r="J1351" s="64"/>
      <c r="K1351" s="64"/>
      <c r="L1351" s="64"/>
      <c r="M1351" s="64"/>
      <c r="N1351" s="64"/>
      <c r="O1351" s="64"/>
      <c r="P1351" s="64"/>
      <c r="Q1351" s="64"/>
      <c r="R1351" s="65" t="str">
        <f>IF($A1351="","",IFERROR(MINIFS(Candidates!$K$2:$K$2000,Candidates!$A$2:$A$2000,$A1351),""))</f>
        <v/>
      </c>
      <c r="S1351" s="65" t="str">
        <f>IF($A1351="","",IFERROR(MAXIFS(Candidates!$AA$2:$AA$2000,Candidates!$A$2:$A$2000,$A1351),""))</f>
        <v/>
      </c>
      <c r="T1351" s="64" t="str">
        <f>IFERROR(__xludf.DUMMYFUNCTION("IF($A1351="""","""",IFERROR(TEXTJOIN("", "",TRUE,UNIQUE(FILTER(Candidates!$B$2:$B$2000,Candidates!$A$2:$A$2000=$A1351))),""""))"),"")</f>
        <v/>
      </c>
      <c r="U1351" s="66" t="str">
        <f>IF($A1351="","",COUNTIF(Candidates!$A$2:$A$2000,$A1351))</f>
        <v/>
      </c>
      <c r="V1351" s="64" t="str">
        <f>IFERROR(__xludf.DUMMYFUNCTION("IF($A1351="""","""",IFERROR(INDEX(FILTER(Candidates!$S$2:$S$2000,Candidates!$A$2:$A$2000=$A1351),COUNTIF(Candidates!$A$2:$A$2000,$A1351)),""""))"),"")</f>
        <v/>
      </c>
      <c r="W1351" s="64" t="str">
        <f>IFERROR(__xludf.DUMMYFUNCTION("IF($A1351="""","""",IFERROR(INDEX(FILTER(Candidates!$T$2:$T$2000,Candidates!$A$2:$A$2000=$A1351),COUNTIF(Candidates!$A$2:$A$2000,$A1351)),""""))"),"")</f>
        <v/>
      </c>
      <c r="X1351" s="64"/>
      <c r="Y1351" s="64"/>
      <c r="Z1351" s="65"/>
      <c r="AA1351" s="65"/>
      <c r="AB1351" s="65"/>
      <c r="AC1351" s="65"/>
    </row>
    <row r="1352">
      <c r="A1352" s="64"/>
      <c r="B1352" s="64"/>
      <c r="C1352" s="64"/>
      <c r="D1352" s="64"/>
      <c r="E1352" s="64"/>
      <c r="F1352" s="64"/>
      <c r="G1352" s="64"/>
      <c r="H1352" s="63"/>
      <c r="I1352" s="64"/>
      <c r="J1352" s="64"/>
      <c r="K1352" s="64"/>
      <c r="L1352" s="64"/>
      <c r="M1352" s="64"/>
      <c r="N1352" s="64"/>
      <c r="O1352" s="64"/>
      <c r="P1352" s="64"/>
      <c r="Q1352" s="64"/>
      <c r="R1352" s="65" t="str">
        <f>IF($A1352="","",IFERROR(MINIFS(Candidates!$K$2:$K$2000,Candidates!$A$2:$A$2000,$A1352),""))</f>
        <v/>
      </c>
      <c r="S1352" s="65" t="str">
        <f>IF($A1352="","",IFERROR(MAXIFS(Candidates!$AA$2:$AA$2000,Candidates!$A$2:$A$2000,$A1352),""))</f>
        <v/>
      </c>
      <c r="T1352" s="64" t="str">
        <f>IFERROR(__xludf.DUMMYFUNCTION("IF($A1352="""","""",IFERROR(TEXTJOIN("", "",TRUE,UNIQUE(FILTER(Candidates!$B$2:$B$2000,Candidates!$A$2:$A$2000=$A1352))),""""))"),"")</f>
        <v/>
      </c>
      <c r="U1352" s="66" t="str">
        <f>IF($A1352="","",COUNTIF(Candidates!$A$2:$A$2000,$A1352))</f>
        <v/>
      </c>
      <c r="V1352" s="64" t="str">
        <f>IFERROR(__xludf.DUMMYFUNCTION("IF($A1352="""","""",IFERROR(INDEX(FILTER(Candidates!$S$2:$S$2000,Candidates!$A$2:$A$2000=$A1352),COUNTIF(Candidates!$A$2:$A$2000,$A1352)),""""))"),"")</f>
        <v/>
      </c>
      <c r="W1352" s="64" t="str">
        <f>IFERROR(__xludf.DUMMYFUNCTION("IF($A1352="""","""",IFERROR(INDEX(FILTER(Candidates!$T$2:$T$2000,Candidates!$A$2:$A$2000=$A1352),COUNTIF(Candidates!$A$2:$A$2000,$A1352)),""""))"),"")</f>
        <v/>
      </c>
      <c r="X1352" s="64"/>
      <c r="Y1352" s="64"/>
      <c r="Z1352" s="65"/>
      <c r="AA1352" s="65"/>
      <c r="AB1352" s="65"/>
      <c r="AC1352" s="65"/>
    </row>
    <row r="1353">
      <c r="A1353" s="64"/>
      <c r="B1353" s="64"/>
      <c r="C1353" s="64"/>
      <c r="D1353" s="64"/>
      <c r="E1353" s="64"/>
      <c r="F1353" s="64"/>
      <c r="G1353" s="64"/>
      <c r="H1353" s="63"/>
      <c r="I1353" s="64"/>
      <c r="J1353" s="64"/>
      <c r="K1353" s="64"/>
      <c r="L1353" s="64"/>
      <c r="M1353" s="64"/>
      <c r="N1353" s="64"/>
      <c r="O1353" s="64"/>
      <c r="P1353" s="64"/>
      <c r="Q1353" s="64"/>
      <c r="R1353" s="65" t="str">
        <f>IF($A1353="","",IFERROR(MINIFS(Candidates!$K$2:$K$2000,Candidates!$A$2:$A$2000,$A1353),""))</f>
        <v/>
      </c>
      <c r="S1353" s="65" t="str">
        <f>IF($A1353="","",IFERROR(MAXIFS(Candidates!$AA$2:$AA$2000,Candidates!$A$2:$A$2000,$A1353),""))</f>
        <v/>
      </c>
      <c r="T1353" s="64" t="str">
        <f>IFERROR(__xludf.DUMMYFUNCTION("IF($A1353="""","""",IFERROR(TEXTJOIN("", "",TRUE,UNIQUE(FILTER(Candidates!$B$2:$B$2000,Candidates!$A$2:$A$2000=$A1353))),""""))"),"")</f>
        <v/>
      </c>
      <c r="U1353" s="66" t="str">
        <f>IF($A1353="","",COUNTIF(Candidates!$A$2:$A$2000,$A1353))</f>
        <v/>
      </c>
      <c r="V1353" s="64" t="str">
        <f>IFERROR(__xludf.DUMMYFUNCTION("IF($A1353="""","""",IFERROR(INDEX(FILTER(Candidates!$S$2:$S$2000,Candidates!$A$2:$A$2000=$A1353),COUNTIF(Candidates!$A$2:$A$2000,$A1353)),""""))"),"")</f>
        <v/>
      </c>
      <c r="W1353" s="64" t="str">
        <f>IFERROR(__xludf.DUMMYFUNCTION("IF($A1353="""","""",IFERROR(INDEX(FILTER(Candidates!$T$2:$T$2000,Candidates!$A$2:$A$2000=$A1353),COUNTIF(Candidates!$A$2:$A$2000,$A1353)),""""))"),"")</f>
        <v/>
      </c>
      <c r="X1353" s="64"/>
      <c r="Y1353" s="64"/>
      <c r="Z1353" s="65"/>
      <c r="AA1353" s="65"/>
      <c r="AB1353" s="65"/>
      <c r="AC1353" s="65"/>
    </row>
    <row r="1354">
      <c r="A1354" s="64"/>
      <c r="B1354" s="64"/>
      <c r="C1354" s="64"/>
      <c r="D1354" s="64"/>
      <c r="E1354" s="64"/>
      <c r="F1354" s="64"/>
      <c r="G1354" s="64"/>
      <c r="H1354" s="63"/>
      <c r="I1354" s="64"/>
      <c r="J1354" s="64"/>
      <c r="K1354" s="64"/>
      <c r="L1354" s="64"/>
      <c r="M1354" s="64"/>
      <c r="N1354" s="64"/>
      <c r="O1354" s="64"/>
      <c r="P1354" s="64"/>
      <c r="Q1354" s="64"/>
      <c r="R1354" s="65" t="str">
        <f>IF($A1354="","",IFERROR(MINIFS(Candidates!$K$2:$K$2000,Candidates!$A$2:$A$2000,$A1354),""))</f>
        <v/>
      </c>
      <c r="S1354" s="65" t="str">
        <f>IF($A1354="","",IFERROR(MAXIFS(Candidates!$AA$2:$AA$2000,Candidates!$A$2:$A$2000,$A1354),""))</f>
        <v/>
      </c>
      <c r="T1354" s="64" t="str">
        <f>IFERROR(__xludf.DUMMYFUNCTION("IF($A1354="""","""",IFERROR(TEXTJOIN("", "",TRUE,UNIQUE(FILTER(Candidates!$B$2:$B$2000,Candidates!$A$2:$A$2000=$A1354))),""""))"),"")</f>
        <v/>
      </c>
      <c r="U1354" s="66" t="str">
        <f>IF($A1354="","",COUNTIF(Candidates!$A$2:$A$2000,$A1354))</f>
        <v/>
      </c>
      <c r="V1354" s="64" t="str">
        <f>IFERROR(__xludf.DUMMYFUNCTION("IF($A1354="""","""",IFERROR(INDEX(FILTER(Candidates!$S$2:$S$2000,Candidates!$A$2:$A$2000=$A1354),COUNTIF(Candidates!$A$2:$A$2000,$A1354)),""""))"),"")</f>
        <v/>
      </c>
      <c r="W1354" s="64" t="str">
        <f>IFERROR(__xludf.DUMMYFUNCTION("IF($A1354="""","""",IFERROR(INDEX(FILTER(Candidates!$T$2:$T$2000,Candidates!$A$2:$A$2000=$A1354),COUNTIF(Candidates!$A$2:$A$2000,$A1354)),""""))"),"")</f>
        <v/>
      </c>
      <c r="X1354" s="64"/>
      <c r="Y1354" s="64"/>
      <c r="Z1354" s="65"/>
      <c r="AA1354" s="65"/>
      <c r="AB1354" s="65"/>
      <c r="AC1354" s="65"/>
    </row>
    <row r="1355">
      <c r="A1355" s="64"/>
      <c r="B1355" s="64"/>
      <c r="C1355" s="64"/>
      <c r="D1355" s="64"/>
      <c r="E1355" s="64"/>
      <c r="F1355" s="64"/>
      <c r="G1355" s="64"/>
      <c r="H1355" s="63"/>
      <c r="I1355" s="64"/>
      <c r="J1355" s="64"/>
      <c r="K1355" s="64"/>
      <c r="L1355" s="64"/>
      <c r="M1355" s="64"/>
      <c r="N1355" s="64"/>
      <c r="O1355" s="64"/>
      <c r="P1355" s="64"/>
      <c r="Q1355" s="64"/>
      <c r="R1355" s="65" t="str">
        <f>IF($A1355="","",IFERROR(MINIFS(Candidates!$K$2:$K$2000,Candidates!$A$2:$A$2000,$A1355),""))</f>
        <v/>
      </c>
      <c r="S1355" s="65" t="str">
        <f>IF($A1355="","",IFERROR(MAXIFS(Candidates!$AA$2:$AA$2000,Candidates!$A$2:$A$2000,$A1355),""))</f>
        <v/>
      </c>
      <c r="T1355" s="64" t="str">
        <f>IFERROR(__xludf.DUMMYFUNCTION("IF($A1355="""","""",IFERROR(TEXTJOIN("", "",TRUE,UNIQUE(FILTER(Candidates!$B$2:$B$2000,Candidates!$A$2:$A$2000=$A1355))),""""))"),"")</f>
        <v/>
      </c>
      <c r="U1355" s="66" t="str">
        <f>IF($A1355="","",COUNTIF(Candidates!$A$2:$A$2000,$A1355))</f>
        <v/>
      </c>
      <c r="V1355" s="64" t="str">
        <f>IFERROR(__xludf.DUMMYFUNCTION("IF($A1355="""","""",IFERROR(INDEX(FILTER(Candidates!$S$2:$S$2000,Candidates!$A$2:$A$2000=$A1355),COUNTIF(Candidates!$A$2:$A$2000,$A1355)),""""))"),"")</f>
        <v/>
      </c>
      <c r="W1355" s="64" t="str">
        <f>IFERROR(__xludf.DUMMYFUNCTION("IF($A1355="""","""",IFERROR(INDEX(FILTER(Candidates!$T$2:$T$2000,Candidates!$A$2:$A$2000=$A1355),COUNTIF(Candidates!$A$2:$A$2000,$A1355)),""""))"),"")</f>
        <v/>
      </c>
      <c r="X1355" s="64"/>
      <c r="Y1355" s="64"/>
      <c r="Z1355" s="65"/>
      <c r="AA1355" s="65"/>
      <c r="AB1355" s="65"/>
      <c r="AC1355" s="65"/>
    </row>
    <row r="1356">
      <c r="A1356" s="64"/>
      <c r="B1356" s="64"/>
      <c r="C1356" s="64"/>
      <c r="D1356" s="64"/>
      <c r="E1356" s="64"/>
      <c r="F1356" s="64"/>
      <c r="G1356" s="64"/>
      <c r="H1356" s="63"/>
      <c r="I1356" s="64"/>
      <c r="J1356" s="64"/>
      <c r="K1356" s="64"/>
      <c r="L1356" s="64"/>
      <c r="M1356" s="64"/>
      <c r="N1356" s="64"/>
      <c r="O1356" s="64"/>
      <c r="P1356" s="64"/>
      <c r="Q1356" s="64"/>
      <c r="R1356" s="65" t="str">
        <f>IF($A1356="","",IFERROR(MINIFS(Candidates!$K$2:$K$2000,Candidates!$A$2:$A$2000,$A1356),""))</f>
        <v/>
      </c>
      <c r="S1356" s="65" t="str">
        <f>IF($A1356="","",IFERROR(MAXIFS(Candidates!$AA$2:$AA$2000,Candidates!$A$2:$A$2000,$A1356),""))</f>
        <v/>
      </c>
      <c r="T1356" s="64" t="str">
        <f>IFERROR(__xludf.DUMMYFUNCTION("IF($A1356="""","""",IFERROR(TEXTJOIN("", "",TRUE,UNIQUE(FILTER(Candidates!$B$2:$B$2000,Candidates!$A$2:$A$2000=$A1356))),""""))"),"")</f>
        <v/>
      </c>
      <c r="U1356" s="66" t="str">
        <f>IF($A1356="","",COUNTIF(Candidates!$A$2:$A$2000,$A1356))</f>
        <v/>
      </c>
      <c r="V1356" s="64" t="str">
        <f>IFERROR(__xludf.DUMMYFUNCTION("IF($A1356="""","""",IFERROR(INDEX(FILTER(Candidates!$S$2:$S$2000,Candidates!$A$2:$A$2000=$A1356),COUNTIF(Candidates!$A$2:$A$2000,$A1356)),""""))"),"")</f>
        <v/>
      </c>
      <c r="W1356" s="64" t="str">
        <f>IFERROR(__xludf.DUMMYFUNCTION("IF($A1356="""","""",IFERROR(INDEX(FILTER(Candidates!$T$2:$T$2000,Candidates!$A$2:$A$2000=$A1356),COUNTIF(Candidates!$A$2:$A$2000,$A1356)),""""))"),"")</f>
        <v/>
      </c>
      <c r="X1356" s="64"/>
      <c r="Y1356" s="64"/>
      <c r="Z1356" s="65"/>
      <c r="AA1356" s="65"/>
      <c r="AB1356" s="65"/>
      <c r="AC1356" s="65"/>
    </row>
    <row r="1357">
      <c r="A1357" s="64"/>
      <c r="B1357" s="64"/>
      <c r="C1357" s="64"/>
      <c r="D1357" s="64"/>
      <c r="E1357" s="64"/>
      <c r="F1357" s="64"/>
      <c r="G1357" s="64"/>
      <c r="H1357" s="63"/>
      <c r="I1357" s="64"/>
      <c r="J1357" s="64"/>
      <c r="K1357" s="64"/>
      <c r="L1357" s="64"/>
      <c r="M1357" s="64"/>
      <c r="N1357" s="64"/>
      <c r="O1357" s="64"/>
      <c r="P1357" s="64"/>
      <c r="Q1357" s="64"/>
      <c r="R1357" s="65" t="str">
        <f>IF($A1357="","",IFERROR(MINIFS(Candidates!$K$2:$K$2000,Candidates!$A$2:$A$2000,$A1357),""))</f>
        <v/>
      </c>
      <c r="S1357" s="65" t="str">
        <f>IF($A1357="","",IFERROR(MAXIFS(Candidates!$AA$2:$AA$2000,Candidates!$A$2:$A$2000,$A1357),""))</f>
        <v/>
      </c>
      <c r="T1357" s="64" t="str">
        <f>IFERROR(__xludf.DUMMYFUNCTION("IF($A1357="""","""",IFERROR(TEXTJOIN("", "",TRUE,UNIQUE(FILTER(Candidates!$B$2:$B$2000,Candidates!$A$2:$A$2000=$A1357))),""""))"),"")</f>
        <v/>
      </c>
      <c r="U1357" s="66" t="str">
        <f>IF($A1357="","",COUNTIF(Candidates!$A$2:$A$2000,$A1357))</f>
        <v/>
      </c>
      <c r="V1357" s="64" t="str">
        <f>IFERROR(__xludf.DUMMYFUNCTION("IF($A1357="""","""",IFERROR(INDEX(FILTER(Candidates!$S$2:$S$2000,Candidates!$A$2:$A$2000=$A1357),COUNTIF(Candidates!$A$2:$A$2000,$A1357)),""""))"),"")</f>
        <v/>
      </c>
      <c r="W1357" s="64" t="str">
        <f>IFERROR(__xludf.DUMMYFUNCTION("IF($A1357="""","""",IFERROR(INDEX(FILTER(Candidates!$T$2:$T$2000,Candidates!$A$2:$A$2000=$A1357),COUNTIF(Candidates!$A$2:$A$2000,$A1357)),""""))"),"")</f>
        <v/>
      </c>
      <c r="X1357" s="64"/>
      <c r="Y1357" s="64"/>
      <c r="Z1357" s="65"/>
      <c r="AA1357" s="65"/>
      <c r="AB1357" s="65"/>
      <c r="AC1357" s="65"/>
    </row>
    <row r="1358">
      <c r="A1358" s="64"/>
      <c r="B1358" s="64"/>
      <c r="C1358" s="64"/>
      <c r="D1358" s="64"/>
      <c r="E1358" s="64"/>
      <c r="F1358" s="64"/>
      <c r="G1358" s="64"/>
      <c r="H1358" s="63"/>
      <c r="I1358" s="64"/>
      <c r="J1358" s="64"/>
      <c r="K1358" s="64"/>
      <c r="L1358" s="64"/>
      <c r="M1358" s="64"/>
      <c r="N1358" s="64"/>
      <c r="O1358" s="64"/>
      <c r="P1358" s="64"/>
      <c r="Q1358" s="64"/>
      <c r="R1358" s="65" t="str">
        <f>IF($A1358="","",IFERROR(MINIFS(Candidates!$K$2:$K$2000,Candidates!$A$2:$A$2000,$A1358),""))</f>
        <v/>
      </c>
      <c r="S1358" s="65" t="str">
        <f>IF($A1358="","",IFERROR(MAXIFS(Candidates!$AA$2:$AA$2000,Candidates!$A$2:$A$2000,$A1358),""))</f>
        <v/>
      </c>
      <c r="T1358" s="64" t="str">
        <f>IFERROR(__xludf.DUMMYFUNCTION("IF($A1358="""","""",IFERROR(TEXTJOIN("", "",TRUE,UNIQUE(FILTER(Candidates!$B$2:$B$2000,Candidates!$A$2:$A$2000=$A1358))),""""))"),"")</f>
        <v/>
      </c>
      <c r="U1358" s="66" t="str">
        <f>IF($A1358="","",COUNTIF(Candidates!$A$2:$A$2000,$A1358))</f>
        <v/>
      </c>
      <c r="V1358" s="64" t="str">
        <f>IFERROR(__xludf.DUMMYFUNCTION("IF($A1358="""","""",IFERROR(INDEX(FILTER(Candidates!$S$2:$S$2000,Candidates!$A$2:$A$2000=$A1358),COUNTIF(Candidates!$A$2:$A$2000,$A1358)),""""))"),"")</f>
        <v/>
      </c>
      <c r="W1358" s="64" t="str">
        <f>IFERROR(__xludf.DUMMYFUNCTION("IF($A1358="""","""",IFERROR(INDEX(FILTER(Candidates!$T$2:$T$2000,Candidates!$A$2:$A$2000=$A1358),COUNTIF(Candidates!$A$2:$A$2000,$A1358)),""""))"),"")</f>
        <v/>
      </c>
      <c r="X1358" s="64"/>
      <c r="Y1358" s="64"/>
      <c r="Z1358" s="65"/>
      <c r="AA1358" s="65"/>
      <c r="AB1358" s="65"/>
      <c r="AC1358" s="65"/>
    </row>
    <row r="1359">
      <c r="A1359" s="64"/>
      <c r="B1359" s="64"/>
      <c r="C1359" s="64"/>
      <c r="D1359" s="64"/>
      <c r="E1359" s="64"/>
      <c r="F1359" s="64"/>
      <c r="G1359" s="64"/>
      <c r="H1359" s="63"/>
      <c r="I1359" s="64"/>
      <c r="J1359" s="64"/>
      <c r="K1359" s="64"/>
      <c r="L1359" s="64"/>
      <c r="M1359" s="64"/>
      <c r="N1359" s="64"/>
      <c r="O1359" s="64"/>
      <c r="P1359" s="64"/>
      <c r="Q1359" s="64"/>
      <c r="R1359" s="65" t="str">
        <f>IF($A1359="","",IFERROR(MINIFS(Candidates!$K$2:$K$2000,Candidates!$A$2:$A$2000,$A1359),""))</f>
        <v/>
      </c>
      <c r="S1359" s="65" t="str">
        <f>IF($A1359="","",IFERROR(MAXIFS(Candidates!$AA$2:$AA$2000,Candidates!$A$2:$A$2000,$A1359),""))</f>
        <v/>
      </c>
      <c r="T1359" s="64" t="str">
        <f>IFERROR(__xludf.DUMMYFUNCTION("IF($A1359="""","""",IFERROR(TEXTJOIN("", "",TRUE,UNIQUE(FILTER(Candidates!$B$2:$B$2000,Candidates!$A$2:$A$2000=$A1359))),""""))"),"")</f>
        <v/>
      </c>
      <c r="U1359" s="66" t="str">
        <f>IF($A1359="","",COUNTIF(Candidates!$A$2:$A$2000,$A1359))</f>
        <v/>
      </c>
      <c r="V1359" s="64" t="str">
        <f>IFERROR(__xludf.DUMMYFUNCTION("IF($A1359="""","""",IFERROR(INDEX(FILTER(Candidates!$S$2:$S$2000,Candidates!$A$2:$A$2000=$A1359),COUNTIF(Candidates!$A$2:$A$2000,$A1359)),""""))"),"")</f>
        <v/>
      </c>
      <c r="W1359" s="64" t="str">
        <f>IFERROR(__xludf.DUMMYFUNCTION("IF($A1359="""","""",IFERROR(INDEX(FILTER(Candidates!$T$2:$T$2000,Candidates!$A$2:$A$2000=$A1359),COUNTIF(Candidates!$A$2:$A$2000,$A1359)),""""))"),"")</f>
        <v/>
      </c>
      <c r="X1359" s="64"/>
      <c r="Y1359" s="64"/>
      <c r="Z1359" s="65"/>
      <c r="AA1359" s="65"/>
      <c r="AB1359" s="65"/>
      <c r="AC1359" s="65"/>
    </row>
    <row r="1360">
      <c r="A1360" s="64"/>
      <c r="B1360" s="64"/>
      <c r="C1360" s="64"/>
      <c r="D1360" s="64"/>
      <c r="E1360" s="64"/>
      <c r="F1360" s="64"/>
      <c r="G1360" s="64"/>
      <c r="H1360" s="63"/>
      <c r="I1360" s="64"/>
      <c r="J1360" s="64"/>
      <c r="K1360" s="64"/>
      <c r="L1360" s="64"/>
      <c r="M1360" s="64"/>
      <c r="N1360" s="64"/>
      <c r="O1360" s="64"/>
      <c r="P1360" s="64"/>
      <c r="Q1360" s="64"/>
      <c r="R1360" s="65" t="str">
        <f>IF($A1360="","",IFERROR(MINIFS(Candidates!$K$2:$K$2000,Candidates!$A$2:$A$2000,$A1360),""))</f>
        <v/>
      </c>
      <c r="S1360" s="65" t="str">
        <f>IF($A1360="","",IFERROR(MAXIFS(Candidates!$AA$2:$AA$2000,Candidates!$A$2:$A$2000,$A1360),""))</f>
        <v/>
      </c>
      <c r="T1360" s="64" t="str">
        <f>IFERROR(__xludf.DUMMYFUNCTION("IF($A1360="""","""",IFERROR(TEXTJOIN("", "",TRUE,UNIQUE(FILTER(Candidates!$B$2:$B$2000,Candidates!$A$2:$A$2000=$A1360))),""""))"),"")</f>
        <v/>
      </c>
      <c r="U1360" s="66" t="str">
        <f>IF($A1360="","",COUNTIF(Candidates!$A$2:$A$2000,$A1360))</f>
        <v/>
      </c>
      <c r="V1360" s="64" t="str">
        <f>IFERROR(__xludf.DUMMYFUNCTION("IF($A1360="""","""",IFERROR(INDEX(FILTER(Candidates!$S$2:$S$2000,Candidates!$A$2:$A$2000=$A1360),COUNTIF(Candidates!$A$2:$A$2000,$A1360)),""""))"),"")</f>
        <v/>
      </c>
      <c r="W1360" s="64" t="str">
        <f>IFERROR(__xludf.DUMMYFUNCTION("IF($A1360="""","""",IFERROR(INDEX(FILTER(Candidates!$T$2:$T$2000,Candidates!$A$2:$A$2000=$A1360),COUNTIF(Candidates!$A$2:$A$2000,$A1360)),""""))"),"")</f>
        <v/>
      </c>
      <c r="X1360" s="64"/>
      <c r="Y1360" s="64"/>
      <c r="Z1360" s="65"/>
      <c r="AA1360" s="65"/>
      <c r="AB1360" s="65"/>
      <c r="AC1360" s="65"/>
    </row>
    <row r="1361">
      <c r="A1361" s="64"/>
      <c r="B1361" s="64"/>
      <c r="C1361" s="64"/>
      <c r="D1361" s="64"/>
      <c r="E1361" s="64"/>
      <c r="F1361" s="64"/>
      <c r="G1361" s="64"/>
      <c r="H1361" s="63"/>
      <c r="I1361" s="64"/>
      <c r="J1361" s="64"/>
      <c r="K1361" s="64"/>
      <c r="L1361" s="64"/>
      <c r="M1361" s="64"/>
      <c r="N1361" s="64"/>
      <c r="O1361" s="64"/>
      <c r="P1361" s="64"/>
      <c r="Q1361" s="64"/>
      <c r="R1361" s="65" t="str">
        <f>IF($A1361="","",IFERROR(MINIFS(Candidates!$K$2:$K$2000,Candidates!$A$2:$A$2000,$A1361),""))</f>
        <v/>
      </c>
      <c r="S1361" s="65" t="str">
        <f>IF($A1361="","",IFERROR(MAXIFS(Candidates!$AA$2:$AA$2000,Candidates!$A$2:$A$2000,$A1361),""))</f>
        <v/>
      </c>
      <c r="T1361" s="64" t="str">
        <f>IFERROR(__xludf.DUMMYFUNCTION("IF($A1361="""","""",IFERROR(TEXTJOIN("", "",TRUE,UNIQUE(FILTER(Candidates!$B$2:$B$2000,Candidates!$A$2:$A$2000=$A1361))),""""))"),"")</f>
        <v/>
      </c>
      <c r="U1361" s="66" t="str">
        <f>IF($A1361="","",COUNTIF(Candidates!$A$2:$A$2000,$A1361))</f>
        <v/>
      </c>
      <c r="V1361" s="64" t="str">
        <f>IFERROR(__xludf.DUMMYFUNCTION("IF($A1361="""","""",IFERROR(INDEX(FILTER(Candidates!$S$2:$S$2000,Candidates!$A$2:$A$2000=$A1361),COUNTIF(Candidates!$A$2:$A$2000,$A1361)),""""))"),"")</f>
        <v/>
      </c>
      <c r="W1361" s="64" t="str">
        <f>IFERROR(__xludf.DUMMYFUNCTION("IF($A1361="""","""",IFERROR(INDEX(FILTER(Candidates!$T$2:$T$2000,Candidates!$A$2:$A$2000=$A1361),COUNTIF(Candidates!$A$2:$A$2000,$A1361)),""""))"),"")</f>
        <v/>
      </c>
      <c r="X1361" s="64"/>
      <c r="Y1361" s="64"/>
      <c r="Z1361" s="65"/>
      <c r="AA1361" s="65"/>
      <c r="AB1361" s="65"/>
      <c r="AC1361" s="65"/>
    </row>
    <row r="1362">
      <c r="A1362" s="64"/>
      <c r="B1362" s="64"/>
      <c r="C1362" s="64"/>
      <c r="D1362" s="64"/>
      <c r="E1362" s="64"/>
      <c r="F1362" s="64"/>
      <c r="G1362" s="64"/>
      <c r="H1362" s="63"/>
      <c r="I1362" s="64"/>
      <c r="J1362" s="64"/>
      <c r="K1362" s="64"/>
      <c r="L1362" s="64"/>
      <c r="M1362" s="64"/>
      <c r="N1362" s="64"/>
      <c r="O1362" s="64"/>
      <c r="P1362" s="64"/>
      <c r="Q1362" s="64"/>
      <c r="R1362" s="65" t="str">
        <f>IF($A1362="","",IFERROR(MINIFS(Candidates!$K$2:$K$2000,Candidates!$A$2:$A$2000,$A1362),""))</f>
        <v/>
      </c>
      <c r="S1362" s="65" t="str">
        <f>IF($A1362="","",IFERROR(MAXIFS(Candidates!$AA$2:$AA$2000,Candidates!$A$2:$A$2000,$A1362),""))</f>
        <v/>
      </c>
      <c r="T1362" s="64" t="str">
        <f>IFERROR(__xludf.DUMMYFUNCTION("IF($A1362="""","""",IFERROR(TEXTJOIN("", "",TRUE,UNIQUE(FILTER(Candidates!$B$2:$B$2000,Candidates!$A$2:$A$2000=$A1362))),""""))"),"")</f>
        <v/>
      </c>
      <c r="U1362" s="66" t="str">
        <f>IF($A1362="","",COUNTIF(Candidates!$A$2:$A$2000,$A1362))</f>
        <v/>
      </c>
      <c r="V1362" s="64" t="str">
        <f>IFERROR(__xludf.DUMMYFUNCTION("IF($A1362="""","""",IFERROR(INDEX(FILTER(Candidates!$S$2:$S$2000,Candidates!$A$2:$A$2000=$A1362),COUNTIF(Candidates!$A$2:$A$2000,$A1362)),""""))"),"")</f>
        <v/>
      </c>
      <c r="W1362" s="64" t="str">
        <f>IFERROR(__xludf.DUMMYFUNCTION("IF($A1362="""","""",IFERROR(INDEX(FILTER(Candidates!$T$2:$T$2000,Candidates!$A$2:$A$2000=$A1362),COUNTIF(Candidates!$A$2:$A$2000,$A1362)),""""))"),"")</f>
        <v/>
      </c>
      <c r="X1362" s="64"/>
      <c r="Y1362" s="64"/>
      <c r="Z1362" s="65"/>
      <c r="AA1362" s="65"/>
      <c r="AB1362" s="65"/>
      <c r="AC1362" s="65"/>
    </row>
    <row r="1363">
      <c r="A1363" s="64"/>
      <c r="B1363" s="64"/>
      <c r="C1363" s="64"/>
      <c r="D1363" s="64"/>
      <c r="E1363" s="64"/>
      <c r="F1363" s="64"/>
      <c r="G1363" s="64"/>
      <c r="H1363" s="63"/>
      <c r="I1363" s="64"/>
      <c r="J1363" s="64"/>
      <c r="K1363" s="64"/>
      <c r="L1363" s="64"/>
      <c r="M1363" s="64"/>
      <c r="N1363" s="64"/>
      <c r="O1363" s="64"/>
      <c r="P1363" s="64"/>
      <c r="Q1363" s="64"/>
      <c r="R1363" s="65" t="str">
        <f>IF($A1363="","",IFERROR(MINIFS(Candidates!$K$2:$K$2000,Candidates!$A$2:$A$2000,$A1363),""))</f>
        <v/>
      </c>
      <c r="S1363" s="65" t="str">
        <f>IF($A1363="","",IFERROR(MAXIFS(Candidates!$AA$2:$AA$2000,Candidates!$A$2:$A$2000,$A1363),""))</f>
        <v/>
      </c>
      <c r="T1363" s="64" t="str">
        <f>IFERROR(__xludf.DUMMYFUNCTION("IF($A1363="""","""",IFERROR(TEXTJOIN("", "",TRUE,UNIQUE(FILTER(Candidates!$B$2:$B$2000,Candidates!$A$2:$A$2000=$A1363))),""""))"),"")</f>
        <v/>
      </c>
      <c r="U1363" s="66" t="str">
        <f>IF($A1363="","",COUNTIF(Candidates!$A$2:$A$2000,$A1363))</f>
        <v/>
      </c>
      <c r="V1363" s="64" t="str">
        <f>IFERROR(__xludf.DUMMYFUNCTION("IF($A1363="""","""",IFERROR(INDEX(FILTER(Candidates!$S$2:$S$2000,Candidates!$A$2:$A$2000=$A1363),COUNTIF(Candidates!$A$2:$A$2000,$A1363)),""""))"),"")</f>
        <v/>
      </c>
      <c r="W1363" s="64" t="str">
        <f>IFERROR(__xludf.DUMMYFUNCTION("IF($A1363="""","""",IFERROR(INDEX(FILTER(Candidates!$T$2:$T$2000,Candidates!$A$2:$A$2000=$A1363),COUNTIF(Candidates!$A$2:$A$2000,$A1363)),""""))"),"")</f>
        <v/>
      </c>
      <c r="X1363" s="64"/>
      <c r="Y1363" s="64"/>
      <c r="Z1363" s="65"/>
      <c r="AA1363" s="65"/>
      <c r="AB1363" s="65"/>
      <c r="AC1363" s="65"/>
    </row>
    <row r="1364">
      <c r="A1364" s="64"/>
      <c r="B1364" s="64"/>
      <c r="C1364" s="64"/>
      <c r="D1364" s="64"/>
      <c r="E1364" s="64"/>
      <c r="F1364" s="64"/>
      <c r="G1364" s="64"/>
      <c r="H1364" s="63"/>
      <c r="I1364" s="64"/>
      <c r="J1364" s="64"/>
      <c r="K1364" s="64"/>
      <c r="L1364" s="64"/>
      <c r="M1364" s="64"/>
      <c r="N1364" s="64"/>
      <c r="O1364" s="64"/>
      <c r="P1364" s="64"/>
      <c r="Q1364" s="64"/>
      <c r="R1364" s="65" t="str">
        <f>IF($A1364="","",IFERROR(MINIFS(Candidates!$K$2:$K$2000,Candidates!$A$2:$A$2000,$A1364),""))</f>
        <v/>
      </c>
      <c r="S1364" s="65" t="str">
        <f>IF($A1364="","",IFERROR(MAXIFS(Candidates!$AA$2:$AA$2000,Candidates!$A$2:$A$2000,$A1364),""))</f>
        <v/>
      </c>
      <c r="T1364" s="64" t="str">
        <f>IFERROR(__xludf.DUMMYFUNCTION("IF($A1364="""","""",IFERROR(TEXTJOIN("", "",TRUE,UNIQUE(FILTER(Candidates!$B$2:$B$2000,Candidates!$A$2:$A$2000=$A1364))),""""))"),"")</f>
        <v/>
      </c>
      <c r="U1364" s="66" t="str">
        <f>IF($A1364="","",COUNTIF(Candidates!$A$2:$A$2000,$A1364))</f>
        <v/>
      </c>
      <c r="V1364" s="64" t="str">
        <f>IFERROR(__xludf.DUMMYFUNCTION("IF($A1364="""","""",IFERROR(INDEX(FILTER(Candidates!$S$2:$S$2000,Candidates!$A$2:$A$2000=$A1364),COUNTIF(Candidates!$A$2:$A$2000,$A1364)),""""))"),"")</f>
        <v/>
      </c>
      <c r="W1364" s="64" t="str">
        <f>IFERROR(__xludf.DUMMYFUNCTION("IF($A1364="""","""",IFERROR(INDEX(FILTER(Candidates!$T$2:$T$2000,Candidates!$A$2:$A$2000=$A1364),COUNTIF(Candidates!$A$2:$A$2000,$A1364)),""""))"),"")</f>
        <v/>
      </c>
      <c r="X1364" s="64"/>
      <c r="Y1364" s="64"/>
      <c r="Z1364" s="65"/>
      <c r="AA1364" s="65"/>
      <c r="AB1364" s="65"/>
      <c r="AC1364" s="65"/>
    </row>
    <row r="1365">
      <c r="A1365" s="64"/>
      <c r="B1365" s="64"/>
      <c r="C1365" s="64"/>
      <c r="D1365" s="64"/>
      <c r="E1365" s="64"/>
      <c r="F1365" s="64"/>
      <c r="G1365" s="64"/>
      <c r="H1365" s="63"/>
      <c r="I1365" s="64"/>
      <c r="J1365" s="64"/>
      <c r="K1365" s="64"/>
      <c r="L1365" s="64"/>
      <c r="M1365" s="64"/>
      <c r="N1365" s="64"/>
      <c r="O1365" s="64"/>
      <c r="P1365" s="64"/>
      <c r="Q1365" s="64"/>
      <c r="R1365" s="65" t="str">
        <f>IF($A1365="","",IFERROR(MINIFS(Candidates!$K$2:$K$2000,Candidates!$A$2:$A$2000,$A1365),""))</f>
        <v/>
      </c>
      <c r="S1365" s="65" t="str">
        <f>IF($A1365="","",IFERROR(MAXIFS(Candidates!$AA$2:$AA$2000,Candidates!$A$2:$A$2000,$A1365),""))</f>
        <v/>
      </c>
      <c r="T1365" s="64" t="str">
        <f>IFERROR(__xludf.DUMMYFUNCTION("IF($A1365="""","""",IFERROR(TEXTJOIN("", "",TRUE,UNIQUE(FILTER(Candidates!$B$2:$B$2000,Candidates!$A$2:$A$2000=$A1365))),""""))"),"")</f>
        <v/>
      </c>
      <c r="U1365" s="66" t="str">
        <f>IF($A1365="","",COUNTIF(Candidates!$A$2:$A$2000,$A1365))</f>
        <v/>
      </c>
      <c r="V1365" s="64" t="str">
        <f>IFERROR(__xludf.DUMMYFUNCTION("IF($A1365="""","""",IFERROR(INDEX(FILTER(Candidates!$S$2:$S$2000,Candidates!$A$2:$A$2000=$A1365),COUNTIF(Candidates!$A$2:$A$2000,$A1365)),""""))"),"")</f>
        <v/>
      </c>
      <c r="W1365" s="64" t="str">
        <f>IFERROR(__xludf.DUMMYFUNCTION("IF($A1365="""","""",IFERROR(INDEX(FILTER(Candidates!$T$2:$T$2000,Candidates!$A$2:$A$2000=$A1365),COUNTIF(Candidates!$A$2:$A$2000,$A1365)),""""))"),"")</f>
        <v/>
      </c>
      <c r="X1365" s="64"/>
      <c r="Y1365" s="64"/>
      <c r="Z1365" s="65"/>
      <c r="AA1365" s="65"/>
      <c r="AB1365" s="65"/>
      <c r="AC1365" s="65"/>
    </row>
    <row r="1366">
      <c r="A1366" s="64"/>
      <c r="B1366" s="64"/>
      <c r="C1366" s="64"/>
      <c r="D1366" s="64"/>
      <c r="E1366" s="64"/>
      <c r="F1366" s="64"/>
      <c r="G1366" s="64"/>
      <c r="H1366" s="63"/>
      <c r="I1366" s="64"/>
      <c r="J1366" s="64"/>
      <c r="K1366" s="64"/>
      <c r="L1366" s="64"/>
      <c r="M1366" s="64"/>
      <c r="N1366" s="64"/>
      <c r="O1366" s="64"/>
      <c r="P1366" s="64"/>
      <c r="Q1366" s="64"/>
      <c r="R1366" s="65" t="str">
        <f>IF($A1366="","",IFERROR(MINIFS(Candidates!$K$2:$K$2000,Candidates!$A$2:$A$2000,$A1366),""))</f>
        <v/>
      </c>
      <c r="S1366" s="65" t="str">
        <f>IF($A1366="","",IFERROR(MAXIFS(Candidates!$AA$2:$AA$2000,Candidates!$A$2:$A$2000,$A1366),""))</f>
        <v/>
      </c>
      <c r="T1366" s="64" t="str">
        <f>IFERROR(__xludf.DUMMYFUNCTION("IF($A1366="""","""",IFERROR(TEXTJOIN("", "",TRUE,UNIQUE(FILTER(Candidates!$B$2:$B$2000,Candidates!$A$2:$A$2000=$A1366))),""""))"),"")</f>
        <v/>
      </c>
      <c r="U1366" s="66" t="str">
        <f>IF($A1366="","",COUNTIF(Candidates!$A$2:$A$2000,$A1366))</f>
        <v/>
      </c>
      <c r="V1366" s="64" t="str">
        <f>IFERROR(__xludf.DUMMYFUNCTION("IF($A1366="""","""",IFERROR(INDEX(FILTER(Candidates!$S$2:$S$2000,Candidates!$A$2:$A$2000=$A1366),COUNTIF(Candidates!$A$2:$A$2000,$A1366)),""""))"),"")</f>
        <v/>
      </c>
      <c r="W1366" s="64" t="str">
        <f>IFERROR(__xludf.DUMMYFUNCTION("IF($A1366="""","""",IFERROR(INDEX(FILTER(Candidates!$T$2:$T$2000,Candidates!$A$2:$A$2000=$A1366),COUNTIF(Candidates!$A$2:$A$2000,$A1366)),""""))"),"")</f>
        <v/>
      </c>
      <c r="X1366" s="64"/>
      <c r="Y1366" s="64"/>
      <c r="Z1366" s="65"/>
      <c r="AA1366" s="65"/>
      <c r="AB1366" s="65"/>
      <c r="AC1366" s="65"/>
    </row>
    <row r="1367">
      <c r="A1367" s="64"/>
      <c r="B1367" s="64"/>
      <c r="C1367" s="64"/>
      <c r="D1367" s="64"/>
      <c r="E1367" s="64"/>
      <c r="F1367" s="64"/>
      <c r="G1367" s="64"/>
      <c r="H1367" s="63"/>
      <c r="I1367" s="64"/>
      <c r="J1367" s="64"/>
      <c r="K1367" s="64"/>
      <c r="L1367" s="64"/>
      <c r="M1367" s="64"/>
      <c r="N1367" s="64"/>
      <c r="O1367" s="64"/>
      <c r="P1367" s="64"/>
      <c r="Q1367" s="64"/>
      <c r="R1367" s="65" t="str">
        <f>IF($A1367="","",IFERROR(MINIFS(Candidates!$K$2:$K$2000,Candidates!$A$2:$A$2000,$A1367),""))</f>
        <v/>
      </c>
      <c r="S1367" s="65" t="str">
        <f>IF($A1367="","",IFERROR(MAXIFS(Candidates!$AA$2:$AA$2000,Candidates!$A$2:$A$2000,$A1367),""))</f>
        <v/>
      </c>
      <c r="T1367" s="64" t="str">
        <f>IFERROR(__xludf.DUMMYFUNCTION("IF($A1367="""","""",IFERROR(TEXTJOIN("", "",TRUE,UNIQUE(FILTER(Candidates!$B$2:$B$2000,Candidates!$A$2:$A$2000=$A1367))),""""))"),"")</f>
        <v/>
      </c>
      <c r="U1367" s="66" t="str">
        <f>IF($A1367="","",COUNTIF(Candidates!$A$2:$A$2000,$A1367))</f>
        <v/>
      </c>
      <c r="V1367" s="64" t="str">
        <f>IFERROR(__xludf.DUMMYFUNCTION("IF($A1367="""","""",IFERROR(INDEX(FILTER(Candidates!$S$2:$S$2000,Candidates!$A$2:$A$2000=$A1367),COUNTIF(Candidates!$A$2:$A$2000,$A1367)),""""))"),"")</f>
        <v/>
      </c>
      <c r="W1367" s="64" t="str">
        <f>IFERROR(__xludf.DUMMYFUNCTION("IF($A1367="""","""",IFERROR(INDEX(FILTER(Candidates!$T$2:$T$2000,Candidates!$A$2:$A$2000=$A1367),COUNTIF(Candidates!$A$2:$A$2000,$A1367)),""""))"),"")</f>
        <v/>
      </c>
      <c r="X1367" s="64"/>
      <c r="Y1367" s="64"/>
      <c r="Z1367" s="65"/>
      <c r="AA1367" s="65"/>
      <c r="AB1367" s="65"/>
      <c r="AC1367" s="65"/>
    </row>
    <row r="1368">
      <c r="A1368" s="64"/>
      <c r="B1368" s="64"/>
      <c r="C1368" s="64"/>
      <c r="D1368" s="64"/>
      <c r="E1368" s="64"/>
      <c r="F1368" s="64"/>
      <c r="G1368" s="64"/>
      <c r="H1368" s="63"/>
      <c r="I1368" s="64"/>
      <c r="J1368" s="64"/>
      <c r="K1368" s="64"/>
      <c r="L1368" s="64"/>
      <c r="M1368" s="64"/>
      <c r="N1368" s="64"/>
      <c r="O1368" s="64"/>
      <c r="P1368" s="64"/>
      <c r="Q1368" s="64"/>
      <c r="R1368" s="65" t="str">
        <f>IF($A1368="","",IFERROR(MINIFS(Candidates!$K$2:$K$2000,Candidates!$A$2:$A$2000,$A1368),""))</f>
        <v/>
      </c>
      <c r="S1368" s="65" t="str">
        <f>IF($A1368="","",IFERROR(MAXIFS(Candidates!$AA$2:$AA$2000,Candidates!$A$2:$A$2000,$A1368),""))</f>
        <v/>
      </c>
      <c r="T1368" s="64" t="str">
        <f>IFERROR(__xludf.DUMMYFUNCTION("IF($A1368="""","""",IFERROR(TEXTJOIN("", "",TRUE,UNIQUE(FILTER(Candidates!$B$2:$B$2000,Candidates!$A$2:$A$2000=$A1368))),""""))"),"")</f>
        <v/>
      </c>
      <c r="U1368" s="66" t="str">
        <f>IF($A1368="","",COUNTIF(Candidates!$A$2:$A$2000,$A1368))</f>
        <v/>
      </c>
      <c r="V1368" s="64" t="str">
        <f>IFERROR(__xludf.DUMMYFUNCTION("IF($A1368="""","""",IFERROR(INDEX(FILTER(Candidates!$S$2:$S$2000,Candidates!$A$2:$A$2000=$A1368),COUNTIF(Candidates!$A$2:$A$2000,$A1368)),""""))"),"")</f>
        <v/>
      </c>
      <c r="W1368" s="64" t="str">
        <f>IFERROR(__xludf.DUMMYFUNCTION("IF($A1368="""","""",IFERROR(INDEX(FILTER(Candidates!$T$2:$T$2000,Candidates!$A$2:$A$2000=$A1368),COUNTIF(Candidates!$A$2:$A$2000,$A1368)),""""))"),"")</f>
        <v/>
      </c>
      <c r="X1368" s="64"/>
      <c r="Y1368" s="64"/>
      <c r="Z1368" s="65"/>
      <c r="AA1368" s="65"/>
      <c r="AB1368" s="65"/>
      <c r="AC1368" s="65"/>
    </row>
    <row r="1369">
      <c r="A1369" s="64"/>
      <c r="B1369" s="64"/>
      <c r="C1369" s="64"/>
      <c r="D1369" s="64"/>
      <c r="E1369" s="64"/>
      <c r="F1369" s="64"/>
      <c r="G1369" s="64"/>
      <c r="H1369" s="63"/>
      <c r="I1369" s="64"/>
      <c r="J1369" s="64"/>
      <c r="K1369" s="64"/>
      <c r="L1369" s="64"/>
      <c r="M1369" s="64"/>
      <c r="N1369" s="64"/>
      <c r="O1369" s="64"/>
      <c r="P1369" s="64"/>
      <c r="Q1369" s="64"/>
      <c r="R1369" s="65" t="str">
        <f>IF($A1369="","",IFERROR(MINIFS(Candidates!$K$2:$K$2000,Candidates!$A$2:$A$2000,$A1369),""))</f>
        <v/>
      </c>
      <c r="S1369" s="65" t="str">
        <f>IF($A1369="","",IFERROR(MAXIFS(Candidates!$AA$2:$AA$2000,Candidates!$A$2:$A$2000,$A1369),""))</f>
        <v/>
      </c>
      <c r="T1369" s="64" t="str">
        <f>IFERROR(__xludf.DUMMYFUNCTION("IF($A1369="""","""",IFERROR(TEXTJOIN("", "",TRUE,UNIQUE(FILTER(Candidates!$B$2:$B$2000,Candidates!$A$2:$A$2000=$A1369))),""""))"),"")</f>
        <v/>
      </c>
      <c r="U1369" s="66" t="str">
        <f>IF($A1369="","",COUNTIF(Candidates!$A$2:$A$2000,$A1369))</f>
        <v/>
      </c>
      <c r="V1369" s="64" t="str">
        <f>IFERROR(__xludf.DUMMYFUNCTION("IF($A1369="""","""",IFERROR(INDEX(FILTER(Candidates!$S$2:$S$2000,Candidates!$A$2:$A$2000=$A1369),COUNTIF(Candidates!$A$2:$A$2000,$A1369)),""""))"),"")</f>
        <v/>
      </c>
      <c r="W1369" s="64" t="str">
        <f>IFERROR(__xludf.DUMMYFUNCTION("IF($A1369="""","""",IFERROR(INDEX(FILTER(Candidates!$T$2:$T$2000,Candidates!$A$2:$A$2000=$A1369),COUNTIF(Candidates!$A$2:$A$2000,$A1369)),""""))"),"")</f>
        <v/>
      </c>
      <c r="X1369" s="64"/>
      <c r="Y1369" s="64"/>
      <c r="Z1369" s="65"/>
      <c r="AA1369" s="65"/>
      <c r="AB1369" s="65"/>
      <c r="AC1369" s="65"/>
    </row>
    <row r="1370">
      <c r="A1370" s="64"/>
      <c r="B1370" s="64"/>
      <c r="C1370" s="64"/>
      <c r="D1370" s="64"/>
      <c r="E1370" s="64"/>
      <c r="F1370" s="64"/>
      <c r="G1370" s="64"/>
      <c r="H1370" s="63"/>
      <c r="I1370" s="64"/>
      <c r="J1370" s="64"/>
      <c r="K1370" s="64"/>
      <c r="L1370" s="64"/>
      <c r="M1370" s="64"/>
      <c r="N1370" s="64"/>
      <c r="O1370" s="64"/>
      <c r="P1370" s="64"/>
      <c r="Q1370" s="64"/>
      <c r="R1370" s="65" t="str">
        <f>IF($A1370="","",IFERROR(MINIFS(Candidates!$K$2:$K$2000,Candidates!$A$2:$A$2000,$A1370),""))</f>
        <v/>
      </c>
      <c r="S1370" s="65" t="str">
        <f>IF($A1370="","",IFERROR(MAXIFS(Candidates!$AA$2:$AA$2000,Candidates!$A$2:$A$2000,$A1370),""))</f>
        <v/>
      </c>
      <c r="T1370" s="64" t="str">
        <f>IFERROR(__xludf.DUMMYFUNCTION("IF($A1370="""","""",IFERROR(TEXTJOIN("", "",TRUE,UNIQUE(FILTER(Candidates!$B$2:$B$2000,Candidates!$A$2:$A$2000=$A1370))),""""))"),"")</f>
        <v/>
      </c>
      <c r="U1370" s="66" t="str">
        <f>IF($A1370="","",COUNTIF(Candidates!$A$2:$A$2000,$A1370))</f>
        <v/>
      </c>
      <c r="V1370" s="64" t="str">
        <f>IFERROR(__xludf.DUMMYFUNCTION("IF($A1370="""","""",IFERROR(INDEX(FILTER(Candidates!$S$2:$S$2000,Candidates!$A$2:$A$2000=$A1370),COUNTIF(Candidates!$A$2:$A$2000,$A1370)),""""))"),"")</f>
        <v/>
      </c>
      <c r="W1370" s="64" t="str">
        <f>IFERROR(__xludf.DUMMYFUNCTION("IF($A1370="""","""",IFERROR(INDEX(FILTER(Candidates!$T$2:$T$2000,Candidates!$A$2:$A$2000=$A1370),COUNTIF(Candidates!$A$2:$A$2000,$A1370)),""""))"),"")</f>
        <v/>
      </c>
      <c r="X1370" s="64"/>
      <c r="Y1370" s="64"/>
      <c r="Z1370" s="65"/>
      <c r="AA1370" s="65"/>
      <c r="AB1370" s="65"/>
      <c r="AC1370" s="65"/>
    </row>
    <row r="1371">
      <c r="A1371" s="64"/>
      <c r="B1371" s="64"/>
      <c r="C1371" s="64"/>
      <c r="D1371" s="64"/>
      <c r="E1371" s="64"/>
      <c r="F1371" s="64"/>
      <c r="G1371" s="64"/>
      <c r="H1371" s="63"/>
      <c r="I1371" s="64"/>
      <c r="J1371" s="64"/>
      <c r="K1371" s="64"/>
      <c r="L1371" s="64"/>
      <c r="M1371" s="64"/>
      <c r="N1371" s="64"/>
      <c r="O1371" s="64"/>
      <c r="P1371" s="64"/>
      <c r="Q1371" s="64"/>
      <c r="R1371" s="65" t="str">
        <f>IF($A1371="","",IFERROR(MINIFS(Candidates!$K$2:$K$2000,Candidates!$A$2:$A$2000,$A1371),""))</f>
        <v/>
      </c>
      <c r="S1371" s="65" t="str">
        <f>IF($A1371="","",IFERROR(MAXIFS(Candidates!$AA$2:$AA$2000,Candidates!$A$2:$A$2000,$A1371),""))</f>
        <v/>
      </c>
      <c r="T1371" s="64" t="str">
        <f>IFERROR(__xludf.DUMMYFUNCTION("IF($A1371="""","""",IFERROR(TEXTJOIN("", "",TRUE,UNIQUE(FILTER(Candidates!$B$2:$B$2000,Candidates!$A$2:$A$2000=$A1371))),""""))"),"")</f>
        <v/>
      </c>
      <c r="U1371" s="66" t="str">
        <f>IF($A1371="","",COUNTIF(Candidates!$A$2:$A$2000,$A1371))</f>
        <v/>
      </c>
      <c r="V1371" s="64" t="str">
        <f>IFERROR(__xludf.DUMMYFUNCTION("IF($A1371="""","""",IFERROR(INDEX(FILTER(Candidates!$S$2:$S$2000,Candidates!$A$2:$A$2000=$A1371),COUNTIF(Candidates!$A$2:$A$2000,$A1371)),""""))"),"")</f>
        <v/>
      </c>
      <c r="W1371" s="64" t="str">
        <f>IFERROR(__xludf.DUMMYFUNCTION("IF($A1371="""","""",IFERROR(INDEX(FILTER(Candidates!$T$2:$T$2000,Candidates!$A$2:$A$2000=$A1371),COUNTIF(Candidates!$A$2:$A$2000,$A1371)),""""))"),"")</f>
        <v/>
      </c>
      <c r="X1371" s="64"/>
      <c r="Y1371" s="64"/>
      <c r="Z1371" s="65"/>
      <c r="AA1371" s="65"/>
      <c r="AB1371" s="65"/>
      <c r="AC1371" s="65"/>
    </row>
    <row r="1372">
      <c r="A1372" s="64"/>
      <c r="B1372" s="64"/>
      <c r="C1372" s="64"/>
      <c r="D1372" s="64"/>
      <c r="E1372" s="64"/>
      <c r="F1372" s="64"/>
      <c r="G1372" s="64"/>
      <c r="H1372" s="63"/>
      <c r="I1372" s="64"/>
      <c r="J1372" s="64"/>
      <c r="K1372" s="64"/>
      <c r="L1372" s="64"/>
      <c r="M1372" s="64"/>
      <c r="N1372" s="64"/>
      <c r="O1372" s="64"/>
      <c r="P1372" s="64"/>
      <c r="Q1372" s="64"/>
      <c r="R1372" s="65" t="str">
        <f>IF($A1372="","",IFERROR(MINIFS(Candidates!$K$2:$K$2000,Candidates!$A$2:$A$2000,$A1372),""))</f>
        <v/>
      </c>
      <c r="S1372" s="65" t="str">
        <f>IF($A1372="","",IFERROR(MAXIFS(Candidates!$AA$2:$AA$2000,Candidates!$A$2:$A$2000,$A1372),""))</f>
        <v/>
      </c>
      <c r="T1372" s="64" t="str">
        <f>IFERROR(__xludf.DUMMYFUNCTION("IF($A1372="""","""",IFERROR(TEXTJOIN("", "",TRUE,UNIQUE(FILTER(Candidates!$B$2:$B$2000,Candidates!$A$2:$A$2000=$A1372))),""""))"),"")</f>
        <v/>
      </c>
      <c r="U1372" s="66" t="str">
        <f>IF($A1372="","",COUNTIF(Candidates!$A$2:$A$2000,$A1372))</f>
        <v/>
      </c>
      <c r="V1372" s="64" t="str">
        <f>IFERROR(__xludf.DUMMYFUNCTION("IF($A1372="""","""",IFERROR(INDEX(FILTER(Candidates!$S$2:$S$2000,Candidates!$A$2:$A$2000=$A1372),COUNTIF(Candidates!$A$2:$A$2000,$A1372)),""""))"),"")</f>
        <v/>
      </c>
      <c r="W1372" s="64" t="str">
        <f>IFERROR(__xludf.DUMMYFUNCTION("IF($A1372="""","""",IFERROR(INDEX(FILTER(Candidates!$T$2:$T$2000,Candidates!$A$2:$A$2000=$A1372),COUNTIF(Candidates!$A$2:$A$2000,$A1372)),""""))"),"")</f>
        <v/>
      </c>
      <c r="X1372" s="64"/>
      <c r="Y1372" s="64"/>
      <c r="Z1372" s="65"/>
      <c r="AA1372" s="65"/>
      <c r="AB1372" s="65"/>
      <c r="AC1372" s="65"/>
    </row>
    <row r="1373">
      <c r="A1373" s="64"/>
      <c r="B1373" s="64"/>
      <c r="C1373" s="64"/>
      <c r="D1373" s="64"/>
      <c r="E1373" s="64"/>
      <c r="F1373" s="64"/>
      <c r="G1373" s="64"/>
      <c r="H1373" s="63"/>
      <c r="I1373" s="64"/>
      <c r="J1373" s="64"/>
      <c r="K1373" s="64"/>
      <c r="L1373" s="64"/>
      <c r="M1373" s="64"/>
      <c r="N1373" s="64"/>
      <c r="O1373" s="64"/>
      <c r="P1373" s="64"/>
      <c r="Q1373" s="64"/>
      <c r="R1373" s="65" t="str">
        <f>IF($A1373="","",IFERROR(MINIFS(Candidates!$K$2:$K$2000,Candidates!$A$2:$A$2000,$A1373),""))</f>
        <v/>
      </c>
      <c r="S1373" s="65" t="str">
        <f>IF($A1373="","",IFERROR(MAXIFS(Candidates!$AA$2:$AA$2000,Candidates!$A$2:$A$2000,$A1373),""))</f>
        <v/>
      </c>
      <c r="T1373" s="64" t="str">
        <f>IFERROR(__xludf.DUMMYFUNCTION("IF($A1373="""","""",IFERROR(TEXTJOIN("", "",TRUE,UNIQUE(FILTER(Candidates!$B$2:$B$2000,Candidates!$A$2:$A$2000=$A1373))),""""))"),"")</f>
        <v/>
      </c>
      <c r="U1373" s="66" t="str">
        <f>IF($A1373="","",COUNTIF(Candidates!$A$2:$A$2000,$A1373))</f>
        <v/>
      </c>
      <c r="V1373" s="64" t="str">
        <f>IFERROR(__xludf.DUMMYFUNCTION("IF($A1373="""","""",IFERROR(INDEX(FILTER(Candidates!$S$2:$S$2000,Candidates!$A$2:$A$2000=$A1373),COUNTIF(Candidates!$A$2:$A$2000,$A1373)),""""))"),"")</f>
        <v/>
      </c>
      <c r="W1373" s="64" t="str">
        <f>IFERROR(__xludf.DUMMYFUNCTION("IF($A1373="""","""",IFERROR(INDEX(FILTER(Candidates!$T$2:$T$2000,Candidates!$A$2:$A$2000=$A1373),COUNTIF(Candidates!$A$2:$A$2000,$A1373)),""""))"),"")</f>
        <v/>
      </c>
      <c r="X1373" s="64"/>
      <c r="Y1373" s="64"/>
      <c r="Z1373" s="65"/>
      <c r="AA1373" s="65"/>
      <c r="AB1373" s="65"/>
      <c r="AC1373" s="65"/>
    </row>
    <row r="1374">
      <c r="A1374" s="64"/>
      <c r="B1374" s="64"/>
      <c r="C1374" s="64"/>
      <c r="D1374" s="64"/>
      <c r="E1374" s="64"/>
      <c r="F1374" s="64"/>
      <c r="G1374" s="64"/>
      <c r="H1374" s="63"/>
      <c r="I1374" s="64"/>
      <c r="J1374" s="64"/>
      <c r="K1374" s="64"/>
      <c r="L1374" s="64"/>
      <c r="M1374" s="64"/>
      <c r="N1374" s="64"/>
      <c r="O1374" s="64"/>
      <c r="P1374" s="64"/>
      <c r="Q1374" s="64"/>
      <c r="R1374" s="65" t="str">
        <f>IF($A1374="","",IFERROR(MINIFS(Candidates!$K$2:$K$2000,Candidates!$A$2:$A$2000,$A1374),""))</f>
        <v/>
      </c>
      <c r="S1374" s="65" t="str">
        <f>IF($A1374="","",IFERROR(MAXIFS(Candidates!$AA$2:$AA$2000,Candidates!$A$2:$A$2000,$A1374),""))</f>
        <v/>
      </c>
      <c r="T1374" s="64" t="str">
        <f>IFERROR(__xludf.DUMMYFUNCTION("IF($A1374="""","""",IFERROR(TEXTJOIN("", "",TRUE,UNIQUE(FILTER(Candidates!$B$2:$B$2000,Candidates!$A$2:$A$2000=$A1374))),""""))"),"")</f>
        <v/>
      </c>
      <c r="U1374" s="66" t="str">
        <f>IF($A1374="","",COUNTIF(Candidates!$A$2:$A$2000,$A1374))</f>
        <v/>
      </c>
      <c r="V1374" s="64" t="str">
        <f>IFERROR(__xludf.DUMMYFUNCTION("IF($A1374="""","""",IFERROR(INDEX(FILTER(Candidates!$S$2:$S$2000,Candidates!$A$2:$A$2000=$A1374),COUNTIF(Candidates!$A$2:$A$2000,$A1374)),""""))"),"")</f>
        <v/>
      </c>
      <c r="W1374" s="64" t="str">
        <f>IFERROR(__xludf.DUMMYFUNCTION("IF($A1374="""","""",IFERROR(INDEX(FILTER(Candidates!$T$2:$T$2000,Candidates!$A$2:$A$2000=$A1374),COUNTIF(Candidates!$A$2:$A$2000,$A1374)),""""))"),"")</f>
        <v/>
      </c>
      <c r="X1374" s="64"/>
      <c r="Y1374" s="64"/>
      <c r="Z1374" s="65"/>
      <c r="AA1374" s="65"/>
      <c r="AB1374" s="65"/>
      <c r="AC1374" s="65"/>
    </row>
    <row r="1375">
      <c r="A1375" s="64"/>
      <c r="B1375" s="64"/>
      <c r="C1375" s="64"/>
      <c r="D1375" s="64"/>
      <c r="E1375" s="64"/>
      <c r="F1375" s="64"/>
      <c r="G1375" s="64"/>
      <c r="H1375" s="63"/>
      <c r="I1375" s="64"/>
      <c r="J1375" s="64"/>
      <c r="K1375" s="64"/>
      <c r="L1375" s="64"/>
      <c r="M1375" s="64"/>
      <c r="N1375" s="64"/>
      <c r="O1375" s="64"/>
      <c r="P1375" s="64"/>
      <c r="Q1375" s="64"/>
      <c r="R1375" s="65" t="str">
        <f>IF($A1375="","",IFERROR(MINIFS(Candidates!$K$2:$K$2000,Candidates!$A$2:$A$2000,$A1375),""))</f>
        <v/>
      </c>
      <c r="S1375" s="65" t="str">
        <f>IF($A1375="","",IFERROR(MAXIFS(Candidates!$AA$2:$AA$2000,Candidates!$A$2:$A$2000,$A1375),""))</f>
        <v/>
      </c>
      <c r="T1375" s="64" t="str">
        <f>IFERROR(__xludf.DUMMYFUNCTION("IF($A1375="""","""",IFERROR(TEXTJOIN("", "",TRUE,UNIQUE(FILTER(Candidates!$B$2:$B$2000,Candidates!$A$2:$A$2000=$A1375))),""""))"),"")</f>
        <v/>
      </c>
      <c r="U1375" s="66" t="str">
        <f>IF($A1375="","",COUNTIF(Candidates!$A$2:$A$2000,$A1375))</f>
        <v/>
      </c>
      <c r="V1375" s="64" t="str">
        <f>IFERROR(__xludf.DUMMYFUNCTION("IF($A1375="""","""",IFERROR(INDEX(FILTER(Candidates!$S$2:$S$2000,Candidates!$A$2:$A$2000=$A1375),COUNTIF(Candidates!$A$2:$A$2000,$A1375)),""""))"),"")</f>
        <v/>
      </c>
      <c r="W1375" s="64" t="str">
        <f>IFERROR(__xludf.DUMMYFUNCTION("IF($A1375="""","""",IFERROR(INDEX(FILTER(Candidates!$T$2:$T$2000,Candidates!$A$2:$A$2000=$A1375),COUNTIF(Candidates!$A$2:$A$2000,$A1375)),""""))"),"")</f>
        <v/>
      </c>
      <c r="X1375" s="64"/>
      <c r="Y1375" s="64"/>
      <c r="Z1375" s="65"/>
      <c r="AA1375" s="65"/>
      <c r="AB1375" s="65"/>
      <c r="AC1375" s="65"/>
    </row>
    <row r="1376">
      <c r="A1376" s="64"/>
      <c r="B1376" s="64"/>
      <c r="C1376" s="64"/>
      <c r="D1376" s="64"/>
      <c r="E1376" s="64"/>
      <c r="F1376" s="64"/>
      <c r="G1376" s="64"/>
      <c r="H1376" s="63"/>
      <c r="I1376" s="64"/>
      <c r="J1376" s="64"/>
      <c r="K1376" s="64"/>
      <c r="L1376" s="64"/>
      <c r="M1376" s="64"/>
      <c r="N1376" s="64"/>
      <c r="O1376" s="64"/>
      <c r="P1376" s="64"/>
      <c r="Q1376" s="64"/>
      <c r="R1376" s="65" t="str">
        <f>IF($A1376="","",IFERROR(MINIFS(Candidates!$K$2:$K$2000,Candidates!$A$2:$A$2000,$A1376),""))</f>
        <v/>
      </c>
      <c r="S1376" s="65" t="str">
        <f>IF($A1376="","",IFERROR(MAXIFS(Candidates!$AA$2:$AA$2000,Candidates!$A$2:$A$2000,$A1376),""))</f>
        <v/>
      </c>
      <c r="T1376" s="64" t="str">
        <f>IFERROR(__xludf.DUMMYFUNCTION("IF($A1376="""","""",IFERROR(TEXTJOIN("", "",TRUE,UNIQUE(FILTER(Candidates!$B$2:$B$2000,Candidates!$A$2:$A$2000=$A1376))),""""))"),"")</f>
        <v/>
      </c>
      <c r="U1376" s="66" t="str">
        <f>IF($A1376="","",COUNTIF(Candidates!$A$2:$A$2000,$A1376))</f>
        <v/>
      </c>
      <c r="V1376" s="64" t="str">
        <f>IFERROR(__xludf.DUMMYFUNCTION("IF($A1376="""","""",IFERROR(INDEX(FILTER(Candidates!$S$2:$S$2000,Candidates!$A$2:$A$2000=$A1376),COUNTIF(Candidates!$A$2:$A$2000,$A1376)),""""))"),"")</f>
        <v/>
      </c>
      <c r="W1376" s="64" t="str">
        <f>IFERROR(__xludf.DUMMYFUNCTION("IF($A1376="""","""",IFERROR(INDEX(FILTER(Candidates!$T$2:$T$2000,Candidates!$A$2:$A$2000=$A1376),COUNTIF(Candidates!$A$2:$A$2000,$A1376)),""""))"),"")</f>
        <v/>
      </c>
      <c r="X1376" s="64"/>
      <c r="Y1376" s="64"/>
      <c r="Z1376" s="65"/>
      <c r="AA1376" s="65"/>
      <c r="AB1376" s="65"/>
      <c r="AC1376" s="65"/>
    </row>
    <row r="1377">
      <c r="A1377" s="64"/>
      <c r="B1377" s="64"/>
      <c r="C1377" s="64"/>
      <c r="D1377" s="64"/>
      <c r="E1377" s="64"/>
      <c r="F1377" s="64"/>
      <c r="G1377" s="64"/>
      <c r="H1377" s="63"/>
      <c r="I1377" s="64"/>
      <c r="J1377" s="64"/>
      <c r="K1377" s="64"/>
      <c r="L1377" s="64"/>
      <c r="M1377" s="64"/>
      <c r="N1377" s="64"/>
      <c r="O1377" s="64"/>
      <c r="P1377" s="64"/>
      <c r="Q1377" s="64"/>
      <c r="R1377" s="65" t="str">
        <f>IF($A1377="","",IFERROR(MINIFS(Candidates!$K$2:$K$2000,Candidates!$A$2:$A$2000,$A1377),""))</f>
        <v/>
      </c>
      <c r="S1377" s="65" t="str">
        <f>IF($A1377="","",IFERROR(MAXIFS(Candidates!$AA$2:$AA$2000,Candidates!$A$2:$A$2000,$A1377),""))</f>
        <v/>
      </c>
      <c r="T1377" s="64" t="str">
        <f>IFERROR(__xludf.DUMMYFUNCTION("IF($A1377="""","""",IFERROR(TEXTJOIN("", "",TRUE,UNIQUE(FILTER(Candidates!$B$2:$B$2000,Candidates!$A$2:$A$2000=$A1377))),""""))"),"")</f>
        <v/>
      </c>
      <c r="U1377" s="66" t="str">
        <f>IF($A1377="","",COUNTIF(Candidates!$A$2:$A$2000,$A1377))</f>
        <v/>
      </c>
      <c r="V1377" s="64" t="str">
        <f>IFERROR(__xludf.DUMMYFUNCTION("IF($A1377="""","""",IFERROR(INDEX(FILTER(Candidates!$S$2:$S$2000,Candidates!$A$2:$A$2000=$A1377),COUNTIF(Candidates!$A$2:$A$2000,$A1377)),""""))"),"")</f>
        <v/>
      </c>
      <c r="W1377" s="64" t="str">
        <f>IFERROR(__xludf.DUMMYFUNCTION("IF($A1377="""","""",IFERROR(INDEX(FILTER(Candidates!$T$2:$T$2000,Candidates!$A$2:$A$2000=$A1377),COUNTIF(Candidates!$A$2:$A$2000,$A1377)),""""))"),"")</f>
        <v/>
      </c>
      <c r="X1377" s="64"/>
      <c r="Y1377" s="64"/>
      <c r="Z1377" s="65"/>
      <c r="AA1377" s="65"/>
      <c r="AB1377" s="65"/>
      <c r="AC1377" s="65"/>
    </row>
    <row r="1378">
      <c r="A1378" s="64"/>
      <c r="B1378" s="64"/>
      <c r="C1378" s="64"/>
      <c r="D1378" s="64"/>
      <c r="E1378" s="64"/>
      <c r="F1378" s="64"/>
      <c r="G1378" s="64"/>
      <c r="H1378" s="63"/>
      <c r="I1378" s="64"/>
      <c r="J1378" s="64"/>
      <c r="K1378" s="64"/>
      <c r="L1378" s="64"/>
      <c r="M1378" s="64"/>
      <c r="N1378" s="64"/>
      <c r="O1378" s="64"/>
      <c r="P1378" s="64"/>
      <c r="Q1378" s="64"/>
      <c r="R1378" s="65" t="str">
        <f>IF($A1378="","",IFERROR(MINIFS(Candidates!$K$2:$K$2000,Candidates!$A$2:$A$2000,$A1378),""))</f>
        <v/>
      </c>
      <c r="S1378" s="65" t="str">
        <f>IF($A1378="","",IFERROR(MAXIFS(Candidates!$AA$2:$AA$2000,Candidates!$A$2:$A$2000,$A1378),""))</f>
        <v/>
      </c>
      <c r="T1378" s="64" t="str">
        <f>IFERROR(__xludf.DUMMYFUNCTION("IF($A1378="""","""",IFERROR(TEXTJOIN("", "",TRUE,UNIQUE(FILTER(Candidates!$B$2:$B$2000,Candidates!$A$2:$A$2000=$A1378))),""""))"),"")</f>
        <v/>
      </c>
      <c r="U1378" s="66" t="str">
        <f>IF($A1378="","",COUNTIF(Candidates!$A$2:$A$2000,$A1378))</f>
        <v/>
      </c>
      <c r="V1378" s="64" t="str">
        <f>IFERROR(__xludf.DUMMYFUNCTION("IF($A1378="""","""",IFERROR(INDEX(FILTER(Candidates!$S$2:$S$2000,Candidates!$A$2:$A$2000=$A1378),COUNTIF(Candidates!$A$2:$A$2000,$A1378)),""""))"),"")</f>
        <v/>
      </c>
      <c r="W1378" s="64" t="str">
        <f>IFERROR(__xludf.DUMMYFUNCTION("IF($A1378="""","""",IFERROR(INDEX(FILTER(Candidates!$T$2:$T$2000,Candidates!$A$2:$A$2000=$A1378),COUNTIF(Candidates!$A$2:$A$2000,$A1378)),""""))"),"")</f>
        <v/>
      </c>
      <c r="X1378" s="64"/>
      <c r="Y1378" s="64"/>
      <c r="Z1378" s="65"/>
      <c r="AA1378" s="65"/>
      <c r="AB1378" s="65"/>
      <c r="AC1378" s="65"/>
    </row>
    <row r="1379">
      <c r="A1379" s="64"/>
      <c r="B1379" s="64"/>
      <c r="C1379" s="64"/>
      <c r="D1379" s="64"/>
      <c r="E1379" s="64"/>
      <c r="F1379" s="64"/>
      <c r="G1379" s="64"/>
      <c r="H1379" s="63"/>
      <c r="I1379" s="64"/>
      <c r="J1379" s="64"/>
      <c r="K1379" s="64"/>
      <c r="L1379" s="64"/>
      <c r="M1379" s="64"/>
      <c r="N1379" s="64"/>
      <c r="O1379" s="64"/>
      <c r="P1379" s="64"/>
      <c r="Q1379" s="64"/>
      <c r="R1379" s="65" t="str">
        <f>IF($A1379="","",IFERROR(MINIFS(Candidates!$K$2:$K$2000,Candidates!$A$2:$A$2000,$A1379),""))</f>
        <v/>
      </c>
      <c r="S1379" s="65" t="str">
        <f>IF($A1379="","",IFERROR(MAXIFS(Candidates!$AA$2:$AA$2000,Candidates!$A$2:$A$2000,$A1379),""))</f>
        <v/>
      </c>
      <c r="T1379" s="64" t="str">
        <f>IFERROR(__xludf.DUMMYFUNCTION("IF($A1379="""","""",IFERROR(TEXTJOIN("", "",TRUE,UNIQUE(FILTER(Candidates!$B$2:$B$2000,Candidates!$A$2:$A$2000=$A1379))),""""))"),"")</f>
        <v/>
      </c>
      <c r="U1379" s="66" t="str">
        <f>IF($A1379="","",COUNTIF(Candidates!$A$2:$A$2000,$A1379))</f>
        <v/>
      </c>
      <c r="V1379" s="64" t="str">
        <f>IFERROR(__xludf.DUMMYFUNCTION("IF($A1379="""","""",IFERROR(INDEX(FILTER(Candidates!$S$2:$S$2000,Candidates!$A$2:$A$2000=$A1379),COUNTIF(Candidates!$A$2:$A$2000,$A1379)),""""))"),"")</f>
        <v/>
      </c>
      <c r="W1379" s="64" t="str">
        <f>IFERROR(__xludf.DUMMYFUNCTION("IF($A1379="""","""",IFERROR(INDEX(FILTER(Candidates!$T$2:$T$2000,Candidates!$A$2:$A$2000=$A1379),COUNTIF(Candidates!$A$2:$A$2000,$A1379)),""""))"),"")</f>
        <v/>
      </c>
      <c r="X1379" s="64"/>
      <c r="Y1379" s="64"/>
      <c r="Z1379" s="65"/>
      <c r="AA1379" s="65"/>
      <c r="AB1379" s="65"/>
      <c r="AC1379" s="65"/>
    </row>
    <row r="1380">
      <c r="A1380" s="64"/>
      <c r="B1380" s="64"/>
      <c r="C1380" s="64"/>
      <c r="D1380" s="64"/>
      <c r="E1380" s="64"/>
      <c r="F1380" s="64"/>
      <c r="G1380" s="64"/>
      <c r="H1380" s="63"/>
      <c r="I1380" s="64"/>
      <c r="J1380" s="64"/>
      <c r="K1380" s="64"/>
      <c r="L1380" s="64"/>
      <c r="M1380" s="64"/>
      <c r="N1380" s="64"/>
      <c r="O1380" s="64"/>
      <c r="P1380" s="64"/>
      <c r="Q1380" s="64"/>
      <c r="R1380" s="65" t="str">
        <f>IF($A1380="","",IFERROR(MINIFS(Candidates!$K$2:$K$2000,Candidates!$A$2:$A$2000,$A1380),""))</f>
        <v/>
      </c>
      <c r="S1380" s="65" t="str">
        <f>IF($A1380="","",IFERROR(MAXIFS(Candidates!$AA$2:$AA$2000,Candidates!$A$2:$A$2000,$A1380),""))</f>
        <v/>
      </c>
      <c r="T1380" s="64" t="str">
        <f>IFERROR(__xludf.DUMMYFUNCTION("IF($A1380="""","""",IFERROR(TEXTJOIN("", "",TRUE,UNIQUE(FILTER(Candidates!$B$2:$B$2000,Candidates!$A$2:$A$2000=$A1380))),""""))"),"")</f>
        <v/>
      </c>
      <c r="U1380" s="66" t="str">
        <f>IF($A1380="","",COUNTIF(Candidates!$A$2:$A$2000,$A1380))</f>
        <v/>
      </c>
      <c r="V1380" s="64" t="str">
        <f>IFERROR(__xludf.DUMMYFUNCTION("IF($A1380="""","""",IFERROR(INDEX(FILTER(Candidates!$S$2:$S$2000,Candidates!$A$2:$A$2000=$A1380),COUNTIF(Candidates!$A$2:$A$2000,$A1380)),""""))"),"")</f>
        <v/>
      </c>
      <c r="W1380" s="64" t="str">
        <f>IFERROR(__xludf.DUMMYFUNCTION("IF($A1380="""","""",IFERROR(INDEX(FILTER(Candidates!$T$2:$T$2000,Candidates!$A$2:$A$2000=$A1380),COUNTIF(Candidates!$A$2:$A$2000,$A1380)),""""))"),"")</f>
        <v/>
      </c>
      <c r="X1380" s="64"/>
      <c r="Y1380" s="64"/>
      <c r="Z1380" s="65"/>
      <c r="AA1380" s="65"/>
      <c r="AB1380" s="65"/>
      <c r="AC1380" s="65"/>
    </row>
    <row r="1381">
      <c r="A1381" s="64"/>
      <c r="B1381" s="64"/>
      <c r="C1381" s="64"/>
      <c r="D1381" s="64"/>
      <c r="E1381" s="64"/>
      <c r="F1381" s="64"/>
      <c r="G1381" s="64"/>
      <c r="H1381" s="63"/>
      <c r="I1381" s="64"/>
      <c r="J1381" s="64"/>
      <c r="K1381" s="64"/>
      <c r="L1381" s="64"/>
      <c r="M1381" s="64"/>
      <c r="N1381" s="64"/>
      <c r="O1381" s="64"/>
      <c r="P1381" s="64"/>
      <c r="Q1381" s="64"/>
      <c r="R1381" s="65" t="str">
        <f>IF($A1381="","",IFERROR(MINIFS(Candidates!$K$2:$K$2000,Candidates!$A$2:$A$2000,$A1381),""))</f>
        <v/>
      </c>
      <c r="S1381" s="65" t="str">
        <f>IF($A1381="","",IFERROR(MAXIFS(Candidates!$AA$2:$AA$2000,Candidates!$A$2:$A$2000,$A1381),""))</f>
        <v/>
      </c>
      <c r="T1381" s="64" t="str">
        <f>IFERROR(__xludf.DUMMYFUNCTION("IF($A1381="""","""",IFERROR(TEXTJOIN("", "",TRUE,UNIQUE(FILTER(Candidates!$B$2:$B$2000,Candidates!$A$2:$A$2000=$A1381))),""""))"),"")</f>
        <v/>
      </c>
      <c r="U1381" s="66" t="str">
        <f>IF($A1381="","",COUNTIF(Candidates!$A$2:$A$2000,$A1381))</f>
        <v/>
      </c>
      <c r="V1381" s="64" t="str">
        <f>IFERROR(__xludf.DUMMYFUNCTION("IF($A1381="""","""",IFERROR(INDEX(FILTER(Candidates!$S$2:$S$2000,Candidates!$A$2:$A$2000=$A1381),COUNTIF(Candidates!$A$2:$A$2000,$A1381)),""""))"),"")</f>
        <v/>
      </c>
      <c r="W1381" s="64" t="str">
        <f>IFERROR(__xludf.DUMMYFUNCTION("IF($A1381="""","""",IFERROR(INDEX(FILTER(Candidates!$T$2:$T$2000,Candidates!$A$2:$A$2000=$A1381),COUNTIF(Candidates!$A$2:$A$2000,$A1381)),""""))"),"")</f>
        <v/>
      </c>
      <c r="X1381" s="64"/>
      <c r="Y1381" s="64"/>
      <c r="Z1381" s="65"/>
      <c r="AA1381" s="65"/>
      <c r="AB1381" s="65"/>
      <c r="AC1381" s="65"/>
    </row>
    <row r="1382">
      <c r="A1382" s="64"/>
      <c r="B1382" s="64"/>
      <c r="C1382" s="64"/>
      <c r="D1382" s="64"/>
      <c r="E1382" s="64"/>
      <c r="F1382" s="64"/>
      <c r="G1382" s="64"/>
      <c r="H1382" s="63"/>
      <c r="I1382" s="64"/>
      <c r="J1382" s="64"/>
      <c r="K1382" s="64"/>
      <c r="L1382" s="64"/>
      <c r="M1382" s="64"/>
      <c r="N1382" s="64"/>
      <c r="O1382" s="64"/>
      <c r="P1382" s="64"/>
      <c r="Q1382" s="64"/>
      <c r="R1382" s="65" t="str">
        <f>IF($A1382="","",IFERROR(MINIFS(Candidates!$K$2:$K$2000,Candidates!$A$2:$A$2000,$A1382),""))</f>
        <v/>
      </c>
      <c r="S1382" s="65" t="str">
        <f>IF($A1382="","",IFERROR(MAXIFS(Candidates!$AA$2:$AA$2000,Candidates!$A$2:$A$2000,$A1382),""))</f>
        <v/>
      </c>
      <c r="T1382" s="64" t="str">
        <f>IFERROR(__xludf.DUMMYFUNCTION("IF($A1382="""","""",IFERROR(TEXTJOIN("", "",TRUE,UNIQUE(FILTER(Candidates!$B$2:$B$2000,Candidates!$A$2:$A$2000=$A1382))),""""))"),"")</f>
        <v/>
      </c>
      <c r="U1382" s="66" t="str">
        <f>IF($A1382="","",COUNTIF(Candidates!$A$2:$A$2000,$A1382))</f>
        <v/>
      </c>
      <c r="V1382" s="64" t="str">
        <f>IFERROR(__xludf.DUMMYFUNCTION("IF($A1382="""","""",IFERROR(INDEX(FILTER(Candidates!$S$2:$S$2000,Candidates!$A$2:$A$2000=$A1382),COUNTIF(Candidates!$A$2:$A$2000,$A1382)),""""))"),"")</f>
        <v/>
      </c>
      <c r="W1382" s="64" t="str">
        <f>IFERROR(__xludf.DUMMYFUNCTION("IF($A1382="""","""",IFERROR(INDEX(FILTER(Candidates!$T$2:$T$2000,Candidates!$A$2:$A$2000=$A1382),COUNTIF(Candidates!$A$2:$A$2000,$A1382)),""""))"),"")</f>
        <v/>
      </c>
      <c r="X1382" s="64"/>
      <c r="Y1382" s="64"/>
      <c r="Z1382" s="65"/>
      <c r="AA1382" s="65"/>
      <c r="AB1382" s="65"/>
      <c r="AC1382" s="65"/>
    </row>
    <row r="1383">
      <c r="A1383" s="64"/>
      <c r="B1383" s="64"/>
      <c r="C1383" s="64"/>
      <c r="D1383" s="64"/>
      <c r="E1383" s="64"/>
      <c r="F1383" s="64"/>
      <c r="G1383" s="64"/>
      <c r="H1383" s="63"/>
      <c r="I1383" s="64"/>
      <c r="J1383" s="64"/>
      <c r="K1383" s="64"/>
      <c r="L1383" s="64"/>
      <c r="M1383" s="64"/>
      <c r="N1383" s="64"/>
      <c r="O1383" s="64"/>
      <c r="P1383" s="64"/>
      <c r="Q1383" s="64"/>
      <c r="R1383" s="65" t="str">
        <f>IF($A1383="","",IFERROR(MINIFS(Candidates!$K$2:$K$2000,Candidates!$A$2:$A$2000,$A1383),""))</f>
        <v/>
      </c>
      <c r="S1383" s="65" t="str">
        <f>IF($A1383="","",IFERROR(MAXIFS(Candidates!$AA$2:$AA$2000,Candidates!$A$2:$A$2000,$A1383),""))</f>
        <v/>
      </c>
      <c r="T1383" s="64" t="str">
        <f>IFERROR(__xludf.DUMMYFUNCTION("IF($A1383="""","""",IFERROR(TEXTJOIN("", "",TRUE,UNIQUE(FILTER(Candidates!$B$2:$B$2000,Candidates!$A$2:$A$2000=$A1383))),""""))"),"")</f>
        <v/>
      </c>
      <c r="U1383" s="66" t="str">
        <f>IF($A1383="","",COUNTIF(Candidates!$A$2:$A$2000,$A1383))</f>
        <v/>
      </c>
      <c r="V1383" s="64" t="str">
        <f>IFERROR(__xludf.DUMMYFUNCTION("IF($A1383="""","""",IFERROR(INDEX(FILTER(Candidates!$S$2:$S$2000,Candidates!$A$2:$A$2000=$A1383),COUNTIF(Candidates!$A$2:$A$2000,$A1383)),""""))"),"")</f>
        <v/>
      </c>
      <c r="W1383" s="64" t="str">
        <f>IFERROR(__xludf.DUMMYFUNCTION("IF($A1383="""","""",IFERROR(INDEX(FILTER(Candidates!$T$2:$T$2000,Candidates!$A$2:$A$2000=$A1383),COUNTIF(Candidates!$A$2:$A$2000,$A1383)),""""))"),"")</f>
        <v/>
      </c>
      <c r="X1383" s="64"/>
      <c r="Y1383" s="64"/>
      <c r="Z1383" s="65"/>
      <c r="AA1383" s="65"/>
      <c r="AB1383" s="65"/>
      <c r="AC1383" s="65"/>
    </row>
    <row r="1384">
      <c r="A1384" s="64"/>
      <c r="B1384" s="64"/>
      <c r="C1384" s="64"/>
      <c r="D1384" s="64"/>
      <c r="E1384" s="64"/>
      <c r="F1384" s="64"/>
      <c r="G1384" s="64"/>
      <c r="H1384" s="63"/>
      <c r="I1384" s="64"/>
      <c r="J1384" s="64"/>
      <c r="K1384" s="64"/>
      <c r="L1384" s="64"/>
      <c r="M1384" s="64"/>
      <c r="N1384" s="64"/>
      <c r="O1384" s="64"/>
      <c r="P1384" s="64"/>
      <c r="Q1384" s="64"/>
      <c r="R1384" s="65" t="str">
        <f>IF($A1384="","",IFERROR(MINIFS(Candidates!$K$2:$K$2000,Candidates!$A$2:$A$2000,$A1384),""))</f>
        <v/>
      </c>
      <c r="S1384" s="65" t="str">
        <f>IF($A1384="","",IFERROR(MAXIFS(Candidates!$AA$2:$AA$2000,Candidates!$A$2:$A$2000,$A1384),""))</f>
        <v/>
      </c>
      <c r="T1384" s="64" t="str">
        <f>IFERROR(__xludf.DUMMYFUNCTION("IF($A1384="""","""",IFERROR(TEXTJOIN("", "",TRUE,UNIQUE(FILTER(Candidates!$B$2:$B$2000,Candidates!$A$2:$A$2000=$A1384))),""""))"),"")</f>
        <v/>
      </c>
      <c r="U1384" s="66" t="str">
        <f>IF($A1384="","",COUNTIF(Candidates!$A$2:$A$2000,$A1384))</f>
        <v/>
      </c>
      <c r="V1384" s="64" t="str">
        <f>IFERROR(__xludf.DUMMYFUNCTION("IF($A1384="""","""",IFERROR(INDEX(FILTER(Candidates!$S$2:$S$2000,Candidates!$A$2:$A$2000=$A1384),COUNTIF(Candidates!$A$2:$A$2000,$A1384)),""""))"),"")</f>
        <v/>
      </c>
      <c r="W1384" s="64" t="str">
        <f>IFERROR(__xludf.DUMMYFUNCTION("IF($A1384="""","""",IFERROR(INDEX(FILTER(Candidates!$T$2:$T$2000,Candidates!$A$2:$A$2000=$A1384),COUNTIF(Candidates!$A$2:$A$2000,$A1384)),""""))"),"")</f>
        <v/>
      </c>
      <c r="X1384" s="64"/>
      <c r="Y1384" s="64"/>
      <c r="Z1384" s="65"/>
      <c r="AA1384" s="65"/>
      <c r="AB1384" s="65"/>
      <c r="AC1384" s="65"/>
    </row>
    <row r="1385">
      <c r="A1385" s="64"/>
      <c r="B1385" s="64"/>
      <c r="C1385" s="64"/>
      <c r="D1385" s="64"/>
      <c r="E1385" s="64"/>
      <c r="F1385" s="64"/>
      <c r="G1385" s="64"/>
      <c r="H1385" s="63"/>
      <c r="I1385" s="64"/>
      <c r="J1385" s="64"/>
      <c r="K1385" s="64"/>
      <c r="L1385" s="64"/>
      <c r="M1385" s="64"/>
      <c r="N1385" s="64"/>
      <c r="O1385" s="64"/>
      <c r="P1385" s="64"/>
      <c r="Q1385" s="64"/>
      <c r="R1385" s="65" t="str">
        <f>IF($A1385="","",IFERROR(MINIFS(Candidates!$K$2:$K$2000,Candidates!$A$2:$A$2000,$A1385),""))</f>
        <v/>
      </c>
      <c r="S1385" s="65" t="str">
        <f>IF($A1385="","",IFERROR(MAXIFS(Candidates!$AA$2:$AA$2000,Candidates!$A$2:$A$2000,$A1385),""))</f>
        <v/>
      </c>
      <c r="T1385" s="64" t="str">
        <f>IFERROR(__xludf.DUMMYFUNCTION("IF($A1385="""","""",IFERROR(TEXTJOIN("", "",TRUE,UNIQUE(FILTER(Candidates!$B$2:$B$2000,Candidates!$A$2:$A$2000=$A1385))),""""))"),"")</f>
        <v/>
      </c>
      <c r="U1385" s="66" t="str">
        <f>IF($A1385="","",COUNTIF(Candidates!$A$2:$A$2000,$A1385))</f>
        <v/>
      </c>
      <c r="V1385" s="64" t="str">
        <f>IFERROR(__xludf.DUMMYFUNCTION("IF($A1385="""","""",IFERROR(INDEX(FILTER(Candidates!$S$2:$S$2000,Candidates!$A$2:$A$2000=$A1385),COUNTIF(Candidates!$A$2:$A$2000,$A1385)),""""))"),"")</f>
        <v/>
      </c>
      <c r="W1385" s="64" t="str">
        <f>IFERROR(__xludf.DUMMYFUNCTION("IF($A1385="""","""",IFERROR(INDEX(FILTER(Candidates!$T$2:$T$2000,Candidates!$A$2:$A$2000=$A1385),COUNTIF(Candidates!$A$2:$A$2000,$A1385)),""""))"),"")</f>
        <v/>
      </c>
      <c r="X1385" s="64"/>
      <c r="Y1385" s="64"/>
      <c r="Z1385" s="65"/>
      <c r="AA1385" s="65"/>
      <c r="AB1385" s="65"/>
      <c r="AC1385" s="65"/>
    </row>
    <row r="1386">
      <c r="A1386" s="64"/>
      <c r="B1386" s="64"/>
      <c r="C1386" s="64"/>
      <c r="D1386" s="64"/>
      <c r="E1386" s="64"/>
      <c r="F1386" s="64"/>
      <c r="G1386" s="64"/>
      <c r="H1386" s="63"/>
      <c r="I1386" s="64"/>
      <c r="J1386" s="64"/>
      <c r="K1386" s="64"/>
      <c r="L1386" s="64"/>
      <c r="M1386" s="64"/>
      <c r="N1386" s="64"/>
      <c r="O1386" s="64"/>
      <c r="P1386" s="64"/>
      <c r="Q1386" s="64"/>
      <c r="R1386" s="65" t="str">
        <f>IF($A1386="","",IFERROR(MINIFS(Candidates!$K$2:$K$2000,Candidates!$A$2:$A$2000,$A1386),""))</f>
        <v/>
      </c>
      <c r="S1386" s="65" t="str">
        <f>IF($A1386="","",IFERROR(MAXIFS(Candidates!$AA$2:$AA$2000,Candidates!$A$2:$A$2000,$A1386),""))</f>
        <v/>
      </c>
      <c r="T1386" s="64" t="str">
        <f>IFERROR(__xludf.DUMMYFUNCTION("IF($A1386="""","""",IFERROR(TEXTJOIN("", "",TRUE,UNIQUE(FILTER(Candidates!$B$2:$B$2000,Candidates!$A$2:$A$2000=$A1386))),""""))"),"")</f>
        <v/>
      </c>
      <c r="U1386" s="66" t="str">
        <f>IF($A1386="","",COUNTIF(Candidates!$A$2:$A$2000,$A1386))</f>
        <v/>
      </c>
      <c r="V1386" s="64" t="str">
        <f>IFERROR(__xludf.DUMMYFUNCTION("IF($A1386="""","""",IFERROR(INDEX(FILTER(Candidates!$S$2:$S$2000,Candidates!$A$2:$A$2000=$A1386),COUNTIF(Candidates!$A$2:$A$2000,$A1386)),""""))"),"")</f>
        <v/>
      </c>
      <c r="W1386" s="64" t="str">
        <f>IFERROR(__xludf.DUMMYFUNCTION("IF($A1386="""","""",IFERROR(INDEX(FILTER(Candidates!$T$2:$T$2000,Candidates!$A$2:$A$2000=$A1386),COUNTIF(Candidates!$A$2:$A$2000,$A1386)),""""))"),"")</f>
        <v/>
      </c>
      <c r="X1386" s="64"/>
      <c r="Y1386" s="64"/>
      <c r="Z1386" s="65"/>
      <c r="AA1386" s="65"/>
      <c r="AB1386" s="65"/>
      <c r="AC1386" s="65"/>
    </row>
    <row r="1387">
      <c r="A1387" s="64"/>
      <c r="B1387" s="64"/>
      <c r="C1387" s="64"/>
      <c r="D1387" s="64"/>
      <c r="E1387" s="64"/>
      <c r="F1387" s="64"/>
      <c r="G1387" s="64"/>
      <c r="H1387" s="63"/>
      <c r="I1387" s="64"/>
      <c r="J1387" s="64"/>
      <c r="K1387" s="64"/>
      <c r="L1387" s="64"/>
      <c r="M1387" s="64"/>
      <c r="N1387" s="64"/>
      <c r="O1387" s="64"/>
      <c r="P1387" s="64"/>
      <c r="Q1387" s="64"/>
      <c r="R1387" s="65" t="str">
        <f>IF($A1387="","",IFERROR(MINIFS(Candidates!$K$2:$K$2000,Candidates!$A$2:$A$2000,$A1387),""))</f>
        <v/>
      </c>
      <c r="S1387" s="65" t="str">
        <f>IF($A1387="","",IFERROR(MAXIFS(Candidates!$AA$2:$AA$2000,Candidates!$A$2:$A$2000,$A1387),""))</f>
        <v/>
      </c>
      <c r="T1387" s="64" t="str">
        <f>IFERROR(__xludf.DUMMYFUNCTION("IF($A1387="""","""",IFERROR(TEXTJOIN("", "",TRUE,UNIQUE(FILTER(Candidates!$B$2:$B$2000,Candidates!$A$2:$A$2000=$A1387))),""""))"),"")</f>
        <v/>
      </c>
      <c r="U1387" s="66" t="str">
        <f>IF($A1387="","",COUNTIF(Candidates!$A$2:$A$2000,$A1387))</f>
        <v/>
      </c>
      <c r="V1387" s="64" t="str">
        <f>IFERROR(__xludf.DUMMYFUNCTION("IF($A1387="""","""",IFERROR(INDEX(FILTER(Candidates!$S$2:$S$2000,Candidates!$A$2:$A$2000=$A1387),COUNTIF(Candidates!$A$2:$A$2000,$A1387)),""""))"),"")</f>
        <v/>
      </c>
      <c r="W1387" s="64" t="str">
        <f>IFERROR(__xludf.DUMMYFUNCTION("IF($A1387="""","""",IFERROR(INDEX(FILTER(Candidates!$T$2:$T$2000,Candidates!$A$2:$A$2000=$A1387),COUNTIF(Candidates!$A$2:$A$2000,$A1387)),""""))"),"")</f>
        <v/>
      </c>
      <c r="X1387" s="64"/>
      <c r="Y1387" s="64"/>
      <c r="Z1387" s="65"/>
      <c r="AA1387" s="65"/>
      <c r="AB1387" s="65"/>
      <c r="AC1387" s="65"/>
    </row>
    <row r="1388">
      <c r="A1388" s="64"/>
      <c r="B1388" s="64"/>
      <c r="C1388" s="64"/>
      <c r="D1388" s="64"/>
      <c r="E1388" s="64"/>
      <c r="F1388" s="64"/>
      <c r="G1388" s="64"/>
      <c r="H1388" s="63"/>
      <c r="I1388" s="64"/>
      <c r="J1388" s="64"/>
      <c r="K1388" s="64"/>
      <c r="L1388" s="64"/>
      <c r="M1388" s="64"/>
      <c r="N1388" s="64"/>
      <c r="O1388" s="64"/>
      <c r="P1388" s="64"/>
      <c r="Q1388" s="64"/>
      <c r="R1388" s="65" t="str">
        <f>IF($A1388="","",IFERROR(MINIFS(Candidates!$K$2:$K$2000,Candidates!$A$2:$A$2000,$A1388),""))</f>
        <v/>
      </c>
      <c r="S1388" s="65" t="str">
        <f>IF($A1388="","",IFERROR(MAXIFS(Candidates!$AA$2:$AA$2000,Candidates!$A$2:$A$2000,$A1388),""))</f>
        <v/>
      </c>
      <c r="T1388" s="64" t="str">
        <f>IFERROR(__xludf.DUMMYFUNCTION("IF($A1388="""","""",IFERROR(TEXTJOIN("", "",TRUE,UNIQUE(FILTER(Candidates!$B$2:$B$2000,Candidates!$A$2:$A$2000=$A1388))),""""))"),"")</f>
        <v/>
      </c>
      <c r="U1388" s="66" t="str">
        <f>IF($A1388="","",COUNTIF(Candidates!$A$2:$A$2000,$A1388))</f>
        <v/>
      </c>
      <c r="V1388" s="64" t="str">
        <f>IFERROR(__xludf.DUMMYFUNCTION("IF($A1388="""","""",IFERROR(INDEX(FILTER(Candidates!$S$2:$S$2000,Candidates!$A$2:$A$2000=$A1388),COUNTIF(Candidates!$A$2:$A$2000,$A1388)),""""))"),"")</f>
        <v/>
      </c>
      <c r="W1388" s="64" t="str">
        <f>IFERROR(__xludf.DUMMYFUNCTION("IF($A1388="""","""",IFERROR(INDEX(FILTER(Candidates!$T$2:$T$2000,Candidates!$A$2:$A$2000=$A1388),COUNTIF(Candidates!$A$2:$A$2000,$A1388)),""""))"),"")</f>
        <v/>
      </c>
      <c r="X1388" s="64"/>
      <c r="Y1388" s="64"/>
      <c r="Z1388" s="65"/>
      <c r="AA1388" s="65"/>
      <c r="AB1388" s="65"/>
      <c r="AC1388" s="65"/>
    </row>
    <row r="1389">
      <c r="A1389" s="64"/>
      <c r="B1389" s="64"/>
      <c r="C1389" s="64"/>
      <c r="D1389" s="64"/>
      <c r="E1389" s="64"/>
      <c r="F1389" s="64"/>
      <c r="G1389" s="64"/>
      <c r="H1389" s="63"/>
      <c r="I1389" s="64"/>
      <c r="J1389" s="64"/>
      <c r="K1389" s="64"/>
      <c r="L1389" s="64"/>
      <c r="M1389" s="64"/>
      <c r="N1389" s="64"/>
      <c r="O1389" s="64"/>
      <c r="P1389" s="64"/>
      <c r="Q1389" s="64"/>
      <c r="R1389" s="65" t="str">
        <f>IF($A1389="","",IFERROR(MINIFS(Candidates!$K$2:$K$2000,Candidates!$A$2:$A$2000,$A1389),""))</f>
        <v/>
      </c>
      <c r="S1389" s="65" t="str">
        <f>IF($A1389="","",IFERROR(MAXIFS(Candidates!$AA$2:$AA$2000,Candidates!$A$2:$A$2000,$A1389),""))</f>
        <v/>
      </c>
      <c r="T1389" s="64" t="str">
        <f>IFERROR(__xludf.DUMMYFUNCTION("IF($A1389="""","""",IFERROR(TEXTJOIN("", "",TRUE,UNIQUE(FILTER(Candidates!$B$2:$B$2000,Candidates!$A$2:$A$2000=$A1389))),""""))"),"")</f>
        <v/>
      </c>
      <c r="U1389" s="66" t="str">
        <f>IF($A1389="","",COUNTIF(Candidates!$A$2:$A$2000,$A1389))</f>
        <v/>
      </c>
      <c r="V1389" s="64" t="str">
        <f>IFERROR(__xludf.DUMMYFUNCTION("IF($A1389="""","""",IFERROR(INDEX(FILTER(Candidates!$S$2:$S$2000,Candidates!$A$2:$A$2000=$A1389),COUNTIF(Candidates!$A$2:$A$2000,$A1389)),""""))"),"")</f>
        <v/>
      </c>
      <c r="W1389" s="64" t="str">
        <f>IFERROR(__xludf.DUMMYFUNCTION("IF($A1389="""","""",IFERROR(INDEX(FILTER(Candidates!$T$2:$T$2000,Candidates!$A$2:$A$2000=$A1389),COUNTIF(Candidates!$A$2:$A$2000,$A1389)),""""))"),"")</f>
        <v/>
      </c>
      <c r="X1389" s="64"/>
      <c r="Y1389" s="64"/>
      <c r="Z1389" s="65"/>
      <c r="AA1389" s="65"/>
      <c r="AB1389" s="65"/>
      <c r="AC1389" s="65"/>
    </row>
    <row r="1390">
      <c r="A1390" s="64"/>
      <c r="B1390" s="64"/>
      <c r="C1390" s="64"/>
      <c r="D1390" s="64"/>
      <c r="E1390" s="64"/>
      <c r="F1390" s="64"/>
      <c r="G1390" s="64"/>
      <c r="H1390" s="63"/>
      <c r="I1390" s="64"/>
      <c r="J1390" s="64"/>
      <c r="K1390" s="64"/>
      <c r="L1390" s="64"/>
      <c r="M1390" s="64"/>
      <c r="N1390" s="64"/>
      <c r="O1390" s="64"/>
      <c r="P1390" s="64"/>
      <c r="Q1390" s="64"/>
      <c r="R1390" s="65" t="str">
        <f>IF($A1390="","",IFERROR(MINIFS(Candidates!$K$2:$K$2000,Candidates!$A$2:$A$2000,$A1390),""))</f>
        <v/>
      </c>
      <c r="S1390" s="65" t="str">
        <f>IF($A1390="","",IFERROR(MAXIFS(Candidates!$AA$2:$AA$2000,Candidates!$A$2:$A$2000,$A1390),""))</f>
        <v/>
      </c>
      <c r="T1390" s="64" t="str">
        <f>IFERROR(__xludf.DUMMYFUNCTION("IF($A1390="""","""",IFERROR(TEXTJOIN("", "",TRUE,UNIQUE(FILTER(Candidates!$B$2:$B$2000,Candidates!$A$2:$A$2000=$A1390))),""""))"),"")</f>
        <v/>
      </c>
      <c r="U1390" s="66" t="str">
        <f>IF($A1390="","",COUNTIF(Candidates!$A$2:$A$2000,$A1390))</f>
        <v/>
      </c>
      <c r="V1390" s="64" t="str">
        <f>IFERROR(__xludf.DUMMYFUNCTION("IF($A1390="""","""",IFERROR(INDEX(FILTER(Candidates!$S$2:$S$2000,Candidates!$A$2:$A$2000=$A1390),COUNTIF(Candidates!$A$2:$A$2000,$A1390)),""""))"),"")</f>
        <v/>
      </c>
      <c r="W1390" s="64" t="str">
        <f>IFERROR(__xludf.DUMMYFUNCTION("IF($A1390="""","""",IFERROR(INDEX(FILTER(Candidates!$T$2:$T$2000,Candidates!$A$2:$A$2000=$A1390),COUNTIF(Candidates!$A$2:$A$2000,$A1390)),""""))"),"")</f>
        <v/>
      </c>
      <c r="X1390" s="64"/>
      <c r="Y1390" s="64"/>
      <c r="Z1390" s="65"/>
      <c r="AA1390" s="65"/>
      <c r="AB1390" s="65"/>
      <c r="AC1390" s="65"/>
    </row>
    <row r="1391">
      <c r="A1391" s="64"/>
      <c r="B1391" s="64"/>
      <c r="C1391" s="64"/>
      <c r="D1391" s="64"/>
      <c r="E1391" s="64"/>
      <c r="F1391" s="64"/>
      <c r="G1391" s="64"/>
      <c r="H1391" s="63"/>
      <c r="I1391" s="64"/>
      <c r="J1391" s="64"/>
      <c r="K1391" s="64"/>
      <c r="L1391" s="64"/>
      <c r="M1391" s="64"/>
      <c r="N1391" s="64"/>
      <c r="O1391" s="64"/>
      <c r="P1391" s="64"/>
      <c r="Q1391" s="64"/>
      <c r="R1391" s="65" t="str">
        <f>IF($A1391="","",IFERROR(MINIFS(Candidates!$K$2:$K$2000,Candidates!$A$2:$A$2000,$A1391),""))</f>
        <v/>
      </c>
      <c r="S1391" s="65" t="str">
        <f>IF($A1391="","",IFERROR(MAXIFS(Candidates!$AA$2:$AA$2000,Candidates!$A$2:$A$2000,$A1391),""))</f>
        <v/>
      </c>
      <c r="T1391" s="64" t="str">
        <f>IFERROR(__xludf.DUMMYFUNCTION("IF($A1391="""","""",IFERROR(TEXTJOIN("", "",TRUE,UNIQUE(FILTER(Candidates!$B$2:$B$2000,Candidates!$A$2:$A$2000=$A1391))),""""))"),"")</f>
        <v/>
      </c>
      <c r="U1391" s="66" t="str">
        <f>IF($A1391="","",COUNTIF(Candidates!$A$2:$A$2000,$A1391))</f>
        <v/>
      </c>
      <c r="V1391" s="64" t="str">
        <f>IFERROR(__xludf.DUMMYFUNCTION("IF($A1391="""","""",IFERROR(INDEX(FILTER(Candidates!$S$2:$S$2000,Candidates!$A$2:$A$2000=$A1391),COUNTIF(Candidates!$A$2:$A$2000,$A1391)),""""))"),"")</f>
        <v/>
      </c>
      <c r="W1391" s="64" t="str">
        <f>IFERROR(__xludf.DUMMYFUNCTION("IF($A1391="""","""",IFERROR(INDEX(FILTER(Candidates!$T$2:$T$2000,Candidates!$A$2:$A$2000=$A1391),COUNTIF(Candidates!$A$2:$A$2000,$A1391)),""""))"),"")</f>
        <v/>
      </c>
      <c r="X1391" s="64"/>
      <c r="Y1391" s="64"/>
      <c r="Z1391" s="65"/>
      <c r="AA1391" s="65"/>
      <c r="AB1391" s="65"/>
      <c r="AC1391" s="65"/>
    </row>
    <row r="1392">
      <c r="A1392" s="64"/>
      <c r="B1392" s="64"/>
      <c r="C1392" s="64"/>
      <c r="D1392" s="64"/>
      <c r="E1392" s="64"/>
      <c r="F1392" s="64"/>
      <c r="G1392" s="64"/>
      <c r="H1392" s="63"/>
      <c r="I1392" s="64"/>
      <c r="J1392" s="64"/>
      <c r="K1392" s="64"/>
      <c r="L1392" s="64"/>
      <c r="M1392" s="64"/>
      <c r="N1392" s="64"/>
      <c r="O1392" s="64"/>
      <c r="P1392" s="64"/>
      <c r="Q1392" s="64"/>
      <c r="R1392" s="65" t="str">
        <f>IF($A1392="","",IFERROR(MINIFS(Candidates!$K$2:$K$2000,Candidates!$A$2:$A$2000,$A1392),""))</f>
        <v/>
      </c>
      <c r="S1392" s="65" t="str">
        <f>IF($A1392="","",IFERROR(MAXIFS(Candidates!$AA$2:$AA$2000,Candidates!$A$2:$A$2000,$A1392),""))</f>
        <v/>
      </c>
      <c r="T1392" s="64" t="str">
        <f>IFERROR(__xludf.DUMMYFUNCTION("IF($A1392="""","""",IFERROR(TEXTJOIN("", "",TRUE,UNIQUE(FILTER(Candidates!$B$2:$B$2000,Candidates!$A$2:$A$2000=$A1392))),""""))"),"")</f>
        <v/>
      </c>
      <c r="U1392" s="66" t="str">
        <f>IF($A1392="","",COUNTIF(Candidates!$A$2:$A$2000,$A1392))</f>
        <v/>
      </c>
      <c r="V1392" s="64" t="str">
        <f>IFERROR(__xludf.DUMMYFUNCTION("IF($A1392="""","""",IFERROR(INDEX(FILTER(Candidates!$S$2:$S$2000,Candidates!$A$2:$A$2000=$A1392),COUNTIF(Candidates!$A$2:$A$2000,$A1392)),""""))"),"")</f>
        <v/>
      </c>
      <c r="W1392" s="64" t="str">
        <f>IFERROR(__xludf.DUMMYFUNCTION("IF($A1392="""","""",IFERROR(INDEX(FILTER(Candidates!$T$2:$T$2000,Candidates!$A$2:$A$2000=$A1392),COUNTIF(Candidates!$A$2:$A$2000,$A1392)),""""))"),"")</f>
        <v/>
      </c>
      <c r="X1392" s="64"/>
      <c r="Y1392" s="64"/>
      <c r="Z1392" s="65"/>
      <c r="AA1392" s="65"/>
      <c r="AB1392" s="65"/>
      <c r="AC1392" s="65"/>
    </row>
    <row r="1393">
      <c r="A1393" s="64"/>
      <c r="B1393" s="64"/>
      <c r="C1393" s="64"/>
      <c r="D1393" s="64"/>
      <c r="E1393" s="64"/>
      <c r="F1393" s="64"/>
      <c r="G1393" s="64"/>
      <c r="H1393" s="63"/>
      <c r="I1393" s="64"/>
      <c r="J1393" s="64"/>
      <c r="K1393" s="64"/>
      <c r="L1393" s="64"/>
      <c r="M1393" s="64"/>
      <c r="N1393" s="64"/>
      <c r="O1393" s="64"/>
      <c r="P1393" s="64"/>
      <c r="Q1393" s="64"/>
      <c r="R1393" s="65" t="str">
        <f>IF($A1393="","",IFERROR(MINIFS(Candidates!$K$2:$K$2000,Candidates!$A$2:$A$2000,$A1393),""))</f>
        <v/>
      </c>
      <c r="S1393" s="65" t="str">
        <f>IF($A1393="","",IFERROR(MAXIFS(Candidates!$AA$2:$AA$2000,Candidates!$A$2:$A$2000,$A1393),""))</f>
        <v/>
      </c>
      <c r="T1393" s="64" t="str">
        <f>IFERROR(__xludf.DUMMYFUNCTION("IF($A1393="""","""",IFERROR(TEXTJOIN("", "",TRUE,UNIQUE(FILTER(Candidates!$B$2:$B$2000,Candidates!$A$2:$A$2000=$A1393))),""""))"),"")</f>
        <v/>
      </c>
      <c r="U1393" s="66" t="str">
        <f>IF($A1393="","",COUNTIF(Candidates!$A$2:$A$2000,$A1393))</f>
        <v/>
      </c>
      <c r="V1393" s="64" t="str">
        <f>IFERROR(__xludf.DUMMYFUNCTION("IF($A1393="""","""",IFERROR(INDEX(FILTER(Candidates!$S$2:$S$2000,Candidates!$A$2:$A$2000=$A1393),COUNTIF(Candidates!$A$2:$A$2000,$A1393)),""""))"),"")</f>
        <v/>
      </c>
      <c r="W1393" s="64" t="str">
        <f>IFERROR(__xludf.DUMMYFUNCTION("IF($A1393="""","""",IFERROR(INDEX(FILTER(Candidates!$T$2:$T$2000,Candidates!$A$2:$A$2000=$A1393),COUNTIF(Candidates!$A$2:$A$2000,$A1393)),""""))"),"")</f>
        <v/>
      </c>
      <c r="X1393" s="64"/>
      <c r="Y1393" s="64"/>
      <c r="Z1393" s="65"/>
      <c r="AA1393" s="65"/>
      <c r="AB1393" s="65"/>
      <c r="AC1393" s="65"/>
    </row>
    <row r="1394">
      <c r="A1394" s="64"/>
      <c r="B1394" s="64"/>
      <c r="C1394" s="64"/>
      <c r="D1394" s="64"/>
      <c r="E1394" s="64"/>
      <c r="F1394" s="64"/>
      <c r="G1394" s="64"/>
      <c r="H1394" s="63"/>
      <c r="I1394" s="64"/>
      <c r="J1394" s="64"/>
      <c r="K1394" s="64"/>
      <c r="L1394" s="64"/>
      <c r="M1394" s="64"/>
      <c r="N1394" s="64"/>
      <c r="O1394" s="64"/>
      <c r="P1394" s="64"/>
      <c r="Q1394" s="64"/>
      <c r="R1394" s="65" t="str">
        <f>IF($A1394="","",IFERROR(MINIFS(Candidates!$K$2:$K$2000,Candidates!$A$2:$A$2000,$A1394),""))</f>
        <v/>
      </c>
      <c r="S1394" s="65" t="str">
        <f>IF($A1394="","",IFERROR(MAXIFS(Candidates!$AA$2:$AA$2000,Candidates!$A$2:$A$2000,$A1394),""))</f>
        <v/>
      </c>
      <c r="T1394" s="64" t="str">
        <f>IFERROR(__xludf.DUMMYFUNCTION("IF($A1394="""","""",IFERROR(TEXTJOIN("", "",TRUE,UNIQUE(FILTER(Candidates!$B$2:$B$2000,Candidates!$A$2:$A$2000=$A1394))),""""))"),"")</f>
        <v/>
      </c>
      <c r="U1394" s="66" t="str">
        <f>IF($A1394="","",COUNTIF(Candidates!$A$2:$A$2000,$A1394))</f>
        <v/>
      </c>
      <c r="V1394" s="64" t="str">
        <f>IFERROR(__xludf.DUMMYFUNCTION("IF($A1394="""","""",IFERROR(INDEX(FILTER(Candidates!$S$2:$S$2000,Candidates!$A$2:$A$2000=$A1394),COUNTIF(Candidates!$A$2:$A$2000,$A1394)),""""))"),"")</f>
        <v/>
      </c>
      <c r="W1394" s="64" t="str">
        <f>IFERROR(__xludf.DUMMYFUNCTION("IF($A1394="""","""",IFERROR(INDEX(FILTER(Candidates!$T$2:$T$2000,Candidates!$A$2:$A$2000=$A1394),COUNTIF(Candidates!$A$2:$A$2000,$A1394)),""""))"),"")</f>
        <v/>
      </c>
      <c r="X1394" s="64"/>
      <c r="Y1394" s="64"/>
      <c r="Z1394" s="65"/>
      <c r="AA1394" s="65"/>
      <c r="AB1394" s="65"/>
      <c r="AC1394" s="65"/>
    </row>
    <row r="1395">
      <c r="A1395" s="64"/>
      <c r="B1395" s="64"/>
      <c r="C1395" s="64"/>
      <c r="D1395" s="64"/>
      <c r="E1395" s="64"/>
      <c r="F1395" s="64"/>
      <c r="G1395" s="64"/>
      <c r="H1395" s="63"/>
      <c r="I1395" s="64"/>
      <c r="J1395" s="64"/>
      <c r="K1395" s="64"/>
      <c r="L1395" s="64"/>
      <c r="M1395" s="64"/>
      <c r="N1395" s="64"/>
      <c r="O1395" s="64"/>
      <c r="P1395" s="64"/>
      <c r="Q1395" s="64"/>
      <c r="R1395" s="65" t="str">
        <f>IF($A1395="","",IFERROR(MINIFS(Candidates!$K$2:$K$2000,Candidates!$A$2:$A$2000,$A1395),""))</f>
        <v/>
      </c>
      <c r="S1395" s="65" t="str">
        <f>IF($A1395="","",IFERROR(MAXIFS(Candidates!$AA$2:$AA$2000,Candidates!$A$2:$A$2000,$A1395),""))</f>
        <v/>
      </c>
      <c r="T1395" s="64" t="str">
        <f>IFERROR(__xludf.DUMMYFUNCTION("IF($A1395="""","""",IFERROR(TEXTJOIN("", "",TRUE,UNIQUE(FILTER(Candidates!$B$2:$B$2000,Candidates!$A$2:$A$2000=$A1395))),""""))"),"")</f>
        <v/>
      </c>
      <c r="U1395" s="66" t="str">
        <f>IF($A1395="","",COUNTIF(Candidates!$A$2:$A$2000,$A1395))</f>
        <v/>
      </c>
      <c r="V1395" s="64" t="str">
        <f>IFERROR(__xludf.DUMMYFUNCTION("IF($A1395="""","""",IFERROR(INDEX(FILTER(Candidates!$S$2:$S$2000,Candidates!$A$2:$A$2000=$A1395),COUNTIF(Candidates!$A$2:$A$2000,$A1395)),""""))"),"")</f>
        <v/>
      </c>
      <c r="W1395" s="64" t="str">
        <f>IFERROR(__xludf.DUMMYFUNCTION("IF($A1395="""","""",IFERROR(INDEX(FILTER(Candidates!$T$2:$T$2000,Candidates!$A$2:$A$2000=$A1395),COUNTIF(Candidates!$A$2:$A$2000,$A1395)),""""))"),"")</f>
        <v/>
      </c>
      <c r="X1395" s="64"/>
      <c r="Y1395" s="64"/>
      <c r="Z1395" s="65"/>
      <c r="AA1395" s="65"/>
      <c r="AB1395" s="65"/>
      <c r="AC1395" s="65"/>
    </row>
    <row r="1396">
      <c r="A1396" s="64"/>
      <c r="B1396" s="64"/>
      <c r="C1396" s="64"/>
      <c r="D1396" s="64"/>
      <c r="E1396" s="64"/>
      <c r="F1396" s="64"/>
      <c r="G1396" s="64"/>
      <c r="H1396" s="63"/>
      <c r="I1396" s="64"/>
      <c r="J1396" s="64"/>
      <c r="K1396" s="64"/>
      <c r="L1396" s="64"/>
      <c r="M1396" s="64"/>
      <c r="N1396" s="64"/>
      <c r="O1396" s="64"/>
      <c r="P1396" s="64"/>
      <c r="Q1396" s="64"/>
      <c r="R1396" s="65" t="str">
        <f>IF($A1396="","",IFERROR(MINIFS(Candidates!$K$2:$K$2000,Candidates!$A$2:$A$2000,$A1396),""))</f>
        <v/>
      </c>
      <c r="S1396" s="65" t="str">
        <f>IF($A1396="","",IFERROR(MAXIFS(Candidates!$AA$2:$AA$2000,Candidates!$A$2:$A$2000,$A1396),""))</f>
        <v/>
      </c>
      <c r="T1396" s="64" t="str">
        <f>IFERROR(__xludf.DUMMYFUNCTION("IF($A1396="""","""",IFERROR(TEXTJOIN("", "",TRUE,UNIQUE(FILTER(Candidates!$B$2:$B$2000,Candidates!$A$2:$A$2000=$A1396))),""""))"),"")</f>
        <v/>
      </c>
      <c r="U1396" s="66" t="str">
        <f>IF($A1396="","",COUNTIF(Candidates!$A$2:$A$2000,$A1396))</f>
        <v/>
      </c>
      <c r="V1396" s="64" t="str">
        <f>IFERROR(__xludf.DUMMYFUNCTION("IF($A1396="""","""",IFERROR(INDEX(FILTER(Candidates!$S$2:$S$2000,Candidates!$A$2:$A$2000=$A1396),COUNTIF(Candidates!$A$2:$A$2000,$A1396)),""""))"),"")</f>
        <v/>
      </c>
      <c r="W1396" s="64" t="str">
        <f>IFERROR(__xludf.DUMMYFUNCTION("IF($A1396="""","""",IFERROR(INDEX(FILTER(Candidates!$T$2:$T$2000,Candidates!$A$2:$A$2000=$A1396),COUNTIF(Candidates!$A$2:$A$2000,$A1396)),""""))"),"")</f>
        <v/>
      </c>
      <c r="X1396" s="64"/>
      <c r="Y1396" s="64"/>
      <c r="Z1396" s="65"/>
      <c r="AA1396" s="65"/>
      <c r="AB1396" s="65"/>
      <c r="AC1396" s="65"/>
    </row>
    <row r="1397">
      <c r="A1397" s="64"/>
      <c r="B1397" s="64"/>
      <c r="C1397" s="64"/>
      <c r="D1397" s="64"/>
      <c r="E1397" s="64"/>
      <c r="F1397" s="64"/>
      <c r="G1397" s="64"/>
      <c r="H1397" s="63"/>
      <c r="I1397" s="64"/>
      <c r="J1397" s="64"/>
      <c r="K1397" s="64"/>
      <c r="L1397" s="64"/>
      <c r="M1397" s="64"/>
      <c r="N1397" s="64"/>
      <c r="O1397" s="64"/>
      <c r="P1397" s="64"/>
      <c r="Q1397" s="64"/>
      <c r="R1397" s="65" t="str">
        <f>IF($A1397="","",IFERROR(MINIFS(Candidates!$K$2:$K$2000,Candidates!$A$2:$A$2000,$A1397),""))</f>
        <v/>
      </c>
      <c r="S1397" s="65" t="str">
        <f>IF($A1397="","",IFERROR(MAXIFS(Candidates!$AA$2:$AA$2000,Candidates!$A$2:$A$2000,$A1397),""))</f>
        <v/>
      </c>
      <c r="T1397" s="64" t="str">
        <f>IFERROR(__xludf.DUMMYFUNCTION("IF($A1397="""","""",IFERROR(TEXTJOIN("", "",TRUE,UNIQUE(FILTER(Candidates!$B$2:$B$2000,Candidates!$A$2:$A$2000=$A1397))),""""))"),"")</f>
        <v/>
      </c>
      <c r="U1397" s="66" t="str">
        <f>IF($A1397="","",COUNTIF(Candidates!$A$2:$A$2000,$A1397))</f>
        <v/>
      </c>
      <c r="V1397" s="64" t="str">
        <f>IFERROR(__xludf.DUMMYFUNCTION("IF($A1397="""","""",IFERROR(INDEX(FILTER(Candidates!$S$2:$S$2000,Candidates!$A$2:$A$2000=$A1397),COUNTIF(Candidates!$A$2:$A$2000,$A1397)),""""))"),"")</f>
        <v/>
      </c>
      <c r="W1397" s="64" t="str">
        <f>IFERROR(__xludf.DUMMYFUNCTION("IF($A1397="""","""",IFERROR(INDEX(FILTER(Candidates!$T$2:$T$2000,Candidates!$A$2:$A$2000=$A1397),COUNTIF(Candidates!$A$2:$A$2000,$A1397)),""""))"),"")</f>
        <v/>
      </c>
      <c r="X1397" s="64"/>
      <c r="Y1397" s="64"/>
      <c r="Z1397" s="65"/>
      <c r="AA1397" s="65"/>
      <c r="AB1397" s="65"/>
      <c r="AC1397" s="65"/>
    </row>
    <row r="1398">
      <c r="A1398" s="64"/>
      <c r="B1398" s="64"/>
      <c r="C1398" s="64"/>
      <c r="D1398" s="64"/>
      <c r="E1398" s="64"/>
      <c r="F1398" s="64"/>
      <c r="G1398" s="64"/>
      <c r="H1398" s="63"/>
      <c r="I1398" s="64"/>
      <c r="J1398" s="64"/>
      <c r="K1398" s="64"/>
      <c r="L1398" s="64"/>
      <c r="M1398" s="64"/>
      <c r="N1398" s="64"/>
      <c r="O1398" s="64"/>
      <c r="P1398" s="64"/>
      <c r="Q1398" s="64"/>
      <c r="R1398" s="65" t="str">
        <f>IF($A1398="","",IFERROR(MINIFS(Candidates!$K$2:$K$2000,Candidates!$A$2:$A$2000,$A1398),""))</f>
        <v/>
      </c>
      <c r="S1398" s="65" t="str">
        <f>IF($A1398="","",IFERROR(MAXIFS(Candidates!$AA$2:$AA$2000,Candidates!$A$2:$A$2000,$A1398),""))</f>
        <v/>
      </c>
      <c r="T1398" s="64" t="str">
        <f>IFERROR(__xludf.DUMMYFUNCTION("IF($A1398="""","""",IFERROR(TEXTJOIN("", "",TRUE,UNIQUE(FILTER(Candidates!$B$2:$B$2000,Candidates!$A$2:$A$2000=$A1398))),""""))"),"")</f>
        <v/>
      </c>
      <c r="U1398" s="66" t="str">
        <f>IF($A1398="","",COUNTIF(Candidates!$A$2:$A$2000,$A1398))</f>
        <v/>
      </c>
      <c r="V1398" s="64" t="str">
        <f>IFERROR(__xludf.DUMMYFUNCTION("IF($A1398="""","""",IFERROR(INDEX(FILTER(Candidates!$S$2:$S$2000,Candidates!$A$2:$A$2000=$A1398),COUNTIF(Candidates!$A$2:$A$2000,$A1398)),""""))"),"")</f>
        <v/>
      </c>
      <c r="W1398" s="64" t="str">
        <f>IFERROR(__xludf.DUMMYFUNCTION("IF($A1398="""","""",IFERROR(INDEX(FILTER(Candidates!$T$2:$T$2000,Candidates!$A$2:$A$2000=$A1398),COUNTIF(Candidates!$A$2:$A$2000,$A1398)),""""))"),"")</f>
        <v/>
      </c>
      <c r="X1398" s="64"/>
      <c r="Y1398" s="64"/>
      <c r="Z1398" s="65"/>
      <c r="AA1398" s="65"/>
      <c r="AB1398" s="65"/>
      <c r="AC1398" s="65"/>
    </row>
    <row r="1399">
      <c r="A1399" s="64"/>
      <c r="B1399" s="64"/>
      <c r="C1399" s="64"/>
      <c r="D1399" s="64"/>
      <c r="E1399" s="64"/>
      <c r="F1399" s="64"/>
      <c r="G1399" s="64"/>
      <c r="H1399" s="63"/>
      <c r="I1399" s="64"/>
      <c r="J1399" s="64"/>
      <c r="K1399" s="64"/>
      <c r="L1399" s="64"/>
      <c r="M1399" s="64"/>
      <c r="N1399" s="64"/>
      <c r="O1399" s="64"/>
      <c r="P1399" s="64"/>
      <c r="Q1399" s="64"/>
      <c r="R1399" s="65" t="str">
        <f>IF($A1399="","",IFERROR(MINIFS(Candidates!$K$2:$K$2000,Candidates!$A$2:$A$2000,$A1399),""))</f>
        <v/>
      </c>
      <c r="S1399" s="65" t="str">
        <f>IF($A1399="","",IFERROR(MAXIFS(Candidates!$AA$2:$AA$2000,Candidates!$A$2:$A$2000,$A1399),""))</f>
        <v/>
      </c>
      <c r="T1399" s="64" t="str">
        <f>IFERROR(__xludf.DUMMYFUNCTION("IF($A1399="""","""",IFERROR(TEXTJOIN("", "",TRUE,UNIQUE(FILTER(Candidates!$B$2:$B$2000,Candidates!$A$2:$A$2000=$A1399))),""""))"),"")</f>
        <v/>
      </c>
      <c r="U1399" s="66" t="str">
        <f>IF($A1399="","",COUNTIF(Candidates!$A$2:$A$2000,$A1399))</f>
        <v/>
      </c>
      <c r="V1399" s="64" t="str">
        <f>IFERROR(__xludf.DUMMYFUNCTION("IF($A1399="""","""",IFERROR(INDEX(FILTER(Candidates!$S$2:$S$2000,Candidates!$A$2:$A$2000=$A1399),COUNTIF(Candidates!$A$2:$A$2000,$A1399)),""""))"),"")</f>
        <v/>
      </c>
      <c r="W1399" s="64" t="str">
        <f>IFERROR(__xludf.DUMMYFUNCTION("IF($A1399="""","""",IFERROR(INDEX(FILTER(Candidates!$T$2:$T$2000,Candidates!$A$2:$A$2000=$A1399),COUNTIF(Candidates!$A$2:$A$2000,$A1399)),""""))"),"")</f>
        <v/>
      </c>
      <c r="X1399" s="64"/>
      <c r="Y1399" s="64"/>
      <c r="Z1399" s="65"/>
      <c r="AA1399" s="65"/>
      <c r="AB1399" s="65"/>
      <c r="AC1399" s="65"/>
    </row>
    <row r="1400">
      <c r="A1400" s="64"/>
      <c r="B1400" s="64"/>
      <c r="C1400" s="64"/>
      <c r="D1400" s="64"/>
      <c r="E1400" s="64"/>
      <c r="F1400" s="64"/>
      <c r="G1400" s="64"/>
      <c r="H1400" s="63"/>
      <c r="I1400" s="64"/>
      <c r="J1400" s="64"/>
      <c r="K1400" s="64"/>
      <c r="L1400" s="64"/>
      <c r="M1400" s="64"/>
      <c r="N1400" s="64"/>
      <c r="O1400" s="64"/>
      <c r="P1400" s="64"/>
      <c r="Q1400" s="64"/>
      <c r="R1400" s="65" t="str">
        <f>IF($A1400="","",IFERROR(MINIFS(Candidates!$K$2:$K$2000,Candidates!$A$2:$A$2000,$A1400),""))</f>
        <v/>
      </c>
      <c r="S1400" s="65" t="str">
        <f>IF($A1400="","",IFERROR(MAXIFS(Candidates!$AA$2:$AA$2000,Candidates!$A$2:$A$2000,$A1400),""))</f>
        <v/>
      </c>
      <c r="T1400" s="64" t="str">
        <f>IFERROR(__xludf.DUMMYFUNCTION("IF($A1400="""","""",IFERROR(TEXTJOIN("", "",TRUE,UNIQUE(FILTER(Candidates!$B$2:$B$2000,Candidates!$A$2:$A$2000=$A1400))),""""))"),"")</f>
        <v/>
      </c>
      <c r="U1400" s="66" t="str">
        <f>IF($A1400="","",COUNTIF(Candidates!$A$2:$A$2000,$A1400))</f>
        <v/>
      </c>
      <c r="V1400" s="64" t="str">
        <f>IFERROR(__xludf.DUMMYFUNCTION("IF($A1400="""","""",IFERROR(INDEX(FILTER(Candidates!$S$2:$S$2000,Candidates!$A$2:$A$2000=$A1400),COUNTIF(Candidates!$A$2:$A$2000,$A1400)),""""))"),"")</f>
        <v/>
      </c>
      <c r="W1400" s="64" t="str">
        <f>IFERROR(__xludf.DUMMYFUNCTION("IF($A1400="""","""",IFERROR(INDEX(FILTER(Candidates!$T$2:$T$2000,Candidates!$A$2:$A$2000=$A1400),COUNTIF(Candidates!$A$2:$A$2000,$A1400)),""""))"),"")</f>
        <v/>
      </c>
      <c r="X1400" s="64"/>
      <c r="Y1400" s="64"/>
      <c r="Z1400" s="65"/>
      <c r="AA1400" s="65"/>
      <c r="AB1400" s="65"/>
      <c r="AC1400" s="65"/>
    </row>
    <row r="1401">
      <c r="A1401" s="64"/>
      <c r="B1401" s="64"/>
      <c r="C1401" s="64"/>
      <c r="D1401" s="64"/>
      <c r="E1401" s="64"/>
      <c r="F1401" s="64"/>
      <c r="G1401" s="64"/>
      <c r="H1401" s="63"/>
      <c r="I1401" s="64"/>
      <c r="J1401" s="64"/>
      <c r="K1401" s="64"/>
      <c r="L1401" s="64"/>
      <c r="M1401" s="64"/>
      <c r="N1401" s="64"/>
      <c r="O1401" s="64"/>
      <c r="P1401" s="64"/>
      <c r="Q1401" s="64"/>
      <c r="R1401" s="65" t="str">
        <f>IF($A1401="","",IFERROR(MINIFS(Candidates!$K$2:$K$2000,Candidates!$A$2:$A$2000,$A1401),""))</f>
        <v/>
      </c>
      <c r="S1401" s="65" t="str">
        <f>IF($A1401="","",IFERROR(MAXIFS(Candidates!$AA$2:$AA$2000,Candidates!$A$2:$A$2000,$A1401),""))</f>
        <v/>
      </c>
      <c r="T1401" s="64" t="str">
        <f>IFERROR(__xludf.DUMMYFUNCTION("IF($A1401="""","""",IFERROR(TEXTJOIN("", "",TRUE,UNIQUE(FILTER(Candidates!$B$2:$B$2000,Candidates!$A$2:$A$2000=$A1401))),""""))"),"")</f>
        <v/>
      </c>
      <c r="U1401" s="66" t="str">
        <f>IF($A1401="","",COUNTIF(Candidates!$A$2:$A$2000,$A1401))</f>
        <v/>
      </c>
      <c r="V1401" s="64" t="str">
        <f>IFERROR(__xludf.DUMMYFUNCTION("IF($A1401="""","""",IFERROR(INDEX(FILTER(Candidates!$S$2:$S$2000,Candidates!$A$2:$A$2000=$A1401),COUNTIF(Candidates!$A$2:$A$2000,$A1401)),""""))"),"")</f>
        <v/>
      </c>
      <c r="W1401" s="64" t="str">
        <f>IFERROR(__xludf.DUMMYFUNCTION("IF($A1401="""","""",IFERROR(INDEX(FILTER(Candidates!$T$2:$T$2000,Candidates!$A$2:$A$2000=$A1401),COUNTIF(Candidates!$A$2:$A$2000,$A1401)),""""))"),"")</f>
        <v/>
      </c>
      <c r="X1401" s="64"/>
      <c r="Y1401" s="64"/>
      <c r="Z1401" s="65"/>
      <c r="AA1401" s="65"/>
      <c r="AB1401" s="65"/>
      <c r="AC1401" s="65"/>
    </row>
    <row r="1402">
      <c r="A1402" s="64"/>
      <c r="B1402" s="64"/>
      <c r="C1402" s="64"/>
      <c r="D1402" s="64"/>
      <c r="E1402" s="64"/>
      <c r="F1402" s="64"/>
      <c r="G1402" s="64"/>
      <c r="H1402" s="63"/>
      <c r="I1402" s="64"/>
      <c r="J1402" s="64"/>
      <c r="K1402" s="64"/>
      <c r="L1402" s="64"/>
      <c r="M1402" s="64"/>
      <c r="N1402" s="64"/>
      <c r="O1402" s="64"/>
      <c r="P1402" s="64"/>
      <c r="Q1402" s="64"/>
      <c r="R1402" s="65" t="str">
        <f>IF($A1402="","",IFERROR(MINIFS(Candidates!$K$2:$K$2000,Candidates!$A$2:$A$2000,$A1402),""))</f>
        <v/>
      </c>
      <c r="S1402" s="65" t="str">
        <f>IF($A1402="","",IFERROR(MAXIFS(Candidates!$AA$2:$AA$2000,Candidates!$A$2:$A$2000,$A1402),""))</f>
        <v/>
      </c>
      <c r="T1402" s="64" t="str">
        <f>IFERROR(__xludf.DUMMYFUNCTION("IF($A1402="""","""",IFERROR(TEXTJOIN("", "",TRUE,UNIQUE(FILTER(Candidates!$B$2:$B$2000,Candidates!$A$2:$A$2000=$A1402))),""""))"),"")</f>
        <v/>
      </c>
      <c r="U1402" s="66" t="str">
        <f>IF($A1402="","",COUNTIF(Candidates!$A$2:$A$2000,$A1402))</f>
        <v/>
      </c>
      <c r="V1402" s="64" t="str">
        <f>IFERROR(__xludf.DUMMYFUNCTION("IF($A1402="""","""",IFERROR(INDEX(FILTER(Candidates!$S$2:$S$2000,Candidates!$A$2:$A$2000=$A1402),COUNTIF(Candidates!$A$2:$A$2000,$A1402)),""""))"),"")</f>
        <v/>
      </c>
      <c r="W1402" s="64" t="str">
        <f>IFERROR(__xludf.DUMMYFUNCTION("IF($A1402="""","""",IFERROR(INDEX(FILTER(Candidates!$T$2:$T$2000,Candidates!$A$2:$A$2000=$A1402),COUNTIF(Candidates!$A$2:$A$2000,$A1402)),""""))"),"")</f>
        <v/>
      </c>
      <c r="X1402" s="64"/>
      <c r="Y1402" s="64"/>
      <c r="Z1402" s="65"/>
      <c r="AA1402" s="65"/>
      <c r="AB1402" s="65"/>
      <c r="AC1402" s="65"/>
    </row>
    <row r="1403">
      <c r="A1403" s="64"/>
      <c r="B1403" s="64"/>
      <c r="C1403" s="64"/>
      <c r="D1403" s="64"/>
      <c r="E1403" s="64"/>
      <c r="F1403" s="64"/>
      <c r="G1403" s="64"/>
      <c r="H1403" s="63"/>
      <c r="I1403" s="64"/>
      <c r="J1403" s="64"/>
      <c r="K1403" s="64"/>
      <c r="L1403" s="64"/>
      <c r="M1403" s="64"/>
      <c r="N1403" s="64"/>
      <c r="O1403" s="64"/>
      <c r="P1403" s="64"/>
      <c r="Q1403" s="64"/>
      <c r="R1403" s="65" t="str">
        <f>IF($A1403="","",IFERROR(MINIFS(Candidates!$K$2:$K$2000,Candidates!$A$2:$A$2000,$A1403),""))</f>
        <v/>
      </c>
      <c r="S1403" s="65" t="str">
        <f>IF($A1403="","",IFERROR(MAXIFS(Candidates!$AA$2:$AA$2000,Candidates!$A$2:$A$2000,$A1403),""))</f>
        <v/>
      </c>
      <c r="T1403" s="64" t="str">
        <f>IFERROR(__xludf.DUMMYFUNCTION("IF($A1403="""","""",IFERROR(TEXTJOIN("", "",TRUE,UNIQUE(FILTER(Candidates!$B$2:$B$2000,Candidates!$A$2:$A$2000=$A1403))),""""))"),"")</f>
        <v/>
      </c>
      <c r="U1403" s="66" t="str">
        <f>IF($A1403="","",COUNTIF(Candidates!$A$2:$A$2000,$A1403))</f>
        <v/>
      </c>
      <c r="V1403" s="64" t="str">
        <f>IFERROR(__xludf.DUMMYFUNCTION("IF($A1403="""","""",IFERROR(INDEX(FILTER(Candidates!$S$2:$S$2000,Candidates!$A$2:$A$2000=$A1403),COUNTIF(Candidates!$A$2:$A$2000,$A1403)),""""))"),"")</f>
        <v/>
      </c>
      <c r="W1403" s="64" t="str">
        <f>IFERROR(__xludf.DUMMYFUNCTION("IF($A1403="""","""",IFERROR(INDEX(FILTER(Candidates!$T$2:$T$2000,Candidates!$A$2:$A$2000=$A1403),COUNTIF(Candidates!$A$2:$A$2000,$A1403)),""""))"),"")</f>
        <v/>
      </c>
      <c r="X1403" s="64"/>
      <c r="Y1403" s="64"/>
      <c r="Z1403" s="65"/>
      <c r="AA1403" s="65"/>
      <c r="AB1403" s="65"/>
      <c r="AC1403" s="65"/>
    </row>
    <row r="1404">
      <c r="A1404" s="64"/>
      <c r="B1404" s="64"/>
      <c r="C1404" s="64"/>
      <c r="D1404" s="64"/>
      <c r="E1404" s="64"/>
      <c r="F1404" s="64"/>
      <c r="G1404" s="64"/>
      <c r="H1404" s="63"/>
      <c r="I1404" s="64"/>
      <c r="J1404" s="64"/>
      <c r="K1404" s="64"/>
      <c r="L1404" s="64"/>
      <c r="M1404" s="64"/>
      <c r="N1404" s="64"/>
      <c r="O1404" s="64"/>
      <c r="P1404" s="64"/>
      <c r="Q1404" s="64"/>
      <c r="R1404" s="65" t="str">
        <f>IF($A1404="","",IFERROR(MINIFS(Candidates!$K$2:$K$2000,Candidates!$A$2:$A$2000,$A1404),""))</f>
        <v/>
      </c>
      <c r="S1404" s="65" t="str">
        <f>IF($A1404="","",IFERROR(MAXIFS(Candidates!$AA$2:$AA$2000,Candidates!$A$2:$A$2000,$A1404),""))</f>
        <v/>
      </c>
      <c r="T1404" s="64" t="str">
        <f>IFERROR(__xludf.DUMMYFUNCTION("IF($A1404="""","""",IFERROR(TEXTJOIN("", "",TRUE,UNIQUE(FILTER(Candidates!$B$2:$B$2000,Candidates!$A$2:$A$2000=$A1404))),""""))"),"")</f>
        <v/>
      </c>
      <c r="U1404" s="66" t="str">
        <f>IF($A1404="","",COUNTIF(Candidates!$A$2:$A$2000,$A1404))</f>
        <v/>
      </c>
      <c r="V1404" s="64" t="str">
        <f>IFERROR(__xludf.DUMMYFUNCTION("IF($A1404="""","""",IFERROR(INDEX(FILTER(Candidates!$S$2:$S$2000,Candidates!$A$2:$A$2000=$A1404),COUNTIF(Candidates!$A$2:$A$2000,$A1404)),""""))"),"")</f>
        <v/>
      </c>
      <c r="W1404" s="64" t="str">
        <f>IFERROR(__xludf.DUMMYFUNCTION("IF($A1404="""","""",IFERROR(INDEX(FILTER(Candidates!$T$2:$T$2000,Candidates!$A$2:$A$2000=$A1404),COUNTIF(Candidates!$A$2:$A$2000,$A1404)),""""))"),"")</f>
        <v/>
      </c>
      <c r="X1404" s="64"/>
      <c r="Y1404" s="64"/>
      <c r="Z1404" s="65"/>
      <c r="AA1404" s="65"/>
      <c r="AB1404" s="65"/>
      <c r="AC1404" s="65"/>
    </row>
    <row r="1405">
      <c r="A1405" s="64"/>
      <c r="B1405" s="64"/>
      <c r="C1405" s="64"/>
      <c r="D1405" s="64"/>
      <c r="E1405" s="64"/>
      <c r="F1405" s="64"/>
      <c r="G1405" s="64"/>
      <c r="H1405" s="63"/>
      <c r="I1405" s="64"/>
      <c r="J1405" s="64"/>
      <c r="K1405" s="64"/>
      <c r="L1405" s="64"/>
      <c r="M1405" s="64"/>
      <c r="N1405" s="64"/>
      <c r="O1405" s="64"/>
      <c r="P1405" s="64"/>
      <c r="Q1405" s="64"/>
      <c r="R1405" s="65" t="str">
        <f>IF($A1405="","",IFERROR(MINIFS(Candidates!$K$2:$K$2000,Candidates!$A$2:$A$2000,$A1405),""))</f>
        <v/>
      </c>
      <c r="S1405" s="65" t="str">
        <f>IF($A1405="","",IFERROR(MAXIFS(Candidates!$AA$2:$AA$2000,Candidates!$A$2:$A$2000,$A1405),""))</f>
        <v/>
      </c>
      <c r="T1405" s="64" t="str">
        <f>IFERROR(__xludf.DUMMYFUNCTION("IF($A1405="""","""",IFERROR(TEXTJOIN("", "",TRUE,UNIQUE(FILTER(Candidates!$B$2:$B$2000,Candidates!$A$2:$A$2000=$A1405))),""""))"),"")</f>
        <v/>
      </c>
      <c r="U1405" s="66" t="str">
        <f>IF($A1405="","",COUNTIF(Candidates!$A$2:$A$2000,$A1405))</f>
        <v/>
      </c>
      <c r="V1405" s="64" t="str">
        <f>IFERROR(__xludf.DUMMYFUNCTION("IF($A1405="""","""",IFERROR(INDEX(FILTER(Candidates!$S$2:$S$2000,Candidates!$A$2:$A$2000=$A1405),COUNTIF(Candidates!$A$2:$A$2000,$A1405)),""""))"),"")</f>
        <v/>
      </c>
      <c r="W1405" s="64" t="str">
        <f>IFERROR(__xludf.DUMMYFUNCTION("IF($A1405="""","""",IFERROR(INDEX(FILTER(Candidates!$T$2:$T$2000,Candidates!$A$2:$A$2000=$A1405),COUNTIF(Candidates!$A$2:$A$2000,$A1405)),""""))"),"")</f>
        <v/>
      </c>
      <c r="X1405" s="64"/>
      <c r="Y1405" s="64"/>
      <c r="Z1405" s="65"/>
      <c r="AA1405" s="65"/>
      <c r="AB1405" s="65"/>
      <c r="AC1405" s="65"/>
    </row>
    <row r="1406">
      <c r="A1406" s="64"/>
      <c r="B1406" s="64"/>
      <c r="C1406" s="64"/>
      <c r="D1406" s="64"/>
      <c r="E1406" s="64"/>
      <c r="F1406" s="64"/>
      <c r="G1406" s="64"/>
      <c r="H1406" s="63"/>
      <c r="I1406" s="64"/>
      <c r="J1406" s="64"/>
      <c r="K1406" s="64"/>
      <c r="L1406" s="64"/>
      <c r="M1406" s="64"/>
      <c r="N1406" s="64"/>
      <c r="O1406" s="64"/>
      <c r="P1406" s="64"/>
      <c r="Q1406" s="64"/>
      <c r="R1406" s="65" t="str">
        <f>IF($A1406="","",IFERROR(MINIFS(Candidates!$K$2:$K$2000,Candidates!$A$2:$A$2000,$A1406),""))</f>
        <v/>
      </c>
      <c r="S1406" s="65" t="str">
        <f>IF($A1406="","",IFERROR(MAXIFS(Candidates!$AA$2:$AA$2000,Candidates!$A$2:$A$2000,$A1406),""))</f>
        <v/>
      </c>
      <c r="T1406" s="64" t="str">
        <f>IFERROR(__xludf.DUMMYFUNCTION("IF($A1406="""","""",IFERROR(TEXTJOIN("", "",TRUE,UNIQUE(FILTER(Candidates!$B$2:$B$2000,Candidates!$A$2:$A$2000=$A1406))),""""))"),"")</f>
        <v/>
      </c>
      <c r="U1406" s="66" t="str">
        <f>IF($A1406="","",COUNTIF(Candidates!$A$2:$A$2000,$A1406))</f>
        <v/>
      </c>
      <c r="V1406" s="64" t="str">
        <f>IFERROR(__xludf.DUMMYFUNCTION("IF($A1406="""","""",IFERROR(INDEX(FILTER(Candidates!$S$2:$S$2000,Candidates!$A$2:$A$2000=$A1406),COUNTIF(Candidates!$A$2:$A$2000,$A1406)),""""))"),"")</f>
        <v/>
      </c>
      <c r="W1406" s="64" t="str">
        <f>IFERROR(__xludf.DUMMYFUNCTION("IF($A1406="""","""",IFERROR(INDEX(FILTER(Candidates!$T$2:$T$2000,Candidates!$A$2:$A$2000=$A1406),COUNTIF(Candidates!$A$2:$A$2000,$A1406)),""""))"),"")</f>
        <v/>
      </c>
      <c r="X1406" s="64"/>
      <c r="Y1406" s="64"/>
      <c r="Z1406" s="65"/>
      <c r="AA1406" s="65"/>
      <c r="AB1406" s="65"/>
      <c r="AC1406" s="65"/>
    </row>
    <row r="1407">
      <c r="A1407" s="64"/>
      <c r="B1407" s="64"/>
      <c r="C1407" s="64"/>
      <c r="D1407" s="64"/>
      <c r="E1407" s="64"/>
      <c r="F1407" s="64"/>
      <c r="G1407" s="64"/>
      <c r="H1407" s="63"/>
      <c r="I1407" s="64"/>
      <c r="J1407" s="64"/>
      <c r="K1407" s="64"/>
      <c r="L1407" s="64"/>
      <c r="M1407" s="64"/>
      <c r="N1407" s="64"/>
      <c r="O1407" s="64"/>
      <c r="P1407" s="64"/>
      <c r="Q1407" s="64"/>
      <c r="R1407" s="65" t="str">
        <f>IF($A1407="","",IFERROR(MINIFS(Candidates!$K$2:$K$2000,Candidates!$A$2:$A$2000,$A1407),""))</f>
        <v/>
      </c>
      <c r="S1407" s="65" t="str">
        <f>IF($A1407="","",IFERROR(MAXIFS(Candidates!$AA$2:$AA$2000,Candidates!$A$2:$A$2000,$A1407),""))</f>
        <v/>
      </c>
      <c r="T1407" s="64" t="str">
        <f>IFERROR(__xludf.DUMMYFUNCTION("IF($A1407="""","""",IFERROR(TEXTJOIN("", "",TRUE,UNIQUE(FILTER(Candidates!$B$2:$B$2000,Candidates!$A$2:$A$2000=$A1407))),""""))"),"")</f>
        <v/>
      </c>
      <c r="U1407" s="66" t="str">
        <f>IF($A1407="","",COUNTIF(Candidates!$A$2:$A$2000,$A1407))</f>
        <v/>
      </c>
      <c r="V1407" s="64" t="str">
        <f>IFERROR(__xludf.DUMMYFUNCTION("IF($A1407="""","""",IFERROR(INDEX(FILTER(Candidates!$S$2:$S$2000,Candidates!$A$2:$A$2000=$A1407),COUNTIF(Candidates!$A$2:$A$2000,$A1407)),""""))"),"")</f>
        <v/>
      </c>
      <c r="W1407" s="64" t="str">
        <f>IFERROR(__xludf.DUMMYFUNCTION("IF($A1407="""","""",IFERROR(INDEX(FILTER(Candidates!$T$2:$T$2000,Candidates!$A$2:$A$2000=$A1407),COUNTIF(Candidates!$A$2:$A$2000,$A1407)),""""))"),"")</f>
        <v/>
      </c>
      <c r="X1407" s="64"/>
      <c r="Y1407" s="64"/>
      <c r="Z1407" s="65"/>
      <c r="AA1407" s="65"/>
      <c r="AB1407" s="65"/>
      <c r="AC1407" s="65"/>
    </row>
    <row r="1408">
      <c r="A1408" s="64"/>
      <c r="B1408" s="64"/>
      <c r="C1408" s="64"/>
      <c r="D1408" s="64"/>
      <c r="E1408" s="64"/>
      <c r="F1408" s="64"/>
      <c r="G1408" s="64"/>
      <c r="H1408" s="63"/>
      <c r="I1408" s="64"/>
      <c r="J1408" s="64"/>
      <c r="K1408" s="64"/>
      <c r="L1408" s="64"/>
      <c r="M1408" s="64"/>
      <c r="N1408" s="64"/>
      <c r="O1408" s="64"/>
      <c r="P1408" s="64"/>
      <c r="Q1408" s="64"/>
      <c r="R1408" s="65" t="str">
        <f>IF($A1408="","",IFERROR(MINIFS(Candidates!$K$2:$K$2000,Candidates!$A$2:$A$2000,$A1408),""))</f>
        <v/>
      </c>
      <c r="S1408" s="65" t="str">
        <f>IF($A1408="","",IFERROR(MAXIFS(Candidates!$AA$2:$AA$2000,Candidates!$A$2:$A$2000,$A1408),""))</f>
        <v/>
      </c>
      <c r="T1408" s="64" t="str">
        <f>IFERROR(__xludf.DUMMYFUNCTION("IF($A1408="""","""",IFERROR(TEXTJOIN("", "",TRUE,UNIQUE(FILTER(Candidates!$B$2:$B$2000,Candidates!$A$2:$A$2000=$A1408))),""""))"),"")</f>
        <v/>
      </c>
      <c r="U1408" s="66" t="str">
        <f>IF($A1408="","",COUNTIF(Candidates!$A$2:$A$2000,$A1408))</f>
        <v/>
      </c>
      <c r="V1408" s="64" t="str">
        <f>IFERROR(__xludf.DUMMYFUNCTION("IF($A1408="""","""",IFERROR(INDEX(FILTER(Candidates!$S$2:$S$2000,Candidates!$A$2:$A$2000=$A1408),COUNTIF(Candidates!$A$2:$A$2000,$A1408)),""""))"),"")</f>
        <v/>
      </c>
      <c r="W1408" s="64" t="str">
        <f>IFERROR(__xludf.DUMMYFUNCTION("IF($A1408="""","""",IFERROR(INDEX(FILTER(Candidates!$T$2:$T$2000,Candidates!$A$2:$A$2000=$A1408),COUNTIF(Candidates!$A$2:$A$2000,$A1408)),""""))"),"")</f>
        <v/>
      </c>
      <c r="X1408" s="64"/>
      <c r="Y1408" s="64"/>
      <c r="Z1408" s="65"/>
      <c r="AA1408" s="65"/>
      <c r="AB1408" s="65"/>
      <c r="AC1408" s="65"/>
    </row>
    <row r="1409">
      <c r="A1409" s="64"/>
      <c r="B1409" s="64"/>
      <c r="C1409" s="64"/>
      <c r="D1409" s="64"/>
      <c r="E1409" s="64"/>
      <c r="F1409" s="64"/>
      <c r="G1409" s="64"/>
      <c r="H1409" s="63"/>
      <c r="I1409" s="64"/>
      <c r="J1409" s="64"/>
      <c r="K1409" s="64"/>
      <c r="L1409" s="64"/>
      <c r="M1409" s="64"/>
      <c r="N1409" s="64"/>
      <c r="O1409" s="64"/>
      <c r="P1409" s="64"/>
      <c r="Q1409" s="64"/>
      <c r="R1409" s="65" t="str">
        <f>IF($A1409="","",IFERROR(MINIFS(Candidates!$K$2:$K$2000,Candidates!$A$2:$A$2000,$A1409),""))</f>
        <v/>
      </c>
      <c r="S1409" s="65" t="str">
        <f>IF($A1409="","",IFERROR(MAXIFS(Candidates!$AA$2:$AA$2000,Candidates!$A$2:$A$2000,$A1409),""))</f>
        <v/>
      </c>
      <c r="T1409" s="64" t="str">
        <f>IFERROR(__xludf.DUMMYFUNCTION("IF($A1409="""","""",IFERROR(TEXTJOIN("", "",TRUE,UNIQUE(FILTER(Candidates!$B$2:$B$2000,Candidates!$A$2:$A$2000=$A1409))),""""))"),"")</f>
        <v/>
      </c>
      <c r="U1409" s="66" t="str">
        <f>IF($A1409="","",COUNTIF(Candidates!$A$2:$A$2000,$A1409))</f>
        <v/>
      </c>
      <c r="V1409" s="64" t="str">
        <f>IFERROR(__xludf.DUMMYFUNCTION("IF($A1409="""","""",IFERROR(INDEX(FILTER(Candidates!$S$2:$S$2000,Candidates!$A$2:$A$2000=$A1409),COUNTIF(Candidates!$A$2:$A$2000,$A1409)),""""))"),"")</f>
        <v/>
      </c>
      <c r="W1409" s="64" t="str">
        <f>IFERROR(__xludf.DUMMYFUNCTION("IF($A1409="""","""",IFERROR(INDEX(FILTER(Candidates!$T$2:$T$2000,Candidates!$A$2:$A$2000=$A1409),COUNTIF(Candidates!$A$2:$A$2000,$A1409)),""""))"),"")</f>
        <v/>
      </c>
      <c r="X1409" s="64"/>
      <c r="Y1409" s="64"/>
      <c r="Z1409" s="65"/>
      <c r="AA1409" s="65"/>
      <c r="AB1409" s="65"/>
      <c r="AC1409" s="65"/>
    </row>
    <row r="1410">
      <c r="A1410" s="64"/>
      <c r="B1410" s="64"/>
      <c r="C1410" s="64"/>
      <c r="D1410" s="64"/>
      <c r="E1410" s="64"/>
      <c r="F1410" s="64"/>
      <c r="G1410" s="64"/>
      <c r="H1410" s="63"/>
      <c r="I1410" s="64"/>
      <c r="J1410" s="64"/>
      <c r="K1410" s="64"/>
      <c r="L1410" s="64"/>
      <c r="M1410" s="64"/>
      <c r="N1410" s="64"/>
      <c r="O1410" s="64"/>
      <c r="P1410" s="64"/>
      <c r="Q1410" s="64"/>
      <c r="R1410" s="65" t="str">
        <f>IF($A1410="","",IFERROR(MINIFS(Candidates!$K$2:$K$2000,Candidates!$A$2:$A$2000,$A1410),""))</f>
        <v/>
      </c>
      <c r="S1410" s="65" t="str">
        <f>IF($A1410="","",IFERROR(MAXIFS(Candidates!$AA$2:$AA$2000,Candidates!$A$2:$A$2000,$A1410),""))</f>
        <v/>
      </c>
      <c r="T1410" s="64" t="str">
        <f>IFERROR(__xludf.DUMMYFUNCTION("IF($A1410="""","""",IFERROR(TEXTJOIN("", "",TRUE,UNIQUE(FILTER(Candidates!$B$2:$B$2000,Candidates!$A$2:$A$2000=$A1410))),""""))"),"")</f>
        <v/>
      </c>
      <c r="U1410" s="66" t="str">
        <f>IF($A1410="","",COUNTIF(Candidates!$A$2:$A$2000,$A1410))</f>
        <v/>
      </c>
      <c r="V1410" s="64" t="str">
        <f>IFERROR(__xludf.DUMMYFUNCTION("IF($A1410="""","""",IFERROR(INDEX(FILTER(Candidates!$S$2:$S$2000,Candidates!$A$2:$A$2000=$A1410),COUNTIF(Candidates!$A$2:$A$2000,$A1410)),""""))"),"")</f>
        <v/>
      </c>
      <c r="W1410" s="64" t="str">
        <f>IFERROR(__xludf.DUMMYFUNCTION("IF($A1410="""","""",IFERROR(INDEX(FILTER(Candidates!$T$2:$T$2000,Candidates!$A$2:$A$2000=$A1410),COUNTIF(Candidates!$A$2:$A$2000,$A1410)),""""))"),"")</f>
        <v/>
      </c>
      <c r="X1410" s="64"/>
      <c r="Y1410" s="64"/>
      <c r="Z1410" s="65"/>
      <c r="AA1410" s="65"/>
      <c r="AB1410" s="65"/>
      <c r="AC1410" s="65"/>
    </row>
    <row r="1411">
      <c r="A1411" s="64"/>
      <c r="B1411" s="64"/>
      <c r="C1411" s="64"/>
      <c r="D1411" s="64"/>
      <c r="E1411" s="64"/>
      <c r="F1411" s="64"/>
      <c r="G1411" s="64"/>
      <c r="H1411" s="63"/>
      <c r="I1411" s="64"/>
      <c r="J1411" s="64"/>
      <c r="K1411" s="64"/>
      <c r="L1411" s="64"/>
      <c r="M1411" s="64"/>
      <c r="N1411" s="64"/>
      <c r="O1411" s="64"/>
      <c r="P1411" s="64"/>
      <c r="Q1411" s="64"/>
      <c r="R1411" s="65" t="str">
        <f>IF($A1411="","",IFERROR(MINIFS(Candidates!$K$2:$K$2000,Candidates!$A$2:$A$2000,$A1411),""))</f>
        <v/>
      </c>
      <c r="S1411" s="65" t="str">
        <f>IF($A1411="","",IFERROR(MAXIFS(Candidates!$AA$2:$AA$2000,Candidates!$A$2:$A$2000,$A1411),""))</f>
        <v/>
      </c>
      <c r="T1411" s="64" t="str">
        <f>IFERROR(__xludf.DUMMYFUNCTION("IF($A1411="""","""",IFERROR(TEXTJOIN("", "",TRUE,UNIQUE(FILTER(Candidates!$B$2:$B$2000,Candidates!$A$2:$A$2000=$A1411))),""""))"),"")</f>
        <v/>
      </c>
      <c r="U1411" s="66" t="str">
        <f>IF($A1411="","",COUNTIF(Candidates!$A$2:$A$2000,$A1411))</f>
        <v/>
      </c>
      <c r="V1411" s="64" t="str">
        <f>IFERROR(__xludf.DUMMYFUNCTION("IF($A1411="""","""",IFERROR(INDEX(FILTER(Candidates!$S$2:$S$2000,Candidates!$A$2:$A$2000=$A1411),COUNTIF(Candidates!$A$2:$A$2000,$A1411)),""""))"),"")</f>
        <v/>
      </c>
      <c r="W1411" s="64" t="str">
        <f>IFERROR(__xludf.DUMMYFUNCTION("IF($A1411="""","""",IFERROR(INDEX(FILTER(Candidates!$T$2:$T$2000,Candidates!$A$2:$A$2000=$A1411),COUNTIF(Candidates!$A$2:$A$2000,$A1411)),""""))"),"")</f>
        <v/>
      </c>
      <c r="X1411" s="64"/>
      <c r="Y1411" s="64"/>
      <c r="Z1411" s="65"/>
      <c r="AA1411" s="65"/>
      <c r="AB1411" s="65"/>
      <c r="AC1411" s="65"/>
    </row>
    <row r="1412">
      <c r="A1412" s="64"/>
      <c r="B1412" s="64"/>
      <c r="C1412" s="64"/>
      <c r="D1412" s="64"/>
      <c r="E1412" s="64"/>
      <c r="F1412" s="64"/>
      <c r="G1412" s="64"/>
      <c r="H1412" s="63"/>
      <c r="I1412" s="64"/>
      <c r="J1412" s="64"/>
      <c r="K1412" s="64"/>
      <c r="L1412" s="64"/>
      <c r="M1412" s="64"/>
      <c r="N1412" s="64"/>
      <c r="O1412" s="64"/>
      <c r="P1412" s="64"/>
      <c r="Q1412" s="64"/>
      <c r="R1412" s="65" t="str">
        <f>IF($A1412="","",IFERROR(MINIFS(Candidates!$K$2:$K$2000,Candidates!$A$2:$A$2000,$A1412),""))</f>
        <v/>
      </c>
      <c r="S1412" s="65" t="str">
        <f>IF($A1412="","",IFERROR(MAXIFS(Candidates!$AA$2:$AA$2000,Candidates!$A$2:$A$2000,$A1412),""))</f>
        <v/>
      </c>
      <c r="T1412" s="64" t="str">
        <f>IFERROR(__xludf.DUMMYFUNCTION("IF($A1412="""","""",IFERROR(TEXTJOIN("", "",TRUE,UNIQUE(FILTER(Candidates!$B$2:$B$2000,Candidates!$A$2:$A$2000=$A1412))),""""))"),"")</f>
        <v/>
      </c>
      <c r="U1412" s="66" t="str">
        <f>IF($A1412="","",COUNTIF(Candidates!$A$2:$A$2000,$A1412))</f>
        <v/>
      </c>
      <c r="V1412" s="64" t="str">
        <f>IFERROR(__xludf.DUMMYFUNCTION("IF($A1412="""","""",IFERROR(INDEX(FILTER(Candidates!$S$2:$S$2000,Candidates!$A$2:$A$2000=$A1412),COUNTIF(Candidates!$A$2:$A$2000,$A1412)),""""))"),"")</f>
        <v/>
      </c>
      <c r="W1412" s="64" t="str">
        <f>IFERROR(__xludf.DUMMYFUNCTION("IF($A1412="""","""",IFERROR(INDEX(FILTER(Candidates!$T$2:$T$2000,Candidates!$A$2:$A$2000=$A1412),COUNTIF(Candidates!$A$2:$A$2000,$A1412)),""""))"),"")</f>
        <v/>
      </c>
      <c r="X1412" s="64"/>
      <c r="Y1412" s="64"/>
      <c r="Z1412" s="65"/>
      <c r="AA1412" s="65"/>
      <c r="AB1412" s="65"/>
      <c r="AC1412" s="65"/>
    </row>
    <row r="1413">
      <c r="A1413" s="64"/>
      <c r="B1413" s="64"/>
      <c r="C1413" s="64"/>
      <c r="D1413" s="64"/>
      <c r="E1413" s="64"/>
      <c r="F1413" s="64"/>
      <c r="G1413" s="64"/>
      <c r="H1413" s="63"/>
      <c r="I1413" s="64"/>
      <c r="J1413" s="64"/>
      <c r="K1413" s="64"/>
      <c r="L1413" s="64"/>
      <c r="M1413" s="64"/>
      <c r="N1413" s="64"/>
      <c r="O1413" s="64"/>
      <c r="P1413" s="64"/>
      <c r="Q1413" s="64"/>
      <c r="R1413" s="65" t="str">
        <f>IF($A1413="","",IFERROR(MINIFS(Candidates!$K$2:$K$2000,Candidates!$A$2:$A$2000,$A1413),""))</f>
        <v/>
      </c>
      <c r="S1413" s="65" t="str">
        <f>IF($A1413="","",IFERROR(MAXIFS(Candidates!$AA$2:$AA$2000,Candidates!$A$2:$A$2000,$A1413),""))</f>
        <v/>
      </c>
      <c r="T1413" s="64" t="str">
        <f>IFERROR(__xludf.DUMMYFUNCTION("IF($A1413="""","""",IFERROR(TEXTJOIN("", "",TRUE,UNIQUE(FILTER(Candidates!$B$2:$B$2000,Candidates!$A$2:$A$2000=$A1413))),""""))"),"")</f>
        <v/>
      </c>
      <c r="U1413" s="66" t="str">
        <f>IF($A1413="","",COUNTIF(Candidates!$A$2:$A$2000,$A1413))</f>
        <v/>
      </c>
      <c r="V1413" s="64" t="str">
        <f>IFERROR(__xludf.DUMMYFUNCTION("IF($A1413="""","""",IFERROR(INDEX(FILTER(Candidates!$S$2:$S$2000,Candidates!$A$2:$A$2000=$A1413),COUNTIF(Candidates!$A$2:$A$2000,$A1413)),""""))"),"")</f>
        <v/>
      </c>
      <c r="W1413" s="64" t="str">
        <f>IFERROR(__xludf.DUMMYFUNCTION("IF($A1413="""","""",IFERROR(INDEX(FILTER(Candidates!$T$2:$T$2000,Candidates!$A$2:$A$2000=$A1413),COUNTIF(Candidates!$A$2:$A$2000,$A1413)),""""))"),"")</f>
        <v/>
      </c>
      <c r="X1413" s="64"/>
      <c r="Y1413" s="64"/>
      <c r="Z1413" s="65"/>
      <c r="AA1413" s="65"/>
      <c r="AB1413" s="65"/>
      <c r="AC1413" s="65"/>
    </row>
    <row r="1414">
      <c r="A1414" s="64"/>
      <c r="B1414" s="64"/>
      <c r="C1414" s="64"/>
      <c r="D1414" s="64"/>
      <c r="E1414" s="64"/>
      <c r="F1414" s="64"/>
      <c r="G1414" s="64"/>
      <c r="H1414" s="63"/>
      <c r="I1414" s="64"/>
      <c r="J1414" s="64"/>
      <c r="K1414" s="64"/>
      <c r="L1414" s="64"/>
      <c r="M1414" s="64"/>
      <c r="N1414" s="64"/>
      <c r="O1414" s="64"/>
      <c r="P1414" s="64"/>
      <c r="Q1414" s="64"/>
      <c r="R1414" s="65" t="str">
        <f>IF($A1414="","",IFERROR(MINIFS(Candidates!$K$2:$K$2000,Candidates!$A$2:$A$2000,$A1414),""))</f>
        <v/>
      </c>
      <c r="S1414" s="65" t="str">
        <f>IF($A1414="","",IFERROR(MAXIFS(Candidates!$AA$2:$AA$2000,Candidates!$A$2:$A$2000,$A1414),""))</f>
        <v/>
      </c>
      <c r="T1414" s="64" t="str">
        <f>IFERROR(__xludf.DUMMYFUNCTION("IF($A1414="""","""",IFERROR(TEXTJOIN("", "",TRUE,UNIQUE(FILTER(Candidates!$B$2:$B$2000,Candidates!$A$2:$A$2000=$A1414))),""""))"),"")</f>
        <v/>
      </c>
      <c r="U1414" s="66" t="str">
        <f>IF($A1414="","",COUNTIF(Candidates!$A$2:$A$2000,$A1414))</f>
        <v/>
      </c>
      <c r="V1414" s="64" t="str">
        <f>IFERROR(__xludf.DUMMYFUNCTION("IF($A1414="""","""",IFERROR(INDEX(FILTER(Candidates!$S$2:$S$2000,Candidates!$A$2:$A$2000=$A1414),COUNTIF(Candidates!$A$2:$A$2000,$A1414)),""""))"),"")</f>
        <v/>
      </c>
      <c r="W1414" s="64" t="str">
        <f>IFERROR(__xludf.DUMMYFUNCTION("IF($A1414="""","""",IFERROR(INDEX(FILTER(Candidates!$T$2:$T$2000,Candidates!$A$2:$A$2000=$A1414),COUNTIF(Candidates!$A$2:$A$2000,$A1414)),""""))"),"")</f>
        <v/>
      </c>
      <c r="X1414" s="64"/>
      <c r="Y1414" s="64"/>
      <c r="Z1414" s="65"/>
      <c r="AA1414" s="65"/>
      <c r="AB1414" s="65"/>
      <c r="AC1414" s="65"/>
    </row>
    <row r="1415">
      <c r="A1415" s="64"/>
      <c r="B1415" s="64"/>
      <c r="C1415" s="64"/>
      <c r="D1415" s="64"/>
      <c r="E1415" s="64"/>
      <c r="F1415" s="64"/>
      <c r="G1415" s="64"/>
      <c r="H1415" s="63"/>
      <c r="I1415" s="64"/>
      <c r="J1415" s="64"/>
      <c r="K1415" s="64"/>
      <c r="L1415" s="64"/>
      <c r="M1415" s="64"/>
      <c r="N1415" s="64"/>
      <c r="O1415" s="64"/>
      <c r="P1415" s="64"/>
      <c r="Q1415" s="64"/>
      <c r="R1415" s="65" t="str">
        <f>IF($A1415="","",IFERROR(MINIFS(Candidates!$K$2:$K$2000,Candidates!$A$2:$A$2000,$A1415),""))</f>
        <v/>
      </c>
      <c r="S1415" s="65" t="str">
        <f>IF($A1415="","",IFERROR(MAXIFS(Candidates!$AA$2:$AA$2000,Candidates!$A$2:$A$2000,$A1415),""))</f>
        <v/>
      </c>
      <c r="T1415" s="64" t="str">
        <f>IFERROR(__xludf.DUMMYFUNCTION("IF($A1415="""","""",IFERROR(TEXTJOIN("", "",TRUE,UNIQUE(FILTER(Candidates!$B$2:$B$2000,Candidates!$A$2:$A$2000=$A1415))),""""))"),"")</f>
        <v/>
      </c>
      <c r="U1415" s="66" t="str">
        <f>IF($A1415="","",COUNTIF(Candidates!$A$2:$A$2000,$A1415))</f>
        <v/>
      </c>
      <c r="V1415" s="64" t="str">
        <f>IFERROR(__xludf.DUMMYFUNCTION("IF($A1415="""","""",IFERROR(INDEX(FILTER(Candidates!$S$2:$S$2000,Candidates!$A$2:$A$2000=$A1415),COUNTIF(Candidates!$A$2:$A$2000,$A1415)),""""))"),"")</f>
        <v/>
      </c>
      <c r="W1415" s="64" t="str">
        <f>IFERROR(__xludf.DUMMYFUNCTION("IF($A1415="""","""",IFERROR(INDEX(FILTER(Candidates!$T$2:$T$2000,Candidates!$A$2:$A$2000=$A1415),COUNTIF(Candidates!$A$2:$A$2000,$A1415)),""""))"),"")</f>
        <v/>
      </c>
      <c r="X1415" s="64"/>
      <c r="Y1415" s="64"/>
      <c r="Z1415" s="65"/>
      <c r="AA1415" s="65"/>
      <c r="AB1415" s="65"/>
      <c r="AC1415" s="65"/>
    </row>
    <row r="1416">
      <c r="A1416" s="64"/>
      <c r="B1416" s="64"/>
      <c r="C1416" s="64"/>
      <c r="D1416" s="64"/>
      <c r="E1416" s="64"/>
      <c r="F1416" s="64"/>
      <c r="G1416" s="64"/>
      <c r="H1416" s="63"/>
      <c r="I1416" s="64"/>
      <c r="J1416" s="64"/>
      <c r="K1416" s="64"/>
      <c r="L1416" s="64"/>
      <c r="M1416" s="64"/>
      <c r="N1416" s="64"/>
      <c r="O1416" s="64"/>
      <c r="P1416" s="64"/>
      <c r="Q1416" s="64"/>
      <c r="R1416" s="65" t="str">
        <f>IF($A1416="","",IFERROR(MINIFS(Candidates!$K$2:$K$2000,Candidates!$A$2:$A$2000,$A1416),""))</f>
        <v/>
      </c>
      <c r="S1416" s="65" t="str">
        <f>IF($A1416="","",IFERROR(MAXIFS(Candidates!$AA$2:$AA$2000,Candidates!$A$2:$A$2000,$A1416),""))</f>
        <v/>
      </c>
      <c r="T1416" s="64" t="str">
        <f>IFERROR(__xludf.DUMMYFUNCTION("IF($A1416="""","""",IFERROR(TEXTJOIN("", "",TRUE,UNIQUE(FILTER(Candidates!$B$2:$B$2000,Candidates!$A$2:$A$2000=$A1416))),""""))"),"")</f>
        <v/>
      </c>
      <c r="U1416" s="66" t="str">
        <f>IF($A1416="","",COUNTIF(Candidates!$A$2:$A$2000,$A1416))</f>
        <v/>
      </c>
      <c r="V1416" s="64" t="str">
        <f>IFERROR(__xludf.DUMMYFUNCTION("IF($A1416="""","""",IFERROR(INDEX(FILTER(Candidates!$S$2:$S$2000,Candidates!$A$2:$A$2000=$A1416),COUNTIF(Candidates!$A$2:$A$2000,$A1416)),""""))"),"")</f>
        <v/>
      </c>
      <c r="W1416" s="64" t="str">
        <f>IFERROR(__xludf.DUMMYFUNCTION("IF($A1416="""","""",IFERROR(INDEX(FILTER(Candidates!$T$2:$T$2000,Candidates!$A$2:$A$2000=$A1416),COUNTIF(Candidates!$A$2:$A$2000,$A1416)),""""))"),"")</f>
        <v/>
      </c>
      <c r="X1416" s="64"/>
      <c r="Y1416" s="64"/>
      <c r="Z1416" s="65"/>
      <c r="AA1416" s="65"/>
      <c r="AB1416" s="65"/>
      <c r="AC1416" s="65"/>
    </row>
    <row r="1417">
      <c r="A1417" s="64"/>
      <c r="B1417" s="64"/>
      <c r="C1417" s="64"/>
      <c r="D1417" s="64"/>
      <c r="E1417" s="64"/>
      <c r="F1417" s="64"/>
      <c r="G1417" s="64"/>
      <c r="H1417" s="63"/>
      <c r="I1417" s="64"/>
      <c r="J1417" s="64"/>
      <c r="K1417" s="64"/>
      <c r="L1417" s="64"/>
      <c r="M1417" s="64"/>
      <c r="N1417" s="64"/>
      <c r="O1417" s="64"/>
      <c r="P1417" s="64"/>
      <c r="Q1417" s="64"/>
      <c r="R1417" s="65" t="str">
        <f>IF($A1417="","",IFERROR(MINIFS(Candidates!$K$2:$K$2000,Candidates!$A$2:$A$2000,$A1417),""))</f>
        <v/>
      </c>
      <c r="S1417" s="65" t="str">
        <f>IF($A1417="","",IFERROR(MAXIFS(Candidates!$AA$2:$AA$2000,Candidates!$A$2:$A$2000,$A1417),""))</f>
        <v/>
      </c>
      <c r="T1417" s="64" t="str">
        <f>IFERROR(__xludf.DUMMYFUNCTION("IF($A1417="""","""",IFERROR(TEXTJOIN("", "",TRUE,UNIQUE(FILTER(Candidates!$B$2:$B$2000,Candidates!$A$2:$A$2000=$A1417))),""""))"),"")</f>
        <v/>
      </c>
      <c r="U1417" s="66" t="str">
        <f>IF($A1417="","",COUNTIF(Candidates!$A$2:$A$2000,$A1417))</f>
        <v/>
      </c>
      <c r="V1417" s="64" t="str">
        <f>IFERROR(__xludf.DUMMYFUNCTION("IF($A1417="""","""",IFERROR(INDEX(FILTER(Candidates!$S$2:$S$2000,Candidates!$A$2:$A$2000=$A1417),COUNTIF(Candidates!$A$2:$A$2000,$A1417)),""""))"),"")</f>
        <v/>
      </c>
      <c r="W1417" s="64" t="str">
        <f>IFERROR(__xludf.DUMMYFUNCTION("IF($A1417="""","""",IFERROR(INDEX(FILTER(Candidates!$T$2:$T$2000,Candidates!$A$2:$A$2000=$A1417),COUNTIF(Candidates!$A$2:$A$2000,$A1417)),""""))"),"")</f>
        <v/>
      </c>
      <c r="X1417" s="64"/>
      <c r="Y1417" s="64"/>
      <c r="Z1417" s="65"/>
      <c r="AA1417" s="65"/>
      <c r="AB1417" s="65"/>
      <c r="AC1417" s="65"/>
    </row>
    <row r="1418">
      <c r="A1418" s="64"/>
      <c r="B1418" s="64"/>
      <c r="C1418" s="64"/>
      <c r="D1418" s="64"/>
      <c r="E1418" s="64"/>
      <c r="F1418" s="64"/>
      <c r="G1418" s="64"/>
      <c r="H1418" s="63"/>
      <c r="I1418" s="64"/>
      <c r="J1418" s="64"/>
      <c r="K1418" s="64"/>
      <c r="L1418" s="64"/>
      <c r="M1418" s="64"/>
      <c r="N1418" s="64"/>
      <c r="O1418" s="64"/>
      <c r="P1418" s="64"/>
      <c r="Q1418" s="64"/>
      <c r="R1418" s="65" t="str">
        <f>IF($A1418="","",IFERROR(MINIFS(Candidates!$K$2:$K$2000,Candidates!$A$2:$A$2000,$A1418),""))</f>
        <v/>
      </c>
      <c r="S1418" s="65" t="str">
        <f>IF($A1418="","",IFERROR(MAXIFS(Candidates!$AA$2:$AA$2000,Candidates!$A$2:$A$2000,$A1418),""))</f>
        <v/>
      </c>
      <c r="T1418" s="64" t="str">
        <f>IFERROR(__xludf.DUMMYFUNCTION("IF($A1418="""","""",IFERROR(TEXTJOIN("", "",TRUE,UNIQUE(FILTER(Candidates!$B$2:$B$2000,Candidates!$A$2:$A$2000=$A1418))),""""))"),"")</f>
        <v/>
      </c>
      <c r="U1418" s="66" t="str">
        <f>IF($A1418="","",COUNTIF(Candidates!$A$2:$A$2000,$A1418))</f>
        <v/>
      </c>
      <c r="V1418" s="64" t="str">
        <f>IFERROR(__xludf.DUMMYFUNCTION("IF($A1418="""","""",IFERROR(INDEX(FILTER(Candidates!$S$2:$S$2000,Candidates!$A$2:$A$2000=$A1418),COUNTIF(Candidates!$A$2:$A$2000,$A1418)),""""))"),"")</f>
        <v/>
      </c>
      <c r="W1418" s="64" t="str">
        <f>IFERROR(__xludf.DUMMYFUNCTION("IF($A1418="""","""",IFERROR(INDEX(FILTER(Candidates!$T$2:$T$2000,Candidates!$A$2:$A$2000=$A1418),COUNTIF(Candidates!$A$2:$A$2000,$A1418)),""""))"),"")</f>
        <v/>
      </c>
      <c r="X1418" s="64"/>
      <c r="Y1418" s="64"/>
      <c r="Z1418" s="65"/>
      <c r="AA1418" s="65"/>
      <c r="AB1418" s="65"/>
      <c r="AC1418" s="65"/>
    </row>
    <row r="1419">
      <c r="A1419" s="64"/>
      <c r="B1419" s="64"/>
      <c r="C1419" s="64"/>
      <c r="D1419" s="64"/>
      <c r="E1419" s="64"/>
      <c r="F1419" s="64"/>
      <c r="G1419" s="64"/>
      <c r="H1419" s="63"/>
      <c r="I1419" s="64"/>
      <c r="J1419" s="64"/>
      <c r="K1419" s="64"/>
      <c r="L1419" s="64"/>
      <c r="M1419" s="64"/>
      <c r="N1419" s="64"/>
      <c r="O1419" s="64"/>
      <c r="P1419" s="64"/>
      <c r="Q1419" s="64"/>
      <c r="R1419" s="65" t="str">
        <f>IF($A1419="","",IFERROR(MINIFS(Candidates!$K$2:$K$2000,Candidates!$A$2:$A$2000,$A1419),""))</f>
        <v/>
      </c>
      <c r="S1419" s="65" t="str">
        <f>IF($A1419="","",IFERROR(MAXIFS(Candidates!$AA$2:$AA$2000,Candidates!$A$2:$A$2000,$A1419),""))</f>
        <v/>
      </c>
      <c r="T1419" s="64" t="str">
        <f>IFERROR(__xludf.DUMMYFUNCTION("IF($A1419="""","""",IFERROR(TEXTJOIN("", "",TRUE,UNIQUE(FILTER(Candidates!$B$2:$B$2000,Candidates!$A$2:$A$2000=$A1419))),""""))"),"")</f>
        <v/>
      </c>
      <c r="U1419" s="66" t="str">
        <f>IF($A1419="","",COUNTIF(Candidates!$A$2:$A$2000,$A1419))</f>
        <v/>
      </c>
      <c r="V1419" s="64" t="str">
        <f>IFERROR(__xludf.DUMMYFUNCTION("IF($A1419="""","""",IFERROR(INDEX(FILTER(Candidates!$S$2:$S$2000,Candidates!$A$2:$A$2000=$A1419),COUNTIF(Candidates!$A$2:$A$2000,$A1419)),""""))"),"")</f>
        <v/>
      </c>
      <c r="W1419" s="64" t="str">
        <f>IFERROR(__xludf.DUMMYFUNCTION("IF($A1419="""","""",IFERROR(INDEX(FILTER(Candidates!$T$2:$T$2000,Candidates!$A$2:$A$2000=$A1419),COUNTIF(Candidates!$A$2:$A$2000,$A1419)),""""))"),"")</f>
        <v/>
      </c>
      <c r="X1419" s="64"/>
      <c r="Y1419" s="64"/>
      <c r="Z1419" s="65"/>
      <c r="AA1419" s="65"/>
      <c r="AB1419" s="65"/>
      <c r="AC1419" s="65"/>
    </row>
    <row r="1420">
      <c r="A1420" s="64"/>
      <c r="B1420" s="64"/>
      <c r="C1420" s="64"/>
      <c r="D1420" s="64"/>
      <c r="E1420" s="64"/>
      <c r="F1420" s="64"/>
      <c r="G1420" s="64"/>
      <c r="H1420" s="63"/>
      <c r="I1420" s="64"/>
      <c r="J1420" s="64"/>
      <c r="K1420" s="64"/>
      <c r="L1420" s="64"/>
      <c r="M1420" s="64"/>
      <c r="N1420" s="64"/>
      <c r="O1420" s="64"/>
      <c r="P1420" s="64"/>
      <c r="Q1420" s="64"/>
      <c r="R1420" s="65" t="str">
        <f>IF($A1420="","",IFERROR(MINIFS(Candidates!$K$2:$K$2000,Candidates!$A$2:$A$2000,$A1420),""))</f>
        <v/>
      </c>
      <c r="S1420" s="65" t="str">
        <f>IF($A1420="","",IFERROR(MAXIFS(Candidates!$AA$2:$AA$2000,Candidates!$A$2:$A$2000,$A1420),""))</f>
        <v/>
      </c>
      <c r="T1420" s="64" t="str">
        <f>IFERROR(__xludf.DUMMYFUNCTION("IF($A1420="""","""",IFERROR(TEXTJOIN("", "",TRUE,UNIQUE(FILTER(Candidates!$B$2:$B$2000,Candidates!$A$2:$A$2000=$A1420))),""""))"),"")</f>
        <v/>
      </c>
      <c r="U1420" s="66" t="str">
        <f>IF($A1420="","",COUNTIF(Candidates!$A$2:$A$2000,$A1420))</f>
        <v/>
      </c>
      <c r="V1420" s="64" t="str">
        <f>IFERROR(__xludf.DUMMYFUNCTION("IF($A1420="""","""",IFERROR(INDEX(FILTER(Candidates!$S$2:$S$2000,Candidates!$A$2:$A$2000=$A1420),COUNTIF(Candidates!$A$2:$A$2000,$A1420)),""""))"),"")</f>
        <v/>
      </c>
      <c r="W1420" s="64" t="str">
        <f>IFERROR(__xludf.DUMMYFUNCTION("IF($A1420="""","""",IFERROR(INDEX(FILTER(Candidates!$T$2:$T$2000,Candidates!$A$2:$A$2000=$A1420),COUNTIF(Candidates!$A$2:$A$2000,$A1420)),""""))"),"")</f>
        <v/>
      </c>
      <c r="X1420" s="64"/>
      <c r="Y1420" s="64"/>
      <c r="Z1420" s="65"/>
      <c r="AA1420" s="65"/>
      <c r="AB1420" s="65"/>
      <c r="AC1420" s="65"/>
    </row>
    <row r="1421">
      <c r="A1421" s="64"/>
      <c r="B1421" s="64"/>
      <c r="C1421" s="64"/>
      <c r="D1421" s="64"/>
      <c r="E1421" s="64"/>
      <c r="F1421" s="64"/>
      <c r="G1421" s="64"/>
      <c r="H1421" s="63"/>
      <c r="I1421" s="64"/>
      <c r="J1421" s="64"/>
      <c r="K1421" s="64"/>
      <c r="L1421" s="64"/>
      <c r="M1421" s="64"/>
      <c r="N1421" s="64"/>
      <c r="O1421" s="64"/>
      <c r="P1421" s="64"/>
      <c r="Q1421" s="64"/>
      <c r="R1421" s="65" t="str">
        <f>IF($A1421="","",IFERROR(MINIFS(Candidates!$K$2:$K$2000,Candidates!$A$2:$A$2000,$A1421),""))</f>
        <v/>
      </c>
      <c r="S1421" s="65" t="str">
        <f>IF($A1421="","",IFERROR(MAXIFS(Candidates!$AA$2:$AA$2000,Candidates!$A$2:$A$2000,$A1421),""))</f>
        <v/>
      </c>
      <c r="T1421" s="64" t="str">
        <f>IFERROR(__xludf.DUMMYFUNCTION("IF($A1421="""","""",IFERROR(TEXTJOIN("", "",TRUE,UNIQUE(FILTER(Candidates!$B$2:$B$2000,Candidates!$A$2:$A$2000=$A1421))),""""))"),"")</f>
        <v/>
      </c>
      <c r="U1421" s="66" t="str">
        <f>IF($A1421="","",COUNTIF(Candidates!$A$2:$A$2000,$A1421))</f>
        <v/>
      </c>
      <c r="V1421" s="64" t="str">
        <f>IFERROR(__xludf.DUMMYFUNCTION("IF($A1421="""","""",IFERROR(INDEX(FILTER(Candidates!$S$2:$S$2000,Candidates!$A$2:$A$2000=$A1421),COUNTIF(Candidates!$A$2:$A$2000,$A1421)),""""))"),"")</f>
        <v/>
      </c>
      <c r="W1421" s="64" t="str">
        <f>IFERROR(__xludf.DUMMYFUNCTION("IF($A1421="""","""",IFERROR(INDEX(FILTER(Candidates!$T$2:$T$2000,Candidates!$A$2:$A$2000=$A1421),COUNTIF(Candidates!$A$2:$A$2000,$A1421)),""""))"),"")</f>
        <v/>
      </c>
      <c r="X1421" s="64"/>
      <c r="Y1421" s="64"/>
      <c r="Z1421" s="65"/>
      <c r="AA1421" s="65"/>
      <c r="AB1421" s="65"/>
      <c r="AC1421" s="65"/>
    </row>
    <row r="1422">
      <c r="A1422" s="64"/>
      <c r="B1422" s="64"/>
      <c r="C1422" s="64"/>
      <c r="D1422" s="64"/>
      <c r="E1422" s="64"/>
      <c r="F1422" s="64"/>
      <c r="G1422" s="64"/>
      <c r="H1422" s="63"/>
      <c r="I1422" s="64"/>
      <c r="J1422" s="64"/>
      <c r="K1422" s="64"/>
      <c r="L1422" s="64"/>
      <c r="M1422" s="64"/>
      <c r="N1422" s="64"/>
      <c r="O1422" s="64"/>
      <c r="P1422" s="64"/>
      <c r="Q1422" s="64"/>
      <c r="R1422" s="65" t="str">
        <f>IF($A1422="","",IFERROR(MINIFS(Candidates!$K$2:$K$2000,Candidates!$A$2:$A$2000,$A1422),""))</f>
        <v/>
      </c>
      <c r="S1422" s="65" t="str">
        <f>IF($A1422="","",IFERROR(MAXIFS(Candidates!$AA$2:$AA$2000,Candidates!$A$2:$A$2000,$A1422),""))</f>
        <v/>
      </c>
      <c r="T1422" s="64" t="str">
        <f>IFERROR(__xludf.DUMMYFUNCTION("IF($A1422="""","""",IFERROR(TEXTJOIN("", "",TRUE,UNIQUE(FILTER(Candidates!$B$2:$B$2000,Candidates!$A$2:$A$2000=$A1422))),""""))"),"")</f>
        <v/>
      </c>
      <c r="U1422" s="66" t="str">
        <f>IF($A1422="","",COUNTIF(Candidates!$A$2:$A$2000,$A1422))</f>
        <v/>
      </c>
      <c r="V1422" s="64" t="str">
        <f>IFERROR(__xludf.DUMMYFUNCTION("IF($A1422="""","""",IFERROR(INDEX(FILTER(Candidates!$S$2:$S$2000,Candidates!$A$2:$A$2000=$A1422),COUNTIF(Candidates!$A$2:$A$2000,$A1422)),""""))"),"")</f>
        <v/>
      </c>
      <c r="W1422" s="64" t="str">
        <f>IFERROR(__xludf.DUMMYFUNCTION("IF($A1422="""","""",IFERROR(INDEX(FILTER(Candidates!$T$2:$T$2000,Candidates!$A$2:$A$2000=$A1422),COUNTIF(Candidates!$A$2:$A$2000,$A1422)),""""))"),"")</f>
        <v/>
      </c>
      <c r="X1422" s="64"/>
      <c r="Y1422" s="64"/>
      <c r="Z1422" s="65"/>
      <c r="AA1422" s="65"/>
      <c r="AB1422" s="65"/>
      <c r="AC1422" s="65"/>
    </row>
    <row r="1423">
      <c r="A1423" s="64"/>
      <c r="B1423" s="64"/>
      <c r="C1423" s="64"/>
      <c r="D1423" s="64"/>
      <c r="E1423" s="64"/>
      <c r="F1423" s="64"/>
      <c r="G1423" s="64"/>
      <c r="H1423" s="63"/>
      <c r="I1423" s="64"/>
      <c r="J1423" s="64"/>
      <c r="K1423" s="64"/>
      <c r="L1423" s="64"/>
      <c r="M1423" s="64"/>
      <c r="N1423" s="64"/>
      <c r="O1423" s="64"/>
      <c r="P1423" s="64"/>
      <c r="Q1423" s="64"/>
      <c r="R1423" s="65" t="str">
        <f>IF($A1423="","",IFERROR(MINIFS(Candidates!$K$2:$K$2000,Candidates!$A$2:$A$2000,$A1423),""))</f>
        <v/>
      </c>
      <c r="S1423" s="65" t="str">
        <f>IF($A1423="","",IFERROR(MAXIFS(Candidates!$AA$2:$AA$2000,Candidates!$A$2:$A$2000,$A1423),""))</f>
        <v/>
      </c>
      <c r="T1423" s="64" t="str">
        <f>IFERROR(__xludf.DUMMYFUNCTION("IF($A1423="""","""",IFERROR(TEXTJOIN("", "",TRUE,UNIQUE(FILTER(Candidates!$B$2:$B$2000,Candidates!$A$2:$A$2000=$A1423))),""""))"),"")</f>
        <v/>
      </c>
      <c r="U1423" s="66" t="str">
        <f>IF($A1423="","",COUNTIF(Candidates!$A$2:$A$2000,$A1423))</f>
        <v/>
      </c>
      <c r="V1423" s="64" t="str">
        <f>IFERROR(__xludf.DUMMYFUNCTION("IF($A1423="""","""",IFERROR(INDEX(FILTER(Candidates!$S$2:$S$2000,Candidates!$A$2:$A$2000=$A1423),COUNTIF(Candidates!$A$2:$A$2000,$A1423)),""""))"),"")</f>
        <v/>
      </c>
      <c r="W1423" s="64" t="str">
        <f>IFERROR(__xludf.DUMMYFUNCTION("IF($A1423="""","""",IFERROR(INDEX(FILTER(Candidates!$T$2:$T$2000,Candidates!$A$2:$A$2000=$A1423),COUNTIF(Candidates!$A$2:$A$2000,$A1423)),""""))"),"")</f>
        <v/>
      </c>
      <c r="X1423" s="64"/>
      <c r="Y1423" s="64"/>
      <c r="Z1423" s="65"/>
      <c r="AA1423" s="65"/>
      <c r="AB1423" s="65"/>
      <c r="AC1423" s="65"/>
    </row>
    <row r="1424">
      <c r="A1424" s="64"/>
      <c r="B1424" s="64"/>
      <c r="C1424" s="64"/>
      <c r="D1424" s="64"/>
      <c r="E1424" s="64"/>
      <c r="F1424" s="64"/>
      <c r="G1424" s="64"/>
      <c r="H1424" s="63"/>
      <c r="I1424" s="64"/>
      <c r="J1424" s="64"/>
      <c r="K1424" s="64"/>
      <c r="L1424" s="64"/>
      <c r="M1424" s="64"/>
      <c r="N1424" s="64"/>
      <c r="O1424" s="64"/>
      <c r="P1424" s="64"/>
      <c r="Q1424" s="64"/>
      <c r="R1424" s="65" t="str">
        <f>IF($A1424="","",IFERROR(MINIFS(Candidates!$K$2:$K$2000,Candidates!$A$2:$A$2000,$A1424),""))</f>
        <v/>
      </c>
      <c r="S1424" s="65" t="str">
        <f>IF($A1424="","",IFERROR(MAXIFS(Candidates!$AA$2:$AA$2000,Candidates!$A$2:$A$2000,$A1424),""))</f>
        <v/>
      </c>
      <c r="T1424" s="64" t="str">
        <f>IFERROR(__xludf.DUMMYFUNCTION("IF($A1424="""","""",IFERROR(TEXTJOIN("", "",TRUE,UNIQUE(FILTER(Candidates!$B$2:$B$2000,Candidates!$A$2:$A$2000=$A1424))),""""))"),"")</f>
        <v/>
      </c>
      <c r="U1424" s="66" t="str">
        <f>IF($A1424="","",COUNTIF(Candidates!$A$2:$A$2000,$A1424))</f>
        <v/>
      </c>
      <c r="V1424" s="64" t="str">
        <f>IFERROR(__xludf.DUMMYFUNCTION("IF($A1424="""","""",IFERROR(INDEX(FILTER(Candidates!$S$2:$S$2000,Candidates!$A$2:$A$2000=$A1424),COUNTIF(Candidates!$A$2:$A$2000,$A1424)),""""))"),"")</f>
        <v/>
      </c>
      <c r="W1424" s="64" t="str">
        <f>IFERROR(__xludf.DUMMYFUNCTION("IF($A1424="""","""",IFERROR(INDEX(FILTER(Candidates!$T$2:$T$2000,Candidates!$A$2:$A$2000=$A1424),COUNTIF(Candidates!$A$2:$A$2000,$A1424)),""""))"),"")</f>
        <v/>
      </c>
      <c r="X1424" s="64"/>
      <c r="Y1424" s="64"/>
      <c r="Z1424" s="65"/>
      <c r="AA1424" s="65"/>
      <c r="AB1424" s="65"/>
      <c r="AC1424" s="65"/>
    </row>
    <row r="1425">
      <c r="A1425" s="64"/>
      <c r="B1425" s="64"/>
      <c r="C1425" s="64"/>
      <c r="D1425" s="64"/>
      <c r="E1425" s="64"/>
      <c r="F1425" s="64"/>
      <c r="G1425" s="64"/>
      <c r="H1425" s="63"/>
      <c r="I1425" s="64"/>
      <c r="J1425" s="64"/>
      <c r="K1425" s="64"/>
      <c r="L1425" s="64"/>
      <c r="M1425" s="64"/>
      <c r="N1425" s="64"/>
      <c r="O1425" s="64"/>
      <c r="P1425" s="64"/>
      <c r="Q1425" s="64"/>
      <c r="R1425" s="65" t="str">
        <f>IF($A1425="","",IFERROR(MINIFS(Candidates!$K$2:$K$2000,Candidates!$A$2:$A$2000,$A1425),""))</f>
        <v/>
      </c>
      <c r="S1425" s="65" t="str">
        <f>IF($A1425="","",IFERROR(MAXIFS(Candidates!$AA$2:$AA$2000,Candidates!$A$2:$A$2000,$A1425),""))</f>
        <v/>
      </c>
      <c r="T1425" s="64" t="str">
        <f>IFERROR(__xludf.DUMMYFUNCTION("IF($A1425="""","""",IFERROR(TEXTJOIN("", "",TRUE,UNIQUE(FILTER(Candidates!$B$2:$B$2000,Candidates!$A$2:$A$2000=$A1425))),""""))"),"")</f>
        <v/>
      </c>
      <c r="U1425" s="66" t="str">
        <f>IF($A1425="","",COUNTIF(Candidates!$A$2:$A$2000,$A1425))</f>
        <v/>
      </c>
      <c r="V1425" s="64" t="str">
        <f>IFERROR(__xludf.DUMMYFUNCTION("IF($A1425="""","""",IFERROR(INDEX(FILTER(Candidates!$S$2:$S$2000,Candidates!$A$2:$A$2000=$A1425),COUNTIF(Candidates!$A$2:$A$2000,$A1425)),""""))"),"")</f>
        <v/>
      </c>
      <c r="W1425" s="64" t="str">
        <f>IFERROR(__xludf.DUMMYFUNCTION("IF($A1425="""","""",IFERROR(INDEX(FILTER(Candidates!$T$2:$T$2000,Candidates!$A$2:$A$2000=$A1425),COUNTIF(Candidates!$A$2:$A$2000,$A1425)),""""))"),"")</f>
        <v/>
      </c>
      <c r="X1425" s="64"/>
      <c r="Y1425" s="64"/>
      <c r="Z1425" s="65"/>
      <c r="AA1425" s="65"/>
      <c r="AB1425" s="65"/>
      <c r="AC1425" s="65"/>
    </row>
    <row r="1426">
      <c r="A1426" s="64"/>
      <c r="B1426" s="64"/>
      <c r="C1426" s="64"/>
      <c r="D1426" s="64"/>
      <c r="E1426" s="64"/>
      <c r="F1426" s="64"/>
      <c r="G1426" s="64"/>
      <c r="H1426" s="63"/>
      <c r="I1426" s="64"/>
      <c r="J1426" s="64"/>
      <c r="K1426" s="64"/>
      <c r="L1426" s="64"/>
      <c r="M1426" s="64"/>
      <c r="N1426" s="64"/>
      <c r="O1426" s="64"/>
      <c r="P1426" s="64"/>
      <c r="Q1426" s="64"/>
      <c r="R1426" s="65" t="str">
        <f>IF($A1426="","",IFERROR(MINIFS(Candidates!$K$2:$K$2000,Candidates!$A$2:$A$2000,$A1426),""))</f>
        <v/>
      </c>
      <c r="S1426" s="65" t="str">
        <f>IF($A1426="","",IFERROR(MAXIFS(Candidates!$AA$2:$AA$2000,Candidates!$A$2:$A$2000,$A1426),""))</f>
        <v/>
      </c>
      <c r="T1426" s="64" t="str">
        <f>IFERROR(__xludf.DUMMYFUNCTION("IF($A1426="""","""",IFERROR(TEXTJOIN("", "",TRUE,UNIQUE(FILTER(Candidates!$B$2:$B$2000,Candidates!$A$2:$A$2000=$A1426))),""""))"),"")</f>
        <v/>
      </c>
      <c r="U1426" s="66" t="str">
        <f>IF($A1426="","",COUNTIF(Candidates!$A$2:$A$2000,$A1426))</f>
        <v/>
      </c>
      <c r="V1426" s="64" t="str">
        <f>IFERROR(__xludf.DUMMYFUNCTION("IF($A1426="""","""",IFERROR(INDEX(FILTER(Candidates!$S$2:$S$2000,Candidates!$A$2:$A$2000=$A1426),COUNTIF(Candidates!$A$2:$A$2000,$A1426)),""""))"),"")</f>
        <v/>
      </c>
      <c r="W1426" s="64" t="str">
        <f>IFERROR(__xludf.DUMMYFUNCTION("IF($A1426="""","""",IFERROR(INDEX(FILTER(Candidates!$T$2:$T$2000,Candidates!$A$2:$A$2000=$A1426),COUNTIF(Candidates!$A$2:$A$2000,$A1426)),""""))"),"")</f>
        <v/>
      </c>
      <c r="X1426" s="64"/>
      <c r="Y1426" s="64"/>
      <c r="Z1426" s="65"/>
      <c r="AA1426" s="65"/>
      <c r="AB1426" s="65"/>
      <c r="AC1426" s="65"/>
    </row>
    <row r="1427">
      <c r="A1427" s="64"/>
      <c r="B1427" s="64"/>
      <c r="C1427" s="64"/>
      <c r="D1427" s="64"/>
      <c r="E1427" s="64"/>
      <c r="F1427" s="64"/>
      <c r="G1427" s="64"/>
      <c r="H1427" s="63"/>
      <c r="I1427" s="64"/>
      <c r="J1427" s="64"/>
      <c r="K1427" s="64"/>
      <c r="L1427" s="64"/>
      <c r="M1427" s="64"/>
      <c r="N1427" s="64"/>
      <c r="O1427" s="64"/>
      <c r="P1427" s="64"/>
      <c r="Q1427" s="64"/>
      <c r="R1427" s="65" t="str">
        <f>IF($A1427="","",IFERROR(MINIFS(Candidates!$K$2:$K$2000,Candidates!$A$2:$A$2000,$A1427),""))</f>
        <v/>
      </c>
      <c r="S1427" s="65" t="str">
        <f>IF($A1427="","",IFERROR(MAXIFS(Candidates!$AA$2:$AA$2000,Candidates!$A$2:$A$2000,$A1427),""))</f>
        <v/>
      </c>
      <c r="T1427" s="64" t="str">
        <f>IFERROR(__xludf.DUMMYFUNCTION("IF($A1427="""","""",IFERROR(TEXTJOIN("", "",TRUE,UNIQUE(FILTER(Candidates!$B$2:$B$2000,Candidates!$A$2:$A$2000=$A1427))),""""))"),"")</f>
        <v/>
      </c>
      <c r="U1427" s="66" t="str">
        <f>IF($A1427="","",COUNTIF(Candidates!$A$2:$A$2000,$A1427))</f>
        <v/>
      </c>
      <c r="V1427" s="64" t="str">
        <f>IFERROR(__xludf.DUMMYFUNCTION("IF($A1427="""","""",IFERROR(INDEX(FILTER(Candidates!$S$2:$S$2000,Candidates!$A$2:$A$2000=$A1427),COUNTIF(Candidates!$A$2:$A$2000,$A1427)),""""))"),"")</f>
        <v/>
      </c>
      <c r="W1427" s="64" t="str">
        <f>IFERROR(__xludf.DUMMYFUNCTION("IF($A1427="""","""",IFERROR(INDEX(FILTER(Candidates!$T$2:$T$2000,Candidates!$A$2:$A$2000=$A1427),COUNTIF(Candidates!$A$2:$A$2000,$A1427)),""""))"),"")</f>
        <v/>
      </c>
      <c r="X1427" s="64"/>
      <c r="Y1427" s="64"/>
      <c r="Z1427" s="65"/>
      <c r="AA1427" s="65"/>
      <c r="AB1427" s="65"/>
      <c r="AC1427" s="65"/>
    </row>
    <row r="1428">
      <c r="A1428" s="64"/>
      <c r="B1428" s="64"/>
      <c r="C1428" s="64"/>
      <c r="D1428" s="64"/>
      <c r="E1428" s="64"/>
      <c r="F1428" s="64"/>
      <c r="G1428" s="64"/>
      <c r="H1428" s="63"/>
      <c r="I1428" s="64"/>
      <c r="J1428" s="64"/>
      <c r="K1428" s="64"/>
      <c r="L1428" s="64"/>
      <c r="M1428" s="64"/>
      <c r="N1428" s="64"/>
      <c r="O1428" s="64"/>
      <c r="P1428" s="64"/>
      <c r="Q1428" s="64"/>
      <c r="R1428" s="65" t="str">
        <f>IF($A1428="","",IFERROR(MINIFS(Candidates!$K$2:$K$2000,Candidates!$A$2:$A$2000,$A1428),""))</f>
        <v/>
      </c>
      <c r="S1428" s="65" t="str">
        <f>IF($A1428="","",IFERROR(MAXIFS(Candidates!$AA$2:$AA$2000,Candidates!$A$2:$A$2000,$A1428),""))</f>
        <v/>
      </c>
      <c r="T1428" s="64" t="str">
        <f>IFERROR(__xludf.DUMMYFUNCTION("IF($A1428="""","""",IFERROR(TEXTJOIN("", "",TRUE,UNIQUE(FILTER(Candidates!$B$2:$B$2000,Candidates!$A$2:$A$2000=$A1428))),""""))"),"")</f>
        <v/>
      </c>
      <c r="U1428" s="66" t="str">
        <f>IF($A1428="","",COUNTIF(Candidates!$A$2:$A$2000,$A1428))</f>
        <v/>
      </c>
      <c r="V1428" s="64" t="str">
        <f>IFERROR(__xludf.DUMMYFUNCTION("IF($A1428="""","""",IFERROR(INDEX(FILTER(Candidates!$S$2:$S$2000,Candidates!$A$2:$A$2000=$A1428),COUNTIF(Candidates!$A$2:$A$2000,$A1428)),""""))"),"")</f>
        <v/>
      </c>
      <c r="W1428" s="64" t="str">
        <f>IFERROR(__xludf.DUMMYFUNCTION("IF($A1428="""","""",IFERROR(INDEX(FILTER(Candidates!$T$2:$T$2000,Candidates!$A$2:$A$2000=$A1428),COUNTIF(Candidates!$A$2:$A$2000,$A1428)),""""))"),"")</f>
        <v/>
      </c>
      <c r="X1428" s="64"/>
      <c r="Y1428" s="64"/>
      <c r="Z1428" s="65"/>
      <c r="AA1428" s="65"/>
      <c r="AB1428" s="65"/>
      <c r="AC1428" s="65"/>
    </row>
    <row r="1429">
      <c r="A1429" s="64"/>
      <c r="B1429" s="64"/>
      <c r="C1429" s="64"/>
      <c r="D1429" s="64"/>
      <c r="E1429" s="64"/>
      <c r="F1429" s="64"/>
      <c r="G1429" s="64"/>
      <c r="H1429" s="63"/>
      <c r="I1429" s="64"/>
      <c r="J1429" s="64"/>
      <c r="K1429" s="64"/>
      <c r="L1429" s="64"/>
      <c r="M1429" s="64"/>
      <c r="N1429" s="64"/>
      <c r="O1429" s="64"/>
      <c r="P1429" s="64"/>
      <c r="Q1429" s="64"/>
      <c r="R1429" s="65" t="str">
        <f>IF($A1429="","",IFERROR(MINIFS(Candidates!$K$2:$K$2000,Candidates!$A$2:$A$2000,$A1429),""))</f>
        <v/>
      </c>
      <c r="S1429" s="65" t="str">
        <f>IF($A1429="","",IFERROR(MAXIFS(Candidates!$AA$2:$AA$2000,Candidates!$A$2:$A$2000,$A1429),""))</f>
        <v/>
      </c>
      <c r="T1429" s="64" t="str">
        <f>IFERROR(__xludf.DUMMYFUNCTION("IF($A1429="""","""",IFERROR(TEXTJOIN("", "",TRUE,UNIQUE(FILTER(Candidates!$B$2:$B$2000,Candidates!$A$2:$A$2000=$A1429))),""""))"),"")</f>
        <v/>
      </c>
      <c r="U1429" s="66" t="str">
        <f>IF($A1429="","",COUNTIF(Candidates!$A$2:$A$2000,$A1429))</f>
        <v/>
      </c>
      <c r="V1429" s="64" t="str">
        <f>IFERROR(__xludf.DUMMYFUNCTION("IF($A1429="""","""",IFERROR(INDEX(FILTER(Candidates!$S$2:$S$2000,Candidates!$A$2:$A$2000=$A1429),COUNTIF(Candidates!$A$2:$A$2000,$A1429)),""""))"),"")</f>
        <v/>
      </c>
      <c r="W1429" s="64" t="str">
        <f>IFERROR(__xludf.DUMMYFUNCTION("IF($A1429="""","""",IFERROR(INDEX(FILTER(Candidates!$T$2:$T$2000,Candidates!$A$2:$A$2000=$A1429),COUNTIF(Candidates!$A$2:$A$2000,$A1429)),""""))"),"")</f>
        <v/>
      </c>
      <c r="X1429" s="64"/>
      <c r="Y1429" s="64"/>
      <c r="Z1429" s="65"/>
      <c r="AA1429" s="65"/>
      <c r="AB1429" s="65"/>
      <c r="AC1429" s="65"/>
    </row>
    <row r="1430">
      <c r="A1430" s="64"/>
      <c r="B1430" s="64"/>
      <c r="C1430" s="64"/>
      <c r="D1430" s="64"/>
      <c r="E1430" s="64"/>
      <c r="F1430" s="64"/>
      <c r="G1430" s="64"/>
      <c r="H1430" s="63"/>
      <c r="I1430" s="64"/>
      <c r="J1430" s="64"/>
      <c r="K1430" s="64"/>
      <c r="L1430" s="64"/>
      <c r="M1430" s="64"/>
      <c r="N1430" s="64"/>
      <c r="O1430" s="64"/>
      <c r="P1430" s="64"/>
      <c r="Q1430" s="64"/>
      <c r="R1430" s="65" t="str">
        <f>IF($A1430="","",IFERROR(MINIFS(Candidates!$K$2:$K$2000,Candidates!$A$2:$A$2000,$A1430),""))</f>
        <v/>
      </c>
      <c r="S1430" s="65" t="str">
        <f>IF($A1430="","",IFERROR(MAXIFS(Candidates!$AA$2:$AA$2000,Candidates!$A$2:$A$2000,$A1430),""))</f>
        <v/>
      </c>
      <c r="T1430" s="64" t="str">
        <f>IFERROR(__xludf.DUMMYFUNCTION("IF($A1430="""","""",IFERROR(TEXTJOIN("", "",TRUE,UNIQUE(FILTER(Candidates!$B$2:$B$2000,Candidates!$A$2:$A$2000=$A1430))),""""))"),"")</f>
        <v/>
      </c>
      <c r="U1430" s="66" t="str">
        <f>IF($A1430="","",COUNTIF(Candidates!$A$2:$A$2000,$A1430))</f>
        <v/>
      </c>
      <c r="V1430" s="64" t="str">
        <f>IFERROR(__xludf.DUMMYFUNCTION("IF($A1430="""","""",IFERROR(INDEX(FILTER(Candidates!$S$2:$S$2000,Candidates!$A$2:$A$2000=$A1430),COUNTIF(Candidates!$A$2:$A$2000,$A1430)),""""))"),"")</f>
        <v/>
      </c>
      <c r="W1430" s="64" t="str">
        <f>IFERROR(__xludf.DUMMYFUNCTION("IF($A1430="""","""",IFERROR(INDEX(FILTER(Candidates!$T$2:$T$2000,Candidates!$A$2:$A$2000=$A1430),COUNTIF(Candidates!$A$2:$A$2000,$A1430)),""""))"),"")</f>
        <v/>
      </c>
      <c r="X1430" s="64"/>
      <c r="Y1430" s="64"/>
      <c r="Z1430" s="65"/>
      <c r="AA1430" s="65"/>
      <c r="AB1430" s="65"/>
      <c r="AC1430" s="65"/>
    </row>
    <row r="1431">
      <c r="A1431" s="64"/>
      <c r="B1431" s="64"/>
      <c r="C1431" s="64"/>
      <c r="D1431" s="64"/>
      <c r="E1431" s="64"/>
      <c r="F1431" s="64"/>
      <c r="G1431" s="64"/>
      <c r="H1431" s="63"/>
      <c r="I1431" s="64"/>
      <c r="J1431" s="64"/>
      <c r="K1431" s="64"/>
      <c r="L1431" s="64"/>
      <c r="M1431" s="64"/>
      <c r="N1431" s="64"/>
      <c r="O1431" s="64"/>
      <c r="P1431" s="64"/>
      <c r="Q1431" s="64"/>
      <c r="R1431" s="65" t="str">
        <f>IF($A1431="","",IFERROR(MINIFS(Candidates!$K$2:$K$2000,Candidates!$A$2:$A$2000,$A1431),""))</f>
        <v/>
      </c>
      <c r="S1431" s="65" t="str">
        <f>IF($A1431="","",IFERROR(MAXIFS(Candidates!$AA$2:$AA$2000,Candidates!$A$2:$A$2000,$A1431),""))</f>
        <v/>
      </c>
      <c r="T1431" s="64" t="str">
        <f>IFERROR(__xludf.DUMMYFUNCTION("IF($A1431="""","""",IFERROR(TEXTJOIN("", "",TRUE,UNIQUE(FILTER(Candidates!$B$2:$B$2000,Candidates!$A$2:$A$2000=$A1431))),""""))"),"")</f>
        <v/>
      </c>
      <c r="U1431" s="66" t="str">
        <f>IF($A1431="","",COUNTIF(Candidates!$A$2:$A$2000,$A1431))</f>
        <v/>
      </c>
      <c r="V1431" s="64" t="str">
        <f>IFERROR(__xludf.DUMMYFUNCTION("IF($A1431="""","""",IFERROR(INDEX(FILTER(Candidates!$S$2:$S$2000,Candidates!$A$2:$A$2000=$A1431),COUNTIF(Candidates!$A$2:$A$2000,$A1431)),""""))"),"")</f>
        <v/>
      </c>
      <c r="W1431" s="64" t="str">
        <f>IFERROR(__xludf.DUMMYFUNCTION("IF($A1431="""","""",IFERROR(INDEX(FILTER(Candidates!$T$2:$T$2000,Candidates!$A$2:$A$2000=$A1431),COUNTIF(Candidates!$A$2:$A$2000,$A1431)),""""))"),"")</f>
        <v/>
      </c>
      <c r="X1431" s="64"/>
      <c r="Y1431" s="64"/>
      <c r="Z1431" s="65"/>
      <c r="AA1431" s="65"/>
      <c r="AB1431" s="65"/>
      <c r="AC1431" s="65"/>
    </row>
    <row r="1432">
      <c r="A1432" s="64"/>
      <c r="B1432" s="64"/>
      <c r="C1432" s="64"/>
      <c r="D1432" s="64"/>
      <c r="E1432" s="64"/>
      <c r="F1432" s="64"/>
      <c r="G1432" s="64"/>
      <c r="H1432" s="63"/>
      <c r="I1432" s="64"/>
      <c r="J1432" s="64"/>
      <c r="K1432" s="64"/>
      <c r="L1432" s="64"/>
      <c r="M1432" s="64"/>
      <c r="N1432" s="64"/>
      <c r="O1432" s="64"/>
      <c r="P1432" s="64"/>
      <c r="Q1432" s="64"/>
      <c r="R1432" s="65" t="str">
        <f>IF($A1432="","",IFERROR(MINIFS(Candidates!$K$2:$K$2000,Candidates!$A$2:$A$2000,$A1432),""))</f>
        <v/>
      </c>
      <c r="S1432" s="65" t="str">
        <f>IF($A1432="","",IFERROR(MAXIFS(Candidates!$AA$2:$AA$2000,Candidates!$A$2:$A$2000,$A1432),""))</f>
        <v/>
      </c>
      <c r="T1432" s="64" t="str">
        <f>IFERROR(__xludf.DUMMYFUNCTION("IF($A1432="""","""",IFERROR(TEXTJOIN("", "",TRUE,UNIQUE(FILTER(Candidates!$B$2:$B$2000,Candidates!$A$2:$A$2000=$A1432))),""""))"),"")</f>
        <v/>
      </c>
      <c r="U1432" s="66" t="str">
        <f>IF($A1432="","",COUNTIF(Candidates!$A$2:$A$2000,$A1432))</f>
        <v/>
      </c>
      <c r="V1432" s="64" t="str">
        <f>IFERROR(__xludf.DUMMYFUNCTION("IF($A1432="""","""",IFERROR(INDEX(FILTER(Candidates!$S$2:$S$2000,Candidates!$A$2:$A$2000=$A1432),COUNTIF(Candidates!$A$2:$A$2000,$A1432)),""""))"),"")</f>
        <v/>
      </c>
      <c r="W1432" s="64" t="str">
        <f>IFERROR(__xludf.DUMMYFUNCTION("IF($A1432="""","""",IFERROR(INDEX(FILTER(Candidates!$T$2:$T$2000,Candidates!$A$2:$A$2000=$A1432),COUNTIF(Candidates!$A$2:$A$2000,$A1432)),""""))"),"")</f>
        <v/>
      </c>
      <c r="X1432" s="64"/>
      <c r="Y1432" s="64"/>
      <c r="Z1432" s="65"/>
      <c r="AA1432" s="65"/>
      <c r="AB1432" s="65"/>
      <c r="AC1432" s="65"/>
    </row>
    <row r="1433">
      <c r="A1433" s="64"/>
      <c r="B1433" s="64"/>
      <c r="C1433" s="64"/>
      <c r="D1433" s="64"/>
      <c r="E1433" s="64"/>
      <c r="F1433" s="64"/>
      <c r="G1433" s="64"/>
      <c r="H1433" s="63"/>
      <c r="I1433" s="64"/>
      <c r="J1433" s="64"/>
      <c r="K1433" s="64"/>
      <c r="L1433" s="64"/>
      <c r="M1433" s="64"/>
      <c r="N1433" s="64"/>
      <c r="O1433" s="64"/>
      <c r="P1433" s="64"/>
      <c r="Q1433" s="64"/>
      <c r="R1433" s="65" t="str">
        <f>IF($A1433="","",IFERROR(MINIFS(Candidates!$K$2:$K$2000,Candidates!$A$2:$A$2000,$A1433),""))</f>
        <v/>
      </c>
      <c r="S1433" s="65" t="str">
        <f>IF($A1433="","",IFERROR(MAXIFS(Candidates!$AA$2:$AA$2000,Candidates!$A$2:$A$2000,$A1433),""))</f>
        <v/>
      </c>
      <c r="T1433" s="64" t="str">
        <f>IFERROR(__xludf.DUMMYFUNCTION("IF($A1433="""","""",IFERROR(TEXTJOIN("", "",TRUE,UNIQUE(FILTER(Candidates!$B$2:$B$2000,Candidates!$A$2:$A$2000=$A1433))),""""))"),"")</f>
        <v/>
      </c>
      <c r="U1433" s="66" t="str">
        <f>IF($A1433="","",COUNTIF(Candidates!$A$2:$A$2000,$A1433))</f>
        <v/>
      </c>
      <c r="V1433" s="64" t="str">
        <f>IFERROR(__xludf.DUMMYFUNCTION("IF($A1433="""","""",IFERROR(INDEX(FILTER(Candidates!$S$2:$S$2000,Candidates!$A$2:$A$2000=$A1433),COUNTIF(Candidates!$A$2:$A$2000,$A1433)),""""))"),"")</f>
        <v/>
      </c>
      <c r="W1433" s="64" t="str">
        <f>IFERROR(__xludf.DUMMYFUNCTION("IF($A1433="""","""",IFERROR(INDEX(FILTER(Candidates!$T$2:$T$2000,Candidates!$A$2:$A$2000=$A1433),COUNTIF(Candidates!$A$2:$A$2000,$A1433)),""""))"),"")</f>
        <v/>
      </c>
      <c r="X1433" s="64"/>
      <c r="Y1433" s="64"/>
      <c r="Z1433" s="65"/>
      <c r="AA1433" s="65"/>
      <c r="AB1433" s="65"/>
      <c r="AC1433" s="65"/>
    </row>
    <row r="1434">
      <c r="A1434" s="64"/>
      <c r="B1434" s="64"/>
      <c r="C1434" s="64"/>
      <c r="D1434" s="64"/>
      <c r="E1434" s="64"/>
      <c r="F1434" s="64"/>
      <c r="G1434" s="64"/>
      <c r="H1434" s="63"/>
      <c r="I1434" s="64"/>
      <c r="J1434" s="64"/>
      <c r="K1434" s="64"/>
      <c r="L1434" s="64"/>
      <c r="M1434" s="64"/>
      <c r="N1434" s="64"/>
      <c r="O1434" s="64"/>
      <c r="P1434" s="64"/>
      <c r="Q1434" s="64"/>
      <c r="R1434" s="65" t="str">
        <f>IF($A1434="","",IFERROR(MINIFS(Candidates!$K$2:$K$2000,Candidates!$A$2:$A$2000,$A1434),""))</f>
        <v/>
      </c>
      <c r="S1434" s="65" t="str">
        <f>IF($A1434="","",IFERROR(MAXIFS(Candidates!$AA$2:$AA$2000,Candidates!$A$2:$A$2000,$A1434),""))</f>
        <v/>
      </c>
      <c r="T1434" s="64" t="str">
        <f>IFERROR(__xludf.DUMMYFUNCTION("IF($A1434="""","""",IFERROR(TEXTJOIN("", "",TRUE,UNIQUE(FILTER(Candidates!$B$2:$B$2000,Candidates!$A$2:$A$2000=$A1434))),""""))"),"")</f>
        <v/>
      </c>
      <c r="U1434" s="66" t="str">
        <f>IF($A1434="","",COUNTIF(Candidates!$A$2:$A$2000,$A1434))</f>
        <v/>
      </c>
      <c r="V1434" s="64" t="str">
        <f>IFERROR(__xludf.DUMMYFUNCTION("IF($A1434="""","""",IFERROR(INDEX(FILTER(Candidates!$S$2:$S$2000,Candidates!$A$2:$A$2000=$A1434),COUNTIF(Candidates!$A$2:$A$2000,$A1434)),""""))"),"")</f>
        <v/>
      </c>
      <c r="W1434" s="64" t="str">
        <f>IFERROR(__xludf.DUMMYFUNCTION("IF($A1434="""","""",IFERROR(INDEX(FILTER(Candidates!$T$2:$T$2000,Candidates!$A$2:$A$2000=$A1434),COUNTIF(Candidates!$A$2:$A$2000,$A1434)),""""))"),"")</f>
        <v/>
      </c>
      <c r="X1434" s="64"/>
      <c r="Y1434" s="64"/>
      <c r="Z1434" s="65"/>
      <c r="AA1434" s="65"/>
      <c r="AB1434" s="65"/>
      <c r="AC1434" s="65"/>
    </row>
    <row r="1435">
      <c r="A1435" s="64"/>
      <c r="B1435" s="64"/>
      <c r="C1435" s="64"/>
      <c r="D1435" s="64"/>
      <c r="E1435" s="64"/>
      <c r="F1435" s="64"/>
      <c r="G1435" s="64"/>
      <c r="H1435" s="63"/>
      <c r="I1435" s="64"/>
      <c r="J1435" s="64"/>
      <c r="K1435" s="64"/>
      <c r="L1435" s="64"/>
      <c r="M1435" s="64"/>
      <c r="N1435" s="64"/>
      <c r="O1435" s="64"/>
      <c r="P1435" s="64"/>
      <c r="Q1435" s="64"/>
      <c r="R1435" s="65" t="str">
        <f>IF($A1435="","",IFERROR(MINIFS(Candidates!$K$2:$K$2000,Candidates!$A$2:$A$2000,$A1435),""))</f>
        <v/>
      </c>
      <c r="S1435" s="65" t="str">
        <f>IF($A1435="","",IFERROR(MAXIFS(Candidates!$AA$2:$AA$2000,Candidates!$A$2:$A$2000,$A1435),""))</f>
        <v/>
      </c>
      <c r="T1435" s="64" t="str">
        <f>IFERROR(__xludf.DUMMYFUNCTION("IF($A1435="""","""",IFERROR(TEXTJOIN("", "",TRUE,UNIQUE(FILTER(Candidates!$B$2:$B$2000,Candidates!$A$2:$A$2000=$A1435))),""""))"),"")</f>
        <v/>
      </c>
      <c r="U1435" s="66" t="str">
        <f>IF($A1435="","",COUNTIF(Candidates!$A$2:$A$2000,$A1435))</f>
        <v/>
      </c>
      <c r="V1435" s="64" t="str">
        <f>IFERROR(__xludf.DUMMYFUNCTION("IF($A1435="""","""",IFERROR(INDEX(FILTER(Candidates!$S$2:$S$2000,Candidates!$A$2:$A$2000=$A1435),COUNTIF(Candidates!$A$2:$A$2000,$A1435)),""""))"),"")</f>
        <v/>
      </c>
      <c r="W1435" s="64" t="str">
        <f>IFERROR(__xludf.DUMMYFUNCTION("IF($A1435="""","""",IFERROR(INDEX(FILTER(Candidates!$T$2:$T$2000,Candidates!$A$2:$A$2000=$A1435),COUNTIF(Candidates!$A$2:$A$2000,$A1435)),""""))"),"")</f>
        <v/>
      </c>
      <c r="X1435" s="64"/>
      <c r="Y1435" s="64"/>
      <c r="Z1435" s="65"/>
      <c r="AA1435" s="65"/>
      <c r="AB1435" s="65"/>
      <c r="AC1435" s="65"/>
    </row>
    <row r="1436">
      <c r="A1436" s="64"/>
      <c r="B1436" s="64"/>
      <c r="C1436" s="64"/>
      <c r="D1436" s="64"/>
      <c r="E1436" s="64"/>
      <c r="F1436" s="64"/>
      <c r="G1436" s="64"/>
      <c r="H1436" s="63"/>
      <c r="I1436" s="64"/>
      <c r="J1436" s="64"/>
      <c r="K1436" s="64"/>
      <c r="L1436" s="64"/>
      <c r="M1436" s="64"/>
      <c r="N1436" s="64"/>
      <c r="O1436" s="64"/>
      <c r="P1436" s="64"/>
      <c r="Q1436" s="64"/>
      <c r="R1436" s="65" t="str">
        <f>IF($A1436="","",IFERROR(MINIFS(Candidates!$K$2:$K$2000,Candidates!$A$2:$A$2000,$A1436),""))</f>
        <v/>
      </c>
      <c r="S1436" s="65" t="str">
        <f>IF($A1436="","",IFERROR(MAXIFS(Candidates!$AA$2:$AA$2000,Candidates!$A$2:$A$2000,$A1436),""))</f>
        <v/>
      </c>
      <c r="T1436" s="64" t="str">
        <f>IFERROR(__xludf.DUMMYFUNCTION("IF($A1436="""","""",IFERROR(TEXTJOIN("", "",TRUE,UNIQUE(FILTER(Candidates!$B$2:$B$2000,Candidates!$A$2:$A$2000=$A1436))),""""))"),"")</f>
        <v/>
      </c>
      <c r="U1436" s="66" t="str">
        <f>IF($A1436="","",COUNTIF(Candidates!$A$2:$A$2000,$A1436))</f>
        <v/>
      </c>
      <c r="V1436" s="64" t="str">
        <f>IFERROR(__xludf.DUMMYFUNCTION("IF($A1436="""","""",IFERROR(INDEX(FILTER(Candidates!$S$2:$S$2000,Candidates!$A$2:$A$2000=$A1436),COUNTIF(Candidates!$A$2:$A$2000,$A1436)),""""))"),"")</f>
        <v/>
      </c>
      <c r="W1436" s="64" t="str">
        <f>IFERROR(__xludf.DUMMYFUNCTION("IF($A1436="""","""",IFERROR(INDEX(FILTER(Candidates!$T$2:$T$2000,Candidates!$A$2:$A$2000=$A1436),COUNTIF(Candidates!$A$2:$A$2000,$A1436)),""""))"),"")</f>
        <v/>
      </c>
      <c r="X1436" s="64"/>
      <c r="Y1436" s="64"/>
      <c r="Z1436" s="65"/>
      <c r="AA1436" s="65"/>
      <c r="AB1436" s="65"/>
      <c r="AC1436" s="65"/>
    </row>
    <row r="1437">
      <c r="A1437" s="64"/>
      <c r="B1437" s="64"/>
      <c r="C1437" s="64"/>
      <c r="D1437" s="64"/>
      <c r="E1437" s="64"/>
      <c r="F1437" s="64"/>
      <c r="G1437" s="64"/>
      <c r="H1437" s="63"/>
      <c r="I1437" s="64"/>
      <c r="J1437" s="64"/>
      <c r="K1437" s="64"/>
      <c r="L1437" s="64"/>
      <c r="M1437" s="64"/>
      <c r="N1437" s="64"/>
      <c r="O1437" s="64"/>
      <c r="P1437" s="64"/>
      <c r="Q1437" s="64"/>
      <c r="R1437" s="65" t="str">
        <f>IF($A1437="","",IFERROR(MINIFS(Candidates!$K$2:$K$2000,Candidates!$A$2:$A$2000,$A1437),""))</f>
        <v/>
      </c>
      <c r="S1437" s="65" t="str">
        <f>IF($A1437="","",IFERROR(MAXIFS(Candidates!$AA$2:$AA$2000,Candidates!$A$2:$A$2000,$A1437),""))</f>
        <v/>
      </c>
      <c r="T1437" s="64" t="str">
        <f>IFERROR(__xludf.DUMMYFUNCTION("IF($A1437="""","""",IFERROR(TEXTJOIN("", "",TRUE,UNIQUE(FILTER(Candidates!$B$2:$B$2000,Candidates!$A$2:$A$2000=$A1437))),""""))"),"")</f>
        <v/>
      </c>
      <c r="U1437" s="66" t="str">
        <f>IF($A1437="","",COUNTIF(Candidates!$A$2:$A$2000,$A1437))</f>
        <v/>
      </c>
      <c r="V1437" s="64" t="str">
        <f>IFERROR(__xludf.DUMMYFUNCTION("IF($A1437="""","""",IFERROR(INDEX(FILTER(Candidates!$S$2:$S$2000,Candidates!$A$2:$A$2000=$A1437),COUNTIF(Candidates!$A$2:$A$2000,$A1437)),""""))"),"")</f>
        <v/>
      </c>
      <c r="W1437" s="64" t="str">
        <f>IFERROR(__xludf.DUMMYFUNCTION("IF($A1437="""","""",IFERROR(INDEX(FILTER(Candidates!$T$2:$T$2000,Candidates!$A$2:$A$2000=$A1437),COUNTIF(Candidates!$A$2:$A$2000,$A1437)),""""))"),"")</f>
        <v/>
      </c>
      <c r="X1437" s="64"/>
      <c r="Y1437" s="64"/>
      <c r="Z1437" s="65"/>
      <c r="AA1437" s="65"/>
      <c r="AB1437" s="65"/>
      <c r="AC1437" s="65"/>
    </row>
    <row r="1438">
      <c r="A1438" s="64"/>
      <c r="B1438" s="64"/>
      <c r="C1438" s="64"/>
      <c r="D1438" s="64"/>
      <c r="E1438" s="64"/>
      <c r="F1438" s="64"/>
      <c r="G1438" s="64"/>
      <c r="H1438" s="63"/>
      <c r="I1438" s="64"/>
      <c r="J1438" s="64"/>
      <c r="K1438" s="64"/>
      <c r="L1438" s="64"/>
      <c r="M1438" s="64"/>
      <c r="N1438" s="64"/>
      <c r="O1438" s="64"/>
      <c r="P1438" s="64"/>
      <c r="Q1438" s="64"/>
      <c r="R1438" s="65" t="str">
        <f>IF($A1438="","",IFERROR(MINIFS(Candidates!$K$2:$K$2000,Candidates!$A$2:$A$2000,$A1438),""))</f>
        <v/>
      </c>
      <c r="S1438" s="65" t="str">
        <f>IF($A1438="","",IFERROR(MAXIFS(Candidates!$AA$2:$AA$2000,Candidates!$A$2:$A$2000,$A1438),""))</f>
        <v/>
      </c>
      <c r="T1438" s="64" t="str">
        <f>IFERROR(__xludf.DUMMYFUNCTION("IF($A1438="""","""",IFERROR(TEXTJOIN("", "",TRUE,UNIQUE(FILTER(Candidates!$B$2:$B$2000,Candidates!$A$2:$A$2000=$A1438))),""""))"),"")</f>
        <v/>
      </c>
      <c r="U1438" s="66" t="str">
        <f>IF($A1438="","",COUNTIF(Candidates!$A$2:$A$2000,$A1438))</f>
        <v/>
      </c>
      <c r="V1438" s="64" t="str">
        <f>IFERROR(__xludf.DUMMYFUNCTION("IF($A1438="""","""",IFERROR(INDEX(FILTER(Candidates!$S$2:$S$2000,Candidates!$A$2:$A$2000=$A1438),COUNTIF(Candidates!$A$2:$A$2000,$A1438)),""""))"),"")</f>
        <v/>
      </c>
      <c r="W1438" s="64" t="str">
        <f>IFERROR(__xludf.DUMMYFUNCTION("IF($A1438="""","""",IFERROR(INDEX(FILTER(Candidates!$T$2:$T$2000,Candidates!$A$2:$A$2000=$A1438),COUNTIF(Candidates!$A$2:$A$2000,$A1438)),""""))"),"")</f>
        <v/>
      </c>
      <c r="X1438" s="64"/>
      <c r="Y1438" s="64"/>
      <c r="Z1438" s="65"/>
      <c r="AA1438" s="65"/>
      <c r="AB1438" s="65"/>
      <c r="AC1438" s="65"/>
    </row>
    <row r="1439">
      <c r="A1439" s="64"/>
      <c r="B1439" s="64"/>
      <c r="C1439" s="64"/>
      <c r="D1439" s="64"/>
      <c r="E1439" s="64"/>
      <c r="F1439" s="64"/>
      <c r="G1439" s="64"/>
      <c r="H1439" s="63"/>
      <c r="I1439" s="64"/>
      <c r="J1439" s="64"/>
      <c r="K1439" s="64"/>
      <c r="L1439" s="64"/>
      <c r="M1439" s="64"/>
      <c r="N1439" s="64"/>
      <c r="O1439" s="64"/>
      <c r="P1439" s="64"/>
      <c r="Q1439" s="64"/>
      <c r="R1439" s="65" t="str">
        <f>IF($A1439="","",IFERROR(MINIFS(Candidates!$K$2:$K$2000,Candidates!$A$2:$A$2000,$A1439),""))</f>
        <v/>
      </c>
      <c r="S1439" s="65" t="str">
        <f>IF($A1439="","",IFERROR(MAXIFS(Candidates!$AA$2:$AA$2000,Candidates!$A$2:$A$2000,$A1439),""))</f>
        <v/>
      </c>
      <c r="T1439" s="64" t="str">
        <f>IFERROR(__xludf.DUMMYFUNCTION("IF($A1439="""","""",IFERROR(TEXTJOIN("", "",TRUE,UNIQUE(FILTER(Candidates!$B$2:$B$2000,Candidates!$A$2:$A$2000=$A1439))),""""))"),"")</f>
        <v/>
      </c>
      <c r="U1439" s="66" t="str">
        <f>IF($A1439="","",COUNTIF(Candidates!$A$2:$A$2000,$A1439))</f>
        <v/>
      </c>
      <c r="V1439" s="64" t="str">
        <f>IFERROR(__xludf.DUMMYFUNCTION("IF($A1439="""","""",IFERROR(INDEX(FILTER(Candidates!$S$2:$S$2000,Candidates!$A$2:$A$2000=$A1439),COUNTIF(Candidates!$A$2:$A$2000,$A1439)),""""))"),"")</f>
        <v/>
      </c>
      <c r="W1439" s="64" t="str">
        <f>IFERROR(__xludf.DUMMYFUNCTION("IF($A1439="""","""",IFERROR(INDEX(FILTER(Candidates!$T$2:$T$2000,Candidates!$A$2:$A$2000=$A1439),COUNTIF(Candidates!$A$2:$A$2000,$A1439)),""""))"),"")</f>
        <v/>
      </c>
      <c r="X1439" s="64"/>
      <c r="Y1439" s="64"/>
      <c r="Z1439" s="65"/>
      <c r="AA1439" s="65"/>
      <c r="AB1439" s="65"/>
      <c r="AC1439" s="65"/>
    </row>
    <row r="1440">
      <c r="A1440" s="64"/>
      <c r="B1440" s="64"/>
      <c r="C1440" s="64"/>
      <c r="D1440" s="64"/>
      <c r="E1440" s="64"/>
      <c r="F1440" s="64"/>
      <c r="G1440" s="64"/>
      <c r="H1440" s="63"/>
      <c r="I1440" s="64"/>
      <c r="J1440" s="64"/>
      <c r="K1440" s="64"/>
      <c r="L1440" s="64"/>
      <c r="M1440" s="64"/>
      <c r="N1440" s="64"/>
      <c r="O1440" s="64"/>
      <c r="P1440" s="64"/>
      <c r="Q1440" s="64"/>
      <c r="R1440" s="65" t="str">
        <f>IF($A1440="","",IFERROR(MINIFS(Candidates!$K$2:$K$2000,Candidates!$A$2:$A$2000,$A1440),""))</f>
        <v/>
      </c>
      <c r="S1440" s="65" t="str">
        <f>IF($A1440="","",IFERROR(MAXIFS(Candidates!$AA$2:$AA$2000,Candidates!$A$2:$A$2000,$A1440),""))</f>
        <v/>
      </c>
      <c r="T1440" s="64" t="str">
        <f>IFERROR(__xludf.DUMMYFUNCTION("IF($A1440="""","""",IFERROR(TEXTJOIN("", "",TRUE,UNIQUE(FILTER(Candidates!$B$2:$B$2000,Candidates!$A$2:$A$2000=$A1440))),""""))"),"")</f>
        <v/>
      </c>
      <c r="U1440" s="66" t="str">
        <f>IF($A1440="","",COUNTIF(Candidates!$A$2:$A$2000,$A1440))</f>
        <v/>
      </c>
      <c r="V1440" s="64" t="str">
        <f>IFERROR(__xludf.DUMMYFUNCTION("IF($A1440="""","""",IFERROR(INDEX(FILTER(Candidates!$S$2:$S$2000,Candidates!$A$2:$A$2000=$A1440),COUNTIF(Candidates!$A$2:$A$2000,$A1440)),""""))"),"")</f>
        <v/>
      </c>
      <c r="W1440" s="64" t="str">
        <f>IFERROR(__xludf.DUMMYFUNCTION("IF($A1440="""","""",IFERROR(INDEX(FILTER(Candidates!$T$2:$T$2000,Candidates!$A$2:$A$2000=$A1440),COUNTIF(Candidates!$A$2:$A$2000,$A1440)),""""))"),"")</f>
        <v/>
      </c>
      <c r="X1440" s="64"/>
      <c r="Y1440" s="64"/>
      <c r="Z1440" s="65"/>
      <c r="AA1440" s="65"/>
      <c r="AB1440" s="65"/>
      <c r="AC1440" s="65"/>
    </row>
    <row r="1441">
      <c r="A1441" s="64"/>
      <c r="B1441" s="64"/>
      <c r="C1441" s="64"/>
      <c r="D1441" s="64"/>
      <c r="E1441" s="64"/>
      <c r="F1441" s="64"/>
      <c r="G1441" s="64"/>
      <c r="H1441" s="63"/>
      <c r="I1441" s="64"/>
      <c r="J1441" s="64"/>
      <c r="K1441" s="64"/>
      <c r="L1441" s="64"/>
      <c r="M1441" s="64"/>
      <c r="N1441" s="64"/>
      <c r="O1441" s="64"/>
      <c r="P1441" s="64"/>
      <c r="Q1441" s="64"/>
      <c r="R1441" s="65" t="str">
        <f>IF($A1441="","",IFERROR(MINIFS(Candidates!$K$2:$K$2000,Candidates!$A$2:$A$2000,$A1441),""))</f>
        <v/>
      </c>
      <c r="S1441" s="65" t="str">
        <f>IF($A1441="","",IFERROR(MAXIFS(Candidates!$AA$2:$AA$2000,Candidates!$A$2:$A$2000,$A1441),""))</f>
        <v/>
      </c>
      <c r="T1441" s="64" t="str">
        <f>IFERROR(__xludf.DUMMYFUNCTION("IF($A1441="""","""",IFERROR(TEXTJOIN("", "",TRUE,UNIQUE(FILTER(Candidates!$B$2:$B$2000,Candidates!$A$2:$A$2000=$A1441))),""""))"),"")</f>
        <v/>
      </c>
      <c r="U1441" s="66" t="str">
        <f>IF($A1441="","",COUNTIF(Candidates!$A$2:$A$2000,$A1441))</f>
        <v/>
      </c>
      <c r="V1441" s="64" t="str">
        <f>IFERROR(__xludf.DUMMYFUNCTION("IF($A1441="""","""",IFERROR(INDEX(FILTER(Candidates!$S$2:$S$2000,Candidates!$A$2:$A$2000=$A1441),COUNTIF(Candidates!$A$2:$A$2000,$A1441)),""""))"),"")</f>
        <v/>
      </c>
      <c r="W1441" s="64" t="str">
        <f>IFERROR(__xludf.DUMMYFUNCTION("IF($A1441="""","""",IFERROR(INDEX(FILTER(Candidates!$T$2:$T$2000,Candidates!$A$2:$A$2000=$A1441),COUNTIF(Candidates!$A$2:$A$2000,$A1441)),""""))"),"")</f>
        <v/>
      </c>
      <c r="X1441" s="64"/>
      <c r="Y1441" s="64"/>
      <c r="Z1441" s="65"/>
      <c r="AA1441" s="65"/>
      <c r="AB1441" s="65"/>
      <c r="AC1441" s="65"/>
    </row>
    <row r="1442">
      <c r="A1442" s="64"/>
      <c r="B1442" s="64"/>
      <c r="C1442" s="64"/>
      <c r="D1442" s="64"/>
      <c r="E1442" s="64"/>
      <c r="F1442" s="64"/>
      <c r="G1442" s="64"/>
      <c r="H1442" s="63"/>
      <c r="I1442" s="64"/>
      <c r="J1442" s="64"/>
      <c r="K1442" s="64"/>
      <c r="L1442" s="64"/>
      <c r="M1442" s="64"/>
      <c r="N1442" s="64"/>
      <c r="O1442" s="64"/>
      <c r="P1442" s="64"/>
      <c r="Q1442" s="64"/>
      <c r="R1442" s="65" t="str">
        <f>IF($A1442="","",IFERROR(MINIFS(Candidates!$K$2:$K$2000,Candidates!$A$2:$A$2000,$A1442),""))</f>
        <v/>
      </c>
      <c r="S1442" s="65" t="str">
        <f>IF($A1442="","",IFERROR(MAXIFS(Candidates!$AA$2:$AA$2000,Candidates!$A$2:$A$2000,$A1442),""))</f>
        <v/>
      </c>
      <c r="T1442" s="64" t="str">
        <f>IFERROR(__xludf.DUMMYFUNCTION("IF($A1442="""","""",IFERROR(TEXTJOIN("", "",TRUE,UNIQUE(FILTER(Candidates!$B$2:$B$2000,Candidates!$A$2:$A$2000=$A1442))),""""))"),"")</f>
        <v/>
      </c>
      <c r="U1442" s="66" t="str">
        <f>IF($A1442="","",COUNTIF(Candidates!$A$2:$A$2000,$A1442))</f>
        <v/>
      </c>
      <c r="V1442" s="64" t="str">
        <f>IFERROR(__xludf.DUMMYFUNCTION("IF($A1442="""","""",IFERROR(INDEX(FILTER(Candidates!$S$2:$S$2000,Candidates!$A$2:$A$2000=$A1442),COUNTIF(Candidates!$A$2:$A$2000,$A1442)),""""))"),"")</f>
        <v/>
      </c>
      <c r="W1442" s="64" t="str">
        <f>IFERROR(__xludf.DUMMYFUNCTION("IF($A1442="""","""",IFERROR(INDEX(FILTER(Candidates!$T$2:$T$2000,Candidates!$A$2:$A$2000=$A1442),COUNTIF(Candidates!$A$2:$A$2000,$A1442)),""""))"),"")</f>
        <v/>
      </c>
      <c r="X1442" s="64"/>
      <c r="Y1442" s="64"/>
      <c r="Z1442" s="65"/>
      <c r="AA1442" s="65"/>
      <c r="AB1442" s="65"/>
      <c r="AC1442" s="65"/>
    </row>
    <row r="1443">
      <c r="A1443" s="64"/>
      <c r="B1443" s="64"/>
      <c r="C1443" s="64"/>
      <c r="D1443" s="64"/>
      <c r="E1443" s="64"/>
      <c r="F1443" s="64"/>
      <c r="G1443" s="64"/>
      <c r="H1443" s="63"/>
      <c r="I1443" s="64"/>
      <c r="J1443" s="64"/>
      <c r="K1443" s="64"/>
      <c r="L1443" s="64"/>
      <c r="M1443" s="64"/>
      <c r="N1443" s="64"/>
      <c r="O1443" s="64"/>
      <c r="P1443" s="64"/>
      <c r="Q1443" s="64"/>
      <c r="R1443" s="65" t="str">
        <f>IF($A1443="","",IFERROR(MINIFS(Candidates!$K$2:$K$2000,Candidates!$A$2:$A$2000,$A1443),""))</f>
        <v/>
      </c>
      <c r="S1443" s="65" t="str">
        <f>IF($A1443="","",IFERROR(MAXIFS(Candidates!$AA$2:$AA$2000,Candidates!$A$2:$A$2000,$A1443),""))</f>
        <v/>
      </c>
      <c r="T1443" s="64" t="str">
        <f>IFERROR(__xludf.DUMMYFUNCTION("IF($A1443="""","""",IFERROR(TEXTJOIN("", "",TRUE,UNIQUE(FILTER(Candidates!$B$2:$B$2000,Candidates!$A$2:$A$2000=$A1443))),""""))"),"")</f>
        <v/>
      </c>
      <c r="U1443" s="66" t="str">
        <f>IF($A1443="","",COUNTIF(Candidates!$A$2:$A$2000,$A1443))</f>
        <v/>
      </c>
      <c r="V1443" s="64" t="str">
        <f>IFERROR(__xludf.DUMMYFUNCTION("IF($A1443="""","""",IFERROR(INDEX(FILTER(Candidates!$S$2:$S$2000,Candidates!$A$2:$A$2000=$A1443),COUNTIF(Candidates!$A$2:$A$2000,$A1443)),""""))"),"")</f>
        <v/>
      </c>
      <c r="W1443" s="64" t="str">
        <f>IFERROR(__xludf.DUMMYFUNCTION("IF($A1443="""","""",IFERROR(INDEX(FILTER(Candidates!$T$2:$T$2000,Candidates!$A$2:$A$2000=$A1443),COUNTIF(Candidates!$A$2:$A$2000,$A1443)),""""))"),"")</f>
        <v/>
      </c>
      <c r="X1443" s="64"/>
      <c r="Y1443" s="64"/>
      <c r="Z1443" s="65"/>
      <c r="AA1443" s="65"/>
      <c r="AB1443" s="65"/>
      <c r="AC1443" s="65"/>
    </row>
    <row r="1444">
      <c r="A1444" s="64"/>
      <c r="B1444" s="64"/>
      <c r="C1444" s="64"/>
      <c r="D1444" s="64"/>
      <c r="E1444" s="64"/>
      <c r="F1444" s="64"/>
      <c r="G1444" s="64"/>
      <c r="H1444" s="63"/>
      <c r="I1444" s="64"/>
      <c r="J1444" s="64"/>
      <c r="K1444" s="64"/>
      <c r="L1444" s="64"/>
      <c r="M1444" s="64"/>
      <c r="N1444" s="64"/>
      <c r="O1444" s="64"/>
      <c r="P1444" s="64"/>
      <c r="Q1444" s="64"/>
      <c r="R1444" s="65" t="str">
        <f>IF($A1444="","",IFERROR(MINIFS(Candidates!$K$2:$K$2000,Candidates!$A$2:$A$2000,$A1444),""))</f>
        <v/>
      </c>
      <c r="S1444" s="65" t="str">
        <f>IF($A1444="","",IFERROR(MAXIFS(Candidates!$AA$2:$AA$2000,Candidates!$A$2:$A$2000,$A1444),""))</f>
        <v/>
      </c>
      <c r="T1444" s="64" t="str">
        <f>IFERROR(__xludf.DUMMYFUNCTION("IF($A1444="""","""",IFERROR(TEXTJOIN("", "",TRUE,UNIQUE(FILTER(Candidates!$B$2:$B$2000,Candidates!$A$2:$A$2000=$A1444))),""""))"),"")</f>
        <v/>
      </c>
      <c r="U1444" s="66" t="str">
        <f>IF($A1444="","",COUNTIF(Candidates!$A$2:$A$2000,$A1444))</f>
        <v/>
      </c>
      <c r="V1444" s="64" t="str">
        <f>IFERROR(__xludf.DUMMYFUNCTION("IF($A1444="""","""",IFERROR(INDEX(FILTER(Candidates!$S$2:$S$2000,Candidates!$A$2:$A$2000=$A1444),COUNTIF(Candidates!$A$2:$A$2000,$A1444)),""""))"),"")</f>
        <v/>
      </c>
      <c r="W1444" s="64" t="str">
        <f>IFERROR(__xludf.DUMMYFUNCTION("IF($A1444="""","""",IFERROR(INDEX(FILTER(Candidates!$T$2:$T$2000,Candidates!$A$2:$A$2000=$A1444),COUNTIF(Candidates!$A$2:$A$2000,$A1444)),""""))"),"")</f>
        <v/>
      </c>
      <c r="X1444" s="64"/>
      <c r="Y1444" s="64"/>
      <c r="Z1444" s="65"/>
      <c r="AA1444" s="65"/>
      <c r="AB1444" s="65"/>
      <c r="AC1444" s="65"/>
    </row>
    <row r="1445">
      <c r="A1445" s="64"/>
      <c r="B1445" s="64"/>
      <c r="C1445" s="64"/>
      <c r="D1445" s="64"/>
      <c r="E1445" s="64"/>
      <c r="F1445" s="64"/>
      <c r="G1445" s="64"/>
      <c r="H1445" s="63"/>
      <c r="I1445" s="64"/>
      <c r="J1445" s="64"/>
      <c r="K1445" s="64"/>
      <c r="L1445" s="64"/>
      <c r="M1445" s="64"/>
      <c r="N1445" s="64"/>
      <c r="O1445" s="64"/>
      <c r="P1445" s="64"/>
      <c r="Q1445" s="64"/>
      <c r="R1445" s="65" t="str">
        <f>IF($A1445="","",IFERROR(MINIFS(Candidates!$K$2:$K$2000,Candidates!$A$2:$A$2000,$A1445),""))</f>
        <v/>
      </c>
      <c r="S1445" s="65" t="str">
        <f>IF($A1445="","",IFERROR(MAXIFS(Candidates!$AA$2:$AA$2000,Candidates!$A$2:$A$2000,$A1445),""))</f>
        <v/>
      </c>
      <c r="T1445" s="64" t="str">
        <f>IFERROR(__xludf.DUMMYFUNCTION("IF($A1445="""","""",IFERROR(TEXTJOIN("", "",TRUE,UNIQUE(FILTER(Candidates!$B$2:$B$2000,Candidates!$A$2:$A$2000=$A1445))),""""))"),"")</f>
        <v/>
      </c>
      <c r="U1445" s="66" t="str">
        <f>IF($A1445="","",COUNTIF(Candidates!$A$2:$A$2000,$A1445))</f>
        <v/>
      </c>
      <c r="V1445" s="64" t="str">
        <f>IFERROR(__xludf.DUMMYFUNCTION("IF($A1445="""","""",IFERROR(INDEX(FILTER(Candidates!$S$2:$S$2000,Candidates!$A$2:$A$2000=$A1445),COUNTIF(Candidates!$A$2:$A$2000,$A1445)),""""))"),"")</f>
        <v/>
      </c>
      <c r="W1445" s="64" t="str">
        <f>IFERROR(__xludf.DUMMYFUNCTION("IF($A1445="""","""",IFERROR(INDEX(FILTER(Candidates!$T$2:$T$2000,Candidates!$A$2:$A$2000=$A1445),COUNTIF(Candidates!$A$2:$A$2000,$A1445)),""""))"),"")</f>
        <v/>
      </c>
      <c r="X1445" s="64"/>
      <c r="Y1445" s="64"/>
      <c r="Z1445" s="65"/>
      <c r="AA1445" s="65"/>
      <c r="AB1445" s="65"/>
      <c r="AC1445" s="65"/>
    </row>
    <row r="1446">
      <c r="A1446" s="64"/>
      <c r="B1446" s="64"/>
      <c r="C1446" s="64"/>
      <c r="D1446" s="64"/>
      <c r="E1446" s="64"/>
      <c r="F1446" s="64"/>
      <c r="G1446" s="64"/>
      <c r="H1446" s="63"/>
      <c r="I1446" s="64"/>
      <c r="J1446" s="64"/>
      <c r="K1446" s="64"/>
      <c r="L1446" s="64"/>
      <c r="M1446" s="64"/>
      <c r="N1446" s="64"/>
      <c r="O1446" s="64"/>
      <c r="P1446" s="64"/>
      <c r="Q1446" s="64"/>
      <c r="R1446" s="65" t="str">
        <f>IF($A1446="","",IFERROR(MINIFS(Candidates!$K$2:$K$2000,Candidates!$A$2:$A$2000,$A1446),""))</f>
        <v/>
      </c>
      <c r="S1446" s="65" t="str">
        <f>IF($A1446="","",IFERROR(MAXIFS(Candidates!$AA$2:$AA$2000,Candidates!$A$2:$A$2000,$A1446),""))</f>
        <v/>
      </c>
      <c r="T1446" s="64" t="str">
        <f>IFERROR(__xludf.DUMMYFUNCTION("IF($A1446="""","""",IFERROR(TEXTJOIN("", "",TRUE,UNIQUE(FILTER(Candidates!$B$2:$B$2000,Candidates!$A$2:$A$2000=$A1446))),""""))"),"")</f>
        <v/>
      </c>
      <c r="U1446" s="66" t="str">
        <f>IF($A1446="","",COUNTIF(Candidates!$A$2:$A$2000,$A1446))</f>
        <v/>
      </c>
      <c r="V1446" s="64" t="str">
        <f>IFERROR(__xludf.DUMMYFUNCTION("IF($A1446="""","""",IFERROR(INDEX(FILTER(Candidates!$S$2:$S$2000,Candidates!$A$2:$A$2000=$A1446),COUNTIF(Candidates!$A$2:$A$2000,$A1446)),""""))"),"")</f>
        <v/>
      </c>
      <c r="W1446" s="64" t="str">
        <f>IFERROR(__xludf.DUMMYFUNCTION("IF($A1446="""","""",IFERROR(INDEX(FILTER(Candidates!$T$2:$T$2000,Candidates!$A$2:$A$2000=$A1446),COUNTIF(Candidates!$A$2:$A$2000,$A1446)),""""))"),"")</f>
        <v/>
      </c>
      <c r="X1446" s="64"/>
      <c r="Y1446" s="64"/>
      <c r="Z1446" s="65"/>
      <c r="AA1446" s="65"/>
      <c r="AB1446" s="65"/>
      <c r="AC1446" s="65"/>
    </row>
    <row r="1447">
      <c r="A1447" s="64"/>
      <c r="B1447" s="64"/>
      <c r="C1447" s="64"/>
      <c r="D1447" s="64"/>
      <c r="E1447" s="64"/>
      <c r="F1447" s="64"/>
      <c r="G1447" s="64"/>
      <c r="H1447" s="63"/>
      <c r="I1447" s="64"/>
      <c r="J1447" s="64"/>
      <c r="K1447" s="64"/>
      <c r="L1447" s="64"/>
      <c r="M1447" s="64"/>
      <c r="N1447" s="64"/>
      <c r="O1447" s="64"/>
      <c r="P1447" s="64"/>
      <c r="Q1447" s="64"/>
      <c r="R1447" s="65" t="str">
        <f>IF($A1447="","",IFERROR(MINIFS(Candidates!$K$2:$K$2000,Candidates!$A$2:$A$2000,$A1447),""))</f>
        <v/>
      </c>
      <c r="S1447" s="65" t="str">
        <f>IF($A1447="","",IFERROR(MAXIFS(Candidates!$AA$2:$AA$2000,Candidates!$A$2:$A$2000,$A1447),""))</f>
        <v/>
      </c>
      <c r="T1447" s="64" t="str">
        <f>IFERROR(__xludf.DUMMYFUNCTION("IF($A1447="""","""",IFERROR(TEXTJOIN("", "",TRUE,UNIQUE(FILTER(Candidates!$B$2:$B$2000,Candidates!$A$2:$A$2000=$A1447))),""""))"),"")</f>
        <v/>
      </c>
      <c r="U1447" s="66" t="str">
        <f>IF($A1447="","",COUNTIF(Candidates!$A$2:$A$2000,$A1447))</f>
        <v/>
      </c>
      <c r="V1447" s="64" t="str">
        <f>IFERROR(__xludf.DUMMYFUNCTION("IF($A1447="""","""",IFERROR(INDEX(FILTER(Candidates!$S$2:$S$2000,Candidates!$A$2:$A$2000=$A1447),COUNTIF(Candidates!$A$2:$A$2000,$A1447)),""""))"),"")</f>
        <v/>
      </c>
      <c r="W1447" s="64" t="str">
        <f>IFERROR(__xludf.DUMMYFUNCTION("IF($A1447="""","""",IFERROR(INDEX(FILTER(Candidates!$T$2:$T$2000,Candidates!$A$2:$A$2000=$A1447),COUNTIF(Candidates!$A$2:$A$2000,$A1447)),""""))"),"")</f>
        <v/>
      </c>
      <c r="X1447" s="64"/>
      <c r="Y1447" s="64"/>
      <c r="Z1447" s="65"/>
      <c r="AA1447" s="65"/>
      <c r="AB1447" s="65"/>
      <c r="AC1447" s="65"/>
    </row>
    <row r="1448">
      <c r="A1448" s="64"/>
      <c r="B1448" s="64"/>
      <c r="C1448" s="64"/>
      <c r="D1448" s="64"/>
      <c r="E1448" s="64"/>
      <c r="F1448" s="64"/>
      <c r="G1448" s="64"/>
      <c r="H1448" s="63"/>
      <c r="I1448" s="64"/>
      <c r="J1448" s="64"/>
      <c r="K1448" s="64"/>
      <c r="L1448" s="64"/>
      <c r="M1448" s="64"/>
      <c r="N1448" s="64"/>
      <c r="O1448" s="64"/>
      <c r="P1448" s="64"/>
      <c r="Q1448" s="64"/>
      <c r="R1448" s="65" t="str">
        <f>IF($A1448="","",IFERROR(MINIFS(Candidates!$K$2:$K$2000,Candidates!$A$2:$A$2000,$A1448),""))</f>
        <v/>
      </c>
      <c r="S1448" s="65" t="str">
        <f>IF($A1448="","",IFERROR(MAXIFS(Candidates!$AA$2:$AA$2000,Candidates!$A$2:$A$2000,$A1448),""))</f>
        <v/>
      </c>
      <c r="T1448" s="64" t="str">
        <f>IFERROR(__xludf.DUMMYFUNCTION("IF($A1448="""","""",IFERROR(TEXTJOIN("", "",TRUE,UNIQUE(FILTER(Candidates!$B$2:$B$2000,Candidates!$A$2:$A$2000=$A1448))),""""))"),"")</f>
        <v/>
      </c>
      <c r="U1448" s="66" t="str">
        <f>IF($A1448="","",COUNTIF(Candidates!$A$2:$A$2000,$A1448))</f>
        <v/>
      </c>
      <c r="V1448" s="64" t="str">
        <f>IFERROR(__xludf.DUMMYFUNCTION("IF($A1448="""","""",IFERROR(INDEX(FILTER(Candidates!$S$2:$S$2000,Candidates!$A$2:$A$2000=$A1448),COUNTIF(Candidates!$A$2:$A$2000,$A1448)),""""))"),"")</f>
        <v/>
      </c>
      <c r="W1448" s="64" t="str">
        <f>IFERROR(__xludf.DUMMYFUNCTION("IF($A1448="""","""",IFERROR(INDEX(FILTER(Candidates!$T$2:$T$2000,Candidates!$A$2:$A$2000=$A1448),COUNTIF(Candidates!$A$2:$A$2000,$A1448)),""""))"),"")</f>
        <v/>
      </c>
      <c r="X1448" s="64"/>
      <c r="Y1448" s="64"/>
      <c r="Z1448" s="65"/>
      <c r="AA1448" s="65"/>
      <c r="AB1448" s="65"/>
      <c r="AC1448" s="65"/>
    </row>
    <row r="1449">
      <c r="A1449" s="64"/>
      <c r="B1449" s="64"/>
      <c r="C1449" s="64"/>
      <c r="D1449" s="64"/>
      <c r="E1449" s="64"/>
      <c r="F1449" s="64"/>
      <c r="G1449" s="64"/>
      <c r="H1449" s="63"/>
      <c r="I1449" s="64"/>
      <c r="J1449" s="64"/>
      <c r="K1449" s="64"/>
      <c r="L1449" s="64"/>
      <c r="M1449" s="64"/>
      <c r="N1449" s="64"/>
      <c r="O1449" s="64"/>
      <c r="P1449" s="64"/>
      <c r="Q1449" s="64"/>
      <c r="R1449" s="65" t="str">
        <f>IF($A1449="","",IFERROR(MINIFS(Candidates!$K$2:$K$2000,Candidates!$A$2:$A$2000,$A1449),""))</f>
        <v/>
      </c>
      <c r="S1449" s="65" t="str">
        <f>IF($A1449="","",IFERROR(MAXIFS(Candidates!$AA$2:$AA$2000,Candidates!$A$2:$A$2000,$A1449),""))</f>
        <v/>
      </c>
      <c r="T1449" s="64" t="str">
        <f>IFERROR(__xludf.DUMMYFUNCTION("IF($A1449="""","""",IFERROR(TEXTJOIN("", "",TRUE,UNIQUE(FILTER(Candidates!$B$2:$B$2000,Candidates!$A$2:$A$2000=$A1449))),""""))"),"")</f>
        <v/>
      </c>
      <c r="U1449" s="66" t="str">
        <f>IF($A1449="","",COUNTIF(Candidates!$A$2:$A$2000,$A1449))</f>
        <v/>
      </c>
      <c r="V1449" s="64" t="str">
        <f>IFERROR(__xludf.DUMMYFUNCTION("IF($A1449="""","""",IFERROR(INDEX(FILTER(Candidates!$S$2:$S$2000,Candidates!$A$2:$A$2000=$A1449),COUNTIF(Candidates!$A$2:$A$2000,$A1449)),""""))"),"")</f>
        <v/>
      </c>
      <c r="W1449" s="64" t="str">
        <f>IFERROR(__xludf.DUMMYFUNCTION("IF($A1449="""","""",IFERROR(INDEX(FILTER(Candidates!$T$2:$T$2000,Candidates!$A$2:$A$2000=$A1449),COUNTIF(Candidates!$A$2:$A$2000,$A1449)),""""))"),"")</f>
        <v/>
      </c>
      <c r="X1449" s="64"/>
      <c r="Y1449" s="64"/>
      <c r="Z1449" s="65"/>
      <c r="AA1449" s="65"/>
      <c r="AB1449" s="65"/>
      <c r="AC1449" s="65"/>
    </row>
    <row r="1450">
      <c r="A1450" s="64"/>
      <c r="B1450" s="64"/>
      <c r="C1450" s="64"/>
      <c r="D1450" s="64"/>
      <c r="E1450" s="64"/>
      <c r="F1450" s="64"/>
      <c r="G1450" s="64"/>
      <c r="H1450" s="63"/>
      <c r="I1450" s="64"/>
      <c r="J1450" s="64"/>
      <c r="K1450" s="64"/>
      <c r="L1450" s="64"/>
      <c r="M1450" s="64"/>
      <c r="N1450" s="64"/>
      <c r="O1450" s="64"/>
      <c r="P1450" s="64"/>
      <c r="Q1450" s="64"/>
      <c r="R1450" s="65" t="str">
        <f>IF($A1450="","",IFERROR(MINIFS(Candidates!$K$2:$K$2000,Candidates!$A$2:$A$2000,$A1450),""))</f>
        <v/>
      </c>
      <c r="S1450" s="65" t="str">
        <f>IF($A1450="","",IFERROR(MAXIFS(Candidates!$AA$2:$AA$2000,Candidates!$A$2:$A$2000,$A1450),""))</f>
        <v/>
      </c>
      <c r="T1450" s="64" t="str">
        <f>IFERROR(__xludf.DUMMYFUNCTION("IF($A1450="""","""",IFERROR(TEXTJOIN("", "",TRUE,UNIQUE(FILTER(Candidates!$B$2:$B$2000,Candidates!$A$2:$A$2000=$A1450))),""""))"),"")</f>
        <v/>
      </c>
      <c r="U1450" s="66" t="str">
        <f>IF($A1450="","",COUNTIF(Candidates!$A$2:$A$2000,$A1450))</f>
        <v/>
      </c>
      <c r="V1450" s="64" t="str">
        <f>IFERROR(__xludf.DUMMYFUNCTION("IF($A1450="""","""",IFERROR(INDEX(FILTER(Candidates!$S$2:$S$2000,Candidates!$A$2:$A$2000=$A1450),COUNTIF(Candidates!$A$2:$A$2000,$A1450)),""""))"),"")</f>
        <v/>
      </c>
      <c r="W1450" s="64" t="str">
        <f>IFERROR(__xludf.DUMMYFUNCTION("IF($A1450="""","""",IFERROR(INDEX(FILTER(Candidates!$T$2:$T$2000,Candidates!$A$2:$A$2000=$A1450),COUNTIF(Candidates!$A$2:$A$2000,$A1450)),""""))"),"")</f>
        <v/>
      </c>
      <c r="X1450" s="64"/>
      <c r="Y1450" s="64"/>
      <c r="Z1450" s="65"/>
      <c r="AA1450" s="65"/>
      <c r="AB1450" s="65"/>
      <c r="AC1450" s="65"/>
    </row>
    <row r="1451">
      <c r="A1451" s="64"/>
      <c r="B1451" s="64"/>
      <c r="C1451" s="64"/>
      <c r="D1451" s="64"/>
      <c r="E1451" s="64"/>
      <c r="F1451" s="64"/>
      <c r="G1451" s="64"/>
      <c r="H1451" s="63"/>
      <c r="I1451" s="64"/>
      <c r="J1451" s="64"/>
      <c r="K1451" s="64"/>
      <c r="L1451" s="64"/>
      <c r="M1451" s="64"/>
      <c r="N1451" s="64"/>
      <c r="O1451" s="64"/>
      <c r="P1451" s="64"/>
      <c r="Q1451" s="64"/>
      <c r="R1451" s="65" t="str">
        <f>IF($A1451="","",IFERROR(MINIFS(Candidates!$K$2:$K$2000,Candidates!$A$2:$A$2000,$A1451),""))</f>
        <v/>
      </c>
      <c r="S1451" s="65" t="str">
        <f>IF($A1451="","",IFERROR(MAXIFS(Candidates!$AA$2:$AA$2000,Candidates!$A$2:$A$2000,$A1451),""))</f>
        <v/>
      </c>
      <c r="T1451" s="64" t="str">
        <f>IFERROR(__xludf.DUMMYFUNCTION("IF($A1451="""","""",IFERROR(TEXTJOIN("", "",TRUE,UNIQUE(FILTER(Candidates!$B$2:$B$2000,Candidates!$A$2:$A$2000=$A1451))),""""))"),"")</f>
        <v/>
      </c>
      <c r="U1451" s="66" t="str">
        <f>IF($A1451="","",COUNTIF(Candidates!$A$2:$A$2000,$A1451))</f>
        <v/>
      </c>
      <c r="V1451" s="64" t="str">
        <f>IFERROR(__xludf.DUMMYFUNCTION("IF($A1451="""","""",IFERROR(INDEX(FILTER(Candidates!$S$2:$S$2000,Candidates!$A$2:$A$2000=$A1451),COUNTIF(Candidates!$A$2:$A$2000,$A1451)),""""))"),"")</f>
        <v/>
      </c>
      <c r="W1451" s="64" t="str">
        <f>IFERROR(__xludf.DUMMYFUNCTION("IF($A1451="""","""",IFERROR(INDEX(FILTER(Candidates!$T$2:$T$2000,Candidates!$A$2:$A$2000=$A1451),COUNTIF(Candidates!$A$2:$A$2000,$A1451)),""""))"),"")</f>
        <v/>
      </c>
      <c r="X1451" s="64"/>
      <c r="Y1451" s="64"/>
      <c r="Z1451" s="65"/>
      <c r="AA1451" s="65"/>
      <c r="AB1451" s="65"/>
      <c r="AC1451" s="65"/>
    </row>
    <row r="1452">
      <c r="A1452" s="64"/>
      <c r="B1452" s="64"/>
      <c r="C1452" s="64"/>
      <c r="D1452" s="64"/>
      <c r="E1452" s="64"/>
      <c r="F1452" s="64"/>
      <c r="G1452" s="64"/>
      <c r="H1452" s="63"/>
      <c r="I1452" s="64"/>
      <c r="J1452" s="64"/>
      <c r="K1452" s="64"/>
      <c r="L1452" s="64"/>
      <c r="M1452" s="64"/>
      <c r="N1452" s="64"/>
      <c r="O1452" s="64"/>
      <c r="P1452" s="64"/>
      <c r="Q1452" s="64"/>
      <c r="R1452" s="65" t="str">
        <f>IF($A1452="","",IFERROR(MINIFS(Candidates!$K$2:$K$2000,Candidates!$A$2:$A$2000,$A1452),""))</f>
        <v/>
      </c>
      <c r="S1452" s="65" t="str">
        <f>IF($A1452="","",IFERROR(MAXIFS(Candidates!$AA$2:$AA$2000,Candidates!$A$2:$A$2000,$A1452),""))</f>
        <v/>
      </c>
      <c r="T1452" s="64" t="str">
        <f>IFERROR(__xludf.DUMMYFUNCTION("IF($A1452="""","""",IFERROR(TEXTJOIN("", "",TRUE,UNIQUE(FILTER(Candidates!$B$2:$B$2000,Candidates!$A$2:$A$2000=$A1452))),""""))"),"")</f>
        <v/>
      </c>
      <c r="U1452" s="66" t="str">
        <f>IF($A1452="","",COUNTIF(Candidates!$A$2:$A$2000,$A1452))</f>
        <v/>
      </c>
      <c r="V1452" s="64" t="str">
        <f>IFERROR(__xludf.DUMMYFUNCTION("IF($A1452="""","""",IFERROR(INDEX(FILTER(Candidates!$S$2:$S$2000,Candidates!$A$2:$A$2000=$A1452),COUNTIF(Candidates!$A$2:$A$2000,$A1452)),""""))"),"")</f>
        <v/>
      </c>
      <c r="W1452" s="64" t="str">
        <f>IFERROR(__xludf.DUMMYFUNCTION("IF($A1452="""","""",IFERROR(INDEX(FILTER(Candidates!$T$2:$T$2000,Candidates!$A$2:$A$2000=$A1452),COUNTIF(Candidates!$A$2:$A$2000,$A1452)),""""))"),"")</f>
        <v/>
      </c>
      <c r="X1452" s="64"/>
      <c r="Y1452" s="64"/>
      <c r="Z1452" s="65"/>
      <c r="AA1452" s="65"/>
      <c r="AB1452" s="65"/>
      <c r="AC1452" s="65"/>
    </row>
    <row r="1453">
      <c r="A1453" s="64"/>
      <c r="B1453" s="64"/>
      <c r="C1453" s="64"/>
      <c r="D1453" s="64"/>
      <c r="E1453" s="64"/>
      <c r="F1453" s="64"/>
      <c r="G1453" s="64"/>
      <c r="H1453" s="63"/>
      <c r="I1453" s="64"/>
      <c r="J1453" s="64"/>
      <c r="K1453" s="64"/>
      <c r="L1453" s="64"/>
      <c r="M1453" s="64"/>
      <c r="N1453" s="64"/>
      <c r="O1453" s="64"/>
      <c r="P1453" s="64"/>
      <c r="Q1453" s="64"/>
      <c r="R1453" s="65" t="str">
        <f>IF($A1453="","",IFERROR(MINIFS(Candidates!$K$2:$K$2000,Candidates!$A$2:$A$2000,$A1453),""))</f>
        <v/>
      </c>
      <c r="S1453" s="65" t="str">
        <f>IF($A1453="","",IFERROR(MAXIFS(Candidates!$AA$2:$AA$2000,Candidates!$A$2:$A$2000,$A1453),""))</f>
        <v/>
      </c>
      <c r="T1453" s="64" t="str">
        <f>IFERROR(__xludf.DUMMYFUNCTION("IF($A1453="""","""",IFERROR(TEXTJOIN("", "",TRUE,UNIQUE(FILTER(Candidates!$B$2:$B$2000,Candidates!$A$2:$A$2000=$A1453))),""""))"),"")</f>
        <v/>
      </c>
      <c r="U1453" s="66" t="str">
        <f>IF($A1453="","",COUNTIF(Candidates!$A$2:$A$2000,$A1453))</f>
        <v/>
      </c>
      <c r="V1453" s="64" t="str">
        <f>IFERROR(__xludf.DUMMYFUNCTION("IF($A1453="""","""",IFERROR(INDEX(FILTER(Candidates!$S$2:$S$2000,Candidates!$A$2:$A$2000=$A1453),COUNTIF(Candidates!$A$2:$A$2000,$A1453)),""""))"),"")</f>
        <v/>
      </c>
      <c r="W1453" s="64" t="str">
        <f>IFERROR(__xludf.DUMMYFUNCTION("IF($A1453="""","""",IFERROR(INDEX(FILTER(Candidates!$T$2:$T$2000,Candidates!$A$2:$A$2000=$A1453),COUNTIF(Candidates!$A$2:$A$2000,$A1453)),""""))"),"")</f>
        <v/>
      </c>
      <c r="X1453" s="64"/>
      <c r="Y1453" s="64"/>
      <c r="Z1453" s="65"/>
      <c r="AA1453" s="65"/>
      <c r="AB1453" s="65"/>
      <c r="AC1453" s="65"/>
    </row>
    <row r="1454">
      <c r="A1454" s="64"/>
      <c r="B1454" s="64"/>
      <c r="C1454" s="64"/>
      <c r="D1454" s="64"/>
      <c r="E1454" s="64"/>
      <c r="F1454" s="64"/>
      <c r="G1454" s="64"/>
      <c r="H1454" s="63"/>
      <c r="I1454" s="64"/>
      <c r="J1454" s="64"/>
      <c r="K1454" s="64"/>
      <c r="L1454" s="64"/>
      <c r="M1454" s="64"/>
      <c r="N1454" s="64"/>
      <c r="O1454" s="64"/>
      <c r="P1454" s="64"/>
      <c r="Q1454" s="64"/>
      <c r="R1454" s="65" t="str">
        <f>IF($A1454="","",IFERROR(MINIFS(Candidates!$K$2:$K$2000,Candidates!$A$2:$A$2000,$A1454),""))</f>
        <v/>
      </c>
      <c r="S1454" s="65" t="str">
        <f>IF($A1454="","",IFERROR(MAXIFS(Candidates!$AA$2:$AA$2000,Candidates!$A$2:$A$2000,$A1454),""))</f>
        <v/>
      </c>
      <c r="T1454" s="64" t="str">
        <f>IFERROR(__xludf.DUMMYFUNCTION("IF($A1454="""","""",IFERROR(TEXTJOIN("", "",TRUE,UNIQUE(FILTER(Candidates!$B$2:$B$2000,Candidates!$A$2:$A$2000=$A1454))),""""))"),"")</f>
        <v/>
      </c>
      <c r="U1454" s="66" t="str">
        <f>IF($A1454="","",COUNTIF(Candidates!$A$2:$A$2000,$A1454))</f>
        <v/>
      </c>
      <c r="V1454" s="64" t="str">
        <f>IFERROR(__xludf.DUMMYFUNCTION("IF($A1454="""","""",IFERROR(INDEX(FILTER(Candidates!$S$2:$S$2000,Candidates!$A$2:$A$2000=$A1454),COUNTIF(Candidates!$A$2:$A$2000,$A1454)),""""))"),"")</f>
        <v/>
      </c>
      <c r="W1454" s="64" t="str">
        <f>IFERROR(__xludf.DUMMYFUNCTION("IF($A1454="""","""",IFERROR(INDEX(FILTER(Candidates!$T$2:$T$2000,Candidates!$A$2:$A$2000=$A1454),COUNTIF(Candidates!$A$2:$A$2000,$A1454)),""""))"),"")</f>
        <v/>
      </c>
      <c r="X1454" s="64"/>
      <c r="Y1454" s="64"/>
      <c r="Z1454" s="65"/>
      <c r="AA1454" s="65"/>
      <c r="AB1454" s="65"/>
      <c r="AC1454" s="65"/>
    </row>
    <row r="1455">
      <c r="A1455" s="64"/>
      <c r="B1455" s="64"/>
      <c r="C1455" s="64"/>
      <c r="D1455" s="64"/>
      <c r="E1455" s="64"/>
      <c r="F1455" s="64"/>
      <c r="G1455" s="64"/>
      <c r="H1455" s="63"/>
      <c r="I1455" s="64"/>
      <c r="J1455" s="64"/>
      <c r="K1455" s="64"/>
      <c r="L1455" s="64"/>
      <c r="M1455" s="64"/>
      <c r="N1455" s="64"/>
      <c r="O1455" s="64"/>
      <c r="P1455" s="64"/>
      <c r="Q1455" s="64"/>
      <c r="R1455" s="65" t="str">
        <f>IF($A1455="","",IFERROR(MINIFS(Candidates!$K$2:$K$2000,Candidates!$A$2:$A$2000,$A1455),""))</f>
        <v/>
      </c>
      <c r="S1455" s="65" t="str">
        <f>IF($A1455="","",IFERROR(MAXIFS(Candidates!$AA$2:$AA$2000,Candidates!$A$2:$A$2000,$A1455),""))</f>
        <v/>
      </c>
      <c r="T1455" s="64" t="str">
        <f>IFERROR(__xludf.DUMMYFUNCTION("IF($A1455="""","""",IFERROR(TEXTJOIN("", "",TRUE,UNIQUE(FILTER(Candidates!$B$2:$B$2000,Candidates!$A$2:$A$2000=$A1455))),""""))"),"")</f>
        <v/>
      </c>
      <c r="U1455" s="66" t="str">
        <f>IF($A1455="","",COUNTIF(Candidates!$A$2:$A$2000,$A1455))</f>
        <v/>
      </c>
      <c r="V1455" s="64" t="str">
        <f>IFERROR(__xludf.DUMMYFUNCTION("IF($A1455="""","""",IFERROR(INDEX(FILTER(Candidates!$S$2:$S$2000,Candidates!$A$2:$A$2000=$A1455),COUNTIF(Candidates!$A$2:$A$2000,$A1455)),""""))"),"")</f>
        <v/>
      </c>
      <c r="W1455" s="64" t="str">
        <f>IFERROR(__xludf.DUMMYFUNCTION("IF($A1455="""","""",IFERROR(INDEX(FILTER(Candidates!$T$2:$T$2000,Candidates!$A$2:$A$2000=$A1455),COUNTIF(Candidates!$A$2:$A$2000,$A1455)),""""))"),"")</f>
        <v/>
      </c>
      <c r="X1455" s="64"/>
      <c r="Y1455" s="64"/>
      <c r="Z1455" s="65"/>
      <c r="AA1455" s="65"/>
      <c r="AB1455" s="65"/>
      <c r="AC1455" s="65"/>
    </row>
    <row r="1456">
      <c r="A1456" s="64"/>
      <c r="B1456" s="64"/>
      <c r="C1456" s="64"/>
      <c r="D1456" s="64"/>
      <c r="E1456" s="64"/>
      <c r="F1456" s="64"/>
      <c r="G1456" s="64"/>
      <c r="H1456" s="63"/>
      <c r="I1456" s="64"/>
      <c r="J1456" s="64"/>
      <c r="K1456" s="64"/>
      <c r="L1456" s="64"/>
      <c r="M1456" s="64"/>
      <c r="N1456" s="64"/>
      <c r="O1456" s="64"/>
      <c r="P1456" s="64"/>
      <c r="Q1456" s="64"/>
      <c r="R1456" s="65" t="str">
        <f>IF($A1456="","",IFERROR(MINIFS(Candidates!$K$2:$K$2000,Candidates!$A$2:$A$2000,$A1456),""))</f>
        <v/>
      </c>
      <c r="S1456" s="65" t="str">
        <f>IF($A1456="","",IFERROR(MAXIFS(Candidates!$AA$2:$AA$2000,Candidates!$A$2:$A$2000,$A1456),""))</f>
        <v/>
      </c>
      <c r="T1456" s="64" t="str">
        <f>IFERROR(__xludf.DUMMYFUNCTION("IF($A1456="""","""",IFERROR(TEXTJOIN("", "",TRUE,UNIQUE(FILTER(Candidates!$B$2:$B$2000,Candidates!$A$2:$A$2000=$A1456))),""""))"),"")</f>
        <v/>
      </c>
      <c r="U1456" s="66" t="str">
        <f>IF($A1456="","",COUNTIF(Candidates!$A$2:$A$2000,$A1456))</f>
        <v/>
      </c>
      <c r="V1456" s="64" t="str">
        <f>IFERROR(__xludf.DUMMYFUNCTION("IF($A1456="""","""",IFERROR(INDEX(FILTER(Candidates!$S$2:$S$2000,Candidates!$A$2:$A$2000=$A1456),COUNTIF(Candidates!$A$2:$A$2000,$A1456)),""""))"),"")</f>
        <v/>
      </c>
      <c r="W1456" s="64" t="str">
        <f>IFERROR(__xludf.DUMMYFUNCTION("IF($A1456="""","""",IFERROR(INDEX(FILTER(Candidates!$T$2:$T$2000,Candidates!$A$2:$A$2000=$A1456),COUNTIF(Candidates!$A$2:$A$2000,$A1456)),""""))"),"")</f>
        <v/>
      </c>
      <c r="X1456" s="64"/>
      <c r="Y1456" s="64"/>
      <c r="Z1456" s="65"/>
      <c r="AA1456" s="65"/>
      <c r="AB1456" s="65"/>
      <c r="AC1456" s="65"/>
    </row>
    <row r="1457">
      <c r="A1457" s="64"/>
      <c r="B1457" s="64"/>
      <c r="C1457" s="64"/>
      <c r="D1457" s="64"/>
      <c r="E1457" s="64"/>
      <c r="F1457" s="64"/>
      <c r="G1457" s="64"/>
      <c r="H1457" s="63"/>
      <c r="I1457" s="64"/>
      <c r="J1457" s="64"/>
      <c r="K1457" s="64"/>
      <c r="L1457" s="64"/>
      <c r="M1457" s="64"/>
      <c r="N1457" s="64"/>
      <c r="O1457" s="64"/>
      <c r="P1457" s="64"/>
      <c r="Q1457" s="64"/>
      <c r="R1457" s="65" t="str">
        <f>IF($A1457="","",IFERROR(MINIFS(Candidates!$K$2:$K$2000,Candidates!$A$2:$A$2000,$A1457),""))</f>
        <v/>
      </c>
      <c r="S1457" s="65" t="str">
        <f>IF($A1457="","",IFERROR(MAXIFS(Candidates!$AA$2:$AA$2000,Candidates!$A$2:$A$2000,$A1457),""))</f>
        <v/>
      </c>
      <c r="T1457" s="64" t="str">
        <f>IFERROR(__xludf.DUMMYFUNCTION("IF($A1457="""","""",IFERROR(TEXTJOIN("", "",TRUE,UNIQUE(FILTER(Candidates!$B$2:$B$2000,Candidates!$A$2:$A$2000=$A1457))),""""))"),"")</f>
        <v/>
      </c>
      <c r="U1457" s="66" t="str">
        <f>IF($A1457="","",COUNTIF(Candidates!$A$2:$A$2000,$A1457))</f>
        <v/>
      </c>
      <c r="V1457" s="64" t="str">
        <f>IFERROR(__xludf.DUMMYFUNCTION("IF($A1457="""","""",IFERROR(INDEX(FILTER(Candidates!$S$2:$S$2000,Candidates!$A$2:$A$2000=$A1457),COUNTIF(Candidates!$A$2:$A$2000,$A1457)),""""))"),"")</f>
        <v/>
      </c>
      <c r="W1457" s="64" t="str">
        <f>IFERROR(__xludf.DUMMYFUNCTION("IF($A1457="""","""",IFERROR(INDEX(FILTER(Candidates!$T$2:$T$2000,Candidates!$A$2:$A$2000=$A1457),COUNTIF(Candidates!$A$2:$A$2000,$A1457)),""""))"),"")</f>
        <v/>
      </c>
      <c r="X1457" s="64"/>
      <c r="Y1457" s="64"/>
      <c r="Z1457" s="65"/>
      <c r="AA1457" s="65"/>
      <c r="AB1457" s="65"/>
      <c r="AC1457" s="65"/>
    </row>
    <row r="1458">
      <c r="A1458" s="64"/>
      <c r="B1458" s="64"/>
      <c r="C1458" s="64"/>
      <c r="D1458" s="64"/>
      <c r="E1458" s="64"/>
      <c r="F1458" s="64"/>
      <c r="G1458" s="64"/>
      <c r="H1458" s="63"/>
      <c r="I1458" s="64"/>
      <c r="J1458" s="64"/>
      <c r="K1458" s="64"/>
      <c r="L1458" s="64"/>
      <c r="M1458" s="64"/>
      <c r="N1458" s="64"/>
      <c r="O1458" s="64"/>
      <c r="P1458" s="64"/>
      <c r="Q1458" s="64"/>
      <c r="R1458" s="65" t="str">
        <f>IF($A1458="","",IFERROR(MINIFS(Candidates!$K$2:$K$2000,Candidates!$A$2:$A$2000,$A1458),""))</f>
        <v/>
      </c>
      <c r="S1458" s="65" t="str">
        <f>IF($A1458="","",IFERROR(MAXIFS(Candidates!$AA$2:$AA$2000,Candidates!$A$2:$A$2000,$A1458),""))</f>
        <v/>
      </c>
      <c r="T1458" s="64" t="str">
        <f>IFERROR(__xludf.DUMMYFUNCTION("IF($A1458="""","""",IFERROR(TEXTJOIN("", "",TRUE,UNIQUE(FILTER(Candidates!$B$2:$B$2000,Candidates!$A$2:$A$2000=$A1458))),""""))"),"")</f>
        <v/>
      </c>
      <c r="U1458" s="66" t="str">
        <f>IF($A1458="","",COUNTIF(Candidates!$A$2:$A$2000,$A1458))</f>
        <v/>
      </c>
      <c r="V1458" s="64" t="str">
        <f>IFERROR(__xludf.DUMMYFUNCTION("IF($A1458="""","""",IFERROR(INDEX(FILTER(Candidates!$S$2:$S$2000,Candidates!$A$2:$A$2000=$A1458),COUNTIF(Candidates!$A$2:$A$2000,$A1458)),""""))"),"")</f>
        <v/>
      </c>
      <c r="W1458" s="64" t="str">
        <f>IFERROR(__xludf.DUMMYFUNCTION("IF($A1458="""","""",IFERROR(INDEX(FILTER(Candidates!$T$2:$T$2000,Candidates!$A$2:$A$2000=$A1458),COUNTIF(Candidates!$A$2:$A$2000,$A1458)),""""))"),"")</f>
        <v/>
      </c>
      <c r="X1458" s="64"/>
      <c r="Y1458" s="64"/>
      <c r="Z1458" s="65"/>
      <c r="AA1458" s="65"/>
      <c r="AB1458" s="65"/>
      <c r="AC1458" s="65"/>
    </row>
    <row r="1459">
      <c r="A1459" s="64"/>
      <c r="B1459" s="64"/>
      <c r="C1459" s="64"/>
      <c r="D1459" s="64"/>
      <c r="E1459" s="64"/>
      <c r="F1459" s="64"/>
      <c r="G1459" s="64"/>
      <c r="H1459" s="63"/>
      <c r="I1459" s="64"/>
      <c r="J1459" s="64"/>
      <c r="K1459" s="64"/>
      <c r="L1459" s="64"/>
      <c r="M1459" s="64"/>
      <c r="N1459" s="64"/>
      <c r="O1459" s="64"/>
      <c r="P1459" s="64"/>
      <c r="Q1459" s="64"/>
      <c r="R1459" s="65" t="str">
        <f>IF($A1459="","",IFERROR(MINIFS(Candidates!$K$2:$K$2000,Candidates!$A$2:$A$2000,$A1459),""))</f>
        <v/>
      </c>
      <c r="S1459" s="65" t="str">
        <f>IF($A1459="","",IFERROR(MAXIFS(Candidates!$AA$2:$AA$2000,Candidates!$A$2:$A$2000,$A1459),""))</f>
        <v/>
      </c>
      <c r="T1459" s="64" t="str">
        <f>IFERROR(__xludf.DUMMYFUNCTION("IF($A1459="""","""",IFERROR(TEXTJOIN("", "",TRUE,UNIQUE(FILTER(Candidates!$B$2:$B$2000,Candidates!$A$2:$A$2000=$A1459))),""""))"),"")</f>
        <v/>
      </c>
      <c r="U1459" s="66" t="str">
        <f>IF($A1459="","",COUNTIF(Candidates!$A$2:$A$2000,$A1459))</f>
        <v/>
      </c>
      <c r="V1459" s="64" t="str">
        <f>IFERROR(__xludf.DUMMYFUNCTION("IF($A1459="""","""",IFERROR(INDEX(FILTER(Candidates!$S$2:$S$2000,Candidates!$A$2:$A$2000=$A1459),COUNTIF(Candidates!$A$2:$A$2000,$A1459)),""""))"),"")</f>
        <v/>
      </c>
      <c r="W1459" s="64" t="str">
        <f>IFERROR(__xludf.DUMMYFUNCTION("IF($A1459="""","""",IFERROR(INDEX(FILTER(Candidates!$T$2:$T$2000,Candidates!$A$2:$A$2000=$A1459),COUNTIF(Candidates!$A$2:$A$2000,$A1459)),""""))"),"")</f>
        <v/>
      </c>
      <c r="X1459" s="64"/>
      <c r="Y1459" s="64"/>
      <c r="Z1459" s="65"/>
      <c r="AA1459" s="65"/>
      <c r="AB1459" s="65"/>
      <c r="AC1459" s="65"/>
    </row>
    <row r="1460">
      <c r="A1460" s="64"/>
      <c r="B1460" s="64"/>
      <c r="C1460" s="64"/>
      <c r="D1460" s="64"/>
      <c r="E1460" s="64"/>
      <c r="F1460" s="64"/>
      <c r="G1460" s="64"/>
      <c r="H1460" s="63"/>
      <c r="I1460" s="64"/>
      <c r="J1460" s="64"/>
      <c r="K1460" s="64"/>
      <c r="L1460" s="64"/>
      <c r="M1460" s="64"/>
      <c r="N1460" s="64"/>
      <c r="O1460" s="64"/>
      <c r="P1460" s="64"/>
      <c r="Q1460" s="64"/>
      <c r="R1460" s="65" t="str">
        <f>IF($A1460="","",IFERROR(MINIFS(Candidates!$K$2:$K$2000,Candidates!$A$2:$A$2000,$A1460),""))</f>
        <v/>
      </c>
      <c r="S1460" s="65" t="str">
        <f>IF($A1460="","",IFERROR(MAXIFS(Candidates!$AA$2:$AA$2000,Candidates!$A$2:$A$2000,$A1460),""))</f>
        <v/>
      </c>
      <c r="T1460" s="64" t="str">
        <f>IFERROR(__xludf.DUMMYFUNCTION("IF($A1460="""","""",IFERROR(TEXTJOIN("", "",TRUE,UNIQUE(FILTER(Candidates!$B$2:$B$2000,Candidates!$A$2:$A$2000=$A1460))),""""))"),"")</f>
        <v/>
      </c>
      <c r="U1460" s="66" t="str">
        <f>IF($A1460="","",COUNTIF(Candidates!$A$2:$A$2000,$A1460))</f>
        <v/>
      </c>
      <c r="V1460" s="64" t="str">
        <f>IFERROR(__xludf.DUMMYFUNCTION("IF($A1460="""","""",IFERROR(INDEX(FILTER(Candidates!$S$2:$S$2000,Candidates!$A$2:$A$2000=$A1460),COUNTIF(Candidates!$A$2:$A$2000,$A1460)),""""))"),"")</f>
        <v/>
      </c>
      <c r="W1460" s="64" t="str">
        <f>IFERROR(__xludf.DUMMYFUNCTION("IF($A1460="""","""",IFERROR(INDEX(FILTER(Candidates!$T$2:$T$2000,Candidates!$A$2:$A$2000=$A1460),COUNTIF(Candidates!$A$2:$A$2000,$A1460)),""""))"),"")</f>
        <v/>
      </c>
      <c r="X1460" s="64"/>
      <c r="Y1460" s="64"/>
      <c r="Z1460" s="65"/>
      <c r="AA1460" s="65"/>
      <c r="AB1460" s="65"/>
      <c r="AC1460" s="65"/>
    </row>
    <row r="1461">
      <c r="A1461" s="64"/>
      <c r="B1461" s="64"/>
      <c r="C1461" s="64"/>
      <c r="D1461" s="64"/>
      <c r="E1461" s="64"/>
      <c r="F1461" s="64"/>
      <c r="G1461" s="64"/>
      <c r="H1461" s="63"/>
      <c r="I1461" s="64"/>
      <c r="J1461" s="64"/>
      <c r="K1461" s="64"/>
      <c r="L1461" s="64"/>
      <c r="M1461" s="64"/>
      <c r="N1461" s="64"/>
      <c r="O1461" s="64"/>
      <c r="P1461" s="64"/>
      <c r="Q1461" s="64"/>
      <c r="R1461" s="65" t="str">
        <f>IF($A1461="","",IFERROR(MINIFS(Candidates!$K$2:$K$2000,Candidates!$A$2:$A$2000,$A1461),""))</f>
        <v/>
      </c>
      <c r="S1461" s="65" t="str">
        <f>IF($A1461="","",IFERROR(MAXIFS(Candidates!$AA$2:$AA$2000,Candidates!$A$2:$A$2000,$A1461),""))</f>
        <v/>
      </c>
      <c r="T1461" s="64" t="str">
        <f>IFERROR(__xludf.DUMMYFUNCTION("IF($A1461="""","""",IFERROR(TEXTJOIN("", "",TRUE,UNIQUE(FILTER(Candidates!$B$2:$B$2000,Candidates!$A$2:$A$2000=$A1461))),""""))"),"")</f>
        <v/>
      </c>
      <c r="U1461" s="66" t="str">
        <f>IF($A1461="","",COUNTIF(Candidates!$A$2:$A$2000,$A1461))</f>
        <v/>
      </c>
      <c r="V1461" s="64" t="str">
        <f>IFERROR(__xludf.DUMMYFUNCTION("IF($A1461="""","""",IFERROR(INDEX(FILTER(Candidates!$S$2:$S$2000,Candidates!$A$2:$A$2000=$A1461),COUNTIF(Candidates!$A$2:$A$2000,$A1461)),""""))"),"")</f>
        <v/>
      </c>
      <c r="W1461" s="64" t="str">
        <f>IFERROR(__xludf.DUMMYFUNCTION("IF($A1461="""","""",IFERROR(INDEX(FILTER(Candidates!$T$2:$T$2000,Candidates!$A$2:$A$2000=$A1461),COUNTIF(Candidates!$A$2:$A$2000,$A1461)),""""))"),"")</f>
        <v/>
      </c>
      <c r="X1461" s="64"/>
      <c r="Y1461" s="64"/>
      <c r="Z1461" s="65"/>
      <c r="AA1461" s="65"/>
      <c r="AB1461" s="65"/>
      <c r="AC1461" s="65"/>
    </row>
    <row r="1462">
      <c r="A1462" s="64"/>
      <c r="B1462" s="64"/>
      <c r="C1462" s="64"/>
      <c r="D1462" s="64"/>
      <c r="E1462" s="64"/>
      <c r="F1462" s="64"/>
      <c r="G1462" s="64"/>
      <c r="H1462" s="63"/>
      <c r="I1462" s="64"/>
      <c r="J1462" s="64"/>
      <c r="K1462" s="64"/>
      <c r="L1462" s="64"/>
      <c r="M1462" s="64"/>
      <c r="N1462" s="64"/>
      <c r="O1462" s="64"/>
      <c r="P1462" s="64"/>
      <c r="Q1462" s="64"/>
      <c r="R1462" s="65" t="str">
        <f>IF($A1462="","",IFERROR(MINIFS(Candidates!$K$2:$K$2000,Candidates!$A$2:$A$2000,$A1462),""))</f>
        <v/>
      </c>
      <c r="S1462" s="65" t="str">
        <f>IF($A1462="","",IFERROR(MAXIFS(Candidates!$AA$2:$AA$2000,Candidates!$A$2:$A$2000,$A1462),""))</f>
        <v/>
      </c>
      <c r="T1462" s="64" t="str">
        <f>IFERROR(__xludf.DUMMYFUNCTION("IF($A1462="""","""",IFERROR(TEXTJOIN("", "",TRUE,UNIQUE(FILTER(Candidates!$B$2:$B$2000,Candidates!$A$2:$A$2000=$A1462))),""""))"),"")</f>
        <v/>
      </c>
      <c r="U1462" s="66" t="str">
        <f>IF($A1462="","",COUNTIF(Candidates!$A$2:$A$2000,$A1462))</f>
        <v/>
      </c>
      <c r="V1462" s="64" t="str">
        <f>IFERROR(__xludf.DUMMYFUNCTION("IF($A1462="""","""",IFERROR(INDEX(FILTER(Candidates!$S$2:$S$2000,Candidates!$A$2:$A$2000=$A1462),COUNTIF(Candidates!$A$2:$A$2000,$A1462)),""""))"),"")</f>
        <v/>
      </c>
      <c r="W1462" s="64" t="str">
        <f>IFERROR(__xludf.DUMMYFUNCTION("IF($A1462="""","""",IFERROR(INDEX(FILTER(Candidates!$T$2:$T$2000,Candidates!$A$2:$A$2000=$A1462),COUNTIF(Candidates!$A$2:$A$2000,$A1462)),""""))"),"")</f>
        <v/>
      </c>
      <c r="X1462" s="64"/>
      <c r="Y1462" s="64"/>
      <c r="Z1462" s="65"/>
      <c r="AA1462" s="65"/>
      <c r="AB1462" s="65"/>
      <c r="AC1462" s="65"/>
    </row>
    <row r="1463">
      <c r="A1463" s="64"/>
      <c r="B1463" s="64"/>
      <c r="C1463" s="64"/>
      <c r="D1463" s="64"/>
      <c r="E1463" s="64"/>
      <c r="F1463" s="64"/>
      <c r="G1463" s="64"/>
      <c r="H1463" s="63"/>
      <c r="I1463" s="64"/>
      <c r="J1463" s="64"/>
      <c r="K1463" s="64"/>
      <c r="L1463" s="64"/>
      <c r="M1463" s="64"/>
      <c r="N1463" s="64"/>
      <c r="O1463" s="64"/>
      <c r="P1463" s="64"/>
      <c r="Q1463" s="64"/>
      <c r="R1463" s="65" t="str">
        <f>IF($A1463="","",IFERROR(MINIFS(Candidates!$K$2:$K$2000,Candidates!$A$2:$A$2000,$A1463),""))</f>
        <v/>
      </c>
      <c r="S1463" s="65" t="str">
        <f>IF($A1463="","",IFERROR(MAXIFS(Candidates!$AA$2:$AA$2000,Candidates!$A$2:$A$2000,$A1463),""))</f>
        <v/>
      </c>
      <c r="T1463" s="64" t="str">
        <f>IFERROR(__xludf.DUMMYFUNCTION("IF($A1463="""","""",IFERROR(TEXTJOIN("", "",TRUE,UNIQUE(FILTER(Candidates!$B$2:$B$2000,Candidates!$A$2:$A$2000=$A1463))),""""))"),"")</f>
        <v/>
      </c>
      <c r="U1463" s="66" t="str">
        <f>IF($A1463="","",COUNTIF(Candidates!$A$2:$A$2000,$A1463))</f>
        <v/>
      </c>
      <c r="V1463" s="64" t="str">
        <f>IFERROR(__xludf.DUMMYFUNCTION("IF($A1463="""","""",IFERROR(INDEX(FILTER(Candidates!$S$2:$S$2000,Candidates!$A$2:$A$2000=$A1463),COUNTIF(Candidates!$A$2:$A$2000,$A1463)),""""))"),"")</f>
        <v/>
      </c>
      <c r="W1463" s="64" t="str">
        <f>IFERROR(__xludf.DUMMYFUNCTION("IF($A1463="""","""",IFERROR(INDEX(FILTER(Candidates!$T$2:$T$2000,Candidates!$A$2:$A$2000=$A1463),COUNTIF(Candidates!$A$2:$A$2000,$A1463)),""""))"),"")</f>
        <v/>
      </c>
      <c r="X1463" s="64"/>
      <c r="Y1463" s="64"/>
      <c r="Z1463" s="65"/>
      <c r="AA1463" s="65"/>
      <c r="AB1463" s="65"/>
      <c r="AC1463" s="65"/>
    </row>
    <row r="1464">
      <c r="A1464" s="64"/>
      <c r="B1464" s="64"/>
      <c r="C1464" s="64"/>
      <c r="D1464" s="64"/>
      <c r="E1464" s="64"/>
      <c r="F1464" s="64"/>
      <c r="G1464" s="64"/>
      <c r="H1464" s="63"/>
      <c r="I1464" s="64"/>
      <c r="J1464" s="64"/>
      <c r="K1464" s="64"/>
      <c r="L1464" s="64"/>
      <c r="M1464" s="64"/>
      <c r="N1464" s="64"/>
      <c r="O1464" s="64"/>
      <c r="P1464" s="64"/>
      <c r="Q1464" s="64"/>
      <c r="R1464" s="65" t="str">
        <f>IF($A1464="","",IFERROR(MINIFS(Candidates!$K$2:$K$2000,Candidates!$A$2:$A$2000,$A1464),""))</f>
        <v/>
      </c>
      <c r="S1464" s="65" t="str">
        <f>IF($A1464="","",IFERROR(MAXIFS(Candidates!$AA$2:$AA$2000,Candidates!$A$2:$A$2000,$A1464),""))</f>
        <v/>
      </c>
      <c r="T1464" s="64" t="str">
        <f>IFERROR(__xludf.DUMMYFUNCTION("IF($A1464="""","""",IFERROR(TEXTJOIN("", "",TRUE,UNIQUE(FILTER(Candidates!$B$2:$B$2000,Candidates!$A$2:$A$2000=$A1464))),""""))"),"")</f>
        <v/>
      </c>
      <c r="U1464" s="66" t="str">
        <f>IF($A1464="","",COUNTIF(Candidates!$A$2:$A$2000,$A1464))</f>
        <v/>
      </c>
      <c r="V1464" s="64" t="str">
        <f>IFERROR(__xludf.DUMMYFUNCTION("IF($A1464="""","""",IFERROR(INDEX(FILTER(Candidates!$S$2:$S$2000,Candidates!$A$2:$A$2000=$A1464),COUNTIF(Candidates!$A$2:$A$2000,$A1464)),""""))"),"")</f>
        <v/>
      </c>
      <c r="W1464" s="64" t="str">
        <f>IFERROR(__xludf.DUMMYFUNCTION("IF($A1464="""","""",IFERROR(INDEX(FILTER(Candidates!$T$2:$T$2000,Candidates!$A$2:$A$2000=$A1464),COUNTIF(Candidates!$A$2:$A$2000,$A1464)),""""))"),"")</f>
        <v/>
      </c>
      <c r="X1464" s="64"/>
      <c r="Y1464" s="64"/>
      <c r="Z1464" s="65"/>
      <c r="AA1464" s="65"/>
      <c r="AB1464" s="65"/>
      <c r="AC1464" s="65"/>
    </row>
    <row r="1465">
      <c r="A1465" s="64"/>
      <c r="B1465" s="64"/>
      <c r="C1465" s="64"/>
      <c r="D1465" s="64"/>
      <c r="E1465" s="64"/>
      <c r="F1465" s="64"/>
      <c r="G1465" s="64"/>
      <c r="H1465" s="63"/>
      <c r="I1465" s="64"/>
      <c r="J1465" s="64"/>
      <c r="K1465" s="64"/>
      <c r="L1465" s="64"/>
      <c r="M1465" s="64"/>
      <c r="N1465" s="64"/>
      <c r="O1465" s="64"/>
      <c r="P1465" s="64"/>
      <c r="Q1465" s="64"/>
      <c r="R1465" s="65" t="str">
        <f>IF($A1465="","",IFERROR(MINIFS(Candidates!$K$2:$K$2000,Candidates!$A$2:$A$2000,$A1465),""))</f>
        <v/>
      </c>
      <c r="S1465" s="65" t="str">
        <f>IF($A1465="","",IFERROR(MAXIFS(Candidates!$AA$2:$AA$2000,Candidates!$A$2:$A$2000,$A1465),""))</f>
        <v/>
      </c>
      <c r="T1465" s="64" t="str">
        <f>IFERROR(__xludf.DUMMYFUNCTION("IF($A1465="""","""",IFERROR(TEXTJOIN("", "",TRUE,UNIQUE(FILTER(Candidates!$B$2:$B$2000,Candidates!$A$2:$A$2000=$A1465))),""""))"),"")</f>
        <v/>
      </c>
      <c r="U1465" s="66" t="str">
        <f>IF($A1465="","",COUNTIF(Candidates!$A$2:$A$2000,$A1465))</f>
        <v/>
      </c>
      <c r="V1465" s="64" t="str">
        <f>IFERROR(__xludf.DUMMYFUNCTION("IF($A1465="""","""",IFERROR(INDEX(FILTER(Candidates!$S$2:$S$2000,Candidates!$A$2:$A$2000=$A1465),COUNTIF(Candidates!$A$2:$A$2000,$A1465)),""""))"),"")</f>
        <v/>
      </c>
      <c r="W1465" s="64" t="str">
        <f>IFERROR(__xludf.DUMMYFUNCTION("IF($A1465="""","""",IFERROR(INDEX(FILTER(Candidates!$T$2:$T$2000,Candidates!$A$2:$A$2000=$A1465),COUNTIF(Candidates!$A$2:$A$2000,$A1465)),""""))"),"")</f>
        <v/>
      </c>
      <c r="X1465" s="64"/>
      <c r="Y1465" s="64"/>
      <c r="Z1465" s="65"/>
      <c r="AA1465" s="65"/>
      <c r="AB1465" s="65"/>
      <c r="AC1465" s="65"/>
    </row>
    <row r="1466">
      <c r="A1466" s="64"/>
      <c r="B1466" s="64"/>
      <c r="C1466" s="64"/>
      <c r="D1466" s="64"/>
      <c r="E1466" s="64"/>
      <c r="F1466" s="64"/>
      <c r="G1466" s="64"/>
      <c r="H1466" s="63"/>
      <c r="I1466" s="64"/>
      <c r="J1466" s="64"/>
      <c r="K1466" s="64"/>
      <c r="L1466" s="64"/>
      <c r="M1466" s="64"/>
      <c r="N1466" s="64"/>
      <c r="O1466" s="64"/>
      <c r="P1466" s="64"/>
      <c r="Q1466" s="64"/>
      <c r="R1466" s="65" t="str">
        <f>IF($A1466="","",IFERROR(MINIFS(Candidates!$K$2:$K$2000,Candidates!$A$2:$A$2000,$A1466),""))</f>
        <v/>
      </c>
      <c r="S1466" s="65" t="str">
        <f>IF($A1466="","",IFERROR(MAXIFS(Candidates!$AA$2:$AA$2000,Candidates!$A$2:$A$2000,$A1466),""))</f>
        <v/>
      </c>
      <c r="T1466" s="64" t="str">
        <f>IFERROR(__xludf.DUMMYFUNCTION("IF($A1466="""","""",IFERROR(TEXTJOIN("", "",TRUE,UNIQUE(FILTER(Candidates!$B$2:$B$2000,Candidates!$A$2:$A$2000=$A1466))),""""))"),"")</f>
        <v/>
      </c>
      <c r="U1466" s="66" t="str">
        <f>IF($A1466="","",COUNTIF(Candidates!$A$2:$A$2000,$A1466))</f>
        <v/>
      </c>
      <c r="V1466" s="64" t="str">
        <f>IFERROR(__xludf.DUMMYFUNCTION("IF($A1466="""","""",IFERROR(INDEX(FILTER(Candidates!$S$2:$S$2000,Candidates!$A$2:$A$2000=$A1466),COUNTIF(Candidates!$A$2:$A$2000,$A1466)),""""))"),"")</f>
        <v/>
      </c>
      <c r="W1466" s="64" t="str">
        <f>IFERROR(__xludf.DUMMYFUNCTION("IF($A1466="""","""",IFERROR(INDEX(FILTER(Candidates!$T$2:$T$2000,Candidates!$A$2:$A$2000=$A1466),COUNTIF(Candidates!$A$2:$A$2000,$A1466)),""""))"),"")</f>
        <v/>
      </c>
      <c r="X1466" s="64"/>
      <c r="Y1466" s="64"/>
      <c r="Z1466" s="65"/>
      <c r="AA1466" s="65"/>
      <c r="AB1466" s="65"/>
      <c r="AC1466" s="65"/>
    </row>
    <row r="1467">
      <c r="A1467" s="64"/>
      <c r="B1467" s="64"/>
      <c r="C1467" s="64"/>
      <c r="D1467" s="64"/>
      <c r="E1467" s="64"/>
      <c r="F1467" s="64"/>
      <c r="G1467" s="64"/>
      <c r="H1467" s="63"/>
      <c r="I1467" s="64"/>
      <c r="J1467" s="64"/>
      <c r="K1467" s="64"/>
      <c r="L1467" s="64"/>
      <c r="M1467" s="64"/>
      <c r="N1467" s="64"/>
      <c r="O1467" s="64"/>
      <c r="P1467" s="64"/>
      <c r="Q1467" s="64"/>
      <c r="R1467" s="65" t="str">
        <f>IF($A1467="","",IFERROR(MINIFS(Candidates!$K$2:$K$2000,Candidates!$A$2:$A$2000,$A1467),""))</f>
        <v/>
      </c>
      <c r="S1467" s="65" t="str">
        <f>IF($A1467="","",IFERROR(MAXIFS(Candidates!$AA$2:$AA$2000,Candidates!$A$2:$A$2000,$A1467),""))</f>
        <v/>
      </c>
      <c r="T1467" s="64" t="str">
        <f>IFERROR(__xludf.DUMMYFUNCTION("IF($A1467="""","""",IFERROR(TEXTJOIN("", "",TRUE,UNIQUE(FILTER(Candidates!$B$2:$B$2000,Candidates!$A$2:$A$2000=$A1467))),""""))"),"")</f>
        <v/>
      </c>
      <c r="U1467" s="66" t="str">
        <f>IF($A1467="","",COUNTIF(Candidates!$A$2:$A$2000,$A1467))</f>
        <v/>
      </c>
      <c r="V1467" s="64" t="str">
        <f>IFERROR(__xludf.DUMMYFUNCTION("IF($A1467="""","""",IFERROR(INDEX(FILTER(Candidates!$S$2:$S$2000,Candidates!$A$2:$A$2000=$A1467),COUNTIF(Candidates!$A$2:$A$2000,$A1467)),""""))"),"")</f>
        <v/>
      </c>
      <c r="W1467" s="64" t="str">
        <f>IFERROR(__xludf.DUMMYFUNCTION("IF($A1467="""","""",IFERROR(INDEX(FILTER(Candidates!$T$2:$T$2000,Candidates!$A$2:$A$2000=$A1467),COUNTIF(Candidates!$A$2:$A$2000,$A1467)),""""))"),"")</f>
        <v/>
      </c>
      <c r="X1467" s="64"/>
      <c r="Y1467" s="64"/>
      <c r="Z1467" s="65"/>
      <c r="AA1467" s="65"/>
      <c r="AB1467" s="65"/>
      <c r="AC1467" s="65"/>
    </row>
    <row r="1468">
      <c r="A1468" s="64"/>
      <c r="B1468" s="64"/>
      <c r="C1468" s="64"/>
      <c r="D1468" s="64"/>
      <c r="E1468" s="64"/>
      <c r="F1468" s="64"/>
      <c r="G1468" s="64"/>
      <c r="H1468" s="63"/>
      <c r="I1468" s="64"/>
      <c r="J1468" s="64"/>
      <c r="K1468" s="64"/>
      <c r="L1468" s="64"/>
      <c r="M1468" s="64"/>
      <c r="N1468" s="64"/>
      <c r="O1468" s="64"/>
      <c r="P1468" s="64"/>
      <c r="Q1468" s="64"/>
      <c r="R1468" s="65" t="str">
        <f>IF($A1468="","",IFERROR(MINIFS(Candidates!$K$2:$K$2000,Candidates!$A$2:$A$2000,$A1468),""))</f>
        <v/>
      </c>
      <c r="S1468" s="65" t="str">
        <f>IF($A1468="","",IFERROR(MAXIFS(Candidates!$AA$2:$AA$2000,Candidates!$A$2:$A$2000,$A1468),""))</f>
        <v/>
      </c>
      <c r="T1468" s="64" t="str">
        <f>IFERROR(__xludf.DUMMYFUNCTION("IF($A1468="""","""",IFERROR(TEXTJOIN("", "",TRUE,UNIQUE(FILTER(Candidates!$B$2:$B$2000,Candidates!$A$2:$A$2000=$A1468))),""""))"),"")</f>
        <v/>
      </c>
      <c r="U1468" s="66" t="str">
        <f>IF($A1468="","",COUNTIF(Candidates!$A$2:$A$2000,$A1468))</f>
        <v/>
      </c>
      <c r="V1468" s="64" t="str">
        <f>IFERROR(__xludf.DUMMYFUNCTION("IF($A1468="""","""",IFERROR(INDEX(FILTER(Candidates!$S$2:$S$2000,Candidates!$A$2:$A$2000=$A1468),COUNTIF(Candidates!$A$2:$A$2000,$A1468)),""""))"),"")</f>
        <v/>
      </c>
      <c r="W1468" s="64" t="str">
        <f>IFERROR(__xludf.DUMMYFUNCTION("IF($A1468="""","""",IFERROR(INDEX(FILTER(Candidates!$T$2:$T$2000,Candidates!$A$2:$A$2000=$A1468),COUNTIF(Candidates!$A$2:$A$2000,$A1468)),""""))"),"")</f>
        <v/>
      </c>
      <c r="X1468" s="64"/>
      <c r="Y1468" s="64"/>
      <c r="Z1468" s="65"/>
      <c r="AA1468" s="65"/>
      <c r="AB1468" s="65"/>
      <c r="AC1468" s="65"/>
    </row>
    <row r="1469">
      <c r="A1469" s="64"/>
      <c r="B1469" s="64"/>
      <c r="C1469" s="64"/>
      <c r="D1469" s="64"/>
      <c r="E1469" s="64"/>
      <c r="F1469" s="64"/>
      <c r="G1469" s="64"/>
      <c r="H1469" s="63"/>
      <c r="I1469" s="64"/>
      <c r="J1469" s="64"/>
      <c r="K1469" s="64"/>
      <c r="L1469" s="64"/>
      <c r="M1469" s="64"/>
      <c r="N1469" s="64"/>
      <c r="O1469" s="64"/>
      <c r="P1469" s="64"/>
      <c r="Q1469" s="64"/>
      <c r="R1469" s="65" t="str">
        <f>IF($A1469="","",IFERROR(MINIFS(Candidates!$K$2:$K$2000,Candidates!$A$2:$A$2000,$A1469),""))</f>
        <v/>
      </c>
      <c r="S1469" s="65" t="str">
        <f>IF($A1469="","",IFERROR(MAXIFS(Candidates!$AA$2:$AA$2000,Candidates!$A$2:$A$2000,$A1469),""))</f>
        <v/>
      </c>
      <c r="T1469" s="64" t="str">
        <f>IFERROR(__xludf.DUMMYFUNCTION("IF($A1469="""","""",IFERROR(TEXTJOIN("", "",TRUE,UNIQUE(FILTER(Candidates!$B$2:$B$2000,Candidates!$A$2:$A$2000=$A1469))),""""))"),"")</f>
        <v/>
      </c>
      <c r="U1469" s="66" t="str">
        <f>IF($A1469="","",COUNTIF(Candidates!$A$2:$A$2000,$A1469))</f>
        <v/>
      </c>
      <c r="V1469" s="64" t="str">
        <f>IFERROR(__xludf.DUMMYFUNCTION("IF($A1469="""","""",IFERROR(INDEX(FILTER(Candidates!$S$2:$S$2000,Candidates!$A$2:$A$2000=$A1469),COUNTIF(Candidates!$A$2:$A$2000,$A1469)),""""))"),"")</f>
        <v/>
      </c>
      <c r="W1469" s="64" t="str">
        <f>IFERROR(__xludf.DUMMYFUNCTION("IF($A1469="""","""",IFERROR(INDEX(FILTER(Candidates!$T$2:$T$2000,Candidates!$A$2:$A$2000=$A1469),COUNTIF(Candidates!$A$2:$A$2000,$A1469)),""""))"),"")</f>
        <v/>
      </c>
      <c r="X1469" s="64"/>
      <c r="Y1469" s="64"/>
      <c r="Z1469" s="65"/>
      <c r="AA1469" s="65"/>
      <c r="AB1469" s="65"/>
      <c r="AC1469" s="65"/>
    </row>
    <row r="1470">
      <c r="A1470" s="64"/>
      <c r="B1470" s="64"/>
      <c r="C1470" s="64"/>
      <c r="D1470" s="64"/>
      <c r="E1470" s="64"/>
      <c r="F1470" s="64"/>
      <c r="G1470" s="64"/>
      <c r="H1470" s="63"/>
      <c r="I1470" s="64"/>
      <c r="J1470" s="64"/>
      <c r="K1470" s="64"/>
      <c r="L1470" s="64"/>
      <c r="M1470" s="64"/>
      <c r="N1470" s="64"/>
      <c r="O1470" s="64"/>
      <c r="P1470" s="64"/>
      <c r="Q1470" s="64"/>
      <c r="R1470" s="65" t="str">
        <f>IF($A1470="","",IFERROR(MINIFS(Candidates!$K$2:$K$2000,Candidates!$A$2:$A$2000,$A1470),""))</f>
        <v/>
      </c>
      <c r="S1470" s="65" t="str">
        <f>IF($A1470="","",IFERROR(MAXIFS(Candidates!$AA$2:$AA$2000,Candidates!$A$2:$A$2000,$A1470),""))</f>
        <v/>
      </c>
      <c r="T1470" s="64" t="str">
        <f>IFERROR(__xludf.DUMMYFUNCTION("IF($A1470="""","""",IFERROR(TEXTJOIN("", "",TRUE,UNIQUE(FILTER(Candidates!$B$2:$B$2000,Candidates!$A$2:$A$2000=$A1470))),""""))"),"")</f>
        <v/>
      </c>
      <c r="U1470" s="66" t="str">
        <f>IF($A1470="","",COUNTIF(Candidates!$A$2:$A$2000,$A1470))</f>
        <v/>
      </c>
      <c r="V1470" s="64" t="str">
        <f>IFERROR(__xludf.DUMMYFUNCTION("IF($A1470="""","""",IFERROR(INDEX(FILTER(Candidates!$S$2:$S$2000,Candidates!$A$2:$A$2000=$A1470),COUNTIF(Candidates!$A$2:$A$2000,$A1470)),""""))"),"")</f>
        <v/>
      </c>
      <c r="W1470" s="64" t="str">
        <f>IFERROR(__xludf.DUMMYFUNCTION("IF($A1470="""","""",IFERROR(INDEX(FILTER(Candidates!$T$2:$T$2000,Candidates!$A$2:$A$2000=$A1470),COUNTIF(Candidates!$A$2:$A$2000,$A1470)),""""))"),"")</f>
        <v/>
      </c>
      <c r="X1470" s="64"/>
      <c r="Y1470" s="64"/>
      <c r="Z1470" s="65"/>
      <c r="AA1470" s="65"/>
      <c r="AB1470" s="65"/>
      <c r="AC1470" s="65"/>
    </row>
    <row r="1471">
      <c r="A1471" s="64"/>
      <c r="B1471" s="64"/>
      <c r="C1471" s="64"/>
      <c r="D1471" s="64"/>
      <c r="E1471" s="64"/>
      <c r="F1471" s="64"/>
      <c r="G1471" s="64"/>
      <c r="H1471" s="63"/>
      <c r="I1471" s="64"/>
      <c r="J1471" s="64"/>
      <c r="K1471" s="64"/>
      <c r="L1471" s="64"/>
      <c r="M1471" s="64"/>
      <c r="N1471" s="64"/>
      <c r="O1471" s="64"/>
      <c r="P1471" s="64"/>
      <c r="Q1471" s="64"/>
      <c r="R1471" s="65" t="str">
        <f>IF($A1471="","",IFERROR(MINIFS(Candidates!$K$2:$K$2000,Candidates!$A$2:$A$2000,$A1471),""))</f>
        <v/>
      </c>
      <c r="S1471" s="65" t="str">
        <f>IF($A1471="","",IFERROR(MAXIFS(Candidates!$AA$2:$AA$2000,Candidates!$A$2:$A$2000,$A1471),""))</f>
        <v/>
      </c>
      <c r="T1471" s="64" t="str">
        <f>IFERROR(__xludf.DUMMYFUNCTION("IF($A1471="""","""",IFERROR(TEXTJOIN("", "",TRUE,UNIQUE(FILTER(Candidates!$B$2:$B$2000,Candidates!$A$2:$A$2000=$A1471))),""""))"),"")</f>
        <v/>
      </c>
      <c r="U1471" s="66" t="str">
        <f>IF($A1471="","",COUNTIF(Candidates!$A$2:$A$2000,$A1471))</f>
        <v/>
      </c>
      <c r="V1471" s="64" t="str">
        <f>IFERROR(__xludf.DUMMYFUNCTION("IF($A1471="""","""",IFERROR(INDEX(FILTER(Candidates!$S$2:$S$2000,Candidates!$A$2:$A$2000=$A1471),COUNTIF(Candidates!$A$2:$A$2000,$A1471)),""""))"),"")</f>
        <v/>
      </c>
      <c r="W1471" s="64" t="str">
        <f>IFERROR(__xludf.DUMMYFUNCTION("IF($A1471="""","""",IFERROR(INDEX(FILTER(Candidates!$T$2:$T$2000,Candidates!$A$2:$A$2000=$A1471),COUNTIF(Candidates!$A$2:$A$2000,$A1471)),""""))"),"")</f>
        <v/>
      </c>
      <c r="X1471" s="64"/>
      <c r="Y1471" s="64"/>
      <c r="Z1471" s="65"/>
      <c r="AA1471" s="65"/>
      <c r="AB1471" s="65"/>
      <c r="AC1471" s="65"/>
    </row>
    <row r="1472">
      <c r="A1472" s="64"/>
      <c r="B1472" s="64"/>
      <c r="C1472" s="64"/>
      <c r="D1472" s="64"/>
      <c r="E1472" s="64"/>
      <c r="F1472" s="64"/>
      <c r="G1472" s="64"/>
      <c r="H1472" s="63"/>
      <c r="I1472" s="64"/>
      <c r="J1472" s="64"/>
      <c r="K1472" s="64"/>
      <c r="L1472" s="64"/>
      <c r="M1472" s="64"/>
      <c r="N1472" s="64"/>
      <c r="O1472" s="64"/>
      <c r="P1472" s="64"/>
      <c r="Q1472" s="64"/>
      <c r="R1472" s="65" t="str">
        <f>IF($A1472="","",IFERROR(MINIFS(Candidates!$K$2:$K$2000,Candidates!$A$2:$A$2000,$A1472),""))</f>
        <v/>
      </c>
      <c r="S1472" s="65" t="str">
        <f>IF($A1472="","",IFERROR(MAXIFS(Candidates!$AA$2:$AA$2000,Candidates!$A$2:$A$2000,$A1472),""))</f>
        <v/>
      </c>
      <c r="T1472" s="64" t="str">
        <f>IFERROR(__xludf.DUMMYFUNCTION("IF($A1472="""","""",IFERROR(TEXTJOIN("", "",TRUE,UNIQUE(FILTER(Candidates!$B$2:$B$2000,Candidates!$A$2:$A$2000=$A1472))),""""))"),"")</f>
        <v/>
      </c>
      <c r="U1472" s="66" t="str">
        <f>IF($A1472="","",COUNTIF(Candidates!$A$2:$A$2000,$A1472))</f>
        <v/>
      </c>
      <c r="V1472" s="64" t="str">
        <f>IFERROR(__xludf.DUMMYFUNCTION("IF($A1472="""","""",IFERROR(INDEX(FILTER(Candidates!$S$2:$S$2000,Candidates!$A$2:$A$2000=$A1472),COUNTIF(Candidates!$A$2:$A$2000,$A1472)),""""))"),"")</f>
        <v/>
      </c>
      <c r="W1472" s="64" t="str">
        <f>IFERROR(__xludf.DUMMYFUNCTION("IF($A1472="""","""",IFERROR(INDEX(FILTER(Candidates!$T$2:$T$2000,Candidates!$A$2:$A$2000=$A1472),COUNTIF(Candidates!$A$2:$A$2000,$A1472)),""""))"),"")</f>
        <v/>
      </c>
      <c r="X1472" s="64"/>
      <c r="Y1472" s="64"/>
      <c r="Z1472" s="65"/>
      <c r="AA1472" s="65"/>
      <c r="AB1472" s="65"/>
      <c r="AC1472" s="65"/>
    </row>
    <row r="1473">
      <c r="A1473" s="64"/>
      <c r="B1473" s="64"/>
      <c r="C1473" s="64"/>
      <c r="D1473" s="64"/>
      <c r="E1473" s="64"/>
      <c r="F1473" s="64"/>
      <c r="G1473" s="64"/>
      <c r="H1473" s="63"/>
      <c r="I1473" s="64"/>
      <c r="J1473" s="64"/>
      <c r="K1473" s="64"/>
      <c r="L1473" s="64"/>
      <c r="M1473" s="64"/>
      <c r="N1473" s="64"/>
      <c r="O1473" s="64"/>
      <c r="P1473" s="64"/>
      <c r="Q1473" s="64"/>
      <c r="R1473" s="65" t="str">
        <f>IF($A1473="","",IFERROR(MINIFS(Candidates!$K$2:$K$2000,Candidates!$A$2:$A$2000,$A1473),""))</f>
        <v/>
      </c>
      <c r="S1473" s="65" t="str">
        <f>IF($A1473="","",IFERROR(MAXIFS(Candidates!$AA$2:$AA$2000,Candidates!$A$2:$A$2000,$A1473),""))</f>
        <v/>
      </c>
      <c r="T1473" s="64" t="str">
        <f>IFERROR(__xludf.DUMMYFUNCTION("IF($A1473="""","""",IFERROR(TEXTJOIN("", "",TRUE,UNIQUE(FILTER(Candidates!$B$2:$B$2000,Candidates!$A$2:$A$2000=$A1473))),""""))"),"")</f>
        <v/>
      </c>
      <c r="U1473" s="66" t="str">
        <f>IF($A1473="","",COUNTIF(Candidates!$A$2:$A$2000,$A1473))</f>
        <v/>
      </c>
      <c r="V1473" s="64" t="str">
        <f>IFERROR(__xludf.DUMMYFUNCTION("IF($A1473="""","""",IFERROR(INDEX(FILTER(Candidates!$S$2:$S$2000,Candidates!$A$2:$A$2000=$A1473),COUNTIF(Candidates!$A$2:$A$2000,$A1473)),""""))"),"")</f>
        <v/>
      </c>
      <c r="W1473" s="64" t="str">
        <f>IFERROR(__xludf.DUMMYFUNCTION("IF($A1473="""","""",IFERROR(INDEX(FILTER(Candidates!$T$2:$T$2000,Candidates!$A$2:$A$2000=$A1473),COUNTIF(Candidates!$A$2:$A$2000,$A1473)),""""))"),"")</f>
        <v/>
      </c>
      <c r="X1473" s="64"/>
      <c r="Y1473" s="64"/>
      <c r="Z1473" s="65"/>
      <c r="AA1473" s="65"/>
      <c r="AB1473" s="65"/>
      <c r="AC1473" s="65"/>
    </row>
    <row r="1474">
      <c r="A1474" s="64"/>
      <c r="B1474" s="64"/>
      <c r="C1474" s="64"/>
      <c r="D1474" s="64"/>
      <c r="E1474" s="64"/>
      <c r="F1474" s="64"/>
      <c r="G1474" s="64"/>
      <c r="H1474" s="63"/>
      <c r="I1474" s="64"/>
      <c r="J1474" s="64"/>
      <c r="K1474" s="64"/>
      <c r="L1474" s="64"/>
      <c r="M1474" s="64"/>
      <c r="N1474" s="64"/>
      <c r="O1474" s="64"/>
      <c r="P1474" s="64"/>
      <c r="Q1474" s="64"/>
      <c r="R1474" s="65" t="str">
        <f>IF($A1474="","",IFERROR(MINIFS(Candidates!$K$2:$K$2000,Candidates!$A$2:$A$2000,$A1474),""))</f>
        <v/>
      </c>
      <c r="S1474" s="65" t="str">
        <f>IF($A1474="","",IFERROR(MAXIFS(Candidates!$AA$2:$AA$2000,Candidates!$A$2:$A$2000,$A1474),""))</f>
        <v/>
      </c>
      <c r="T1474" s="64" t="str">
        <f>IFERROR(__xludf.DUMMYFUNCTION("IF($A1474="""","""",IFERROR(TEXTJOIN("", "",TRUE,UNIQUE(FILTER(Candidates!$B$2:$B$2000,Candidates!$A$2:$A$2000=$A1474))),""""))"),"")</f>
        <v/>
      </c>
      <c r="U1474" s="66" t="str">
        <f>IF($A1474="","",COUNTIF(Candidates!$A$2:$A$2000,$A1474))</f>
        <v/>
      </c>
      <c r="V1474" s="64" t="str">
        <f>IFERROR(__xludf.DUMMYFUNCTION("IF($A1474="""","""",IFERROR(INDEX(FILTER(Candidates!$S$2:$S$2000,Candidates!$A$2:$A$2000=$A1474),COUNTIF(Candidates!$A$2:$A$2000,$A1474)),""""))"),"")</f>
        <v/>
      </c>
      <c r="W1474" s="64" t="str">
        <f>IFERROR(__xludf.DUMMYFUNCTION("IF($A1474="""","""",IFERROR(INDEX(FILTER(Candidates!$T$2:$T$2000,Candidates!$A$2:$A$2000=$A1474),COUNTIF(Candidates!$A$2:$A$2000,$A1474)),""""))"),"")</f>
        <v/>
      </c>
      <c r="X1474" s="64"/>
      <c r="Y1474" s="64"/>
      <c r="Z1474" s="65"/>
      <c r="AA1474" s="65"/>
      <c r="AB1474" s="65"/>
      <c r="AC1474" s="65"/>
    </row>
    <row r="1475">
      <c r="A1475" s="64"/>
      <c r="B1475" s="64"/>
      <c r="C1475" s="64"/>
      <c r="D1475" s="64"/>
      <c r="E1475" s="64"/>
      <c r="F1475" s="64"/>
      <c r="G1475" s="64"/>
      <c r="H1475" s="63"/>
      <c r="I1475" s="64"/>
      <c r="J1475" s="64"/>
      <c r="K1475" s="64"/>
      <c r="L1475" s="64"/>
      <c r="M1475" s="64"/>
      <c r="N1475" s="64"/>
      <c r="O1475" s="64"/>
      <c r="P1475" s="64"/>
      <c r="Q1475" s="64"/>
      <c r="R1475" s="65" t="str">
        <f>IF($A1475="","",IFERROR(MINIFS(Candidates!$K$2:$K$2000,Candidates!$A$2:$A$2000,$A1475),""))</f>
        <v/>
      </c>
      <c r="S1475" s="65" t="str">
        <f>IF($A1475="","",IFERROR(MAXIFS(Candidates!$AA$2:$AA$2000,Candidates!$A$2:$A$2000,$A1475),""))</f>
        <v/>
      </c>
      <c r="T1475" s="64" t="str">
        <f>IFERROR(__xludf.DUMMYFUNCTION("IF($A1475="""","""",IFERROR(TEXTJOIN("", "",TRUE,UNIQUE(FILTER(Candidates!$B$2:$B$2000,Candidates!$A$2:$A$2000=$A1475))),""""))"),"")</f>
        <v/>
      </c>
      <c r="U1475" s="66" t="str">
        <f>IF($A1475="","",COUNTIF(Candidates!$A$2:$A$2000,$A1475))</f>
        <v/>
      </c>
      <c r="V1475" s="64" t="str">
        <f>IFERROR(__xludf.DUMMYFUNCTION("IF($A1475="""","""",IFERROR(INDEX(FILTER(Candidates!$S$2:$S$2000,Candidates!$A$2:$A$2000=$A1475),COUNTIF(Candidates!$A$2:$A$2000,$A1475)),""""))"),"")</f>
        <v/>
      </c>
      <c r="W1475" s="64" t="str">
        <f>IFERROR(__xludf.DUMMYFUNCTION("IF($A1475="""","""",IFERROR(INDEX(FILTER(Candidates!$T$2:$T$2000,Candidates!$A$2:$A$2000=$A1475),COUNTIF(Candidates!$A$2:$A$2000,$A1475)),""""))"),"")</f>
        <v/>
      </c>
      <c r="X1475" s="64"/>
      <c r="Y1475" s="64"/>
      <c r="Z1475" s="65"/>
      <c r="AA1475" s="65"/>
      <c r="AB1475" s="65"/>
      <c r="AC1475" s="65"/>
    </row>
    <row r="1476">
      <c r="A1476" s="64"/>
      <c r="B1476" s="64"/>
      <c r="C1476" s="64"/>
      <c r="D1476" s="64"/>
      <c r="E1476" s="64"/>
      <c r="F1476" s="64"/>
      <c r="G1476" s="64"/>
      <c r="H1476" s="63"/>
      <c r="I1476" s="64"/>
      <c r="J1476" s="64"/>
      <c r="K1476" s="64"/>
      <c r="L1476" s="64"/>
      <c r="M1476" s="64"/>
      <c r="N1476" s="64"/>
      <c r="O1476" s="64"/>
      <c r="P1476" s="64"/>
      <c r="Q1476" s="64"/>
      <c r="R1476" s="65" t="str">
        <f>IF($A1476="","",IFERROR(MINIFS(Candidates!$K$2:$K$2000,Candidates!$A$2:$A$2000,$A1476),""))</f>
        <v/>
      </c>
      <c r="S1476" s="65" t="str">
        <f>IF($A1476="","",IFERROR(MAXIFS(Candidates!$AA$2:$AA$2000,Candidates!$A$2:$A$2000,$A1476),""))</f>
        <v/>
      </c>
      <c r="T1476" s="64" t="str">
        <f>IFERROR(__xludf.DUMMYFUNCTION("IF($A1476="""","""",IFERROR(TEXTJOIN("", "",TRUE,UNIQUE(FILTER(Candidates!$B$2:$B$2000,Candidates!$A$2:$A$2000=$A1476))),""""))"),"")</f>
        <v/>
      </c>
      <c r="U1476" s="66" t="str">
        <f>IF($A1476="","",COUNTIF(Candidates!$A$2:$A$2000,$A1476))</f>
        <v/>
      </c>
      <c r="V1476" s="64" t="str">
        <f>IFERROR(__xludf.DUMMYFUNCTION("IF($A1476="""","""",IFERROR(INDEX(FILTER(Candidates!$S$2:$S$2000,Candidates!$A$2:$A$2000=$A1476),COUNTIF(Candidates!$A$2:$A$2000,$A1476)),""""))"),"")</f>
        <v/>
      </c>
      <c r="W1476" s="64" t="str">
        <f>IFERROR(__xludf.DUMMYFUNCTION("IF($A1476="""","""",IFERROR(INDEX(FILTER(Candidates!$T$2:$T$2000,Candidates!$A$2:$A$2000=$A1476),COUNTIF(Candidates!$A$2:$A$2000,$A1476)),""""))"),"")</f>
        <v/>
      </c>
      <c r="X1476" s="64"/>
      <c r="Y1476" s="64"/>
      <c r="Z1476" s="65"/>
      <c r="AA1476" s="65"/>
      <c r="AB1476" s="65"/>
      <c r="AC1476" s="65"/>
    </row>
    <row r="1477">
      <c r="A1477" s="64"/>
      <c r="B1477" s="64"/>
      <c r="C1477" s="64"/>
      <c r="D1477" s="64"/>
      <c r="E1477" s="64"/>
      <c r="F1477" s="64"/>
      <c r="G1477" s="64"/>
      <c r="H1477" s="63"/>
      <c r="I1477" s="64"/>
      <c r="J1477" s="64"/>
      <c r="K1477" s="64"/>
      <c r="L1477" s="64"/>
      <c r="M1477" s="64"/>
      <c r="N1477" s="64"/>
      <c r="O1477" s="64"/>
      <c r="P1477" s="64"/>
      <c r="Q1477" s="64"/>
      <c r="R1477" s="65" t="str">
        <f>IF($A1477="","",IFERROR(MINIFS(Candidates!$K$2:$K$2000,Candidates!$A$2:$A$2000,$A1477),""))</f>
        <v/>
      </c>
      <c r="S1477" s="65" t="str">
        <f>IF($A1477="","",IFERROR(MAXIFS(Candidates!$AA$2:$AA$2000,Candidates!$A$2:$A$2000,$A1477),""))</f>
        <v/>
      </c>
      <c r="T1477" s="64" t="str">
        <f>IFERROR(__xludf.DUMMYFUNCTION("IF($A1477="""","""",IFERROR(TEXTJOIN("", "",TRUE,UNIQUE(FILTER(Candidates!$B$2:$B$2000,Candidates!$A$2:$A$2000=$A1477))),""""))"),"")</f>
        <v/>
      </c>
      <c r="U1477" s="66" t="str">
        <f>IF($A1477="","",COUNTIF(Candidates!$A$2:$A$2000,$A1477))</f>
        <v/>
      </c>
      <c r="V1477" s="64" t="str">
        <f>IFERROR(__xludf.DUMMYFUNCTION("IF($A1477="""","""",IFERROR(INDEX(FILTER(Candidates!$S$2:$S$2000,Candidates!$A$2:$A$2000=$A1477),COUNTIF(Candidates!$A$2:$A$2000,$A1477)),""""))"),"")</f>
        <v/>
      </c>
      <c r="W1477" s="64" t="str">
        <f>IFERROR(__xludf.DUMMYFUNCTION("IF($A1477="""","""",IFERROR(INDEX(FILTER(Candidates!$T$2:$T$2000,Candidates!$A$2:$A$2000=$A1477),COUNTIF(Candidates!$A$2:$A$2000,$A1477)),""""))"),"")</f>
        <v/>
      </c>
      <c r="X1477" s="64"/>
      <c r="Y1477" s="64"/>
      <c r="Z1477" s="65"/>
      <c r="AA1477" s="65"/>
      <c r="AB1477" s="65"/>
      <c r="AC1477" s="65"/>
    </row>
    <row r="1478">
      <c r="A1478" s="64"/>
      <c r="B1478" s="64"/>
      <c r="C1478" s="64"/>
      <c r="D1478" s="64"/>
      <c r="E1478" s="64"/>
      <c r="F1478" s="64"/>
      <c r="G1478" s="64"/>
      <c r="H1478" s="63"/>
      <c r="I1478" s="64"/>
      <c r="J1478" s="64"/>
      <c r="K1478" s="64"/>
      <c r="L1478" s="64"/>
      <c r="M1478" s="64"/>
      <c r="N1478" s="64"/>
      <c r="O1478" s="64"/>
      <c r="P1478" s="64"/>
      <c r="Q1478" s="64"/>
      <c r="R1478" s="65" t="str">
        <f>IF($A1478="","",IFERROR(MINIFS(Candidates!$K$2:$K$2000,Candidates!$A$2:$A$2000,$A1478),""))</f>
        <v/>
      </c>
      <c r="S1478" s="65" t="str">
        <f>IF($A1478="","",IFERROR(MAXIFS(Candidates!$AA$2:$AA$2000,Candidates!$A$2:$A$2000,$A1478),""))</f>
        <v/>
      </c>
      <c r="T1478" s="64" t="str">
        <f>IFERROR(__xludf.DUMMYFUNCTION("IF($A1478="""","""",IFERROR(TEXTJOIN("", "",TRUE,UNIQUE(FILTER(Candidates!$B$2:$B$2000,Candidates!$A$2:$A$2000=$A1478))),""""))"),"")</f>
        <v/>
      </c>
      <c r="U1478" s="66" t="str">
        <f>IF($A1478="","",COUNTIF(Candidates!$A$2:$A$2000,$A1478))</f>
        <v/>
      </c>
      <c r="V1478" s="64" t="str">
        <f>IFERROR(__xludf.DUMMYFUNCTION("IF($A1478="""","""",IFERROR(INDEX(FILTER(Candidates!$S$2:$S$2000,Candidates!$A$2:$A$2000=$A1478),COUNTIF(Candidates!$A$2:$A$2000,$A1478)),""""))"),"")</f>
        <v/>
      </c>
      <c r="W1478" s="64" t="str">
        <f>IFERROR(__xludf.DUMMYFUNCTION("IF($A1478="""","""",IFERROR(INDEX(FILTER(Candidates!$T$2:$T$2000,Candidates!$A$2:$A$2000=$A1478),COUNTIF(Candidates!$A$2:$A$2000,$A1478)),""""))"),"")</f>
        <v/>
      </c>
      <c r="X1478" s="64"/>
      <c r="Y1478" s="64"/>
      <c r="Z1478" s="65"/>
      <c r="AA1478" s="65"/>
      <c r="AB1478" s="65"/>
      <c r="AC1478" s="65"/>
    </row>
    <row r="1479">
      <c r="A1479" s="64"/>
      <c r="B1479" s="64"/>
      <c r="C1479" s="64"/>
      <c r="D1479" s="64"/>
      <c r="E1479" s="64"/>
      <c r="F1479" s="64"/>
      <c r="G1479" s="64"/>
      <c r="H1479" s="63"/>
      <c r="I1479" s="64"/>
      <c r="J1479" s="64"/>
      <c r="K1479" s="64"/>
      <c r="L1479" s="64"/>
      <c r="M1479" s="64"/>
      <c r="N1479" s="64"/>
      <c r="O1479" s="64"/>
      <c r="P1479" s="64"/>
      <c r="Q1479" s="64"/>
      <c r="R1479" s="65" t="str">
        <f>IF($A1479="","",IFERROR(MINIFS(Candidates!$K$2:$K$2000,Candidates!$A$2:$A$2000,$A1479),""))</f>
        <v/>
      </c>
      <c r="S1479" s="65" t="str">
        <f>IF($A1479="","",IFERROR(MAXIFS(Candidates!$AA$2:$AA$2000,Candidates!$A$2:$A$2000,$A1479),""))</f>
        <v/>
      </c>
      <c r="T1479" s="64" t="str">
        <f>IFERROR(__xludf.DUMMYFUNCTION("IF($A1479="""","""",IFERROR(TEXTJOIN("", "",TRUE,UNIQUE(FILTER(Candidates!$B$2:$B$2000,Candidates!$A$2:$A$2000=$A1479))),""""))"),"")</f>
        <v/>
      </c>
      <c r="U1479" s="66" t="str">
        <f>IF($A1479="","",COUNTIF(Candidates!$A$2:$A$2000,$A1479))</f>
        <v/>
      </c>
      <c r="V1479" s="64" t="str">
        <f>IFERROR(__xludf.DUMMYFUNCTION("IF($A1479="""","""",IFERROR(INDEX(FILTER(Candidates!$S$2:$S$2000,Candidates!$A$2:$A$2000=$A1479),COUNTIF(Candidates!$A$2:$A$2000,$A1479)),""""))"),"")</f>
        <v/>
      </c>
      <c r="W1479" s="64" t="str">
        <f>IFERROR(__xludf.DUMMYFUNCTION("IF($A1479="""","""",IFERROR(INDEX(FILTER(Candidates!$T$2:$T$2000,Candidates!$A$2:$A$2000=$A1479),COUNTIF(Candidates!$A$2:$A$2000,$A1479)),""""))"),"")</f>
        <v/>
      </c>
      <c r="X1479" s="64"/>
      <c r="Y1479" s="64"/>
      <c r="Z1479" s="65"/>
      <c r="AA1479" s="65"/>
      <c r="AB1479" s="65"/>
      <c r="AC1479" s="65"/>
    </row>
    <row r="1480">
      <c r="A1480" s="64"/>
      <c r="B1480" s="64"/>
      <c r="C1480" s="64"/>
      <c r="D1480" s="64"/>
      <c r="E1480" s="64"/>
      <c r="F1480" s="64"/>
      <c r="G1480" s="64"/>
      <c r="H1480" s="63"/>
      <c r="I1480" s="64"/>
      <c r="J1480" s="64"/>
      <c r="K1480" s="64"/>
      <c r="L1480" s="64"/>
      <c r="M1480" s="64"/>
      <c r="N1480" s="64"/>
      <c r="O1480" s="64"/>
      <c r="P1480" s="64"/>
      <c r="Q1480" s="64"/>
      <c r="R1480" s="65" t="str">
        <f>IF($A1480="","",IFERROR(MINIFS(Candidates!$K$2:$K$2000,Candidates!$A$2:$A$2000,$A1480),""))</f>
        <v/>
      </c>
      <c r="S1480" s="65" t="str">
        <f>IF($A1480="","",IFERROR(MAXIFS(Candidates!$AA$2:$AA$2000,Candidates!$A$2:$A$2000,$A1480),""))</f>
        <v/>
      </c>
      <c r="T1480" s="64" t="str">
        <f>IFERROR(__xludf.DUMMYFUNCTION("IF($A1480="""","""",IFERROR(TEXTJOIN("", "",TRUE,UNIQUE(FILTER(Candidates!$B$2:$B$2000,Candidates!$A$2:$A$2000=$A1480))),""""))"),"")</f>
        <v/>
      </c>
      <c r="U1480" s="66" t="str">
        <f>IF($A1480="","",COUNTIF(Candidates!$A$2:$A$2000,$A1480))</f>
        <v/>
      </c>
      <c r="V1480" s="64" t="str">
        <f>IFERROR(__xludf.DUMMYFUNCTION("IF($A1480="""","""",IFERROR(INDEX(FILTER(Candidates!$S$2:$S$2000,Candidates!$A$2:$A$2000=$A1480),COUNTIF(Candidates!$A$2:$A$2000,$A1480)),""""))"),"")</f>
        <v/>
      </c>
      <c r="W1480" s="64" t="str">
        <f>IFERROR(__xludf.DUMMYFUNCTION("IF($A1480="""","""",IFERROR(INDEX(FILTER(Candidates!$T$2:$T$2000,Candidates!$A$2:$A$2000=$A1480),COUNTIF(Candidates!$A$2:$A$2000,$A1480)),""""))"),"")</f>
        <v/>
      </c>
      <c r="X1480" s="64"/>
      <c r="Y1480" s="64"/>
      <c r="Z1480" s="65"/>
      <c r="AA1480" s="65"/>
      <c r="AB1480" s="65"/>
      <c r="AC1480" s="65"/>
    </row>
    <row r="1481">
      <c r="A1481" s="64"/>
      <c r="B1481" s="64"/>
      <c r="C1481" s="64"/>
      <c r="D1481" s="64"/>
      <c r="E1481" s="64"/>
      <c r="F1481" s="64"/>
      <c r="G1481" s="64"/>
      <c r="H1481" s="63"/>
      <c r="I1481" s="64"/>
      <c r="J1481" s="64"/>
      <c r="K1481" s="64"/>
      <c r="L1481" s="64"/>
      <c r="M1481" s="64"/>
      <c r="N1481" s="64"/>
      <c r="O1481" s="64"/>
      <c r="P1481" s="64"/>
      <c r="Q1481" s="64"/>
      <c r="R1481" s="65" t="str">
        <f>IF($A1481="","",IFERROR(MINIFS(Candidates!$K$2:$K$2000,Candidates!$A$2:$A$2000,$A1481),""))</f>
        <v/>
      </c>
      <c r="S1481" s="65" t="str">
        <f>IF($A1481="","",IFERROR(MAXIFS(Candidates!$AA$2:$AA$2000,Candidates!$A$2:$A$2000,$A1481),""))</f>
        <v/>
      </c>
      <c r="T1481" s="64" t="str">
        <f>IFERROR(__xludf.DUMMYFUNCTION("IF($A1481="""","""",IFERROR(TEXTJOIN("", "",TRUE,UNIQUE(FILTER(Candidates!$B$2:$B$2000,Candidates!$A$2:$A$2000=$A1481))),""""))"),"")</f>
        <v/>
      </c>
      <c r="U1481" s="66" t="str">
        <f>IF($A1481="","",COUNTIF(Candidates!$A$2:$A$2000,$A1481))</f>
        <v/>
      </c>
      <c r="V1481" s="64" t="str">
        <f>IFERROR(__xludf.DUMMYFUNCTION("IF($A1481="""","""",IFERROR(INDEX(FILTER(Candidates!$S$2:$S$2000,Candidates!$A$2:$A$2000=$A1481),COUNTIF(Candidates!$A$2:$A$2000,$A1481)),""""))"),"")</f>
        <v/>
      </c>
      <c r="W1481" s="64" t="str">
        <f>IFERROR(__xludf.DUMMYFUNCTION("IF($A1481="""","""",IFERROR(INDEX(FILTER(Candidates!$T$2:$T$2000,Candidates!$A$2:$A$2000=$A1481),COUNTIF(Candidates!$A$2:$A$2000,$A1481)),""""))"),"")</f>
        <v/>
      </c>
      <c r="X1481" s="64"/>
      <c r="Y1481" s="64"/>
      <c r="Z1481" s="65"/>
      <c r="AA1481" s="65"/>
      <c r="AB1481" s="65"/>
      <c r="AC1481" s="65"/>
    </row>
    <row r="1482">
      <c r="A1482" s="64"/>
      <c r="B1482" s="64"/>
      <c r="C1482" s="64"/>
      <c r="D1482" s="64"/>
      <c r="E1482" s="64"/>
      <c r="F1482" s="64"/>
      <c r="G1482" s="64"/>
      <c r="H1482" s="63"/>
      <c r="I1482" s="64"/>
      <c r="J1482" s="64"/>
      <c r="K1482" s="64"/>
      <c r="L1482" s="64"/>
      <c r="M1482" s="64"/>
      <c r="N1482" s="64"/>
      <c r="O1482" s="64"/>
      <c r="P1482" s="64"/>
      <c r="Q1482" s="64"/>
      <c r="R1482" s="65" t="str">
        <f>IF($A1482="","",IFERROR(MINIFS(Candidates!$K$2:$K$2000,Candidates!$A$2:$A$2000,$A1482),""))</f>
        <v/>
      </c>
      <c r="S1482" s="65" t="str">
        <f>IF($A1482="","",IFERROR(MAXIFS(Candidates!$AA$2:$AA$2000,Candidates!$A$2:$A$2000,$A1482),""))</f>
        <v/>
      </c>
      <c r="T1482" s="64" t="str">
        <f>IFERROR(__xludf.DUMMYFUNCTION("IF($A1482="""","""",IFERROR(TEXTJOIN("", "",TRUE,UNIQUE(FILTER(Candidates!$B$2:$B$2000,Candidates!$A$2:$A$2000=$A1482))),""""))"),"")</f>
        <v/>
      </c>
      <c r="U1482" s="66" t="str">
        <f>IF($A1482="","",COUNTIF(Candidates!$A$2:$A$2000,$A1482))</f>
        <v/>
      </c>
      <c r="V1482" s="64" t="str">
        <f>IFERROR(__xludf.DUMMYFUNCTION("IF($A1482="""","""",IFERROR(INDEX(FILTER(Candidates!$S$2:$S$2000,Candidates!$A$2:$A$2000=$A1482),COUNTIF(Candidates!$A$2:$A$2000,$A1482)),""""))"),"")</f>
        <v/>
      </c>
      <c r="W1482" s="64" t="str">
        <f>IFERROR(__xludf.DUMMYFUNCTION("IF($A1482="""","""",IFERROR(INDEX(FILTER(Candidates!$T$2:$T$2000,Candidates!$A$2:$A$2000=$A1482),COUNTIF(Candidates!$A$2:$A$2000,$A1482)),""""))"),"")</f>
        <v/>
      </c>
      <c r="X1482" s="64"/>
      <c r="Y1482" s="64"/>
      <c r="Z1482" s="65"/>
      <c r="AA1482" s="65"/>
      <c r="AB1482" s="65"/>
      <c r="AC1482" s="65"/>
    </row>
    <row r="1483">
      <c r="A1483" s="64"/>
      <c r="B1483" s="64"/>
      <c r="C1483" s="64"/>
      <c r="D1483" s="64"/>
      <c r="E1483" s="64"/>
      <c r="F1483" s="64"/>
      <c r="G1483" s="64"/>
      <c r="H1483" s="63"/>
      <c r="I1483" s="64"/>
      <c r="J1483" s="64"/>
      <c r="K1483" s="64"/>
      <c r="L1483" s="64"/>
      <c r="M1483" s="64"/>
      <c r="N1483" s="64"/>
      <c r="O1483" s="64"/>
      <c r="P1483" s="64"/>
      <c r="Q1483" s="64"/>
      <c r="R1483" s="65" t="str">
        <f>IF($A1483="","",IFERROR(MINIFS(Candidates!$K$2:$K$2000,Candidates!$A$2:$A$2000,$A1483),""))</f>
        <v/>
      </c>
      <c r="S1483" s="65" t="str">
        <f>IF($A1483="","",IFERROR(MAXIFS(Candidates!$AA$2:$AA$2000,Candidates!$A$2:$A$2000,$A1483),""))</f>
        <v/>
      </c>
      <c r="T1483" s="64" t="str">
        <f>IFERROR(__xludf.DUMMYFUNCTION("IF($A1483="""","""",IFERROR(TEXTJOIN("", "",TRUE,UNIQUE(FILTER(Candidates!$B$2:$B$2000,Candidates!$A$2:$A$2000=$A1483))),""""))"),"")</f>
        <v/>
      </c>
      <c r="U1483" s="66" t="str">
        <f>IF($A1483="","",COUNTIF(Candidates!$A$2:$A$2000,$A1483))</f>
        <v/>
      </c>
      <c r="V1483" s="64" t="str">
        <f>IFERROR(__xludf.DUMMYFUNCTION("IF($A1483="""","""",IFERROR(INDEX(FILTER(Candidates!$S$2:$S$2000,Candidates!$A$2:$A$2000=$A1483),COUNTIF(Candidates!$A$2:$A$2000,$A1483)),""""))"),"")</f>
        <v/>
      </c>
      <c r="W1483" s="64" t="str">
        <f>IFERROR(__xludf.DUMMYFUNCTION("IF($A1483="""","""",IFERROR(INDEX(FILTER(Candidates!$T$2:$T$2000,Candidates!$A$2:$A$2000=$A1483),COUNTIF(Candidates!$A$2:$A$2000,$A1483)),""""))"),"")</f>
        <v/>
      </c>
      <c r="X1483" s="64"/>
      <c r="Y1483" s="64"/>
      <c r="Z1483" s="65"/>
      <c r="AA1483" s="65"/>
      <c r="AB1483" s="65"/>
      <c r="AC1483" s="65"/>
    </row>
    <row r="1484">
      <c r="A1484" s="64"/>
      <c r="B1484" s="64"/>
      <c r="C1484" s="64"/>
      <c r="D1484" s="64"/>
      <c r="E1484" s="64"/>
      <c r="F1484" s="64"/>
      <c r="G1484" s="64"/>
      <c r="H1484" s="63"/>
      <c r="I1484" s="64"/>
      <c r="J1484" s="64"/>
      <c r="K1484" s="64"/>
      <c r="L1484" s="64"/>
      <c r="M1484" s="64"/>
      <c r="N1484" s="64"/>
      <c r="O1484" s="64"/>
      <c r="P1484" s="64"/>
      <c r="Q1484" s="64"/>
      <c r="R1484" s="65" t="str">
        <f>IF($A1484="","",IFERROR(MINIFS(Candidates!$K$2:$K$2000,Candidates!$A$2:$A$2000,$A1484),""))</f>
        <v/>
      </c>
      <c r="S1484" s="65" t="str">
        <f>IF($A1484="","",IFERROR(MAXIFS(Candidates!$AA$2:$AA$2000,Candidates!$A$2:$A$2000,$A1484),""))</f>
        <v/>
      </c>
      <c r="T1484" s="64" t="str">
        <f>IFERROR(__xludf.DUMMYFUNCTION("IF($A1484="""","""",IFERROR(TEXTJOIN("", "",TRUE,UNIQUE(FILTER(Candidates!$B$2:$B$2000,Candidates!$A$2:$A$2000=$A1484))),""""))"),"")</f>
        <v/>
      </c>
      <c r="U1484" s="66" t="str">
        <f>IF($A1484="","",COUNTIF(Candidates!$A$2:$A$2000,$A1484))</f>
        <v/>
      </c>
      <c r="V1484" s="64" t="str">
        <f>IFERROR(__xludf.DUMMYFUNCTION("IF($A1484="""","""",IFERROR(INDEX(FILTER(Candidates!$S$2:$S$2000,Candidates!$A$2:$A$2000=$A1484),COUNTIF(Candidates!$A$2:$A$2000,$A1484)),""""))"),"")</f>
        <v/>
      </c>
      <c r="W1484" s="64" t="str">
        <f>IFERROR(__xludf.DUMMYFUNCTION("IF($A1484="""","""",IFERROR(INDEX(FILTER(Candidates!$T$2:$T$2000,Candidates!$A$2:$A$2000=$A1484),COUNTIF(Candidates!$A$2:$A$2000,$A1484)),""""))"),"")</f>
        <v/>
      </c>
      <c r="X1484" s="64"/>
      <c r="Y1484" s="64"/>
      <c r="Z1484" s="65"/>
      <c r="AA1484" s="65"/>
      <c r="AB1484" s="65"/>
      <c r="AC1484" s="65"/>
    </row>
    <row r="1485">
      <c r="A1485" s="64"/>
      <c r="B1485" s="64"/>
      <c r="C1485" s="64"/>
      <c r="D1485" s="64"/>
      <c r="E1485" s="64"/>
      <c r="F1485" s="64"/>
      <c r="G1485" s="64"/>
      <c r="H1485" s="63"/>
      <c r="I1485" s="64"/>
      <c r="J1485" s="64"/>
      <c r="K1485" s="64"/>
      <c r="L1485" s="64"/>
      <c r="M1485" s="64"/>
      <c r="N1485" s="64"/>
      <c r="O1485" s="64"/>
      <c r="P1485" s="64"/>
      <c r="Q1485" s="64"/>
      <c r="R1485" s="65" t="str">
        <f>IF($A1485="","",IFERROR(MINIFS(Candidates!$K$2:$K$2000,Candidates!$A$2:$A$2000,$A1485),""))</f>
        <v/>
      </c>
      <c r="S1485" s="65" t="str">
        <f>IF($A1485="","",IFERROR(MAXIFS(Candidates!$AA$2:$AA$2000,Candidates!$A$2:$A$2000,$A1485),""))</f>
        <v/>
      </c>
      <c r="T1485" s="64" t="str">
        <f>IFERROR(__xludf.DUMMYFUNCTION("IF($A1485="""","""",IFERROR(TEXTJOIN("", "",TRUE,UNIQUE(FILTER(Candidates!$B$2:$B$2000,Candidates!$A$2:$A$2000=$A1485))),""""))"),"")</f>
        <v/>
      </c>
      <c r="U1485" s="66" t="str">
        <f>IF($A1485="","",COUNTIF(Candidates!$A$2:$A$2000,$A1485))</f>
        <v/>
      </c>
      <c r="V1485" s="64" t="str">
        <f>IFERROR(__xludf.DUMMYFUNCTION("IF($A1485="""","""",IFERROR(INDEX(FILTER(Candidates!$S$2:$S$2000,Candidates!$A$2:$A$2000=$A1485),COUNTIF(Candidates!$A$2:$A$2000,$A1485)),""""))"),"")</f>
        <v/>
      </c>
      <c r="W1485" s="64" t="str">
        <f>IFERROR(__xludf.DUMMYFUNCTION("IF($A1485="""","""",IFERROR(INDEX(FILTER(Candidates!$T$2:$T$2000,Candidates!$A$2:$A$2000=$A1485),COUNTIF(Candidates!$A$2:$A$2000,$A1485)),""""))"),"")</f>
        <v/>
      </c>
      <c r="X1485" s="64"/>
      <c r="Y1485" s="64"/>
      <c r="Z1485" s="65"/>
      <c r="AA1485" s="65"/>
      <c r="AB1485" s="65"/>
      <c r="AC1485" s="65"/>
    </row>
    <row r="1486">
      <c r="A1486" s="64"/>
      <c r="B1486" s="64"/>
      <c r="C1486" s="64"/>
      <c r="D1486" s="64"/>
      <c r="E1486" s="64"/>
      <c r="F1486" s="64"/>
      <c r="G1486" s="64"/>
      <c r="H1486" s="63"/>
      <c r="I1486" s="64"/>
      <c r="J1486" s="64"/>
      <c r="K1486" s="64"/>
      <c r="L1486" s="64"/>
      <c r="M1486" s="64"/>
      <c r="N1486" s="64"/>
      <c r="O1486" s="64"/>
      <c r="P1486" s="64"/>
      <c r="Q1486" s="64"/>
      <c r="R1486" s="65" t="str">
        <f>IF($A1486="","",IFERROR(MINIFS(Candidates!$K$2:$K$2000,Candidates!$A$2:$A$2000,$A1486),""))</f>
        <v/>
      </c>
      <c r="S1486" s="65" t="str">
        <f>IF($A1486="","",IFERROR(MAXIFS(Candidates!$AA$2:$AA$2000,Candidates!$A$2:$A$2000,$A1486),""))</f>
        <v/>
      </c>
      <c r="T1486" s="64" t="str">
        <f>IFERROR(__xludf.DUMMYFUNCTION("IF($A1486="""","""",IFERROR(TEXTJOIN("", "",TRUE,UNIQUE(FILTER(Candidates!$B$2:$B$2000,Candidates!$A$2:$A$2000=$A1486))),""""))"),"")</f>
        <v/>
      </c>
      <c r="U1486" s="66" t="str">
        <f>IF($A1486="","",COUNTIF(Candidates!$A$2:$A$2000,$A1486))</f>
        <v/>
      </c>
      <c r="V1486" s="64" t="str">
        <f>IFERROR(__xludf.DUMMYFUNCTION("IF($A1486="""","""",IFERROR(INDEX(FILTER(Candidates!$S$2:$S$2000,Candidates!$A$2:$A$2000=$A1486),COUNTIF(Candidates!$A$2:$A$2000,$A1486)),""""))"),"")</f>
        <v/>
      </c>
      <c r="W1486" s="64" t="str">
        <f>IFERROR(__xludf.DUMMYFUNCTION("IF($A1486="""","""",IFERROR(INDEX(FILTER(Candidates!$T$2:$T$2000,Candidates!$A$2:$A$2000=$A1486),COUNTIF(Candidates!$A$2:$A$2000,$A1486)),""""))"),"")</f>
        <v/>
      </c>
      <c r="X1486" s="64"/>
      <c r="Y1486" s="64"/>
      <c r="Z1486" s="65"/>
      <c r="AA1486" s="65"/>
      <c r="AB1486" s="65"/>
      <c r="AC1486" s="65"/>
    </row>
    <row r="1487">
      <c r="A1487" s="64"/>
      <c r="B1487" s="64"/>
      <c r="C1487" s="64"/>
      <c r="D1487" s="64"/>
      <c r="E1487" s="64"/>
      <c r="F1487" s="64"/>
      <c r="G1487" s="64"/>
      <c r="H1487" s="63"/>
      <c r="I1487" s="64"/>
      <c r="J1487" s="64"/>
      <c r="K1487" s="64"/>
      <c r="L1487" s="64"/>
      <c r="M1487" s="64"/>
      <c r="N1487" s="64"/>
      <c r="O1487" s="64"/>
      <c r="P1487" s="64"/>
      <c r="Q1487" s="64"/>
      <c r="R1487" s="65" t="str">
        <f>IF($A1487="","",IFERROR(MINIFS(Candidates!$K$2:$K$2000,Candidates!$A$2:$A$2000,$A1487),""))</f>
        <v/>
      </c>
      <c r="S1487" s="65" t="str">
        <f>IF($A1487="","",IFERROR(MAXIFS(Candidates!$AA$2:$AA$2000,Candidates!$A$2:$A$2000,$A1487),""))</f>
        <v/>
      </c>
      <c r="T1487" s="64" t="str">
        <f>IFERROR(__xludf.DUMMYFUNCTION("IF($A1487="""","""",IFERROR(TEXTJOIN("", "",TRUE,UNIQUE(FILTER(Candidates!$B$2:$B$2000,Candidates!$A$2:$A$2000=$A1487))),""""))"),"")</f>
        <v/>
      </c>
      <c r="U1487" s="66" t="str">
        <f>IF($A1487="","",COUNTIF(Candidates!$A$2:$A$2000,$A1487))</f>
        <v/>
      </c>
      <c r="V1487" s="64" t="str">
        <f>IFERROR(__xludf.DUMMYFUNCTION("IF($A1487="""","""",IFERROR(INDEX(FILTER(Candidates!$S$2:$S$2000,Candidates!$A$2:$A$2000=$A1487),COUNTIF(Candidates!$A$2:$A$2000,$A1487)),""""))"),"")</f>
        <v/>
      </c>
      <c r="W1487" s="64" t="str">
        <f>IFERROR(__xludf.DUMMYFUNCTION("IF($A1487="""","""",IFERROR(INDEX(FILTER(Candidates!$T$2:$T$2000,Candidates!$A$2:$A$2000=$A1487),COUNTIF(Candidates!$A$2:$A$2000,$A1487)),""""))"),"")</f>
        <v/>
      </c>
      <c r="X1487" s="64"/>
      <c r="Y1487" s="64"/>
      <c r="Z1487" s="65"/>
      <c r="AA1487" s="65"/>
      <c r="AB1487" s="65"/>
      <c r="AC1487" s="65"/>
    </row>
    <row r="1488">
      <c r="A1488" s="64"/>
      <c r="B1488" s="64"/>
      <c r="C1488" s="64"/>
      <c r="D1488" s="64"/>
      <c r="E1488" s="64"/>
      <c r="F1488" s="64"/>
      <c r="G1488" s="64"/>
      <c r="H1488" s="63"/>
      <c r="I1488" s="64"/>
      <c r="J1488" s="64"/>
      <c r="K1488" s="64"/>
      <c r="L1488" s="64"/>
      <c r="M1488" s="64"/>
      <c r="N1488" s="64"/>
      <c r="O1488" s="64"/>
      <c r="P1488" s="64"/>
      <c r="Q1488" s="64"/>
      <c r="R1488" s="65" t="str">
        <f>IF($A1488="","",IFERROR(MINIFS(Candidates!$K$2:$K$2000,Candidates!$A$2:$A$2000,$A1488),""))</f>
        <v/>
      </c>
      <c r="S1488" s="65" t="str">
        <f>IF($A1488="","",IFERROR(MAXIFS(Candidates!$AA$2:$AA$2000,Candidates!$A$2:$A$2000,$A1488),""))</f>
        <v/>
      </c>
      <c r="T1488" s="64" t="str">
        <f>IFERROR(__xludf.DUMMYFUNCTION("IF($A1488="""","""",IFERROR(TEXTJOIN("", "",TRUE,UNIQUE(FILTER(Candidates!$B$2:$B$2000,Candidates!$A$2:$A$2000=$A1488))),""""))"),"")</f>
        <v/>
      </c>
      <c r="U1488" s="66" t="str">
        <f>IF($A1488="","",COUNTIF(Candidates!$A$2:$A$2000,$A1488))</f>
        <v/>
      </c>
      <c r="V1488" s="64" t="str">
        <f>IFERROR(__xludf.DUMMYFUNCTION("IF($A1488="""","""",IFERROR(INDEX(FILTER(Candidates!$S$2:$S$2000,Candidates!$A$2:$A$2000=$A1488),COUNTIF(Candidates!$A$2:$A$2000,$A1488)),""""))"),"")</f>
        <v/>
      </c>
      <c r="W1488" s="64" t="str">
        <f>IFERROR(__xludf.DUMMYFUNCTION("IF($A1488="""","""",IFERROR(INDEX(FILTER(Candidates!$T$2:$T$2000,Candidates!$A$2:$A$2000=$A1488),COUNTIF(Candidates!$A$2:$A$2000,$A1488)),""""))"),"")</f>
        <v/>
      </c>
      <c r="X1488" s="64"/>
      <c r="Y1488" s="64"/>
      <c r="Z1488" s="65"/>
      <c r="AA1488" s="65"/>
      <c r="AB1488" s="65"/>
      <c r="AC1488" s="65"/>
    </row>
    <row r="1489">
      <c r="A1489" s="64"/>
      <c r="B1489" s="64"/>
      <c r="C1489" s="64"/>
      <c r="D1489" s="64"/>
      <c r="E1489" s="64"/>
      <c r="F1489" s="64"/>
      <c r="G1489" s="64"/>
      <c r="H1489" s="63"/>
      <c r="I1489" s="64"/>
      <c r="J1489" s="64"/>
      <c r="K1489" s="64"/>
      <c r="L1489" s="64"/>
      <c r="M1489" s="64"/>
      <c r="N1489" s="64"/>
      <c r="O1489" s="64"/>
      <c r="P1489" s="64"/>
      <c r="Q1489" s="64"/>
      <c r="R1489" s="65" t="str">
        <f>IF($A1489="","",IFERROR(MINIFS(Candidates!$K$2:$K$2000,Candidates!$A$2:$A$2000,$A1489),""))</f>
        <v/>
      </c>
      <c r="S1489" s="65" t="str">
        <f>IF($A1489="","",IFERROR(MAXIFS(Candidates!$AA$2:$AA$2000,Candidates!$A$2:$A$2000,$A1489),""))</f>
        <v/>
      </c>
      <c r="T1489" s="64" t="str">
        <f>IFERROR(__xludf.DUMMYFUNCTION("IF($A1489="""","""",IFERROR(TEXTJOIN("", "",TRUE,UNIQUE(FILTER(Candidates!$B$2:$B$2000,Candidates!$A$2:$A$2000=$A1489))),""""))"),"")</f>
        <v/>
      </c>
      <c r="U1489" s="66" t="str">
        <f>IF($A1489="","",COUNTIF(Candidates!$A$2:$A$2000,$A1489))</f>
        <v/>
      </c>
      <c r="V1489" s="64" t="str">
        <f>IFERROR(__xludf.DUMMYFUNCTION("IF($A1489="""","""",IFERROR(INDEX(FILTER(Candidates!$S$2:$S$2000,Candidates!$A$2:$A$2000=$A1489),COUNTIF(Candidates!$A$2:$A$2000,$A1489)),""""))"),"")</f>
        <v/>
      </c>
      <c r="W1489" s="64" t="str">
        <f>IFERROR(__xludf.DUMMYFUNCTION("IF($A1489="""","""",IFERROR(INDEX(FILTER(Candidates!$T$2:$T$2000,Candidates!$A$2:$A$2000=$A1489),COUNTIF(Candidates!$A$2:$A$2000,$A1489)),""""))"),"")</f>
        <v/>
      </c>
      <c r="X1489" s="64"/>
      <c r="Y1489" s="64"/>
      <c r="Z1489" s="65"/>
      <c r="AA1489" s="65"/>
      <c r="AB1489" s="65"/>
      <c r="AC1489" s="65"/>
    </row>
    <row r="1490">
      <c r="A1490" s="64"/>
      <c r="B1490" s="64"/>
      <c r="C1490" s="64"/>
      <c r="D1490" s="64"/>
      <c r="E1490" s="64"/>
      <c r="F1490" s="64"/>
      <c r="G1490" s="64"/>
      <c r="H1490" s="63"/>
      <c r="I1490" s="64"/>
      <c r="J1490" s="64"/>
      <c r="K1490" s="64"/>
      <c r="L1490" s="64"/>
      <c r="M1490" s="64"/>
      <c r="N1490" s="64"/>
      <c r="O1490" s="64"/>
      <c r="P1490" s="64"/>
      <c r="Q1490" s="64"/>
      <c r="R1490" s="65" t="str">
        <f>IF($A1490="","",IFERROR(MINIFS(Candidates!$K$2:$K$2000,Candidates!$A$2:$A$2000,$A1490),""))</f>
        <v/>
      </c>
      <c r="S1490" s="65" t="str">
        <f>IF($A1490="","",IFERROR(MAXIFS(Candidates!$AA$2:$AA$2000,Candidates!$A$2:$A$2000,$A1490),""))</f>
        <v/>
      </c>
      <c r="T1490" s="64" t="str">
        <f>IFERROR(__xludf.DUMMYFUNCTION("IF($A1490="""","""",IFERROR(TEXTJOIN("", "",TRUE,UNIQUE(FILTER(Candidates!$B$2:$B$2000,Candidates!$A$2:$A$2000=$A1490))),""""))"),"")</f>
        <v/>
      </c>
      <c r="U1490" s="66" t="str">
        <f>IF($A1490="","",COUNTIF(Candidates!$A$2:$A$2000,$A1490))</f>
        <v/>
      </c>
      <c r="V1490" s="64" t="str">
        <f>IFERROR(__xludf.DUMMYFUNCTION("IF($A1490="""","""",IFERROR(INDEX(FILTER(Candidates!$S$2:$S$2000,Candidates!$A$2:$A$2000=$A1490),COUNTIF(Candidates!$A$2:$A$2000,$A1490)),""""))"),"")</f>
        <v/>
      </c>
      <c r="W1490" s="64" t="str">
        <f>IFERROR(__xludf.DUMMYFUNCTION("IF($A1490="""","""",IFERROR(INDEX(FILTER(Candidates!$T$2:$T$2000,Candidates!$A$2:$A$2000=$A1490),COUNTIF(Candidates!$A$2:$A$2000,$A1490)),""""))"),"")</f>
        <v/>
      </c>
      <c r="X1490" s="64"/>
      <c r="Y1490" s="64"/>
      <c r="Z1490" s="65"/>
      <c r="AA1490" s="65"/>
      <c r="AB1490" s="65"/>
      <c r="AC1490" s="65"/>
    </row>
    <row r="1491">
      <c r="A1491" s="64"/>
      <c r="B1491" s="64"/>
      <c r="C1491" s="64"/>
      <c r="D1491" s="64"/>
      <c r="E1491" s="64"/>
      <c r="F1491" s="64"/>
      <c r="G1491" s="64"/>
      <c r="H1491" s="63"/>
      <c r="I1491" s="64"/>
      <c r="J1491" s="64"/>
      <c r="K1491" s="64"/>
      <c r="L1491" s="64"/>
      <c r="M1491" s="64"/>
      <c r="N1491" s="64"/>
      <c r="O1491" s="64"/>
      <c r="P1491" s="64"/>
      <c r="Q1491" s="64"/>
      <c r="R1491" s="65" t="str">
        <f>IF($A1491="","",IFERROR(MINIFS(Candidates!$K$2:$K$2000,Candidates!$A$2:$A$2000,$A1491),""))</f>
        <v/>
      </c>
      <c r="S1491" s="65" t="str">
        <f>IF($A1491="","",IFERROR(MAXIFS(Candidates!$AA$2:$AA$2000,Candidates!$A$2:$A$2000,$A1491),""))</f>
        <v/>
      </c>
      <c r="T1491" s="64" t="str">
        <f>IFERROR(__xludf.DUMMYFUNCTION("IF($A1491="""","""",IFERROR(TEXTJOIN("", "",TRUE,UNIQUE(FILTER(Candidates!$B$2:$B$2000,Candidates!$A$2:$A$2000=$A1491))),""""))"),"")</f>
        <v/>
      </c>
      <c r="U1491" s="66" t="str">
        <f>IF($A1491="","",COUNTIF(Candidates!$A$2:$A$2000,$A1491))</f>
        <v/>
      </c>
      <c r="V1491" s="64" t="str">
        <f>IFERROR(__xludf.DUMMYFUNCTION("IF($A1491="""","""",IFERROR(INDEX(FILTER(Candidates!$S$2:$S$2000,Candidates!$A$2:$A$2000=$A1491),COUNTIF(Candidates!$A$2:$A$2000,$A1491)),""""))"),"")</f>
        <v/>
      </c>
      <c r="W1491" s="64" t="str">
        <f>IFERROR(__xludf.DUMMYFUNCTION("IF($A1491="""","""",IFERROR(INDEX(FILTER(Candidates!$T$2:$T$2000,Candidates!$A$2:$A$2000=$A1491),COUNTIF(Candidates!$A$2:$A$2000,$A1491)),""""))"),"")</f>
        <v/>
      </c>
      <c r="X1491" s="64"/>
      <c r="Y1491" s="64"/>
      <c r="Z1491" s="65"/>
      <c r="AA1491" s="65"/>
      <c r="AB1491" s="65"/>
      <c r="AC1491" s="65"/>
    </row>
    <row r="1492">
      <c r="A1492" s="64"/>
      <c r="B1492" s="64"/>
      <c r="C1492" s="64"/>
      <c r="D1492" s="64"/>
      <c r="E1492" s="64"/>
      <c r="F1492" s="64"/>
      <c r="G1492" s="64"/>
      <c r="H1492" s="63"/>
      <c r="I1492" s="64"/>
      <c r="J1492" s="64"/>
      <c r="K1492" s="64"/>
      <c r="L1492" s="64"/>
      <c r="M1492" s="64"/>
      <c r="N1492" s="64"/>
      <c r="O1492" s="64"/>
      <c r="P1492" s="64"/>
      <c r="Q1492" s="64"/>
      <c r="R1492" s="65" t="str">
        <f>IF($A1492="","",IFERROR(MINIFS(Candidates!$K$2:$K$2000,Candidates!$A$2:$A$2000,$A1492),""))</f>
        <v/>
      </c>
      <c r="S1492" s="65" t="str">
        <f>IF($A1492="","",IFERROR(MAXIFS(Candidates!$AA$2:$AA$2000,Candidates!$A$2:$A$2000,$A1492),""))</f>
        <v/>
      </c>
      <c r="T1492" s="64" t="str">
        <f>IFERROR(__xludf.DUMMYFUNCTION("IF($A1492="""","""",IFERROR(TEXTJOIN("", "",TRUE,UNIQUE(FILTER(Candidates!$B$2:$B$2000,Candidates!$A$2:$A$2000=$A1492))),""""))"),"")</f>
        <v/>
      </c>
      <c r="U1492" s="66" t="str">
        <f>IF($A1492="","",COUNTIF(Candidates!$A$2:$A$2000,$A1492))</f>
        <v/>
      </c>
      <c r="V1492" s="64" t="str">
        <f>IFERROR(__xludf.DUMMYFUNCTION("IF($A1492="""","""",IFERROR(INDEX(FILTER(Candidates!$S$2:$S$2000,Candidates!$A$2:$A$2000=$A1492),COUNTIF(Candidates!$A$2:$A$2000,$A1492)),""""))"),"")</f>
        <v/>
      </c>
      <c r="W1492" s="64" t="str">
        <f>IFERROR(__xludf.DUMMYFUNCTION("IF($A1492="""","""",IFERROR(INDEX(FILTER(Candidates!$T$2:$T$2000,Candidates!$A$2:$A$2000=$A1492),COUNTIF(Candidates!$A$2:$A$2000,$A1492)),""""))"),"")</f>
        <v/>
      </c>
      <c r="X1492" s="64"/>
      <c r="Y1492" s="64"/>
      <c r="Z1492" s="65"/>
      <c r="AA1492" s="65"/>
      <c r="AB1492" s="65"/>
      <c r="AC1492" s="65"/>
    </row>
    <row r="1493">
      <c r="A1493" s="64"/>
      <c r="B1493" s="64"/>
      <c r="C1493" s="64"/>
      <c r="D1493" s="64"/>
      <c r="E1493" s="64"/>
      <c r="F1493" s="64"/>
      <c r="G1493" s="64"/>
      <c r="H1493" s="63"/>
      <c r="I1493" s="64"/>
      <c r="J1493" s="64"/>
      <c r="K1493" s="64"/>
      <c r="L1493" s="64"/>
      <c r="M1493" s="64"/>
      <c r="N1493" s="64"/>
      <c r="O1493" s="64"/>
      <c r="P1493" s="64"/>
      <c r="Q1493" s="64"/>
      <c r="R1493" s="65" t="str">
        <f>IF($A1493="","",IFERROR(MINIFS(Candidates!$K$2:$K$2000,Candidates!$A$2:$A$2000,$A1493),""))</f>
        <v/>
      </c>
      <c r="S1493" s="65" t="str">
        <f>IF($A1493="","",IFERROR(MAXIFS(Candidates!$AA$2:$AA$2000,Candidates!$A$2:$A$2000,$A1493),""))</f>
        <v/>
      </c>
      <c r="T1493" s="64" t="str">
        <f>IFERROR(__xludf.DUMMYFUNCTION("IF($A1493="""","""",IFERROR(TEXTJOIN("", "",TRUE,UNIQUE(FILTER(Candidates!$B$2:$B$2000,Candidates!$A$2:$A$2000=$A1493))),""""))"),"")</f>
        <v/>
      </c>
      <c r="U1493" s="66" t="str">
        <f>IF($A1493="","",COUNTIF(Candidates!$A$2:$A$2000,$A1493))</f>
        <v/>
      </c>
      <c r="V1493" s="64" t="str">
        <f>IFERROR(__xludf.DUMMYFUNCTION("IF($A1493="""","""",IFERROR(INDEX(FILTER(Candidates!$S$2:$S$2000,Candidates!$A$2:$A$2000=$A1493),COUNTIF(Candidates!$A$2:$A$2000,$A1493)),""""))"),"")</f>
        <v/>
      </c>
      <c r="W1493" s="64" t="str">
        <f>IFERROR(__xludf.DUMMYFUNCTION("IF($A1493="""","""",IFERROR(INDEX(FILTER(Candidates!$T$2:$T$2000,Candidates!$A$2:$A$2000=$A1493),COUNTIF(Candidates!$A$2:$A$2000,$A1493)),""""))"),"")</f>
        <v/>
      </c>
      <c r="X1493" s="64"/>
      <c r="Y1493" s="64"/>
      <c r="Z1493" s="65"/>
      <c r="AA1493" s="65"/>
      <c r="AB1493" s="65"/>
      <c r="AC1493" s="65"/>
    </row>
    <row r="1494">
      <c r="A1494" s="64"/>
      <c r="B1494" s="64"/>
      <c r="C1494" s="64"/>
      <c r="D1494" s="64"/>
      <c r="E1494" s="64"/>
      <c r="F1494" s="64"/>
      <c r="G1494" s="64"/>
      <c r="H1494" s="63"/>
      <c r="I1494" s="64"/>
      <c r="J1494" s="64"/>
      <c r="K1494" s="64"/>
      <c r="L1494" s="64"/>
      <c r="M1494" s="64"/>
      <c r="N1494" s="64"/>
      <c r="O1494" s="64"/>
      <c r="P1494" s="64"/>
      <c r="Q1494" s="64"/>
      <c r="R1494" s="65" t="str">
        <f>IF($A1494="","",IFERROR(MINIFS(Candidates!$K$2:$K$2000,Candidates!$A$2:$A$2000,$A1494),""))</f>
        <v/>
      </c>
      <c r="S1494" s="65" t="str">
        <f>IF($A1494="","",IFERROR(MAXIFS(Candidates!$AA$2:$AA$2000,Candidates!$A$2:$A$2000,$A1494),""))</f>
        <v/>
      </c>
      <c r="T1494" s="64" t="str">
        <f>IFERROR(__xludf.DUMMYFUNCTION("IF($A1494="""","""",IFERROR(TEXTJOIN("", "",TRUE,UNIQUE(FILTER(Candidates!$B$2:$B$2000,Candidates!$A$2:$A$2000=$A1494))),""""))"),"")</f>
        <v/>
      </c>
      <c r="U1494" s="66" t="str">
        <f>IF($A1494="","",COUNTIF(Candidates!$A$2:$A$2000,$A1494))</f>
        <v/>
      </c>
      <c r="V1494" s="64" t="str">
        <f>IFERROR(__xludf.DUMMYFUNCTION("IF($A1494="""","""",IFERROR(INDEX(FILTER(Candidates!$S$2:$S$2000,Candidates!$A$2:$A$2000=$A1494),COUNTIF(Candidates!$A$2:$A$2000,$A1494)),""""))"),"")</f>
        <v/>
      </c>
      <c r="W1494" s="64" t="str">
        <f>IFERROR(__xludf.DUMMYFUNCTION("IF($A1494="""","""",IFERROR(INDEX(FILTER(Candidates!$T$2:$T$2000,Candidates!$A$2:$A$2000=$A1494),COUNTIF(Candidates!$A$2:$A$2000,$A1494)),""""))"),"")</f>
        <v/>
      </c>
      <c r="X1494" s="64"/>
      <c r="Y1494" s="64"/>
      <c r="Z1494" s="65"/>
      <c r="AA1494" s="65"/>
      <c r="AB1494" s="65"/>
      <c r="AC1494" s="65"/>
    </row>
    <row r="1495">
      <c r="A1495" s="64"/>
      <c r="B1495" s="64"/>
      <c r="C1495" s="64"/>
      <c r="D1495" s="64"/>
      <c r="E1495" s="64"/>
      <c r="F1495" s="64"/>
      <c r="G1495" s="64"/>
      <c r="H1495" s="63"/>
      <c r="I1495" s="64"/>
      <c r="J1495" s="64"/>
      <c r="K1495" s="64"/>
      <c r="L1495" s="64"/>
      <c r="M1495" s="64"/>
      <c r="N1495" s="64"/>
      <c r="O1495" s="64"/>
      <c r="P1495" s="64"/>
      <c r="Q1495" s="64"/>
      <c r="R1495" s="65" t="str">
        <f>IF($A1495="","",IFERROR(MINIFS(Candidates!$K$2:$K$2000,Candidates!$A$2:$A$2000,$A1495),""))</f>
        <v/>
      </c>
      <c r="S1495" s="65" t="str">
        <f>IF($A1495="","",IFERROR(MAXIFS(Candidates!$AA$2:$AA$2000,Candidates!$A$2:$A$2000,$A1495),""))</f>
        <v/>
      </c>
      <c r="T1495" s="64" t="str">
        <f>IFERROR(__xludf.DUMMYFUNCTION("IF($A1495="""","""",IFERROR(TEXTJOIN("", "",TRUE,UNIQUE(FILTER(Candidates!$B$2:$B$2000,Candidates!$A$2:$A$2000=$A1495))),""""))"),"")</f>
        <v/>
      </c>
      <c r="U1495" s="66" t="str">
        <f>IF($A1495="","",COUNTIF(Candidates!$A$2:$A$2000,$A1495))</f>
        <v/>
      </c>
      <c r="V1495" s="64" t="str">
        <f>IFERROR(__xludf.DUMMYFUNCTION("IF($A1495="""","""",IFERROR(INDEX(FILTER(Candidates!$S$2:$S$2000,Candidates!$A$2:$A$2000=$A1495),COUNTIF(Candidates!$A$2:$A$2000,$A1495)),""""))"),"")</f>
        <v/>
      </c>
      <c r="W1495" s="64" t="str">
        <f>IFERROR(__xludf.DUMMYFUNCTION("IF($A1495="""","""",IFERROR(INDEX(FILTER(Candidates!$T$2:$T$2000,Candidates!$A$2:$A$2000=$A1495),COUNTIF(Candidates!$A$2:$A$2000,$A1495)),""""))"),"")</f>
        <v/>
      </c>
      <c r="X1495" s="64"/>
      <c r="Y1495" s="64"/>
      <c r="Z1495" s="65"/>
      <c r="AA1495" s="65"/>
      <c r="AB1495" s="65"/>
      <c r="AC1495" s="65"/>
    </row>
    <row r="1496">
      <c r="A1496" s="64"/>
      <c r="B1496" s="64"/>
      <c r="C1496" s="64"/>
      <c r="D1496" s="64"/>
      <c r="E1496" s="64"/>
      <c r="F1496" s="64"/>
      <c r="G1496" s="64"/>
      <c r="H1496" s="63"/>
      <c r="I1496" s="64"/>
      <c r="J1496" s="64"/>
      <c r="K1496" s="64"/>
      <c r="L1496" s="64"/>
      <c r="M1496" s="64"/>
      <c r="N1496" s="64"/>
      <c r="O1496" s="64"/>
      <c r="P1496" s="64"/>
      <c r="Q1496" s="64"/>
      <c r="R1496" s="65" t="str">
        <f>IF($A1496="","",IFERROR(MINIFS(Candidates!$K$2:$K$2000,Candidates!$A$2:$A$2000,$A1496),""))</f>
        <v/>
      </c>
      <c r="S1496" s="65" t="str">
        <f>IF($A1496="","",IFERROR(MAXIFS(Candidates!$AA$2:$AA$2000,Candidates!$A$2:$A$2000,$A1496),""))</f>
        <v/>
      </c>
      <c r="T1496" s="64" t="str">
        <f>IFERROR(__xludf.DUMMYFUNCTION("IF($A1496="""","""",IFERROR(TEXTJOIN("", "",TRUE,UNIQUE(FILTER(Candidates!$B$2:$B$2000,Candidates!$A$2:$A$2000=$A1496))),""""))"),"")</f>
        <v/>
      </c>
      <c r="U1496" s="66" t="str">
        <f>IF($A1496="","",COUNTIF(Candidates!$A$2:$A$2000,$A1496))</f>
        <v/>
      </c>
      <c r="V1496" s="64" t="str">
        <f>IFERROR(__xludf.DUMMYFUNCTION("IF($A1496="""","""",IFERROR(INDEX(FILTER(Candidates!$S$2:$S$2000,Candidates!$A$2:$A$2000=$A1496),COUNTIF(Candidates!$A$2:$A$2000,$A1496)),""""))"),"")</f>
        <v/>
      </c>
      <c r="W1496" s="64" t="str">
        <f>IFERROR(__xludf.DUMMYFUNCTION("IF($A1496="""","""",IFERROR(INDEX(FILTER(Candidates!$T$2:$T$2000,Candidates!$A$2:$A$2000=$A1496),COUNTIF(Candidates!$A$2:$A$2000,$A1496)),""""))"),"")</f>
        <v/>
      </c>
      <c r="X1496" s="64"/>
      <c r="Y1496" s="64"/>
      <c r="Z1496" s="65"/>
      <c r="AA1496" s="65"/>
      <c r="AB1496" s="65"/>
      <c r="AC1496" s="65"/>
    </row>
    <row r="1497">
      <c r="A1497" s="64"/>
      <c r="B1497" s="64"/>
      <c r="C1497" s="64"/>
      <c r="D1497" s="64"/>
      <c r="E1497" s="64"/>
      <c r="F1497" s="64"/>
      <c r="G1497" s="64"/>
      <c r="H1497" s="63"/>
      <c r="I1497" s="64"/>
      <c r="J1497" s="64"/>
      <c r="K1497" s="64"/>
      <c r="L1497" s="64"/>
      <c r="M1497" s="64"/>
      <c r="N1497" s="64"/>
      <c r="O1497" s="64"/>
      <c r="P1497" s="64"/>
      <c r="Q1497" s="64"/>
      <c r="R1497" s="65" t="str">
        <f>IF($A1497="","",IFERROR(MINIFS(Candidates!$K$2:$K$2000,Candidates!$A$2:$A$2000,$A1497),""))</f>
        <v/>
      </c>
      <c r="S1497" s="65" t="str">
        <f>IF($A1497="","",IFERROR(MAXIFS(Candidates!$AA$2:$AA$2000,Candidates!$A$2:$A$2000,$A1497),""))</f>
        <v/>
      </c>
      <c r="T1497" s="64" t="str">
        <f>IFERROR(__xludf.DUMMYFUNCTION("IF($A1497="""","""",IFERROR(TEXTJOIN("", "",TRUE,UNIQUE(FILTER(Candidates!$B$2:$B$2000,Candidates!$A$2:$A$2000=$A1497))),""""))"),"")</f>
        <v/>
      </c>
      <c r="U1497" s="66" t="str">
        <f>IF($A1497="","",COUNTIF(Candidates!$A$2:$A$2000,$A1497))</f>
        <v/>
      </c>
      <c r="V1497" s="64" t="str">
        <f>IFERROR(__xludf.DUMMYFUNCTION("IF($A1497="""","""",IFERROR(INDEX(FILTER(Candidates!$S$2:$S$2000,Candidates!$A$2:$A$2000=$A1497),COUNTIF(Candidates!$A$2:$A$2000,$A1497)),""""))"),"")</f>
        <v/>
      </c>
      <c r="W1497" s="64" t="str">
        <f>IFERROR(__xludf.DUMMYFUNCTION("IF($A1497="""","""",IFERROR(INDEX(FILTER(Candidates!$T$2:$T$2000,Candidates!$A$2:$A$2000=$A1497),COUNTIF(Candidates!$A$2:$A$2000,$A1497)),""""))"),"")</f>
        <v/>
      </c>
      <c r="X1497" s="64"/>
      <c r="Y1497" s="64"/>
      <c r="Z1497" s="65"/>
      <c r="AA1497" s="65"/>
      <c r="AB1497" s="65"/>
      <c r="AC1497" s="65"/>
    </row>
    <row r="1498">
      <c r="A1498" s="64"/>
      <c r="B1498" s="64"/>
      <c r="C1498" s="64"/>
      <c r="D1498" s="64"/>
      <c r="E1498" s="64"/>
      <c r="F1498" s="64"/>
      <c r="G1498" s="64"/>
      <c r="H1498" s="63"/>
      <c r="I1498" s="64"/>
      <c r="J1498" s="64"/>
      <c r="K1498" s="64"/>
      <c r="L1498" s="64"/>
      <c r="M1498" s="64"/>
      <c r="N1498" s="64"/>
      <c r="O1498" s="64"/>
      <c r="P1498" s="64"/>
      <c r="Q1498" s="64"/>
      <c r="R1498" s="65" t="str">
        <f>IF($A1498="","",IFERROR(MINIFS(Candidates!$K$2:$K$2000,Candidates!$A$2:$A$2000,$A1498),""))</f>
        <v/>
      </c>
      <c r="S1498" s="65" t="str">
        <f>IF($A1498="","",IFERROR(MAXIFS(Candidates!$AA$2:$AA$2000,Candidates!$A$2:$A$2000,$A1498),""))</f>
        <v/>
      </c>
      <c r="T1498" s="64" t="str">
        <f>IFERROR(__xludf.DUMMYFUNCTION("IF($A1498="""","""",IFERROR(TEXTJOIN("", "",TRUE,UNIQUE(FILTER(Candidates!$B$2:$B$2000,Candidates!$A$2:$A$2000=$A1498))),""""))"),"")</f>
        <v/>
      </c>
      <c r="U1498" s="66" t="str">
        <f>IF($A1498="","",COUNTIF(Candidates!$A$2:$A$2000,$A1498))</f>
        <v/>
      </c>
      <c r="V1498" s="64" t="str">
        <f>IFERROR(__xludf.DUMMYFUNCTION("IF($A1498="""","""",IFERROR(INDEX(FILTER(Candidates!$S$2:$S$2000,Candidates!$A$2:$A$2000=$A1498),COUNTIF(Candidates!$A$2:$A$2000,$A1498)),""""))"),"")</f>
        <v/>
      </c>
      <c r="W1498" s="64" t="str">
        <f>IFERROR(__xludf.DUMMYFUNCTION("IF($A1498="""","""",IFERROR(INDEX(FILTER(Candidates!$T$2:$T$2000,Candidates!$A$2:$A$2000=$A1498),COUNTIF(Candidates!$A$2:$A$2000,$A1498)),""""))"),"")</f>
        <v/>
      </c>
      <c r="X1498" s="64"/>
      <c r="Y1498" s="64"/>
      <c r="Z1498" s="65"/>
      <c r="AA1498" s="65"/>
      <c r="AB1498" s="65"/>
      <c r="AC1498" s="65"/>
    </row>
    <row r="1499">
      <c r="A1499" s="64"/>
      <c r="B1499" s="64"/>
      <c r="C1499" s="64"/>
      <c r="D1499" s="64"/>
      <c r="E1499" s="64"/>
      <c r="F1499" s="64"/>
      <c r="G1499" s="64"/>
      <c r="H1499" s="63"/>
      <c r="I1499" s="64"/>
      <c r="J1499" s="64"/>
      <c r="K1499" s="64"/>
      <c r="L1499" s="64"/>
      <c r="M1499" s="64"/>
      <c r="N1499" s="64"/>
      <c r="O1499" s="64"/>
      <c r="P1499" s="64"/>
      <c r="Q1499" s="64"/>
      <c r="R1499" s="65" t="str">
        <f>IF($A1499="","",IFERROR(MINIFS(Candidates!$K$2:$K$2000,Candidates!$A$2:$A$2000,$A1499),""))</f>
        <v/>
      </c>
      <c r="S1499" s="65" t="str">
        <f>IF($A1499="","",IFERROR(MAXIFS(Candidates!$AA$2:$AA$2000,Candidates!$A$2:$A$2000,$A1499),""))</f>
        <v/>
      </c>
      <c r="T1499" s="64" t="str">
        <f>IFERROR(__xludf.DUMMYFUNCTION("IF($A1499="""","""",IFERROR(TEXTJOIN("", "",TRUE,UNIQUE(FILTER(Candidates!$B$2:$B$2000,Candidates!$A$2:$A$2000=$A1499))),""""))"),"")</f>
        <v/>
      </c>
      <c r="U1499" s="66" t="str">
        <f>IF($A1499="","",COUNTIF(Candidates!$A$2:$A$2000,$A1499))</f>
        <v/>
      </c>
      <c r="V1499" s="64" t="str">
        <f>IFERROR(__xludf.DUMMYFUNCTION("IF($A1499="""","""",IFERROR(INDEX(FILTER(Candidates!$S$2:$S$2000,Candidates!$A$2:$A$2000=$A1499),COUNTIF(Candidates!$A$2:$A$2000,$A1499)),""""))"),"")</f>
        <v/>
      </c>
      <c r="W1499" s="64" t="str">
        <f>IFERROR(__xludf.DUMMYFUNCTION("IF($A1499="""","""",IFERROR(INDEX(FILTER(Candidates!$T$2:$T$2000,Candidates!$A$2:$A$2000=$A1499),COUNTIF(Candidates!$A$2:$A$2000,$A1499)),""""))"),"")</f>
        <v/>
      </c>
      <c r="X1499" s="64"/>
      <c r="Y1499" s="64"/>
      <c r="Z1499" s="65"/>
      <c r="AA1499" s="65"/>
      <c r="AB1499" s="65"/>
      <c r="AC1499" s="65"/>
    </row>
    <row r="1500">
      <c r="A1500" s="64"/>
      <c r="B1500" s="64"/>
      <c r="C1500" s="64"/>
      <c r="D1500" s="64"/>
      <c r="E1500" s="64"/>
      <c r="F1500" s="64"/>
      <c r="G1500" s="64"/>
      <c r="H1500" s="63"/>
      <c r="I1500" s="64"/>
      <c r="J1500" s="64"/>
      <c r="K1500" s="64"/>
      <c r="L1500" s="64"/>
      <c r="M1500" s="64"/>
      <c r="N1500" s="64"/>
      <c r="O1500" s="64"/>
      <c r="P1500" s="64"/>
      <c r="Q1500" s="64"/>
      <c r="R1500" s="65" t="str">
        <f>IF($A1500="","",IFERROR(MINIFS(Candidates!$K$2:$K$2000,Candidates!$A$2:$A$2000,$A1500),""))</f>
        <v/>
      </c>
      <c r="S1500" s="65" t="str">
        <f>IF($A1500="","",IFERROR(MAXIFS(Candidates!$AA$2:$AA$2000,Candidates!$A$2:$A$2000,$A1500),""))</f>
        <v/>
      </c>
      <c r="T1500" s="64" t="str">
        <f>IFERROR(__xludf.DUMMYFUNCTION("IF($A1500="""","""",IFERROR(TEXTJOIN("", "",TRUE,UNIQUE(FILTER(Candidates!$B$2:$B$2000,Candidates!$A$2:$A$2000=$A1500))),""""))"),"")</f>
        <v/>
      </c>
      <c r="U1500" s="66" t="str">
        <f>IF($A1500="","",COUNTIF(Candidates!$A$2:$A$2000,$A1500))</f>
        <v/>
      </c>
      <c r="V1500" s="64" t="str">
        <f>IFERROR(__xludf.DUMMYFUNCTION("IF($A1500="""","""",IFERROR(INDEX(FILTER(Candidates!$S$2:$S$2000,Candidates!$A$2:$A$2000=$A1500),COUNTIF(Candidates!$A$2:$A$2000,$A1500)),""""))"),"")</f>
        <v/>
      </c>
      <c r="W1500" s="64" t="str">
        <f>IFERROR(__xludf.DUMMYFUNCTION("IF($A1500="""","""",IFERROR(INDEX(FILTER(Candidates!$T$2:$T$2000,Candidates!$A$2:$A$2000=$A1500),COUNTIF(Candidates!$A$2:$A$2000,$A1500)),""""))"),"")</f>
        <v/>
      </c>
      <c r="X1500" s="64"/>
      <c r="Y1500" s="64"/>
      <c r="Z1500" s="65"/>
      <c r="AA1500" s="65"/>
      <c r="AB1500" s="65"/>
      <c r="AC1500" s="65"/>
    </row>
    <row r="1501">
      <c r="A1501" s="64"/>
      <c r="B1501" s="64"/>
      <c r="C1501" s="64"/>
      <c r="D1501" s="64"/>
      <c r="E1501" s="64"/>
      <c r="F1501" s="64"/>
      <c r="G1501" s="64"/>
      <c r="H1501" s="63"/>
      <c r="I1501" s="64"/>
      <c r="J1501" s="64"/>
      <c r="K1501" s="64"/>
      <c r="L1501" s="64"/>
      <c r="M1501" s="64"/>
      <c r="N1501" s="64"/>
      <c r="O1501" s="64"/>
      <c r="P1501" s="64"/>
      <c r="Q1501" s="64"/>
      <c r="R1501" s="65" t="str">
        <f>IF($A1501="","",IFERROR(MINIFS(Candidates!$K$2:$K$2000,Candidates!$A$2:$A$2000,$A1501),""))</f>
        <v/>
      </c>
      <c r="S1501" s="65" t="str">
        <f>IF($A1501="","",IFERROR(MAXIFS(Candidates!$AA$2:$AA$2000,Candidates!$A$2:$A$2000,$A1501),""))</f>
        <v/>
      </c>
      <c r="T1501" s="64" t="str">
        <f>IFERROR(__xludf.DUMMYFUNCTION("IF($A1501="""","""",IFERROR(TEXTJOIN("", "",TRUE,UNIQUE(FILTER(Candidates!$B$2:$B$2000,Candidates!$A$2:$A$2000=$A1501))),""""))"),"")</f>
        <v/>
      </c>
      <c r="U1501" s="66" t="str">
        <f>IF($A1501="","",COUNTIF(Candidates!$A$2:$A$2000,$A1501))</f>
        <v/>
      </c>
      <c r="V1501" s="64" t="str">
        <f>IFERROR(__xludf.DUMMYFUNCTION("IF($A1501="""","""",IFERROR(INDEX(FILTER(Candidates!$S$2:$S$2000,Candidates!$A$2:$A$2000=$A1501),COUNTIF(Candidates!$A$2:$A$2000,$A1501)),""""))"),"")</f>
        <v/>
      </c>
      <c r="W1501" s="64" t="str">
        <f>IFERROR(__xludf.DUMMYFUNCTION("IF($A1501="""","""",IFERROR(INDEX(FILTER(Candidates!$T$2:$T$2000,Candidates!$A$2:$A$2000=$A1501),COUNTIF(Candidates!$A$2:$A$2000,$A1501)),""""))"),"")</f>
        <v/>
      </c>
      <c r="X1501" s="64"/>
      <c r="Y1501" s="64"/>
      <c r="Z1501" s="65"/>
      <c r="AA1501" s="65"/>
      <c r="AB1501" s="65"/>
      <c r="AC1501" s="65"/>
    </row>
    <row r="1502">
      <c r="A1502" s="64"/>
      <c r="B1502" s="64"/>
      <c r="C1502" s="64"/>
      <c r="D1502" s="64"/>
      <c r="E1502" s="64"/>
      <c r="F1502" s="64"/>
      <c r="G1502" s="64"/>
      <c r="H1502" s="63"/>
      <c r="I1502" s="64"/>
      <c r="J1502" s="64"/>
      <c r="K1502" s="64"/>
      <c r="L1502" s="64"/>
      <c r="M1502" s="64"/>
      <c r="N1502" s="64"/>
      <c r="O1502" s="64"/>
      <c r="P1502" s="64"/>
      <c r="Q1502" s="64"/>
      <c r="R1502" s="65" t="str">
        <f>IF($A1502="","",IFERROR(MINIFS(Candidates!$K$2:$K$2000,Candidates!$A$2:$A$2000,$A1502),""))</f>
        <v/>
      </c>
      <c r="S1502" s="65" t="str">
        <f>IF($A1502="","",IFERROR(MAXIFS(Candidates!$AA$2:$AA$2000,Candidates!$A$2:$A$2000,$A1502),""))</f>
        <v/>
      </c>
      <c r="T1502" s="64" t="str">
        <f>IFERROR(__xludf.DUMMYFUNCTION("IF($A1502="""","""",IFERROR(TEXTJOIN("", "",TRUE,UNIQUE(FILTER(Candidates!$B$2:$B$2000,Candidates!$A$2:$A$2000=$A1502))),""""))"),"")</f>
        <v/>
      </c>
      <c r="U1502" s="66" t="str">
        <f>IF($A1502="","",COUNTIF(Candidates!$A$2:$A$2000,$A1502))</f>
        <v/>
      </c>
      <c r="V1502" s="64" t="str">
        <f>IFERROR(__xludf.DUMMYFUNCTION("IF($A1502="""","""",IFERROR(INDEX(FILTER(Candidates!$S$2:$S$2000,Candidates!$A$2:$A$2000=$A1502),COUNTIF(Candidates!$A$2:$A$2000,$A1502)),""""))"),"")</f>
        <v/>
      </c>
      <c r="W1502" s="64" t="str">
        <f>IFERROR(__xludf.DUMMYFUNCTION("IF($A1502="""","""",IFERROR(INDEX(FILTER(Candidates!$T$2:$T$2000,Candidates!$A$2:$A$2000=$A1502),COUNTIF(Candidates!$A$2:$A$2000,$A1502)),""""))"),"")</f>
        <v/>
      </c>
      <c r="X1502" s="64"/>
      <c r="Y1502" s="64"/>
      <c r="Z1502" s="65"/>
      <c r="AA1502" s="65"/>
      <c r="AB1502" s="65"/>
      <c r="AC1502" s="65"/>
    </row>
    <row r="1503">
      <c r="A1503" s="64"/>
      <c r="B1503" s="64"/>
      <c r="C1503" s="64"/>
      <c r="D1503" s="64"/>
      <c r="E1503" s="64"/>
      <c r="F1503" s="64"/>
      <c r="G1503" s="64"/>
      <c r="H1503" s="63"/>
      <c r="I1503" s="64"/>
      <c r="J1503" s="64"/>
      <c r="K1503" s="64"/>
      <c r="L1503" s="64"/>
      <c r="M1503" s="64"/>
      <c r="N1503" s="64"/>
      <c r="O1503" s="64"/>
      <c r="P1503" s="64"/>
      <c r="Q1503" s="64"/>
      <c r="R1503" s="65" t="str">
        <f>IF($A1503="","",IFERROR(MINIFS(Candidates!$K$2:$K$2000,Candidates!$A$2:$A$2000,$A1503),""))</f>
        <v/>
      </c>
      <c r="S1503" s="65" t="str">
        <f>IF($A1503="","",IFERROR(MAXIFS(Candidates!$AA$2:$AA$2000,Candidates!$A$2:$A$2000,$A1503),""))</f>
        <v/>
      </c>
      <c r="T1503" s="64" t="str">
        <f>IFERROR(__xludf.DUMMYFUNCTION("IF($A1503="""","""",IFERROR(TEXTJOIN("", "",TRUE,UNIQUE(FILTER(Candidates!$B$2:$B$2000,Candidates!$A$2:$A$2000=$A1503))),""""))"),"")</f>
        <v/>
      </c>
      <c r="U1503" s="66" t="str">
        <f>IF($A1503="","",COUNTIF(Candidates!$A$2:$A$2000,$A1503))</f>
        <v/>
      </c>
      <c r="V1503" s="64" t="str">
        <f>IFERROR(__xludf.DUMMYFUNCTION("IF($A1503="""","""",IFERROR(INDEX(FILTER(Candidates!$S$2:$S$2000,Candidates!$A$2:$A$2000=$A1503),COUNTIF(Candidates!$A$2:$A$2000,$A1503)),""""))"),"")</f>
        <v/>
      </c>
      <c r="W1503" s="64" t="str">
        <f>IFERROR(__xludf.DUMMYFUNCTION("IF($A1503="""","""",IFERROR(INDEX(FILTER(Candidates!$T$2:$T$2000,Candidates!$A$2:$A$2000=$A1503),COUNTIF(Candidates!$A$2:$A$2000,$A1503)),""""))"),"")</f>
        <v/>
      </c>
      <c r="X1503" s="64"/>
      <c r="Y1503" s="64"/>
      <c r="Z1503" s="65"/>
      <c r="AA1503" s="65"/>
      <c r="AB1503" s="65"/>
      <c r="AC1503" s="65"/>
    </row>
    <row r="1504">
      <c r="A1504" s="64"/>
      <c r="B1504" s="64"/>
      <c r="C1504" s="64"/>
      <c r="D1504" s="64"/>
      <c r="E1504" s="64"/>
      <c r="F1504" s="64"/>
      <c r="G1504" s="64"/>
      <c r="H1504" s="63"/>
      <c r="I1504" s="64"/>
      <c r="J1504" s="64"/>
      <c r="K1504" s="64"/>
      <c r="L1504" s="64"/>
      <c r="M1504" s="64"/>
      <c r="N1504" s="64"/>
      <c r="O1504" s="64"/>
      <c r="P1504" s="64"/>
      <c r="Q1504" s="64"/>
      <c r="R1504" s="65" t="str">
        <f>IF($A1504="","",IFERROR(MINIFS(Candidates!$K$2:$K$2000,Candidates!$A$2:$A$2000,$A1504),""))</f>
        <v/>
      </c>
      <c r="S1504" s="65" t="str">
        <f>IF($A1504="","",IFERROR(MAXIFS(Candidates!$AA$2:$AA$2000,Candidates!$A$2:$A$2000,$A1504),""))</f>
        <v/>
      </c>
      <c r="T1504" s="64" t="str">
        <f>IFERROR(__xludf.DUMMYFUNCTION("IF($A1504="""","""",IFERROR(TEXTJOIN("", "",TRUE,UNIQUE(FILTER(Candidates!$B$2:$B$2000,Candidates!$A$2:$A$2000=$A1504))),""""))"),"")</f>
        <v/>
      </c>
      <c r="U1504" s="66" t="str">
        <f>IF($A1504="","",COUNTIF(Candidates!$A$2:$A$2000,$A1504))</f>
        <v/>
      </c>
      <c r="V1504" s="64" t="str">
        <f>IFERROR(__xludf.DUMMYFUNCTION("IF($A1504="""","""",IFERROR(INDEX(FILTER(Candidates!$S$2:$S$2000,Candidates!$A$2:$A$2000=$A1504),COUNTIF(Candidates!$A$2:$A$2000,$A1504)),""""))"),"")</f>
        <v/>
      </c>
      <c r="W1504" s="64" t="str">
        <f>IFERROR(__xludf.DUMMYFUNCTION("IF($A1504="""","""",IFERROR(INDEX(FILTER(Candidates!$T$2:$T$2000,Candidates!$A$2:$A$2000=$A1504),COUNTIF(Candidates!$A$2:$A$2000,$A1504)),""""))"),"")</f>
        <v/>
      </c>
      <c r="X1504" s="64"/>
      <c r="Y1504" s="64"/>
      <c r="Z1504" s="65"/>
      <c r="AA1504" s="65"/>
      <c r="AB1504" s="65"/>
      <c r="AC1504" s="65"/>
    </row>
    <row r="1505">
      <c r="A1505" s="64"/>
      <c r="B1505" s="64"/>
      <c r="C1505" s="64"/>
      <c r="D1505" s="64"/>
      <c r="E1505" s="64"/>
      <c r="F1505" s="64"/>
      <c r="G1505" s="64"/>
      <c r="H1505" s="63"/>
      <c r="I1505" s="64"/>
      <c r="J1505" s="64"/>
      <c r="K1505" s="64"/>
      <c r="L1505" s="64"/>
      <c r="M1505" s="64"/>
      <c r="N1505" s="64"/>
      <c r="O1505" s="64"/>
      <c r="P1505" s="64"/>
      <c r="Q1505" s="64"/>
      <c r="R1505" s="65" t="str">
        <f>IF($A1505="","",IFERROR(MINIFS(Candidates!$K$2:$K$2000,Candidates!$A$2:$A$2000,$A1505),""))</f>
        <v/>
      </c>
      <c r="S1505" s="65" t="str">
        <f>IF($A1505="","",IFERROR(MAXIFS(Candidates!$AA$2:$AA$2000,Candidates!$A$2:$A$2000,$A1505),""))</f>
        <v/>
      </c>
      <c r="T1505" s="64" t="str">
        <f>IFERROR(__xludf.DUMMYFUNCTION("IF($A1505="""","""",IFERROR(TEXTJOIN("", "",TRUE,UNIQUE(FILTER(Candidates!$B$2:$B$2000,Candidates!$A$2:$A$2000=$A1505))),""""))"),"")</f>
        <v/>
      </c>
      <c r="U1505" s="66" t="str">
        <f>IF($A1505="","",COUNTIF(Candidates!$A$2:$A$2000,$A1505))</f>
        <v/>
      </c>
      <c r="V1505" s="64" t="str">
        <f>IFERROR(__xludf.DUMMYFUNCTION("IF($A1505="""","""",IFERROR(INDEX(FILTER(Candidates!$S$2:$S$2000,Candidates!$A$2:$A$2000=$A1505),COUNTIF(Candidates!$A$2:$A$2000,$A1505)),""""))"),"")</f>
        <v/>
      </c>
      <c r="W1505" s="64" t="str">
        <f>IFERROR(__xludf.DUMMYFUNCTION("IF($A1505="""","""",IFERROR(INDEX(FILTER(Candidates!$T$2:$T$2000,Candidates!$A$2:$A$2000=$A1505),COUNTIF(Candidates!$A$2:$A$2000,$A1505)),""""))"),"")</f>
        <v/>
      </c>
      <c r="X1505" s="64"/>
      <c r="Y1505" s="64"/>
      <c r="Z1505" s="65"/>
      <c r="AA1505" s="65"/>
      <c r="AB1505" s="65"/>
      <c r="AC1505" s="65"/>
    </row>
    <row r="1506">
      <c r="A1506" s="64"/>
      <c r="B1506" s="64"/>
      <c r="C1506" s="64"/>
      <c r="D1506" s="64"/>
      <c r="E1506" s="64"/>
      <c r="F1506" s="64"/>
      <c r="G1506" s="64"/>
      <c r="H1506" s="63"/>
      <c r="I1506" s="64"/>
      <c r="J1506" s="64"/>
      <c r="K1506" s="64"/>
      <c r="L1506" s="64"/>
      <c r="M1506" s="64"/>
      <c r="N1506" s="64"/>
      <c r="O1506" s="64"/>
      <c r="P1506" s="64"/>
      <c r="Q1506" s="64"/>
      <c r="R1506" s="65" t="str">
        <f>IF($A1506="","",IFERROR(MINIFS(Candidates!$K$2:$K$2000,Candidates!$A$2:$A$2000,$A1506),""))</f>
        <v/>
      </c>
      <c r="S1506" s="65" t="str">
        <f>IF($A1506="","",IFERROR(MAXIFS(Candidates!$AA$2:$AA$2000,Candidates!$A$2:$A$2000,$A1506),""))</f>
        <v/>
      </c>
      <c r="T1506" s="64" t="str">
        <f>IFERROR(__xludf.DUMMYFUNCTION("IF($A1506="""","""",IFERROR(TEXTJOIN("", "",TRUE,UNIQUE(FILTER(Candidates!$B$2:$B$2000,Candidates!$A$2:$A$2000=$A1506))),""""))"),"")</f>
        <v/>
      </c>
      <c r="U1506" s="66" t="str">
        <f>IF($A1506="","",COUNTIF(Candidates!$A$2:$A$2000,$A1506))</f>
        <v/>
      </c>
      <c r="V1506" s="64" t="str">
        <f>IFERROR(__xludf.DUMMYFUNCTION("IF($A1506="""","""",IFERROR(INDEX(FILTER(Candidates!$S$2:$S$2000,Candidates!$A$2:$A$2000=$A1506),COUNTIF(Candidates!$A$2:$A$2000,$A1506)),""""))"),"")</f>
        <v/>
      </c>
      <c r="W1506" s="64" t="str">
        <f>IFERROR(__xludf.DUMMYFUNCTION("IF($A1506="""","""",IFERROR(INDEX(FILTER(Candidates!$T$2:$T$2000,Candidates!$A$2:$A$2000=$A1506),COUNTIF(Candidates!$A$2:$A$2000,$A1506)),""""))"),"")</f>
        <v/>
      </c>
      <c r="X1506" s="64"/>
      <c r="Y1506" s="64"/>
      <c r="Z1506" s="65"/>
      <c r="AA1506" s="65"/>
      <c r="AB1506" s="65"/>
      <c r="AC1506" s="65"/>
    </row>
    <row r="1507">
      <c r="A1507" s="64"/>
      <c r="B1507" s="64"/>
      <c r="C1507" s="64"/>
      <c r="D1507" s="64"/>
      <c r="E1507" s="64"/>
      <c r="F1507" s="64"/>
      <c r="G1507" s="64"/>
      <c r="H1507" s="63"/>
      <c r="I1507" s="64"/>
      <c r="J1507" s="64"/>
      <c r="K1507" s="64"/>
      <c r="L1507" s="64"/>
      <c r="M1507" s="64"/>
      <c r="N1507" s="64"/>
      <c r="O1507" s="64"/>
      <c r="P1507" s="64"/>
      <c r="Q1507" s="64"/>
      <c r="R1507" s="65" t="str">
        <f>IF($A1507="","",IFERROR(MINIFS(Candidates!$K$2:$K$2000,Candidates!$A$2:$A$2000,$A1507),""))</f>
        <v/>
      </c>
      <c r="S1507" s="65" t="str">
        <f>IF($A1507="","",IFERROR(MAXIFS(Candidates!$AA$2:$AA$2000,Candidates!$A$2:$A$2000,$A1507),""))</f>
        <v/>
      </c>
      <c r="T1507" s="64" t="str">
        <f>IFERROR(__xludf.DUMMYFUNCTION("IF($A1507="""","""",IFERROR(TEXTJOIN("", "",TRUE,UNIQUE(FILTER(Candidates!$B$2:$B$2000,Candidates!$A$2:$A$2000=$A1507))),""""))"),"")</f>
        <v/>
      </c>
      <c r="U1507" s="66" t="str">
        <f>IF($A1507="","",COUNTIF(Candidates!$A$2:$A$2000,$A1507))</f>
        <v/>
      </c>
      <c r="V1507" s="64" t="str">
        <f>IFERROR(__xludf.DUMMYFUNCTION("IF($A1507="""","""",IFERROR(INDEX(FILTER(Candidates!$S$2:$S$2000,Candidates!$A$2:$A$2000=$A1507),COUNTIF(Candidates!$A$2:$A$2000,$A1507)),""""))"),"")</f>
        <v/>
      </c>
      <c r="W1507" s="64" t="str">
        <f>IFERROR(__xludf.DUMMYFUNCTION("IF($A1507="""","""",IFERROR(INDEX(FILTER(Candidates!$T$2:$T$2000,Candidates!$A$2:$A$2000=$A1507),COUNTIF(Candidates!$A$2:$A$2000,$A1507)),""""))"),"")</f>
        <v/>
      </c>
      <c r="X1507" s="64"/>
      <c r="Y1507" s="64"/>
      <c r="Z1507" s="65"/>
      <c r="AA1507" s="65"/>
      <c r="AB1507" s="65"/>
      <c r="AC1507" s="65"/>
    </row>
    <row r="1508">
      <c r="A1508" s="64"/>
      <c r="B1508" s="64"/>
      <c r="C1508" s="64"/>
      <c r="D1508" s="64"/>
      <c r="E1508" s="64"/>
      <c r="F1508" s="64"/>
      <c r="G1508" s="64"/>
      <c r="H1508" s="63"/>
      <c r="I1508" s="64"/>
      <c r="J1508" s="64"/>
      <c r="K1508" s="64"/>
      <c r="L1508" s="64"/>
      <c r="M1508" s="64"/>
      <c r="N1508" s="64"/>
      <c r="O1508" s="64"/>
      <c r="P1508" s="64"/>
      <c r="Q1508" s="64"/>
      <c r="R1508" s="65" t="str">
        <f>IF($A1508="","",IFERROR(MINIFS(Candidates!$K$2:$K$2000,Candidates!$A$2:$A$2000,$A1508),""))</f>
        <v/>
      </c>
      <c r="S1508" s="65" t="str">
        <f>IF($A1508="","",IFERROR(MAXIFS(Candidates!$AA$2:$AA$2000,Candidates!$A$2:$A$2000,$A1508),""))</f>
        <v/>
      </c>
      <c r="T1508" s="64" t="str">
        <f>IFERROR(__xludf.DUMMYFUNCTION("IF($A1508="""","""",IFERROR(TEXTJOIN("", "",TRUE,UNIQUE(FILTER(Candidates!$B$2:$B$2000,Candidates!$A$2:$A$2000=$A1508))),""""))"),"")</f>
        <v/>
      </c>
      <c r="U1508" s="66" t="str">
        <f>IF($A1508="","",COUNTIF(Candidates!$A$2:$A$2000,$A1508))</f>
        <v/>
      </c>
      <c r="V1508" s="64" t="str">
        <f>IFERROR(__xludf.DUMMYFUNCTION("IF($A1508="""","""",IFERROR(INDEX(FILTER(Candidates!$S$2:$S$2000,Candidates!$A$2:$A$2000=$A1508),COUNTIF(Candidates!$A$2:$A$2000,$A1508)),""""))"),"")</f>
        <v/>
      </c>
      <c r="W1508" s="64" t="str">
        <f>IFERROR(__xludf.DUMMYFUNCTION("IF($A1508="""","""",IFERROR(INDEX(FILTER(Candidates!$T$2:$T$2000,Candidates!$A$2:$A$2000=$A1508),COUNTIF(Candidates!$A$2:$A$2000,$A1508)),""""))"),"")</f>
        <v/>
      </c>
      <c r="X1508" s="64"/>
      <c r="Y1508" s="64"/>
      <c r="Z1508" s="65"/>
      <c r="AA1508" s="65"/>
      <c r="AB1508" s="65"/>
      <c r="AC1508" s="65"/>
    </row>
    <row r="1509">
      <c r="A1509" s="64"/>
      <c r="B1509" s="64"/>
      <c r="C1509" s="64"/>
      <c r="D1509" s="64"/>
      <c r="E1509" s="64"/>
      <c r="F1509" s="64"/>
      <c r="G1509" s="64"/>
      <c r="H1509" s="63"/>
      <c r="I1509" s="64"/>
      <c r="J1509" s="64"/>
      <c r="K1509" s="64"/>
      <c r="L1509" s="64"/>
      <c r="M1509" s="64"/>
      <c r="N1509" s="64"/>
      <c r="O1509" s="64"/>
      <c r="P1509" s="64"/>
      <c r="Q1509" s="64"/>
      <c r="R1509" s="65" t="str">
        <f>IF($A1509="","",IFERROR(MINIFS(Candidates!$K$2:$K$2000,Candidates!$A$2:$A$2000,$A1509),""))</f>
        <v/>
      </c>
      <c r="S1509" s="65" t="str">
        <f>IF($A1509="","",IFERROR(MAXIFS(Candidates!$AA$2:$AA$2000,Candidates!$A$2:$A$2000,$A1509),""))</f>
        <v/>
      </c>
      <c r="T1509" s="64" t="str">
        <f>IFERROR(__xludf.DUMMYFUNCTION("IF($A1509="""","""",IFERROR(TEXTJOIN("", "",TRUE,UNIQUE(FILTER(Candidates!$B$2:$B$2000,Candidates!$A$2:$A$2000=$A1509))),""""))"),"")</f>
        <v/>
      </c>
      <c r="U1509" s="66" t="str">
        <f>IF($A1509="","",COUNTIF(Candidates!$A$2:$A$2000,$A1509))</f>
        <v/>
      </c>
      <c r="V1509" s="64" t="str">
        <f>IFERROR(__xludf.DUMMYFUNCTION("IF($A1509="""","""",IFERROR(INDEX(FILTER(Candidates!$S$2:$S$2000,Candidates!$A$2:$A$2000=$A1509),COUNTIF(Candidates!$A$2:$A$2000,$A1509)),""""))"),"")</f>
        <v/>
      </c>
      <c r="W1509" s="64" t="str">
        <f>IFERROR(__xludf.DUMMYFUNCTION("IF($A1509="""","""",IFERROR(INDEX(FILTER(Candidates!$T$2:$T$2000,Candidates!$A$2:$A$2000=$A1509),COUNTIF(Candidates!$A$2:$A$2000,$A1509)),""""))"),"")</f>
        <v/>
      </c>
      <c r="X1509" s="64"/>
      <c r="Y1509" s="64"/>
      <c r="Z1509" s="65"/>
      <c r="AA1509" s="65"/>
      <c r="AB1509" s="65"/>
      <c r="AC1509" s="65"/>
    </row>
    <row r="1510">
      <c r="A1510" s="64"/>
      <c r="B1510" s="64"/>
      <c r="C1510" s="64"/>
      <c r="D1510" s="64"/>
      <c r="E1510" s="64"/>
      <c r="F1510" s="64"/>
      <c r="G1510" s="64"/>
      <c r="H1510" s="63"/>
      <c r="I1510" s="64"/>
      <c r="J1510" s="64"/>
      <c r="K1510" s="64"/>
      <c r="L1510" s="64"/>
      <c r="M1510" s="64"/>
      <c r="N1510" s="64"/>
      <c r="O1510" s="64"/>
      <c r="P1510" s="64"/>
      <c r="Q1510" s="64"/>
      <c r="R1510" s="65" t="str">
        <f>IF($A1510="","",IFERROR(MINIFS(Candidates!$K$2:$K$2000,Candidates!$A$2:$A$2000,$A1510),""))</f>
        <v/>
      </c>
      <c r="S1510" s="65" t="str">
        <f>IF($A1510="","",IFERROR(MAXIFS(Candidates!$AA$2:$AA$2000,Candidates!$A$2:$A$2000,$A1510),""))</f>
        <v/>
      </c>
      <c r="T1510" s="64" t="str">
        <f>IFERROR(__xludf.DUMMYFUNCTION("IF($A1510="""","""",IFERROR(TEXTJOIN("", "",TRUE,UNIQUE(FILTER(Candidates!$B$2:$B$2000,Candidates!$A$2:$A$2000=$A1510))),""""))"),"")</f>
        <v/>
      </c>
      <c r="U1510" s="66" t="str">
        <f>IF($A1510="","",COUNTIF(Candidates!$A$2:$A$2000,$A1510))</f>
        <v/>
      </c>
      <c r="V1510" s="64" t="str">
        <f>IFERROR(__xludf.DUMMYFUNCTION("IF($A1510="""","""",IFERROR(INDEX(FILTER(Candidates!$S$2:$S$2000,Candidates!$A$2:$A$2000=$A1510),COUNTIF(Candidates!$A$2:$A$2000,$A1510)),""""))"),"")</f>
        <v/>
      </c>
      <c r="W1510" s="64" t="str">
        <f>IFERROR(__xludf.DUMMYFUNCTION("IF($A1510="""","""",IFERROR(INDEX(FILTER(Candidates!$T$2:$T$2000,Candidates!$A$2:$A$2000=$A1510),COUNTIF(Candidates!$A$2:$A$2000,$A1510)),""""))"),"")</f>
        <v/>
      </c>
      <c r="X1510" s="64"/>
      <c r="Y1510" s="64"/>
      <c r="Z1510" s="65"/>
      <c r="AA1510" s="65"/>
      <c r="AB1510" s="65"/>
      <c r="AC1510" s="65"/>
    </row>
    <row r="1511">
      <c r="A1511" s="64"/>
      <c r="B1511" s="64"/>
      <c r="C1511" s="64"/>
      <c r="D1511" s="64"/>
      <c r="E1511" s="64"/>
      <c r="F1511" s="64"/>
      <c r="G1511" s="64"/>
      <c r="H1511" s="63"/>
      <c r="I1511" s="64"/>
      <c r="J1511" s="64"/>
      <c r="K1511" s="64"/>
      <c r="L1511" s="64"/>
      <c r="M1511" s="64"/>
      <c r="N1511" s="64"/>
      <c r="O1511" s="64"/>
      <c r="P1511" s="64"/>
      <c r="Q1511" s="64"/>
      <c r="R1511" s="65" t="str">
        <f>IF($A1511="","",IFERROR(MINIFS(Candidates!$K$2:$K$2000,Candidates!$A$2:$A$2000,$A1511),""))</f>
        <v/>
      </c>
      <c r="S1511" s="65" t="str">
        <f>IF($A1511="","",IFERROR(MAXIFS(Candidates!$AA$2:$AA$2000,Candidates!$A$2:$A$2000,$A1511),""))</f>
        <v/>
      </c>
      <c r="T1511" s="64" t="str">
        <f>IFERROR(__xludf.DUMMYFUNCTION("IF($A1511="""","""",IFERROR(TEXTJOIN("", "",TRUE,UNIQUE(FILTER(Candidates!$B$2:$B$2000,Candidates!$A$2:$A$2000=$A1511))),""""))"),"")</f>
        <v/>
      </c>
      <c r="U1511" s="66" t="str">
        <f>IF($A1511="","",COUNTIF(Candidates!$A$2:$A$2000,$A1511))</f>
        <v/>
      </c>
      <c r="V1511" s="64" t="str">
        <f>IFERROR(__xludf.DUMMYFUNCTION("IF($A1511="""","""",IFERROR(INDEX(FILTER(Candidates!$S$2:$S$2000,Candidates!$A$2:$A$2000=$A1511),COUNTIF(Candidates!$A$2:$A$2000,$A1511)),""""))"),"")</f>
        <v/>
      </c>
      <c r="W1511" s="64" t="str">
        <f>IFERROR(__xludf.DUMMYFUNCTION("IF($A1511="""","""",IFERROR(INDEX(FILTER(Candidates!$T$2:$T$2000,Candidates!$A$2:$A$2000=$A1511),COUNTIF(Candidates!$A$2:$A$2000,$A1511)),""""))"),"")</f>
        <v/>
      </c>
      <c r="X1511" s="64"/>
      <c r="Y1511" s="64"/>
      <c r="Z1511" s="65"/>
      <c r="AA1511" s="65"/>
      <c r="AB1511" s="65"/>
      <c r="AC1511" s="65"/>
    </row>
    <row r="1512">
      <c r="A1512" s="64"/>
      <c r="B1512" s="64"/>
      <c r="C1512" s="64"/>
      <c r="D1512" s="64"/>
      <c r="E1512" s="64"/>
      <c r="F1512" s="64"/>
      <c r="G1512" s="64"/>
      <c r="H1512" s="63"/>
      <c r="I1512" s="64"/>
      <c r="J1512" s="64"/>
      <c r="K1512" s="64"/>
      <c r="L1512" s="64"/>
      <c r="M1512" s="64"/>
      <c r="N1512" s="64"/>
      <c r="O1512" s="64"/>
      <c r="P1512" s="64"/>
      <c r="Q1512" s="64"/>
      <c r="R1512" s="65" t="str">
        <f>IF($A1512="","",IFERROR(MINIFS(Candidates!$K$2:$K$2000,Candidates!$A$2:$A$2000,$A1512),""))</f>
        <v/>
      </c>
      <c r="S1512" s="65" t="str">
        <f>IF($A1512="","",IFERROR(MAXIFS(Candidates!$AA$2:$AA$2000,Candidates!$A$2:$A$2000,$A1512),""))</f>
        <v/>
      </c>
      <c r="T1512" s="64" t="str">
        <f>IFERROR(__xludf.DUMMYFUNCTION("IF($A1512="""","""",IFERROR(TEXTJOIN("", "",TRUE,UNIQUE(FILTER(Candidates!$B$2:$B$2000,Candidates!$A$2:$A$2000=$A1512))),""""))"),"")</f>
        <v/>
      </c>
      <c r="U1512" s="66" t="str">
        <f>IF($A1512="","",COUNTIF(Candidates!$A$2:$A$2000,$A1512))</f>
        <v/>
      </c>
      <c r="V1512" s="64" t="str">
        <f>IFERROR(__xludf.DUMMYFUNCTION("IF($A1512="""","""",IFERROR(INDEX(FILTER(Candidates!$S$2:$S$2000,Candidates!$A$2:$A$2000=$A1512),COUNTIF(Candidates!$A$2:$A$2000,$A1512)),""""))"),"")</f>
        <v/>
      </c>
      <c r="W1512" s="64" t="str">
        <f>IFERROR(__xludf.DUMMYFUNCTION("IF($A1512="""","""",IFERROR(INDEX(FILTER(Candidates!$T$2:$T$2000,Candidates!$A$2:$A$2000=$A1512),COUNTIF(Candidates!$A$2:$A$2000,$A1512)),""""))"),"")</f>
        <v/>
      </c>
      <c r="X1512" s="64"/>
      <c r="Y1512" s="64"/>
      <c r="Z1512" s="65"/>
      <c r="AA1512" s="65"/>
      <c r="AB1512" s="65"/>
      <c r="AC1512" s="65"/>
    </row>
    <row r="1513">
      <c r="A1513" s="64"/>
      <c r="B1513" s="64"/>
      <c r="C1513" s="64"/>
      <c r="D1513" s="64"/>
      <c r="E1513" s="64"/>
      <c r="F1513" s="64"/>
      <c r="G1513" s="64"/>
      <c r="H1513" s="63"/>
      <c r="I1513" s="64"/>
      <c r="J1513" s="64"/>
      <c r="K1513" s="64"/>
      <c r="L1513" s="64"/>
      <c r="M1513" s="64"/>
      <c r="N1513" s="64"/>
      <c r="O1513" s="64"/>
      <c r="P1513" s="64"/>
      <c r="Q1513" s="64"/>
      <c r="R1513" s="65" t="str">
        <f>IF($A1513="","",IFERROR(MINIFS(Candidates!$K$2:$K$2000,Candidates!$A$2:$A$2000,$A1513),""))</f>
        <v/>
      </c>
      <c r="S1513" s="65" t="str">
        <f>IF($A1513="","",IFERROR(MAXIFS(Candidates!$AA$2:$AA$2000,Candidates!$A$2:$A$2000,$A1513),""))</f>
        <v/>
      </c>
      <c r="T1513" s="64" t="str">
        <f>IFERROR(__xludf.DUMMYFUNCTION("IF($A1513="""","""",IFERROR(TEXTJOIN("", "",TRUE,UNIQUE(FILTER(Candidates!$B$2:$B$2000,Candidates!$A$2:$A$2000=$A1513))),""""))"),"")</f>
        <v/>
      </c>
      <c r="U1513" s="66" t="str">
        <f>IF($A1513="","",COUNTIF(Candidates!$A$2:$A$2000,$A1513))</f>
        <v/>
      </c>
      <c r="V1513" s="64" t="str">
        <f>IFERROR(__xludf.DUMMYFUNCTION("IF($A1513="""","""",IFERROR(INDEX(FILTER(Candidates!$S$2:$S$2000,Candidates!$A$2:$A$2000=$A1513),COUNTIF(Candidates!$A$2:$A$2000,$A1513)),""""))"),"")</f>
        <v/>
      </c>
      <c r="W1513" s="64" t="str">
        <f>IFERROR(__xludf.DUMMYFUNCTION("IF($A1513="""","""",IFERROR(INDEX(FILTER(Candidates!$T$2:$T$2000,Candidates!$A$2:$A$2000=$A1513),COUNTIF(Candidates!$A$2:$A$2000,$A1513)),""""))"),"")</f>
        <v/>
      </c>
      <c r="X1513" s="64"/>
      <c r="Y1513" s="64"/>
      <c r="Z1513" s="65"/>
      <c r="AA1513" s="65"/>
      <c r="AB1513" s="65"/>
      <c r="AC1513" s="65"/>
    </row>
    <row r="1514">
      <c r="A1514" s="64"/>
      <c r="B1514" s="64"/>
      <c r="C1514" s="64"/>
      <c r="D1514" s="64"/>
      <c r="E1514" s="64"/>
      <c r="F1514" s="64"/>
      <c r="G1514" s="64"/>
      <c r="H1514" s="63"/>
      <c r="I1514" s="64"/>
      <c r="J1514" s="64"/>
      <c r="K1514" s="64"/>
      <c r="L1514" s="64"/>
      <c r="M1514" s="64"/>
      <c r="N1514" s="64"/>
      <c r="O1514" s="64"/>
      <c r="P1514" s="64"/>
      <c r="Q1514" s="64"/>
      <c r="R1514" s="65" t="str">
        <f>IF($A1514="","",IFERROR(MINIFS(Candidates!$K$2:$K$2000,Candidates!$A$2:$A$2000,$A1514),""))</f>
        <v/>
      </c>
      <c r="S1514" s="65" t="str">
        <f>IF($A1514="","",IFERROR(MAXIFS(Candidates!$AA$2:$AA$2000,Candidates!$A$2:$A$2000,$A1514),""))</f>
        <v/>
      </c>
      <c r="T1514" s="64" t="str">
        <f>IFERROR(__xludf.DUMMYFUNCTION("IF($A1514="""","""",IFERROR(TEXTJOIN("", "",TRUE,UNIQUE(FILTER(Candidates!$B$2:$B$2000,Candidates!$A$2:$A$2000=$A1514))),""""))"),"")</f>
        <v/>
      </c>
      <c r="U1514" s="66" t="str">
        <f>IF($A1514="","",COUNTIF(Candidates!$A$2:$A$2000,$A1514))</f>
        <v/>
      </c>
      <c r="V1514" s="64" t="str">
        <f>IFERROR(__xludf.DUMMYFUNCTION("IF($A1514="""","""",IFERROR(INDEX(FILTER(Candidates!$S$2:$S$2000,Candidates!$A$2:$A$2000=$A1514),COUNTIF(Candidates!$A$2:$A$2000,$A1514)),""""))"),"")</f>
        <v/>
      </c>
      <c r="W1514" s="64" t="str">
        <f>IFERROR(__xludf.DUMMYFUNCTION("IF($A1514="""","""",IFERROR(INDEX(FILTER(Candidates!$T$2:$T$2000,Candidates!$A$2:$A$2000=$A1514),COUNTIF(Candidates!$A$2:$A$2000,$A1514)),""""))"),"")</f>
        <v/>
      </c>
      <c r="X1514" s="64"/>
      <c r="Y1514" s="64"/>
      <c r="Z1514" s="65"/>
      <c r="AA1514" s="65"/>
      <c r="AB1514" s="65"/>
      <c r="AC1514" s="65"/>
    </row>
    <row r="1515">
      <c r="A1515" s="64"/>
      <c r="B1515" s="64"/>
      <c r="C1515" s="64"/>
      <c r="D1515" s="64"/>
      <c r="E1515" s="64"/>
      <c r="F1515" s="64"/>
      <c r="G1515" s="64"/>
      <c r="H1515" s="63"/>
      <c r="I1515" s="64"/>
      <c r="J1515" s="64"/>
      <c r="K1515" s="64"/>
      <c r="L1515" s="64"/>
      <c r="M1515" s="64"/>
      <c r="N1515" s="64"/>
      <c r="O1515" s="64"/>
      <c r="P1515" s="64"/>
      <c r="Q1515" s="64"/>
      <c r="R1515" s="65" t="str">
        <f>IF($A1515="","",IFERROR(MINIFS(Candidates!$K$2:$K$2000,Candidates!$A$2:$A$2000,$A1515),""))</f>
        <v/>
      </c>
      <c r="S1515" s="65" t="str">
        <f>IF($A1515="","",IFERROR(MAXIFS(Candidates!$AA$2:$AA$2000,Candidates!$A$2:$A$2000,$A1515),""))</f>
        <v/>
      </c>
      <c r="T1515" s="64" t="str">
        <f>IFERROR(__xludf.DUMMYFUNCTION("IF($A1515="""","""",IFERROR(TEXTJOIN("", "",TRUE,UNIQUE(FILTER(Candidates!$B$2:$B$2000,Candidates!$A$2:$A$2000=$A1515))),""""))"),"")</f>
        <v/>
      </c>
      <c r="U1515" s="66" t="str">
        <f>IF($A1515="","",COUNTIF(Candidates!$A$2:$A$2000,$A1515))</f>
        <v/>
      </c>
      <c r="V1515" s="64" t="str">
        <f>IFERROR(__xludf.DUMMYFUNCTION("IF($A1515="""","""",IFERROR(INDEX(FILTER(Candidates!$S$2:$S$2000,Candidates!$A$2:$A$2000=$A1515),COUNTIF(Candidates!$A$2:$A$2000,$A1515)),""""))"),"")</f>
        <v/>
      </c>
      <c r="W1515" s="64" t="str">
        <f>IFERROR(__xludf.DUMMYFUNCTION("IF($A1515="""","""",IFERROR(INDEX(FILTER(Candidates!$T$2:$T$2000,Candidates!$A$2:$A$2000=$A1515),COUNTIF(Candidates!$A$2:$A$2000,$A1515)),""""))"),"")</f>
        <v/>
      </c>
      <c r="X1515" s="64"/>
      <c r="Y1515" s="64"/>
      <c r="Z1515" s="65"/>
      <c r="AA1515" s="65"/>
      <c r="AB1515" s="65"/>
      <c r="AC1515" s="65"/>
    </row>
    <row r="1516">
      <c r="A1516" s="64"/>
      <c r="B1516" s="64"/>
      <c r="C1516" s="64"/>
      <c r="D1516" s="64"/>
      <c r="E1516" s="64"/>
      <c r="F1516" s="64"/>
      <c r="G1516" s="64"/>
      <c r="H1516" s="63"/>
      <c r="I1516" s="64"/>
      <c r="J1516" s="64"/>
      <c r="K1516" s="64"/>
      <c r="L1516" s="64"/>
      <c r="M1516" s="64"/>
      <c r="N1516" s="64"/>
      <c r="O1516" s="64"/>
      <c r="P1516" s="64"/>
      <c r="Q1516" s="64"/>
      <c r="R1516" s="65" t="str">
        <f>IF($A1516="","",IFERROR(MINIFS(Candidates!$K$2:$K$2000,Candidates!$A$2:$A$2000,$A1516),""))</f>
        <v/>
      </c>
      <c r="S1516" s="65" t="str">
        <f>IF($A1516="","",IFERROR(MAXIFS(Candidates!$AA$2:$AA$2000,Candidates!$A$2:$A$2000,$A1516),""))</f>
        <v/>
      </c>
      <c r="T1516" s="64" t="str">
        <f>IFERROR(__xludf.DUMMYFUNCTION("IF($A1516="""","""",IFERROR(TEXTJOIN("", "",TRUE,UNIQUE(FILTER(Candidates!$B$2:$B$2000,Candidates!$A$2:$A$2000=$A1516))),""""))"),"")</f>
        <v/>
      </c>
      <c r="U1516" s="66" t="str">
        <f>IF($A1516="","",COUNTIF(Candidates!$A$2:$A$2000,$A1516))</f>
        <v/>
      </c>
      <c r="V1516" s="64" t="str">
        <f>IFERROR(__xludf.DUMMYFUNCTION("IF($A1516="""","""",IFERROR(INDEX(FILTER(Candidates!$S$2:$S$2000,Candidates!$A$2:$A$2000=$A1516),COUNTIF(Candidates!$A$2:$A$2000,$A1516)),""""))"),"")</f>
        <v/>
      </c>
      <c r="W1516" s="64" t="str">
        <f>IFERROR(__xludf.DUMMYFUNCTION("IF($A1516="""","""",IFERROR(INDEX(FILTER(Candidates!$T$2:$T$2000,Candidates!$A$2:$A$2000=$A1516),COUNTIF(Candidates!$A$2:$A$2000,$A1516)),""""))"),"")</f>
        <v/>
      </c>
      <c r="X1516" s="64"/>
      <c r="Y1516" s="64"/>
      <c r="Z1516" s="65"/>
      <c r="AA1516" s="65"/>
      <c r="AB1516" s="65"/>
      <c r="AC1516" s="65"/>
    </row>
    <row r="1517">
      <c r="A1517" s="64"/>
      <c r="B1517" s="64"/>
      <c r="C1517" s="64"/>
      <c r="D1517" s="64"/>
      <c r="E1517" s="64"/>
      <c r="F1517" s="64"/>
      <c r="G1517" s="64"/>
      <c r="H1517" s="63"/>
      <c r="I1517" s="64"/>
      <c r="J1517" s="64"/>
      <c r="K1517" s="64"/>
      <c r="L1517" s="64"/>
      <c r="M1517" s="64"/>
      <c r="N1517" s="64"/>
      <c r="O1517" s="64"/>
      <c r="P1517" s="64"/>
      <c r="Q1517" s="64"/>
      <c r="R1517" s="65" t="str">
        <f>IF($A1517="","",IFERROR(MINIFS(Candidates!$K$2:$K$2000,Candidates!$A$2:$A$2000,$A1517),""))</f>
        <v/>
      </c>
      <c r="S1517" s="65" t="str">
        <f>IF($A1517="","",IFERROR(MAXIFS(Candidates!$AA$2:$AA$2000,Candidates!$A$2:$A$2000,$A1517),""))</f>
        <v/>
      </c>
      <c r="T1517" s="64" t="str">
        <f>IFERROR(__xludf.DUMMYFUNCTION("IF($A1517="""","""",IFERROR(TEXTJOIN("", "",TRUE,UNIQUE(FILTER(Candidates!$B$2:$B$2000,Candidates!$A$2:$A$2000=$A1517))),""""))"),"")</f>
        <v/>
      </c>
      <c r="U1517" s="66" t="str">
        <f>IF($A1517="","",COUNTIF(Candidates!$A$2:$A$2000,$A1517))</f>
        <v/>
      </c>
      <c r="V1517" s="64" t="str">
        <f>IFERROR(__xludf.DUMMYFUNCTION("IF($A1517="""","""",IFERROR(INDEX(FILTER(Candidates!$S$2:$S$2000,Candidates!$A$2:$A$2000=$A1517),COUNTIF(Candidates!$A$2:$A$2000,$A1517)),""""))"),"")</f>
        <v/>
      </c>
      <c r="W1517" s="64" t="str">
        <f>IFERROR(__xludf.DUMMYFUNCTION("IF($A1517="""","""",IFERROR(INDEX(FILTER(Candidates!$T$2:$T$2000,Candidates!$A$2:$A$2000=$A1517),COUNTIF(Candidates!$A$2:$A$2000,$A1517)),""""))"),"")</f>
        <v/>
      </c>
      <c r="X1517" s="64"/>
      <c r="Y1517" s="64"/>
      <c r="Z1517" s="65"/>
      <c r="AA1517" s="65"/>
      <c r="AB1517" s="65"/>
      <c r="AC1517" s="65"/>
    </row>
    <row r="1518">
      <c r="A1518" s="64"/>
      <c r="B1518" s="64"/>
      <c r="C1518" s="64"/>
      <c r="D1518" s="64"/>
      <c r="E1518" s="64"/>
      <c r="F1518" s="64"/>
      <c r="G1518" s="64"/>
      <c r="H1518" s="63"/>
      <c r="I1518" s="64"/>
      <c r="J1518" s="64"/>
      <c r="K1518" s="64"/>
      <c r="L1518" s="64"/>
      <c r="M1518" s="64"/>
      <c r="N1518" s="64"/>
      <c r="O1518" s="64"/>
      <c r="P1518" s="64"/>
      <c r="Q1518" s="64"/>
      <c r="R1518" s="65" t="str">
        <f>IF($A1518="","",IFERROR(MINIFS(Candidates!$K$2:$K$2000,Candidates!$A$2:$A$2000,$A1518),""))</f>
        <v/>
      </c>
      <c r="S1518" s="65" t="str">
        <f>IF($A1518="","",IFERROR(MAXIFS(Candidates!$AA$2:$AA$2000,Candidates!$A$2:$A$2000,$A1518),""))</f>
        <v/>
      </c>
      <c r="T1518" s="64" t="str">
        <f>IFERROR(__xludf.DUMMYFUNCTION("IF($A1518="""","""",IFERROR(TEXTJOIN("", "",TRUE,UNIQUE(FILTER(Candidates!$B$2:$B$2000,Candidates!$A$2:$A$2000=$A1518))),""""))"),"")</f>
        <v/>
      </c>
      <c r="U1518" s="66" t="str">
        <f>IF($A1518="","",COUNTIF(Candidates!$A$2:$A$2000,$A1518))</f>
        <v/>
      </c>
      <c r="V1518" s="64" t="str">
        <f>IFERROR(__xludf.DUMMYFUNCTION("IF($A1518="""","""",IFERROR(INDEX(FILTER(Candidates!$S$2:$S$2000,Candidates!$A$2:$A$2000=$A1518),COUNTIF(Candidates!$A$2:$A$2000,$A1518)),""""))"),"")</f>
        <v/>
      </c>
      <c r="W1518" s="64" t="str">
        <f>IFERROR(__xludf.DUMMYFUNCTION("IF($A1518="""","""",IFERROR(INDEX(FILTER(Candidates!$T$2:$T$2000,Candidates!$A$2:$A$2000=$A1518),COUNTIF(Candidates!$A$2:$A$2000,$A1518)),""""))"),"")</f>
        <v/>
      </c>
      <c r="X1518" s="64"/>
      <c r="Y1518" s="64"/>
      <c r="Z1518" s="65"/>
      <c r="AA1518" s="65"/>
      <c r="AB1518" s="65"/>
      <c r="AC1518" s="65"/>
    </row>
    <row r="1519">
      <c r="A1519" s="64"/>
      <c r="B1519" s="64"/>
      <c r="C1519" s="64"/>
      <c r="D1519" s="64"/>
      <c r="E1519" s="64"/>
      <c r="F1519" s="64"/>
      <c r="G1519" s="64"/>
      <c r="H1519" s="63"/>
      <c r="I1519" s="64"/>
      <c r="J1519" s="64"/>
      <c r="K1519" s="64"/>
      <c r="L1519" s="64"/>
      <c r="M1519" s="64"/>
      <c r="N1519" s="64"/>
      <c r="O1519" s="64"/>
      <c r="P1519" s="64"/>
      <c r="Q1519" s="64"/>
      <c r="R1519" s="65" t="str">
        <f>IF($A1519="","",IFERROR(MINIFS(Candidates!$K$2:$K$2000,Candidates!$A$2:$A$2000,$A1519),""))</f>
        <v/>
      </c>
      <c r="S1519" s="65" t="str">
        <f>IF($A1519="","",IFERROR(MAXIFS(Candidates!$AA$2:$AA$2000,Candidates!$A$2:$A$2000,$A1519),""))</f>
        <v/>
      </c>
      <c r="T1519" s="64" t="str">
        <f>IFERROR(__xludf.DUMMYFUNCTION("IF($A1519="""","""",IFERROR(TEXTJOIN("", "",TRUE,UNIQUE(FILTER(Candidates!$B$2:$B$2000,Candidates!$A$2:$A$2000=$A1519))),""""))"),"")</f>
        <v/>
      </c>
      <c r="U1519" s="66" t="str">
        <f>IF($A1519="","",COUNTIF(Candidates!$A$2:$A$2000,$A1519))</f>
        <v/>
      </c>
      <c r="V1519" s="64" t="str">
        <f>IFERROR(__xludf.DUMMYFUNCTION("IF($A1519="""","""",IFERROR(INDEX(FILTER(Candidates!$S$2:$S$2000,Candidates!$A$2:$A$2000=$A1519),COUNTIF(Candidates!$A$2:$A$2000,$A1519)),""""))"),"")</f>
        <v/>
      </c>
      <c r="W1519" s="64" t="str">
        <f>IFERROR(__xludf.DUMMYFUNCTION("IF($A1519="""","""",IFERROR(INDEX(FILTER(Candidates!$T$2:$T$2000,Candidates!$A$2:$A$2000=$A1519),COUNTIF(Candidates!$A$2:$A$2000,$A1519)),""""))"),"")</f>
        <v/>
      </c>
      <c r="X1519" s="64"/>
      <c r="Y1519" s="64"/>
      <c r="Z1519" s="65"/>
      <c r="AA1519" s="65"/>
      <c r="AB1519" s="65"/>
      <c r="AC1519" s="65"/>
    </row>
    <row r="1520">
      <c r="A1520" s="64"/>
      <c r="B1520" s="64"/>
      <c r="C1520" s="64"/>
      <c r="D1520" s="64"/>
      <c r="E1520" s="64"/>
      <c r="F1520" s="64"/>
      <c r="G1520" s="64"/>
      <c r="H1520" s="63"/>
      <c r="I1520" s="64"/>
      <c r="J1520" s="64"/>
      <c r="K1520" s="64"/>
      <c r="L1520" s="64"/>
      <c r="M1520" s="64"/>
      <c r="N1520" s="64"/>
      <c r="O1520" s="64"/>
      <c r="P1520" s="64"/>
      <c r="Q1520" s="64"/>
      <c r="R1520" s="65" t="str">
        <f>IF($A1520="","",IFERROR(MINIFS(Candidates!$K$2:$K$2000,Candidates!$A$2:$A$2000,$A1520),""))</f>
        <v/>
      </c>
      <c r="S1520" s="65" t="str">
        <f>IF($A1520="","",IFERROR(MAXIFS(Candidates!$AA$2:$AA$2000,Candidates!$A$2:$A$2000,$A1520),""))</f>
        <v/>
      </c>
      <c r="T1520" s="64" t="str">
        <f>IFERROR(__xludf.DUMMYFUNCTION("IF($A1520="""","""",IFERROR(TEXTJOIN("", "",TRUE,UNIQUE(FILTER(Candidates!$B$2:$B$2000,Candidates!$A$2:$A$2000=$A1520))),""""))"),"")</f>
        <v/>
      </c>
      <c r="U1520" s="66" t="str">
        <f>IF($A1520="","",COUNTIF(Candidates!$A$2:$A$2000,$A1520))</f>
        <v/>
      </c>
      <c r="V1520" s="64" t="str">
        <f>IFERROR(__xludf.DUMMYFUNCTION("IF($A1520="""","""",IFERROR(INDEX(FILTER(Candidates!$S$2:$S$2000,Candidates!$A$2:$A$2000=$A1520),COUNTIF(Candidates!$A$2:$A$2000,$A1520)),""""))"),"")</f>
        <v/>
      </c>
      <c r="W1520" s="64" t="str">
        <f>IFERROR(__xludf.DUMMYFUNCTION("IF($A1520="""","""",IFERROR(INDEX(FILTER(Candidates!$T$2:$T$2000,Candidates!$A$2:$A$2000=$A1520),COUNTIF(Candidates!$A$2:$A$2000,$A1520)),""""))"),"")</f>
        <v/>
      </c>
      <c r="X1520" s="64"/>
      <c r="Y1520" s="64"/>
      <c r="Z1520" s="65"/>
      <c r="AA1520" s="65"/>
      <c r="AB1520" s="65"/>
      <c r="AC1520" s="65"/>
    </row>
    <row r="1521">
      <c r="A1521" s="64"/>
      <c r="B1521" s="64"/>
      <c r="C1521" s="64"/>
      <c r="D1521" s="64"/>
      <c r="E1521" s="64"/>
      <c r="F1521" s="64"/>
      <c r="G1521" s="64"/>
      <c r="H1521" s="63"/>
      <c r="I1521" s="64"/>
      <c r="J1521" s="64"/>
      <c r="K1521" s="64"/>
      <c r="L1521" s="64"/>
      <c r="M1521" s="64"/>
      <c r="N1521" s="64"/>
      <c r="O1521" s="64"/>
      <c r="P1521" s="64"/>
      <c r="Q1521" s="64"/>
      <c r="R1521" s="65" t="str">
        <f>IF($A1521="","",IFERROR(MINIFS(Candidates!$K$2:$K$2000,Candidates!$A$2:$A$2000,$A1521),""))</f>
        <v/>
      </c>
      <c r="S1521" s="65" t="str">
        <f>IF($A1521="","",IFERROR(MAXIFS(Candidates!$AA$2:$AA$2000,Candidates!$A$2:$A$2000,$A1521),""))</f>
        <v/>
      </c>
      <c r="T1521" s="64" t="str">
        <f>IFERROR(__xludf.DUMMYFUNCTION("IF($A1521="""","""",IFERROR(TEXTJOIN("", "",TRUE,UNIQUE(FILTER(Candidates!$B$2:$B$2000,Candidates!$A$2:$A$2000=$A1521))),""""))"),"")</f>
        <v/>
      </c>
      <c r="U1521" s="66" t="str">
        <f>IF($A1521="","",COUNTIF(Candidates!$A$2:$A$2000,$A1521))</f>
        <v/>
      </c>
      <c r="V1521" s="64" t="str">
        <f>IFERROR(__xludf.DUMMYFUNCTION("IF($A1521="""","""",IFERROR(INDEX(FILTER(Candidates!$S$2:$S$2000,Candidates!$A$2:$A$2000=$A1521),COUNTIF(Candidates!$A$2:$A$2000,$A1521)),""""))"),"")</f>
        <v/>
      </c>
      <c r="W1521" s="64" t="str">
        <f>IFERROR(__xludf.DUMMYFUNCTION("IF($A1521="""","""",IFERROR(INDEX(FILTER(Candidates!$T$2:$T$2000,Candidates!$A$2:$A$2000=$A1521),COUNTIF(Candidates!$A$2:$A$2000,$A1521)),""""))"),"")</f>
        <v/>
      </c>
      <c r="X1521" s="64"/>
      <c r="Y1521" s="64"/>
      <c r="Z1521" s="65"/>
      <c r="AA1521" s="65"/>
      <c r="AB1521" s="65"/>
      <c r="AC1521" s="65"/>
    </row>
    <row r="1522">
      <c r="A1522" s="64"/>
      <c r="B1522" s="64"/>
      <c r="C1522" s="64"/>
      <c r="D1522" s="64"/>
      <c r="E1522" s="64"/>
      <c r="F1522" s="64"/>
      <c r="G1522" s="64"/>
      <c r="H1522" s="63"/>
      <c r="I1522" s="64"/>
      <c r="J1522" s="64"/>
      <c r="K1522" s="64"/>
      <c r="L1522" s="64"/>
      <c r="M1522" s="64"/>
      <c r="N1522" s="64"/>
      <c r="O1522" s="64"/>
      <c r="P1522" s="64"/>
      <c r="Q1522" s="64"/>
      <c r="R1522" s="65" t="str">
        <f>IF($A1522="","",IFERROR(MINIFS(Candidates!$K$2:$K$2000,Candidates!$A$2:$A$2000,$A1522),""))</f>
        <v/>
      </c>
      <c r="S1522" s="65" t="str">
        <f>IF($A1522="","",IFERROR(MAXIFS(Candidates!$AA$2:$AA$2000,Candidates!$A$2:$A$2000,$A1522),""))</f>
        <v/>
      </c>
      <c r="T1522" s="64" t="str">
        <f>IFERROR(__xludf.DUMMYFUNCTION("IF($A1522="""","""",IFERROR(TEXTJOIN("", "",TRUE,UNIQUE(FILTER(Candidates!$B$2:$B$2000,Candidates!$A$2:$A$2000=$A1522))),""""))"),"")</f>
        <v/>
      </c>
      <c r="U1522" s="66" t="str">
        <f>IF($A1522="","",COUNTIF(Candidates!$A$2:$A$2000,$A1522))</f>
        <v/>
      </c>
      <c r="V1522" s="64" t="str">
        <f>IFERROR(__xludf.DUMMYFUNCTION("IF($A1522="""","""",IFERROR(INDEX(FILTER(Candidates!$S$2:$S$2000,Candidates!$A$2:$A$2000=$A1522),COUNTIF(Candidates!$A$2:$A$2000,$A1522)),""""))"),"")</f>
        <v/>
      </c>
      <c r="W1522" s="64" t="str">
        <f>IFERROR(__xludf.DUMMYFUNCTION("IF($A1522="""","""",IFERROR(INDEX(FILTER(Candidates!$T$2:$T$2000,Candidates!$A$2:$A$2000=$A1522),COUNTIF(Candidates!$A$2:$A$2000,$A1522)),""""))"),"")</f>
        <v/>
      </c>
      <c r="X1522" s="64"/>
      <c r="Y1522" s="64"/>
      <c r="Z1522" s="65"/>
      <c r="AA1522" s="65"/>
      <c r="AB1522" s="65"/>
      <c r="AC1522" s="65"/>
    </row>
    <row r="1523">
      <c r="A1523" s="64"/>
      <c r="B1523" s="64"/>
      <c r="C1523" s="64"/>
      <c r="D1523" s="64"/>
      <c r="E1523" s="64"/>
      <c r="F1523" s="64"/>
      <c r="G1523" s="64"/>
      <c r="H1523" s="63"/>
      <c r="I1523" s="64"/>
      <c r="J1523" s="64"/>
      <c r="K1523" s="64"/>
      <c r="L1523" s="64"/>
      <c r="M1523" s="64"/>
      <c r="N1523" s="64"/>
      <c r="O1523" s="64"/>
      <c r="P1523" s="64"/>
      <c r="Q1523" s="64"/>
      <c r="R1523" s="65" t="str">
        <f>IF($A1523="","",IFERROR(MINIFS(Candidates!$K$2:$K$2000,Candidates!$A$2:$A$2000,$A1523),""))</f>
        <v/>
      </c>
      <c r="S1523" s="65" t="str">
        <f>IF($A1523="","",IFERROR(MAXIFS(Candidates!$AA$2:$AA$2000,Candidates!$A$2:$A$2000,$A1523),""))</f>
        <v/>
      </c>
      <c r="T1523" s="64" t="str">
        <f>IFERROR(__xludf.DUMMYFUNCTION("IF($A1523="""","""",IFERROR(TEXTJOIN("", "",TRUE,UNIQUE(FILTER(Candidates!$B$2:$B$2000,Candidates!$A$2:$A$2000=$A1523))),""""))"),"")</f>
        <v/>
      </c>
      <c r="U1523" s="66" t="str">
        <f>IF($A1523="","",COUNTIF(Candidates!$A$2:$A$2000,$A1523))</f>
        <v/>
      </c>
      <c r="V1523" s="64" t="str">
        <f>IFERROR(__xludf.DUMMYFUNCTION("IF($A1523="""","""",IFERROR(INDEX(FILTER(Candidates!$S$2:$S$2000,Candidates!$A$2:$A$2000=$A1523),COUNTIF(Candidates!$A$2:$A$2000,$A1523)),""""))"),"")</f>
        <v/>
      </c>
      <c r="W1523" s="64" t="str">
        <f>IFERROR(__xludf.DUMMYFUNCTION("IF($A1523="""","""",IFERROR(INDEX(FILTER(Candidates!$T$2:$T$2000,Candidates!$A$2:$A$2000=$A1523),COUNTIF(Candidates!$A$2:$A$2000,$A1523)),""""))"),"")</f>
        <v/>
      </c>
      <c r="X1523" s="64"/>
      <c r="Y1523" s="64"/>
      <c r="Z1523" s="65"/>
      <c r="AA1523" s="65"/>
      <c r="AB1523" s="65"/>
      <c r="AC1523" s="65"/>
    </row>
    <row r="1524">
      <c r="A1524" s="64"/>
      <c r="B1524" s="64"/>
      <c r="C1524" s="64"/>
      <c r="D1524" s="64"/>
      <c r="E1524" s="64"/>
      <c r="F1524" s="64"/>
      <c r="G1524" s="64"/>
      <c r="H1524" s="63"/>
      <c r="I1524" s="64"/>
      <c r="J1524" s="64"/>
      <c r="K1524" s="64"/>
      <c r="L1524" s="64"/>
      <c r="M1524" s="64"/>
      <c r="N1524" s="64"/>
      <c r="O1524" s="64"/>
      <c r="P1524" s="64"/>
      <c r="Q1524" s="64"/>
      <c r="R1524" s="65" t="str">
        <f>IF($A1524="","",IFERROR(MINIFS(Candidates!$K$2:$K$2000,Candidates!$A$2:$A$2000,$A1524),""))</f>
        <v/>
      </c>
      <c r="S1524" s="65" t="str">
        <f>IF($A1524="","",IFERROR(MAXIFS(Candidates!$AA$2:$AA$2000,Candidates!$A$2:$A$2000,$A1524),""))</f>
        <v/>
      </c>
      <c r="T1524" s="64" t="str">
        <f>IFERROR(__xludf.DUMMYFUNCTION("IF($A1524="""","""",IFERROR(TEXTJOIN("", "",TRUE,UNIQUE(FILTER(Candidates!$B$2:$B$2000,Candidates!$A$2:$A$2000=$A1524))),""""))"),"")</f>
        <v/>
      </c>
      <c r="U1524" s="66" t="str">
        <f>IF($A1524="","",COUNTIF(Candidates!$A$2:$A$2000,$A1524))</f>
        <v/>
      </c>
      <c r="V1524" s="64" t="str">
        <f>IFERROR(__xludf.DUMMYFUNCTION("IF($A1524="""","""",IFERROR(INDEX(FILTER(Candidates!$S$2:$S$2000,Candidates!$A$2:$A$2000=$A1524),COUNTIF(Candidates!$A$2:$A$2000,$A1524)),""""))"),"")</f>
        <v/>
      </c>
      <c r="W1524" s="64" t="str">
        <f>IFERROR(__xludf.DUMMYFUNCTION("IF($A1524="""","""",IFERROR(INDEX(FILTER(Candidates!$T$2:$T$2000,Candidates!$A$2:$A$2000=$A1524),COUNTIF(Candidates!$A$2:$A$2000,$A1524)),""""))"),"")</f>
        <v/>
      </c>
      <c r="X1524" s="64"/>
      <c r="Y1524" s="64"/>
      <c r="Z1524" s="65"/>
      <c r="AA1524" s="65"/>
      <c r="AB1524" s="65"/>
      <c r="AC1524" s="65"/>
    </row>
    <row r="1525">
      <c r="A1525" s="64"/>
      <c r="B1525" s="64"/>
      <c r="C1525" s="64"/>
      <c r="D1525" s="64"/>
      <c r="E1525" s="64"/>
      <c r="F1525" s="64"/>
      <c r="G1525" s="64"/>
      <c r="H1525" s="63"/>
      <c r="I1525" s="64"/>
      <c r="J1525" s="64"/>
      <c r="K1525" s="64"/>
      <c r="L1525" s="64"/>
      <c r="M1525" s="64"/>
      <c r="N1525" s="64"/>
      <c r="O1525" s="64"/>
      <c r="P1525" s="64"/>
      <c r="Q1525" s="64"/>
      <c r="R1525" s="65" t="str">
        <f>IF($A1525="","",IFERROR(MINIFS(Candidates!$K$2:$K$2000,Candidates!$A$2:$A$2000,$A1525),""))</f>
        <v/>
      </c>
      <c r="S1525" s="65" t="str">
        <f>IF($A1525="","",IFERROR(MAXIFS(Candidates!$AA$2:$AA$2000,Candidates!$A$2:$A$2000,$A1525),""))</f>
        <v/>
      </c>
      <c r="T1525" s="64" t="str">
        <f>IFERROR(__xludf.DUMMYFUNCTION("IF($A1525="""","""",IFERROR(TEXTJOIN("", "",TRUE,UNIQUE(FILTER(Candidates!$B$2:$B$2000,Candidates!$A$2:$A$2000=$A1525))),""""))"),"")</f>
        <v/>
      </c>
      <c r="U1525" s="66" t="str">
        <f>IF($A1525="","",COUNTIF(Candidates!$A$2:$A$2000,$A1525))</f>
        <v/>
      </c>
      <c r="V1525" s="64" t="str">
        <f>IFERROR(__xludf.DUMMYFUNCTION("IF($A1525="""","""",IFERROR(INDEX(FILTER(Candidates!$S$2:$S$2000,Candidates!$A$2:$A$2000=$A1525),COUNTIF(Candidates!$A$2:$A$2000,$A1525)),""""))"),"")</f>
        <v/>
      </c>
      <c r="W1525" s="64" t="str">
        <f>IFERROR(__xludf.DUMMYFUNCTION("IF($A1525="""","""",IFERROR(INDEX(FILTER(Candidates!$T$2:$T$2000,Candidates!$A$2:$A$2000=$A1525),COUNTIF(Candidates!$A$2:$A$2000,$A1525)),""""))"),"")</f>
        <v/>
      </c>
      <c r="X1525" s="64"/>
      <c r="Y1525" s="64"/>
      <c r="Z1525" s="65"/>
      <c r="AA1525" s="65"/>
      <c r="AB1525" s="65"/>
      <c r="AC1525" s="65"/>
    </row>
    <row r="1526">
      <c r="A1526" s="64"/>
      <c r="B1526" s="64"/>
      <c r="C1526" s="64"/>
      <c r="D1526" s="64"/>
      <c r="E1526" s="64"/>
      <c r="F1526" s="64"/>
      <c r="G1526" s="64"/>
      <c r="H1526" s="63"/>
      <c r="I1526" s="64"/>
      <c r="J1526" s="64"/>
      <c r="K1526" s="64"/>
      <c r="L1526" s="64"/>
      <c r="M1526" s="64"/>
      <c r="N1526" s="64"/>
      <c r="O1526" s="64"/>
      <c r="P1526" s="64"/>
      <c r="Q1526" s="64"/>
      <c r="R1526" s="65" t="str">
        <f>IF($A1526="","",IFERROR(MINIFS(Candidates!$K$2:$K$2000,Candidates!$A$2:$A$2000,$A1526),""))</f>
        <v/>
      </c>
      <c r="S1526" s="65" t="str">
        <f>IF($A1526="","",IFERROR(MAXIFS(Candidates!$AA$2:$AA$2000,Candidates!$A$2:$A$2000,$A1526),""))</f>
        <v/>
      </c>
      <c r="T1526" s="64" t="str">
        <f>IFERROR(__xludf.DUMMYFUNCTION("IF($A1526="""","""",IFERROR(TEXTJOIN("", "",TRUE,UNIQUE(FILTER(Candidates!$B$2:$B$2000,Candidates!$A$2:$A$2000=$A1526))),""""))"),"")</f>
        <v/>
      </c>
      <c r="U1526" s="66" t="str">
        <f>IF($A1526="","",COUNTIF(Candidates!$A$2:$A$2000,$A1526))</f>
        <v/>
      </c>
      <c r="V1526" s="64" t="str">
        <f>IFERROR(__xludf.DUMMYFUNCTION("IF($A1526="""","""",IFERROR(INDEX(FILTER(Candidates!$S$2:$S$2000,Candidates!$A$2:$A$2000=$A1526),COUNTIF(Candidates!$A$2:$A$2000,$A1526)),""""))"),"")</f>
        <v/>
      </c>
      <c r="W1526" s="64" t="str">
        <f>IFERROR(__xludf.DUMMYFUNCTION("IF($A1526="""","""",IFERROR(INDEX(FILTER(Candidates!$T$2:$T$2000,Candidates!$A$2:$A$2000=$A1526),COUNTIF(Candidates!$A$2:$A$2000,$A1526)),""""))"),"")</f>
        <v/>
      </c>
      <c r="X1526" s="64"/>
      <c r="Y1526" s="64"/>
      <c r="Z1526" s="65"/>
      <c r="AA1526" s="65"/>
      <c r="AB1526" s="65"/>
      <c r="AC1526" s="65"/>
    </row>
    <row r="1527">
      <c r="A1527" s="64"/>
      <c r="B1527" s="64"/>
      <c r="C1527" s="64"/>
      <c r="D1527" s="64"/>
      <c r="E1527" s="64"/>
      <c r="F1527" s="64"/>
      <c r="G1527" s="64"/>
      <c r="H1527" s="63"/>
      <c r="I1527" s="64"/>
      <c r="J1527" s="64"/>
      <c r="K1527" s="64"/>
      <c r="L1527" s="64"/>
      <c r="M1527" s="64"/>
      <c r="N1527" s="64"/>
      <c r="O1527" s="64"/>
      <c r="P1527" s="64"/>
      <c r="Q1527" s="64"/>
      <c r="R1527" s="65" t="str">
        <f>IF($A1527="","",IFERROR(MINIFS(Candidates!$K$2:$K$2000,Candidates!$A$2:$A$2000,$A1527),""))</f>
        <v/>
      </c>
      <c r="S1527" s="65" t="str">
        <f>IF($A1527="","",IFERROR(MAXIFS(Candidates!$AA$2:$AA$2000,Candidates!$A$2:$A$2000,$A1527),""))</f>
        <v/>
      </c>
      <c r="T1527" s="64" t="str">
        <f>IFERROR(__xludf.DUMMYFUNCTION("IF($A1527="""","""",IFERROR(TEXTJOIN("", "",TRUE,UNIQUE(FILTER(Candidates!$B$2:$B$2000,Candidates!$A$2:$A$2000=$A1527))),""""))"),"")</f>
        <v/>
      </c>
      <c r="U1527" s="66" t="str">
        <f>IF($A1527="","",COUNTIF(Candidates!$A$2:$A$2000,$A1527))</f>
        <v/>
      </c>
      <c r="V1527" s="64" t="str">
        <f>IFERROR(__xludf.DUMMYFUNCTION("IF($A1527="""","""",IFERROR(INDEX(FILTER(Candidates!$S$2:$S$2000,Candidates!$A$2:$A$2000=$A1527),COUNTIF(Candidates!$A$2:$A$2000,$A1527)),""""))"),"")</f>
        <v/>
      </c>
      <c r="W1527" s="64" t="str">
        <f>IFERROR(__xludf.DUMMYFUNCTION("IF($A1527="""","""",IFERROR(INDEX(FILTER(Candidates!$T$2:$T$2000,Candidates!$A$2:$A$2000=$A1527),COUNTIF(Candidates!$A$2:$A$2000,$A1527)),""""))"),"")</f>
        <v/>
      </c>
      <c r="X1527" s="64"/>
      <c r="Y1527" s="64"/>
      <c r="Z1527" s="65"/>
      <c r="AA1527" s="65"/>
      <c r="AB1527" s="65"/>
      <c r="AC1527" s="65"/>
    </row>
    <row r="1528">
      <c r="A1528" s="64"/>
      <c r="B1528" s="64"/>
      <c r="C1528" s="64"/>
      <c r="D1528" s="64"/>
      <c r="E1528" s="64"/>
      <c r="F1528" s="64"/>
      <c r="G1528" s="64"/>
      <c r="H1528" s="63"/>
      <c r="I1528" s="64"/>
      <c r="J1528" s="64"/>
      <c r="K1528" s="64"/>
      <c r="L1528" s="64"/>
      <c r="M1528" s="64"/>
      <c r="N1528" s="64"/>
      <c r="O1528" s="64"/>
      <c r="P1528" s="64"/>
      <c r="Q1528" s="64"/>
      <c r="R1528" s="65" t="str">
        <f>IF($A1528="","",IFERROR(MINIFS(Candidates!$K$2:$K$2000,Candidates!$A$2:$A$2000,$A1528),""))</f>
        <v/>
      </c>
      <c r="S1528" s="65" t="str">
        <f>IF($A1528="","",IFERROR(MAXIFS(Candidates!$AA$2:$AA$2000,Candidates!$A$2:$A$2000,$A1528),""))</f>
        <v/>
      </c>
      <c r="T1528" s="64" t="str">
        <f>IFERROR(__xludf.DUMMYFUNCTION("IF($A1528="""","""",IFERROR(TEXTJOIN("", "",TRUE,UNIQUE(FILTER(Candidates!$B$2:$B$2000,Candidates!$A$2:$A$2000=$A1528))),""""))"),"")</f>
        <v/>
      </c>
      <c r="U1528" s="66" t="str">
        <f>IF($A1528="","",COUNTIF(Candidates!$A$2:$A$2000,$A1528))</f>
        <v/>
      </c>
      <c r="V1528" s="64" t="str">
        <f>IFERROR(__xludf.DUMMYFUNCTION("IF($A1528="""","""",IFERROR(INDEX(FILTER(Candidates!$S$2:$S$2000,Candidates!$A$2:$A$2000=$A1528),COUNTIF(Candidates!$A$2:$A$2000,$A1528)),""""))"),"")</f>
        <v/>
      </c>
      <c r="W1528" s="64" t="str">
        <f>IFERROR(__xludf.DUMMYFUNCTION("IF($A1528="""","""",IFERROR(INDEX(FILTER(Candidates!$T$2:$T$2000,Candidates!$A$2:$A$2000=$A1528),COUNTIF(Candidates!$A$2:$A$2000,$A1528)),""""))"),"")</f>
        <v/>
      </c>
      <c r="X1528" s="64"/>
      <c r="Y1528" s="64"/>
      <c r="Z1528" s="65"/>
      <c r="AA1528" s="65"/>
      <c r="AB1528" s="65"/>
      <c r="AC1528" s="65"/>
    </row>
    <row r="1529">
      <c r="A1529" s="64"/>
      <c r="B1529" s="64"/>
      <c r="C1529" s="64"/>
      <c r="D1529" s="64"/>
      <c r="E1529" s="64"/>
      <c r="F1529" s="64"/>
      <c r="G1529" s="64"/>
      <c r="H1529" s="63"/>
      <c r="I1529" s="64"/>
      <c r="J1529" s="64"/>
      <c r="K1529" s="64"/>
      <c r="L1529" s="64"/>
      <c r="M1529" s="64"/>
      <c r="N1529" s="64"/>
      <c r="O1529" s="64"/>
      <c r="P1529" s="64"/>
      <c r="Q1529" s="64"/>
      <c r="R1529" s="65" t="str">
        <f>IF($A1529="","",IFERROR(MINIFS(Candidates!$K$2:$K$2000,Candidates!$A$2:$A$2000,$A1529),""))</f>
        <v/>
      </c>
      <c r="S1529" s="65" t="str">
        <f>IF($A1529="","",IFERROR(MAXIFS(Candidates!$AA$2:$AA$2000,Candidates!$A$2:$A$2000,$A1529),""))</f>
        <v/>
      </c>
      <c r="T1529" s="64" t="str">
        <f>IFERROR(__xludf.DUMMYFUNCTION("IF($A1529="""","""",IFERROR(TEXTJOIN("", "",TRUE,UNIQUE(FILTER(Candidates!$B$2:$B$2000,Candidates!$A$2:$A$2000=$A1529))),""""))"),"")</f>
        <v/>
      </c>
      <c r="U1529" s="66" t="str">
        <f>IF($A1529="","",COUNTIF(Candidates!$A$2:$A$2000,$A1529))</f>
        <v/>
      </c>
      <c r="V1529" s="64" t="str">
        <f>IFERROR(__xludf.DUMMYFUNCTION("IF($A1529="""","""",IFERROR(INDEX(FILTER(Candidates!$S$2:$S$2000,Candidates!$A$2:$A$2000=$A1529),COUNTIF(Candidates!$A$2:$A$2000,$A1529)),""""))"),"")</f>
        <v/>
      </c>
      <c r="W1529" s="64" t="str">
        <f>IFERROR(__xludf.DUMMYFUNCTION("IF($A1529="""","""",IFERROR(INDEX(FILTER(Candidates!$T$2:$T$2000,Candidates!$A$2:$A$2000=$A1529),COUNTIF(Candidates!$A$2:$A$2000,$A1529)),""""))"),"")</f>
        <v/>
      </c>
      <c r="X1529" s="64"/>
      <c r="Y1529" s="64"/>
      <c r="Z1529" s="65"/>
      <c r="AA1529" s="65"/>
      <c r="AB1529" s="65"/>
      <c r="AC1529" s="65"/>
    </row>
    <row r="1530">
      <c r="A1530" s="64"/>
      <c r="B1530" s="64"/>
      <c r="C1530" s="64"/>
      <c r="D1530" s="64"/>
      <c r="E1530" s="64"/>
      <c r="F1530" s="64"/>
      <c r="G1530" s="64"/>
      <c r="H1530" s="63"/>
      <c r="I1530" s="64"/>
      <c r="J1530" s="64"/>
      <c r="K1530" s="64"/>
      <c r="L1530" s="64"/>
      <c r="M1530" s="64"/>
      <c r="N1530" s="64"/>
      <c r="O1530" s="64"/>
      <c r="P1530" s="64"/>
      <c r="Q1530" s="64"/>
      <c r="R1530" s="65" t="str">
        <f>IF($A1530="","",IFERROR(MINIFS(Candidates!$K$2:$K$2000,Candidates!$A$2:$A$2000,$A1530),""))</f>
        <v/>
      </c>
      <c r="S1530" s="65" t="str">
        <f>IF($A1530="","",IFERROR(MAXIFS(Candidates!$AA$2:$AA$2000,Candidates!$A$2:$A$2000,$A1530),""))</f>
        <v/>
      </c>
      <c r="T1530" s="64" t="str">
        <f>IFERROR(__xludf.DUMMYFUNCTION("IF($A1530="""","""",IFERROR(TEXTJOIN("", "",TRUE,UNIQUE(FILTER(Candidates!$B$2:$B$2000,Candidates!$A$2:$A$2000=$A1530))),""""))"),"")</f>
        <v/>
      </c>
      <c r="U1530" s="66" t="str">
        <f>IF($A1530="","",COUNTIF(Candidates!$A$2:$A$2000,$A1530))</f>
        <v/>
      </c>
      <c r="V1530" s="64" t="str">
        <f>IFERROR(__xludf.DUMMYFUNCTION("IF($A1530="""","""",IFERROR(INDEX(FILTER(Candidates!$S$2:$S$2000,Candidates!$A$2:$A$2000=$A1530),COUNTIF(Candidates!$A$2:$A$2000,$A1530)),""""))"),"")</f>
        <v/>
      </c>
      <c r="W1530" s="64" t="str">
        <f>IFERROR(__xludf.DUMMYFUNCTION("IF($A1530="""","""",IFERROR(INDEX(FILTER(Candidates!$T$2:$T$2000,Candidates!$A$2:$A$2000=$A1530),COUNTIF(Candidates!$A$2:$A$2000,$A1530)),""""))"),"")</f>
        <v/>
      </c>
      <c r="X1530" s="64"/>
      <c r="Y1530" s="64"/>
      <c r="Z1530" s="65"/>
      <c r="AA1530" s="65"/>
      <c r="AB1530" s="65"/>
      <c r="AC1530" s="65"/>
    </row>
    <row r="1531">
      <c r="A1531" s="64"/>
      <c r="B1531" s="64"/>
      <c r="C1531" s="64"/>
      <c r="D1531" s="64"/>
      <c r="E1531" s="64"/>
      <c r="F1531" s="64"/>
      <c r="G1531" s="64"/>
      <c r="H1531" s="63"/>
      <c r="I1531" s="64"/>
      <c r="J1531" s="64"/>
      <c r="K1531" s="64"/>
      <c r="L1531" s="64"/>
      <c r="M1531" s="64"/>
      <c r="N1531" s="64"/>
      <c r="O1531" s="64"/>
      <c r="P1531" s="64"/>
      <c r="Q1531" s="64"/>
      <c r="R1531" s="65" t="str">
        <f>IF($A1531="","",IFERROR(MINIFS(Candidates!$K$2:$K$2000,Candidates!$A$2:$A$2000,$A1531),""))</f>
        <v/>
      </c>
      <c r="S1531" s="65" t="str">
        <f>IF($A1531="","",IFERROR(MAXIFS(Candidates!$AA$2:$AA$2000,Candidates!$A$2:$A$2000,$A1531),""))</f>
        <v/>
      </c>
      <c r="T1531" s="64" t="str">
        <f>IFERROR(__xludf.DUMMYFUNCTION("IF($A1531="""","""",IFERROR(TEXTJOIN("", "",TRUE,UNIQUE(FILTER(Candidates!$B$2:$B$2000,Candidates!$A$2:$A$2000=$A1531))),""""))"),"")</f>
        <v/>
      </c>
      <c r="U1531" s="66" t="str">
        <f>IF($A1531="","",COUNTIF(Candidates!$A$2:$A$2000,$A1531))</f>
        <v/>
      </c>
      <c r="V1531" s="64" t="str">
        <f>IFERROR(__xludf.DUMMYFUNCTION("IF($A1531="""","""",IFERROR(INDEX(FILTER(Candidates!$S$2:$S$2000,Candidates!$A$2:$A$2000=$A1531),COUNTIF(Candidates!$A$2:$A$2000,$A1531)),""""))"),"")</f>
        <v/>
      </c>
      <c r="W1531" s="64" t="str">
        <f>IFERROR(__xludf.DUMMYFUNCTION("IF($A1531="""","""",IFERROR(INDEX(FILTER(Candidates!$T$2:$T$2000,Candidates!$A$2:$A$2000=$A1531),COUNTIF(Candidates!$A$2:$A$2000,$A1531)),""""))"),"")</f>
        <v/>
      </c>
      <c r="X1531" s="64"/>
      <c r="Y1531" s="64"/>
      <c r="Z1531" s="65"/>
      <c r="AA1531" s="65"/>
      <c r="AB1531" s="65"/>
      <c r="AC1531" s="65"/>
    </row>
    <row r="1532">
      <c r="A1532" s="64"/>
      <c r="B1532" s="64"/>
      <c r="C1532" s="64"/>
      <c r="D1532" s="64"/>
      <c r="E1532" s="64"/>
      <c r="F1532" s="64"/>
      <c r="G1532" s="64"/>
      <c r="H1532" s="63"/>
      <c r="I1532" s="64"/>
      <c r="J1532" s="64"/>
      <c r="K1532" s="64"/>
      <c r="L1532" s="64"/>
      <c r="M1532" s="64"/>
      <c r="N1532" s="64"/>
      <c r="O1532" s="64"/>
      <c r="P1532" s="64"/>
      <c r="Q1532" s="64"/>
      <c r="R1532" s="65" t="str">
        <f>IF($A1532="","",IFERROR(MINIFS(Candidates!$K$2:$K$2000,Candidates!$A$2:$A$2000,$A1532),""))</f>
        <v/>
      </c>
      <c r="S1532" s="65" t="str">
        <f>IF($A1532="","",IFERROR(MAXIFS(Candidates!$AA$2:$AA$2000,Candidates!$A$2:$A$2000,$A1532),""))</f>
        <v/>
      </c>
      <c r="T1532" s="64" t="str">
        <f>IFERROR(__xludf.DUMMYFUNCTION("IF($A1532="""","""",IFERROR(TEXTJOIN("", "",TRUE,UNIQUE(FILTER(Candidates!$B$2:$B$2000,Candidates!$A$2:$A$2000=$A1532))),""""))"),"")</f>
        <v/>
      </c>
      <c r="U1532" s="66" t="str">
        <f>IF($A1532="","",COUNTIF(Candidates!$A$2:$A$2000,$A1532))</f>
        <v/>
      </c>
      <c r="V1532" s="64" t="str">
        <f>IFERROR(__xludf.DUMMYFUNCTION("IF($A1532="""","""",IFERROR(INDEX(FILTER(Candidates!$S$2:$S$2000,Candidates!$A$2:$A$2000=$A1532),COUNTIF(Candidates!$A$2:$A$2000,$A1532)),""""))"),"")</f>
        <v/>
      </c>
      <c r="W1532" s="64" t="str">
        <f>IFERROR(__xludf.DUMMYFUNCTION("IF($A1532="""","""",IFERROR(INDEX(FILTER(Candidates!$T$2:$T$2000,Candidates!$A$2:$A$2000=$A1532),COUNTIF(Candidates!$A$2:$A$2000,$A1532)),""""))"),"")</f>
        <v/>
      </c>
      <c r="X1532" s="64"/>
      <c r="Y1532" s="64"/>
      <c r="Z1532" s="65"/>
      <c r="AA1532" s="65"/>
      <c r="AB1532" s="65"/>
      <c r="AC1532" s="65"/>
    </row>
    <row r="1533">
      <c r="A1533" s="64"/>
      <c r="B1533" s="64"/>
      <c r="C1533" s="64"/>
      <c r="D1533" s="64"/>
      <c r="E1533" s="64"/>
      <c r="F1533" s="64"/>
      <c r="G1533" s="64"/>
      <c r="H1533" s="63"/>
      <c r="I1533" s="64"/>
      <c r="J1533" s="64"/>
      <c r="K1533" s="64"/>
      <c r="L1533" s="64"/>
      <c r="M1533" s="64"/>
      <c r="N1533" s="64"/>
      <c r="O1533" s="64"/>
      <c r="P1533" s="64"/>
      <c r="Q1533" s="64"/>
      <c r="R1533" s="65" t="str">
        <f>IF($A1533="","",IFERROR(MINIFS(Candidates!$K$2:$K$2000,Candidates!$A$2:$A$2000,$A1533),""))</f>
        <v/>
      </c>
      <c r="S1533" s="65" t="str">
        <f>IF($A1533="","",IFERROR(MAXIFS(Candidates!$AA$2:$AA$2000,Candidates!$A$2:$A$2000,$A1533),""))</f>
        <v/>
      </c>
      <c r="T1533" s="64" t="str">
        <f>IFERROR(__xludf.DUMMYFUNCTION("IF($A1533="""","""",IFERROR(TEXTJOIN("", "",TRUE,UNIQUE(FILTER(Candidates!$B$2:$B$2000,Candidates!$A$2:$A$2000=$A1533))),""""))"),"")</f>
        <v/>
      </c>
      <c r="U1533" s="66" t="str">
        <f>IF($A1533="","",COUNTIF(Candidates!$A$2:$A$2000,$A1533))</f>
        <v/>
      </c>
      <c r="V1533" s="64" t="str">
        <f>IFERROR(__xludf.DUMMYFUNCTION("IF($A1533="""","""",IFERROR(INDEX(FILTER(Candidates!$S$2:$S$2000,Candidates!$A$2:$A$2000=$A1533),COUNTIF(Candidates!$A$2:$A$2000,$A1533)),""""))"),"")</f>
        <v/>
      </c>
      <c r="W1533" s="64" t="str">
        <f>IFERROR(__xludf.DUMMYFUNCTION("IF($A1533="""","""",IFERROR(INDEX(FILTER(Candidates!$T$2:$T$2000,Candidates!$A$2:$A$2000=$A1533),COUNTIF(Candidates!$A$2:$A$2000,$A1533)),""""))"),"")</f>
        <v/>
      </c>
      <c r="X1533" s="64"/>
      <c r="Y1533" s="64"/>
      <c r="Z1533" s="65"/>
      <c r="AA1533" s="65"/>
      <c r="AB1533" s="65"/>
      <c r="AC1533" s="65"/>
    </row>
    <row r="1534">
      <c r="A1534" s="64"/>
      <c r="B1534" s="64"/>
      <c r="C1534" s="64"/>
      <c r="D1534" s="64"/>
      <c r="E1534" s="64"/>
      <c r="F1534" s="64"/>
      <c r="G1534" s="64"/>
      <c r="H1534" s="63"/>
      <c r="I1534" s="64"/>
      <c r="J1534" s="64"/>
      <c r="K1534" s="64"/>
      <c r="L1534" s="64"/>
      <c r="M1534" s="64"/>
      <c r="N1534" s="64"/>
      <c r="O1534" s="64"/>
      <c r="P1534" s="64"/>
      <c r="Q1534" s="64"/>
      <c r="R1534" s="65" t="str">
        <f>IF($A1534="","",IFERROR(MINIFS(Candidates!$K$2:$K$2000,Candidates!$A$2:$A$2000,$A1534),""))</f>
        <v/>
      </c>
      <c r="S1534" s="65" t="str">
        <f>IF($A1534="","",IFERROR(MAXIFS(Candidates!$AA$2:$AA$2000,Candidates!$A$2:$A$2000,$A1534),""))</f>
        <v/>
      </c>
      <c r="T1534" s="64" t="str">
        <f>IFERROR(__xludf.DUMMYFUNCTION("IF($A1534="""","""",IFERROR(TEXTJOIN("", "",TRUE,UNIQUE(FILTER(Candidates!$B$2:$B$2000,Candidates!$A$2:$A$2000=$A1534))),""""))"),"")</f>
        <v/>
      </c>
      <c r="U1534" s="66" t="str">
        <f>IF($A1534="","",COUNTIF(Candidates!$A$2:$A$2000,$A1534))</f>
        <v/>
      </c>
      <c r="V1534" s="64" t="str">
        <f>IFERROR(__xludf.DUMMYFUNCTION("IF($A1534="""","""",IFERROR(INDEX(FILTER(Candidates!$S$2:$S$2000,Candidates!$A$2:$A$2000=$A1534),COUNTIF(Candidates!$A$2:$A$2000,$A1534)),""""))"),"")</f>
        <v/>
      </c>
      <c r="W1534" s="64" t="str">
        <f>IFERROR(__xludf.DUMMYFUNCTION("IF($A1534="""","""",IFERROR(INDEX(FILTER(Candidates!$T$2:$T$2000,Candidates!$A$2:$A$2000=$A1534),COUNTIF(Candidates!$A$2:$A$2000,$A1534)),""""))"),"")</f>
        <v/>
      </c>
      <c r="X1534" s="64"/>
      <c r="Y1534" s="64"/>
      <c r="Z1534" s="65"/>
      <c r="AA1534" s="65"/>
      <c r="AB1534" s="65"/>
      <c r="AC1534" s="65"/>
    </row>
    <row r="1535">
      <c r="A1535" s="64"/>
      <c r="B1535" s="64"/>
      <c r="C1535" s="64"/>
      <c r="D1535" s="64"/>
      <c r="E1535" s="64"/>
      <c r="F1535" s="64"/>
      <c r="G1535" s="64"/>
      <c r="H1535" s="63"/>
      <c r="I1535" s="64"/>
      <c r="J1535" s="64"/>
      <c r="K1535" s="64"/>
      <c r="L1535" s="64"/>
      <c r="M1535" s="64"/>
      <c r="N1535" s="64"/>
      <c r="O1535" s="64"/>
      <c r="P1535" s="64"/>
      <c r="Q1535" s="64"/>
      <c r="R1535" s="65" t="str">
        <f>IF($A1535="","",IFERROR(MINIFS(Candidates!$K$2:$K$2000,Candidates!$A$2:$A$2000,$A1535),""))</f>
        <v/>
      </c>
      <c r="S1535" s="65" t="str">
        <f>IF($A1535="","",IFERROR(MAXIFS(Candidates!$AA$2:$AA$2000,Candidates!$A$2:$A$2000,$A1535),""))</f>
        <v/>
      </c>
      <c r="T1535" s="64" t="str">
        <f>IFERROR(__xludf.DUMMYFUNCTION("IF($A1535="""","""",IFERROR(TEXTJOIN("", "",TRUE,UNIQUE(FILTER(Candidates!$B$2:$B$2000,Candidates!$A$2:$A$2000=$A1535))),""""))"),"")</f>
        <v/>
      </c>
      <c r="U1535" s="66" t="str">
        <f>IF($A1535="","",COUNTIF(Candidates!$A$2:$A$2000,$A1535))</f>
        <v/>
      </c>
      <c r="V1535" s="64" t="str">
        <f>IFERROR(__xludf.DUMMYFUNCTION("IF($A1535="""","""",IFERROR(INDEX(FILTER(Candidates!$S$2:$S$2000,Candidates!$A$2:$A$2000=$A1535),COUNTIF(Candidates!$A$2:$A$2000,$A1535)),""""))"),"")</f>
        <v/>
      </c>
      <c r="W1535" s="64" t="str">
        <f>IFERROR(__xludf.DUMMYFUNCTION("IF($A1535="""","""",IFERROR(INDEX(FILTER(Candidates!$T$2:$T$2000,Candidates!$A$2:$A$2000=$A1535),COUNTIF(Candidates!$A$2:$A$2000,$A1535)),""""))"),"")</f>
        <v/>
      </c>
      <c r="X1535" s="64"/>
      <c r="Y1535" s="64"/>
      <c r="Z1535" s="65"/>
      <c r="AA1535" s="65"/>
      <c r="AB1535" s="65"/>
      <c r="AC1535" s="65"/>
    </row>
    <row r="1536">
      <c r="A1536" s="64"/>
      <c r="B1536" s="64"/>
      <c r="C1536" s="64"/>
      <c r="D1536" s="64"/>
      <c r="E1536" s="64"/>
      <c r="F1536" s="64"/>
      <c r="G1536" s="64"/>
      <c r="H1536" s="63"/>
      <c r="I1536" s="64"/>
      <c r="J1536" s="64"/>
      <c r="K1536" s="64"/>
      <c r="L1536" s="64"/>
      <c r="M1536" s="64"/>
      <c r="N1536" s="64"/>
      <c r="O1536" s="64"/>
      <c r="P1536" s="64"/>
      <c r="Q1536" s="64"/>
      <c r="R1536" s="65" t="str">
        <f>IF($A1536="","",IFERROR(MINIFS(Candidates!$K$2:$K$2000,Candidates!$A$2:$A$2000,$A1536),""))</f>
        <v/>
      </c>
      <c r="S1536" s="65" t="str">
        <f>IF($A1536="","",IFERROR(MAXIFS(Candidates!$AA$2:$AA$2000,Candidates!$A$2:$A$2000,$A1536),""))</f>
        <v/>
      </c>
      <c r="T1536" s="64" t="str">
        <f>IFERROR(__xludf.DUMMYFUNCTION("IF($A1536="""","""",IFERROR(TEXTJOIN("", "",TRUE,UNIQUE(FILTER(Candidates!$B$2:$B$2000,Candidates!$A$2:$A$2000=$A1536))),""""))"),"")</f>
        <v/>
      </c>
      <c r="U1536" s="66" t="str">
        <f>IF($A1536="","",COUNTIF(Candidates!$A$2:$A$2000,$A1536))</f>
        <v/>
      </c>
      <c r="V1536" s="64" t="str">
        <f>IFERROR(__xludf.DUMMYFUNCTION("IF($A1536="""","""",IFERROR(INDEX(FILTER(Candidates!$S$2:$S$2000,Candidates!$A$2:$A$2000=$A1536),COUNTIF(Candidates!$A$2:$A$2000,$A1536)),""""))"),"")</f>
        <v/>
      </c>
      <c r="W1536" s="64" t="str">
        <f>IFERROR(__xludf.DUMMYFUNCTION("IF($A1536="""","""",IFERROR(INDEX(FILTER(Candidates!$T$2:$T$2000,Candidates!$A$2:$A$2000=$A1536),COUNTIF(Candidates!$A$2:$A$2000,$A1536)),""""))"),"")</f>
        <v/>
      </c>
      <c r="X1536" s="64"/>
      <c r="Y1536" s="64"/>
      <c r="Z1536" s="65"/>
      <c r="AA1536" s="65"/>
      <c r="AB1536" s="65"/>
      <c r="AC1536" s="65"/>
    </row>
    <row r="1537">
      <c r="A1537" s="64"/>
      <c r="B1537" s="64"/>
      <c r="C1537" s="64"/>
      <c r="D1537" s="64"/>
      <c r="E1537" s="64"/>
      <c r="F1537" s="64"/>
      <c r="G1537" s="64"/>
      <c r="H1537" s="63"/>
      <c r="I1537" s="64"/>
      <c r="J1537" s="64"/>
      <c r="K1537" s="64"/>
      <c r="L1537" s="64"/>
      <c r="M1537" s="64"/>
      <c r="N1537" s="64"/>
      <c r="O1537" s="64"/>
      <c r="P1537" s="64"/>
      <c r="Q1537" s="64"/>
      <c r="R1537" s="65" t="str">
        <f>IF($A1537="","",IFERROR(MINIFS(Candidates!$K$2:$K$2000,Candidates!$A$2:$A$2000,$A1537),""))</f>
        <v/>
      </c>
      <c r="S1537" s="65" t="str">
        <f>IF($A1537="","",IFERROR(MAXIFS(Candidates!$AA$2:$AA$2000,Candidates!$A$2:$A$2000,$A1537),""))</f>
        <v/>
      </c>
      <c r="T1537" s="64" t="str">
        <f>IFERROR(__xludf.DUMMYFUNCTION("IF($A1537="""","""",IFERROR(TEXTJOIN("", "",TRUE,UNIQUE(FILTER(Candidates!$B$2:$B$2000,Candidates!$A$2:$A$2000=$A1537))),""""))"),"")</f>
        <v/>
      </c>
      <c r="U1537" s="66" t="str">
        <f>IF($A1537="","",COUNTIF(Candidates!$A$2:$A$2000,$A1537))</f>
        <v/>
      </c>
      <c r="V1537" s="64" t="str">
        <f>IFERROR(__xludf.DUMMYFUNCTION("IF($A1537="""","""",IFERROR(INDEX(FILTER(Candidates!$S$2:$S$2000,Candidates!$A$2:$A$2000=$A1537),COUNTIF(Candidates!$A$2:$A$2000,$A1537)),""""))"),"")</f>
        <v/>
      </c>
      <c r="W1537" s="64" t="str">
        <f>IFERROR(__xludf.DUMMYFUNCTION("IF($A1537="""","""",IFERROR(INDEX(FILTER(Candidates!$T$2:$T$2000,Candidates!$A$2:$A$2000=$A1537),COUNTIF(Candidates!$A$2:$A$2000,$A1537)),""""))"),"")</f>
        <v/>
      </c>
      <c r="X1537" s="64"/>
      <c r="Y1537" s="64"/>
      <c r="Z1537" s="65"/>
      <c r="AA1537" s="65"/>
      <c r="AB1537" s="65"/>
      <c r="AC1537" s="65"/>
    </row>
    <row r="1538">
      <c r="A1538" s="64"/>
      <c r="B1538" s="64"/>
      <c r="C1538" s="64"/>
      <c r="D1538" s="64"/>
      <c r="E1538" s="64"/>
      <c r="F1538" s="64"/>
      <c r="G1538" s="64"/>
      <c r="H1538" s="63"/>
      <c r="I1538" s="64"/>
      <c r="J1538" s="64"/>
      <c r="K1538" s="64"/>
      <c r="L1538" s="64"/>
      <c r="M1538" s="64"/>
      <c r="N1538" s="64"/>
      <c r="O1538" s="64"/>
      <c r="P1538" s="64"/>
      <c r="Q1538" s="64"/>
      <c r="R1538" s="65" t="str">
        <f>IF($A1538="","",IFERROR(MINIFS(Candidates!$K$2:$K$2000,Candidates!$A$2:$A$2000,$A1538),""))</f>
        <v/>
      </c>
      <c r="S1538" s="65" t="str">
        <f>IF($A1538="","",IFERROR(MAXIFS(Candidates!$AA$2:$AA$2000,Candidates!$A$2:$A$2000,$A1538),""))</f>
        <v/>
      </c>
      <c r="T1538" s="64" t="str">
        <f>IFERROR(__xludf.DUMMYFUNCTION("IF($A1538="""","""",IFERROR(TEXTJOIN("", "",TRUE,UNIQUE(FILTER(Candidates!$B$2:$B$2000,Candidates!$A$2:$A$2000=$A1538))),""""))"),"")</f>
        <v/>
      </c>
      <c r="U1538" s="66" t="str">
        <f>IF($A1538="","",COUNTIF(Candidates!$A$2:$A$2000,$A1538))</f>
        <v/>
      </c>
      <c r="V1538" s="64" t="str">
        <f>IFERROR(__xludf.DUMMYFUNCTION("IF($A1538="""","""",IFERROR(INDEX(FILTER(Candidates!$S$2:$S$2000,Candidates!$A$2:$A$2000=$A1538),COUNTIF(Candidates!$A$2:$A$2000,$A1538)),""""))"),"")</f>
        <v/>
      </c>
      <c r="W1538" s="64" t="str">
        <f>IFERROR(__xludf.DUMMYFUNCTION("IF($A1538="""","""",IFERROR(INDEX(FILTER(Candidates!$T$2:$T$2000,Candidates!$A$2:$A$2000=$A1538),COUNTIF(Candidates!$A$2:$A$2000,$A1538)),""""))"),"")</f>
        <v/>
      </c>
      <c r="X1538" s="64"/>
      <c r="Y1538" s="64"/>
      <c r="Z1538" s="65"/>
      <c r="AA1538" s="65"/>
      <c r="AB1538" s="65"/>
      <c r="AC1538" s="65"/>
    </row>
    <row r="1539">
      <c r="A1539" s="64"/>
      <c r="B1539" s="64"/>
      <c r="C1539" s="64"/>
      <c r="D1539" s="64"/>
      <c r="E1539" s="64"/>
      <c r="F1539" s="64"/>
      <c r="G1539" s="64"/>
      <c r="H1539" s="63"/>
      <c r="I1539" s="64"/>
      <c r="J1539" s="64"/>
      <c r="K1539" s="64"/>
      <c r="L1539" s="64"/>
      <c r="M1539" s="64"/>
      <c r="N1539" s="64"/>
      <c r="O1539" s="64"/>
      <c r="P1539" s="64"/>
      <c r="Q1539" s="64"/>
      <c r="R1539" s="65" t="str">
        <f>IF($A1539="","",IFERROR(MINIFS(Candidates!$K$2:$K$2000,Candidates!$A$2:$A$2000,$A1539),""))</f>
        <v/>
      </c>
      <c r="S1539" s="65" t="str">
        <f>IF($A1539="","",IFERROR(MAXIFS(Candidates!$AA$2:$AA$2000,Candidates!$A$2:$A$2000,$A1539),""))</f>
        <v/>
      </c>
      <c r="T1539" s="64" t="str">
        <f>IFERROR(__xludf.DUMMYFUNCTION("IF($A1539="""","""",IFERROR(TEXTJOIN("", "",TRUE,UNIQUE(FILTER(Candidates!$B$2:$B$2000,Candidates!$A$2:$A$2000=$A1539))),""""))"),"")</f>
        <v/>
      </c>
      <c r="U1539" s="66" t="str">
        <f>IF($A1539="","",COUNTIF(Candidates!$A$2:$A$2000,$A1539))</f>
        <v/>
      </c>
      <c r="V1539" s="64" t="str">
        <f>IFERROR(__xludf.DUMMYFUNCTION("IF($A1539="""","""",IFERROR(INDEX(FILTER(Candidates!$S$2:$S$2000,Candidates!$A$2:$A$2000=$A1539),COUNTIF(Candidates!$A$2:$A$2000,$A1539)),""""))"),"")</f>
        <v/>
      </c>
      <c r="W1539" s="64" t="str">
        <f>IFERROR(__xludf.DUMMYFUNCTION("IF($A1539="""","""",IFERROR(INDEX(FILTER(Candidates!$T$2:$T$2000,Candidates!$A$2:$A$2000=$A1539),COUNTIF(Candidates!$A$2:$A$2000,$A1539)),""""))"),"")</f>
        <v/>
      </c>
      <c r="X1539" s="64"/>
      <c r="Y1539" s="64"/>
      <c r="Z1539" s="65"/>
      <c r="AA1539" s="65"/>
      <c r="AB1539" s="65"/>
      <c r="AC1539" s="65"/>
    </row>
    <row r="1540">
      <c r="A1540" s="64"/>
      <c r="B1540" s="64"/>
      <c r="C1540" s="64"/>
      <c r="D1540" s="64"/>
      <c r="E1540" s="64"/>
      <c r="F1540" s="64"/>
      <c r="G1540" s="64"/>
      <c r="H1540" s="63"/>
      <c r="I1540" s="64"/>
      <c r="J1540" s="64"/>
      <c r="K1540" s="64"/>
      <c r="L1540" s="64"/>
      <c r="M1540" s="64"/>
      <c r="N1540" s="64"/>
      <c r="O1540" s="64"/>
      <c r="P1540" s="64"/>
      <c r="Q1540" s="64"/>
      <c r="R1540" s="65" t="str">
        <f>IF($A1540="","",IFERROR(MINIFS(Candidates!$K$2:$K$2000,Candidates!$A$2:$A$2000,$A1540),""))</f>
        <v/>
      </c>
      <c r="S1540" s="65" t="str">
        <f>IF($A1540="","",IFERROR(MAXIFS(Candidates!$AA$2:$AA$2000,Candidates!$A$2:$A$2000,$A1540),""))</f>
        <v/>
      </c>
      <c r="T1540" s="64" t="str">
        <f>IFERROR(__xludf.DUMMYFUNCTION("IF($A1540="""","""",IFERROR(TEXTJOIN("", "",TRUE,UNIQUE(FILTER(Candidates!$B$2:$B$2000,Candidates!$A$2:$A$2000=$A1540))),""""))"),"")</f>
        <v/>
      </c>
      <c r="U1540" s="66" t="str">
        <f>IF($A1540="","",COUNTIF(Candidates!$A$2:$A$2000,$A1540))</f>
        <v/>
      </c>
      <c r="V1540" s="64" t="str">
        <f>IFERROR(__xludf.DUMMYFUNCTION("IF($A1540="""","""",IFERROR(INDEX(FILTER(Candidates!$S$2:$S$2000,Candidates!$A$2:$A$2000=$A1540),COUNTIF(Candidates!$A$2:$A$2000,$A1540)),""""))"),"")</f>
        <v/>
      </c>
      <c r="W1540" s="64" t="str">
        <f>IFERROR(__xludf.DUMMYFUNCTION("IF($A1540="""","""",IFERROR(INDEX(FILTER(Candidates!$T$2:$T$2000,Candidates!$A$2:$A$2000=$A1540),COUNTIF(Candidates!$A$2:$A$2000,$A1540)),""""))"),"")</f>
        <v/>
      </c>
      <c r="X1540" s="64"/>
      <c r="Y1540" s="64"/>
      <c r="Z1540" s="65"/>
      <c r="AA1540" s="65"/>
      <c r="AB1540" s="65"/>
      <c r="AC1540" s="65"/>
    </row>
    <row r="1541">
      <c r="A1541" s="64"/>
      <c r="B1541" s="64"/>
      <c r="C1541" s="64"/>
      <c r="D1541" s="64"/>
      <c r="E1541" s="64"/>
      <c r="F1541" s="64"/>
      <c r="G1541" s="64"/>
      <c r="H1541" s="63"/>
      <c r="I1541" s="64"/>
      <c r="J1541" s="64"/>
      <c r="K1541" s="64"/>
      <c r="L1541" s="64"/>
      <c r="M1541" s="64"/>
      <c r="N1541" s="64"/>
      <c r="O1541" s="64"/>
      <c r="P1541" s="64"/>
      <c r="Q1541" s="64"/>
      <c r="R1541" s="65" t="str">
        <f>IF($A1541="","",IFERROR(MINIFS(Candidates!$K$2:$K$2000,Candidates!$A$2:$A$2000,$A1541),""))</f>
        <v/>
      </c>
      <c r="S1541" s="65" t="str">
        <f>IF($A1541="","",IFERROR(MAXIFS(Candidates!$AA$2:$AA$2000,Candidates!$A$2:$A$2000,$A1541),""))</f>
        <v/>
      </c>
      <c r="T1541" s="64" t="str">
        <f>IFERROR(__xludf.DUMMYFUNCTION("IF($A1541="""","""",IFERROR(TEXTJOIN("", "",TRUE,UNIQUE(FILTER(Candidates!$B$2:$B$2000,Candidates!$A$2:$A$2000=$A1541))),""""))"),"")</f>
        <v/>
      </c>
      <c r="U1541" s="66" t="str">
        <f>IF($A1541="","",COUNTIF(Candidates!$A$2:$A$2000,$A1541))</f>
        <v/>
      </c>
      <c r="V1541" s="64" t="str">
        <f>IFERROR(__xludf.DUMMYFUNCTION("IF($A1541="""","""",IFERROR(INDEX(FILTER(Candidates!$S$2:$S$2000,Candidates!$A$2:$A$2000=$A1541),COUNTIF(Candidates!$A$2:$A$2000,$A1541)),""""))"),"")</f>
        <v/>
      </c>
      <c r="W1541" s="64" t="str">
        <f>IFERROR(__xludf.DUMMYFUNCTION("IF($A1541="""","""",IFERROR(INDEX(FILTER(Candidates!$T$2:$T$2000,Candidates!$A$2:$A$2000=$A1541),COUNTIF(Candidates!$A$2:$A$2000,$A1541)),""""))"),"")</f>
        <v/>
      </c>
      <c r="X1541" s="64"/>
      <c r="Y1541" s="64"/>
      <c r="Z1541" s="65"/>
      <c r="AA1541" s="65"/>
      <c r="AB1541" s="65"/>
      <c r="AC1541" s="65"/>
    </row>
    <row r="1542">
      <c r="A1542" s="64"/>
      <c r="B1542" s="64"/>
      <c r="C1542" s="64"/>
      <c r="D1542" s="64"/>
      <c r="E1542" s="64"/>
      <c r="F1542" s="64"/>
      <c r="G1542" s="64"/>
      <c r="H1542" s="63"/>
      <c r="I1542" s="64"/>
      <c r="J1542" s="64"/>
      <c r="K1542" s="64"/>
      <c r="L1542" s="64"/>
      <c r="M1542" s="64"/>
      <c r="N1542" s="64"/>
      <c r="O1542" s="64"/>
      <c r="P1542" s="64"/>
      <c r="Q1542" s="64"/>
      <c r="R1542" s="65" t="str">
        <f>IF($A1542="","",IFERROR(MINIFS(Candidates!$K$2:$K$2000,Candidates!$A$2:$A$2000,$A1542),""))</f>
        <v/>
      </c>
      <c r="S1542" s="65" t="str">
        <f>IF($A1542="","",IFERROR(MAXIFS(Candidates!$AA$2:$AA$2000,Candidates!$A$2:$A$2000,$A1542),""))</f>
        <v/>
      </c>
      <c r="T1542" s="64" t="str">
        <f>IFERROR(__xludf.DUMMYFUNCTION("IF($A1542="""","""",IFERROR(TEXTJOIN("", "",TRUE,UNIQUE(FILTER(Candidates!$B$2:$B$2000,Candidates!$A$2:$A$2000=$A1542))),""""))"),"")</f>
        <v/>
      </c>
      <c r="U1542" s="66" t="str">
        <f>IF($A1542="","",COUNTIF(Candidates!$A$2:$A$2000,$A1542))</f>
        <v/>
      </c>
      <c r="V1542" s="64" t="str">
        <f>IFERROR(__xludf.DUMMYFUNCTION("IF($A1542="""","""",IFERROR(INDEX(FILTER(Candidates!$S$2:$S$2000,Candidates!$A$2:$A$2000=$A1542),COUNTIF(Candidates!$A$2:$A$2000,$A1542)),""""))"),"")</f>
        <v/>
      </c>
      <c r="W1542" s="64" t="str">
        <f>IFERROR(__xludf.DUMMYFUNCTION("IF($A1542="""","""",IFERROR(INDEX(FILTER(Candidates!$T$2:$T$2000,Candidates!$A$2:$A$2000=$A1542),COUNTIF(Candidates!$A$2:$A$2000,$A1542)),""""))"),"")</f>
        <v/>
      </c>
      <c r="X1542" s="64"/>
      <c r="Y1542" s="64"/>
      <c r="Z1542" s="65"/>
      <c r="AA1542" s="65"/>
      <c r="AB1542" s="65"/>
      <c r="AC1542" s="65"/>
    </row>
    <row r="1543">
      <c r="A1543" s="64"/>
      <c r="B1543" s="64"/>
      <c r="C1543" s="64"/>
      <c r="D1543" s="64"/>
      <c r="E1543" s="64"/>
      <c r="F1543" s="64"/>
      <c r="G1543" s="64"/>
      <c r="H1543" s="63"/>
      <c r="I1543" s="64"/>
      <c r="J1543" s="64"/>
      <c r="K1543" s="64"/>
      <c r="L1543" s="64"/>
      <c r="M1543" s="64"/>
      <c r="N1543" s="64"/>
      <c r="O1543" s="64"/>
      <c r="P1543" s="64"/>
      <c r="Q1543" s="64"/>
      <c r="R1543" s="65" t="str">
        <f>IF($A1543="","",IFERROR(MINIFS(Candidates!$K$2:$K$2000,Candidates!$A$2:$A$2000,$A1543),""))</f>
        <v/>
      </c>
      <c r="S1543" s="65" t="str">
        <f>IF($A1543="","",IFERROR(MAXIFS(Candidates!$AA$2:$AA$2000,Candidates!$A$2:$A$2000,$A1543),""))</f>
        <v/>
      </c>
      <c r="T1543" s="64" t="str">
        <f>IFERROR(__xludf.DUMMYFUNCTION("IF($A1543="""","""",IFERROR(TEXTJOIN("", "",TRUE,UNIQUE(FILTER(Candidates!$B$2:$B$2000,Candidates!$A$2:$A$2000=$A1543))),""""))"),"")</f>
        <v/>
      </c>
      <c r="U1543" s="66" t="str">
        <f>IF($A1543="","",COUNTIF(Candidates!$A$2:$A$2000,$A1543))</f>
        <v/>
      </c>
      <c r="V1543" s="64" t="str">
        <f>IFERROR(__xludf.DUMMYFUNCTION("IF($A1543="""","""",IFERROR(INDEX(FILTER(Candidates!$S$2:$S$2000,Candidates!$A$2:$A$2000=$A1543),COUNTIF(Candidates!$A$2:$A$2000,$A1543)),""""))"),"")</f>
        <v/>
      </c>
      <c r="W1543" s="64" t="str">
        <f>IFERROR(__xludf.DUMMYFUNCTION("IF($A1543="""","""",IFERROR(INDEX(FILTER(Candidates!$T$2:$T$2000,Candidates!$A$2:$A$2000=$A1543),COUNTIF(Candidates!$A$2:$A$2000,$A1543)),""""))"),"")</f>
        <v/>
      </c>
      <c r="X1543" s="64"/>
      <c r="Y1543" s="64"/>
      <c r="Z1543" s="65"/>
      <c r="AA1543" s="65"/>
      <c r="AB1543" s="65"/>
      <c r="AC1543" s="65"/>
    </row>
    <row r="1544">
      <c r="A1544" s="64"/>
      <c r="B1544" s="64"/>
      <c r="C1544" s="64"/>
      <c r="D1544" s="64"/>
      <c r="E1544" s="64"/>
      <c r="F1544" s="64"/>
      <c r="G1544" s="64"/>
      <c r="H1544" s="63"/>
      <c r="I1544" s="64"/>
      <c r="J1544" s="64"/>
      <c r="K1544" s="64"/>
      <c r="L1544" s="64"/>
      <c r="M1544" s="64"/>
      <c r="N1544" s="64"/>
      <c r="O1544" s="64"/>
      <c r="P1544" s="64"/>
      <c r="Q1544" s="64"/>
      <c r="R1544" s="65" t="str">
        <f>IF($A1544="","",IFERROR(MINIFS(Candidates!$K$2:$K$2000,Candidates!$A$2:$A$2000,$A1544),""))</f>
        <v/>
      </c>
      <c r="S1544" s="65" t="str">
        <f>IF($A1544="","",IFERROR(MAXIFS(Candidates!$AA$2:$AA$2000,Candidates!$A$2:$A$2000,$A1544),""))</f>
        <v/>
      </c>
      <c r="T1544" s="64" t="str">
        <f>IFERROR(__xludf.DUMMYFUNCTION("IF($A1544="""","""",IFERROR(TEXTJOIN("", "",TRUE,UNIQUE(FILTER(Candidates!$B$2:$B$2000,Candidates!$A$2:$A$2000=$A1544))),""""))"),"")</f>
        <v/>
      </c>
      <c r="U1544" s="66" t="str">
        <f>IF($A1544="","",COUNTIF(Candidates!$A$2:$A$2000,$A1544))</f>
        <v/>
      </c>
      <c r="V1544" s="64" t="str">
        <f>IFERROR(__xludf.DUMMYFUNCTION("IF($A1544="""","""",IFERROR(INDEX(FILTER(Candidates!$S$2:$S$2000,Candidates!$A$2:$A$2000=$A1544),COUNTIF(Candidates!$A$2:$A$2000,$A1544)),""""))"),"")</f>
        <v/>
      </c>
      <c r="W1544" s="64" t="str">
        <f>IFERROR(__xludf.DUMMYFUNCTION("IF($A1544="""","""",IFERROR(INDEX(FILTER(Candidates!$T$2:$T$2000,Candidates!$A$2:$A$2000=$A1544),COUNTIF(Candidates!$A$2:$A$2000,$A1544)),""""))"),"")</f>
        <v/>
      </c>
      <c r="X1544" s="64"/>
      <c r="Y1544" s="64"/>
      <c r="Z1544" s="65"/>
      <c r="AA1544" s="65"/>
      <c r="AB1544" s="65"/>
      <c r="AC1544" s="65"/>
    </row>
    <row r="1545">
      <c r="A1545" s="64"/>
      <c r="B1545" s="64"/>
      <c r="C1545" s="64"/>
      <c r="D1545" s="64"/>
      <c r="E1545" s="64"/>
      <c r="F1545" s="64"/>
      <c r="G1545" s="64"/>
      <c r="H1545" s="63"/>
      <c r="I1545" s="64"/>
      <c r="J1545" s="64"/>
      <c r="K1545" s="64"/>
      <c r="L1545" s="64"/>
      <c r="M1545" s="64"/>
      <c r="N1545" s="64"/>
      <c r="O1545" s="64"/>
      <c r="P1545" s="64"/>
      <c r="Q1545" s="64"/>
      <c r="R1545" s="65" t="str">
        <f>IF($A1545="","",IFERROR(MINIFS(Candidates!$K$2:$K$2000,Candidates!$A$2:$A$2000,$A1545),""))</f>
        <v/>
      </c>
      <c r="S1545" s="65" t="str">
        <f>IF($A1545="","",IFERROR(MAXIFS(Candidates!$AA$2:$AA$2000,Candidates!$A$2:$A$2000,$A1545),""))</f>
        <v/>
      </c>
      <c r="T1545" s="64" t="str">
        <f>IFERROR(__xludf.DUMMYFUNCTION("IF($A1545="""","""",IFERROR(TEXTJOIN("", "",TRUE,UNIQUE(FILTER(Candidates!$B$2:$B$2000,Candidates!$A$2:$A$2000=$A1545))),""""))"),"")</f>
        <v/>
      </c>
      <c r="U1545" s="66" t="str">
        <f>IF($A1545="","",COUNTIF(Candidates!$A$2:$A$2000,$A1545))</f>
        <v/>
      </c>
      <c r="V1545" s="64" t="str">
        <f>IFERROR(__xludf.DUMMYFUNCTION("IF($A1545="""","""",IFERROR(INDEX(FILTER(Candidates!$S$2:$S$2000,Candidates!$A$2:$A$2000=$A1545),COUNTIF(Candidates!$A$2:$A$2000,$A1545)),""""))"),"")</f>
        <v/>
      </c>
      <c r="W1545" s="64" t="str">
        <f>IFERROR(__xludf.DUMMYFUNCTION("IF($A1545="""","""",IFERROR(INDEX(FILTER(Candidates!$T$2:$T$2000,Candidates!$A$2:$A$2000=$A1545),COUNTIF(Candidates!$A$2:$A$2000,$A1545)),""""))"),"")</f>
        <v/>
      </c>
      <c r="X1545" s="64"/>
      <c r="Y1545" s="64"/>
      <c r="Z1545" s="65"/>
      <c r="AA1545" s="65"/>
      <c r="AB1545" s="65"/>
      <c r="AC1545" s="65"/>
    </row>
    <row r="1546">
      <c r="A1546" s="64"/>
      <c r="B1546" s="64"/>
      <c r="C1546" s="64"/>
      <c r="D1546" s="64"/>
      <c r="E1546" s="64"/>
      <c r="F1546" s="64"/>
      <c r="G1546" s="64"/>
      <c r="H1546" s="63"/>
      <c r="I1546" s="64"/>
      <c r="J1546" s="64"/>
      <c r="K1546" s="64"/>
      <c r="L1546" s="64"/>
      <c r="M1546" s="64"/>
      <c r="N1546" s="64"/>
      <c r="O1546" s="64"/>
      <c r="P1546" s="64"/>
      <c r="Q1546" s="64"/>
      <c r="R1546" s="65" t="str">
        <f>IF($A1546="","",IFERROR(MINIFS(Candidates!$K$2:$K$2000,Candidates!$A$2:$A$2000,$A1546),""))</f>
        <v/>
      </c>
      <c r="S1546" s="65" t="str">
        <f>IF($A1546="","",IFERROR(MAXIFS(Candidates!$AA$2:$AA$2000,Candidates!$A$2:$A$2000,$A1546),""))</f>
        <v/>
      </c>
      <c r="T1546" s="64" t="str">
        <f>IFERROR(__xludf.DUMMYFUNCTION("IF($A1546="""","""",IFERROR(TEXTJOIN("", "",TRUE,UNIQUE(FILTER(Candidates!$B$2:$B$2000,Candidates!$A$2:$A$2000=$A1546))),""""))"),"")</f>
        <v/>
      </c>
      <c r="U1546" s="66" t="str">
        <f>IF($A1546="","",COUNTIF(Candidates!$A$2:$A$2000,$A1546))</f>
        <v/>
      </c>
      <c r="V1546" s="64" t="str">
        <f>IFERROR(__xludf.DUMMYFUNCTION("IF($A1546="""","""",IFERROR(INDEX(FILTER(Candidates!$S$2:$S$2000,Candidates!$A$2:$A$2000=$A1546),COUNTIF(Candidates!$A$2:$A$2000,$A1546)),""""))"),"")</f>
        <v/>
      </c>
      <c r="W1546" s="64" t="str">
        <f>IFERROR(__xludf.DUMMYFUNCTION("IF($A1546="""","""",IFERROR(INDEX(FILTER(Candidates!$T$2:$T$2000,Candidates!$A$2:$A$2000=$A1546),COUNTIF(Candidates!$A$2:$A$2000,$A1546)),""""))"),"")</f>
        <v/>
      </c>
      <c r="X1546" s="64"/>
      <c r="Y1546" s="64"/>
      <c r="Z1546" s="65"/>
      <c r="AA1546" s="65"/>
      <c r="AB1546" s="65"/>
      <c r="AC1546" s="65"/>
    </row>
    <row r="1547">
      <c r="A1547" s="64"/>
      <c r="B1547" s="64"/>
      <c r="C1547" s="64"/>
      <c r="D1547" s="64"/>
      <c r="E1547" s="64"/>
      <c r="F1547" s="64"/>
      <c r="G1547" s="64"/>
      <c r="H1547" s="63"/>
      <c r="I1547" s="64"/>
      <c r="J1547" s="64"/>
      <c r="K1547" s="64"/>
      <c r="L1547" s="64"/>
      <c r="M1547" s="64"/>
      <c r="N1547" s="64"/>
      <c r="O1547" s="64"/>
      <c r="P1547" s="64"/>
      <c r="Q1547" s="64"/>
      <c r="R1547" s="65" t="str">
        <f>IF($A1547="","",IFERROR(MINIFS(Candidates!$K$2:$K$2000,Candidates!$A$2:$A$2000,$A1547),""))</f>
        <v/>
      </c>
      <c r="S1547" s="65" t="str">
        <f>IF($A1547="","",IFERROR(MAXIFS(Candidates!$AA$2:$AA$2000,Candidates!$A$2:$A$2000,$A1547),""))</f>
        <v/>
      </c>
      <c r="T1547" s="64" t="str">
        <f>IFERROR(__xludf.DUMMYFUNCTION("IF($A1547="""","""",IFERROR(TEXTJOIN("", "",TRUE,UNIQUE(FILTER(Candidates!$B$2:$B$2000,Candidates!$A$2:$A$2000=$A1547))),""""))"),"")</f>
        <v/>
      </c>
      <c r="U1547" s="66" t="str">
        <f>IF($A1547="","",COUNTIF(Candidates!$A$2:$A$2000,$A1547))</f>
        <v/>
      </c>
      <c r="V1547" s="64" t="str">
        <f>IFERROR(__xludf.DUMMYFUNCTION("IF($A1547="""","""",IFERROR(INDEX(FILTER(Candidates!$S$2:$S$2000,Candidates!$A$2:$A$2000=$A1547),COUNTIF(Candidates!$A$2:$A$2000,$A1547)),""""))"),"")</f>
        <v/>
      </c>
      <c r="W1547" s="64" t="str">
        <f>IFERROR(__xludf.DUMMYFUNCTION("IF($A1547="""","""",IFERROR(INDEX(FILTER(Candidates!$T$2:$T$2000,Candidates!$A$2:$A$2000=$A1547),COUNTIF(Candidates!$A$2:$A$2000,$A1547)),""""))"),"")</f>
        <v/>
      </c>
      <c r="X1547" s="64"/>
      <c r="Y1547" s="64"/>
      <c r="Z1547" s="65"/>
      <c r="AA1547" s="65"/>
      <c r="AB1547" s="65"/>
      <c r="AC1547" s="65"/>
    </row>
    <row r="1548">
      <c r="A1548" s="64"/>
      <c r="B1548" s="64"/>
      <c r="C1548" s="64"/>
      <c r="D1548" s="64"/>
      <c r="E1548" s="64"/>
      <c r="F1548" s="64"/>
      <c r="G1548" s="64"/>
      <c r="H1548" s="63"/>
      <c r="I1548" s="64"/>
      <c r="J1548" s="64"/>
      <c r="K1548" s="64"/>
      <c r="L1548" s="64"/>
      <c r="M1548" s="64"/>
      <c r="N1548" s="64"/>
      <c r="O1548" s="64"/>
      <c r="P1548" s="64"/>
      <c r="Q1548" s="64"/>
      <c r="R1548" s="65" t="str">
        <f>IF($A1548="","",IFERROR(MINIFS(Candidates!$K$2:$K$2000,Candidates!$A$2:$A$2000,$A1548),""))</f>
        <v/>
      </c>
      <c r="S1548" s="65" t="str">
        <f>IF($A1548="","",IFERROR(MAXIFS(Candidates!$AA$2:$AA$2000,Candidates!$A$2:$A$2000,$A1548),""))</f>
        <v/>
      </c>
      <c r="T1548" s="64" t="str">
        <f>IFERROR(__xludf.DUMMYFUNCTION("IF($A1548="""","""",IFERROR(TEXTJOIN("", "",TRUE,UNIQUE(FILTER(Candidates!$B$2:$B$2000,Candidates!$A$2:$A$2000=$A1548))),""""))"),"")</f>
        <v/>
      </c>
      <c r="U1548" s="66" t="str">
        <f>IF($A1548="","",COUNTIF(Candidates!$A$2:$A$2000,$A1548))</f>
        <v/>
      </c>
      <c r="V1548" s="64" t="str">
        <f>IFERROR(__xludf.DUMMYFUNCTION("IF($A1548="""","""",IFERROR(INDEX(FILTER(Candidates!$S$2:$S$2000,Candidates!$A$2:$A$2000=$A1548),COUNTIF(Candidates!$A$2:$A$2000,$A1548)),""""))"),"")</f>
        <v/>
      </c>
      <c r="W1548" s="64" t="str">
        <f>IFERROR(__xludf.DUMMYFUNCTION("IF($A1548="""","""",IFERROR(INDEX(FILTER(Candidates!$T$2:$T$2000,Candidates!$A$2:$A$2000=$A1548),COUNTIF(Candidates!$A$2:$A$2000,$A1548)),""""))"),"")</f>
        <v/>
      </c>
      <c r="X1548" s="64"/>
      <c r="Y1548" s="64"/>
      <c r="Z1548" s="65"/>
      <c r="AA1548" s="65"/>
      <c r="AB1548" s="65"/>
      <c r="AC1548" s="65"/>
    </row>
    <row r="1549">
      <c r="A1549" s="64"/>
      <c r="B1549" s="64"/>
      <c r="C1549" s="64"/>
      <c r="D1549" s="64"/>
      <c r="E1549" s="64"/>
      <c r="F1549" s="64"/>
      <c r="G1549" s="64"/>
      <c r="H1549" s="63"/>
      <c r="I1549" s="64"/>
      <c r="J1549" s="64"/>
      <c r="K1549" s="64"/>
      <c r="L1549" s="64"/>
      <c r="M1549" s="64"/>
      <c r="N1549" s="64"/>
      <c r="O1549" s="64"/>
      <c r="P1549" s="64"/>
      <c r="Q1549" s="64"/>
      <c r="R1549" s="65" t="str">
        <f>IF($A1549="","",IFERROR(MINIFS(Candidates!$K$2:$K$2000,Candidates!$A$2:$A$2000,$A1549),""))</f>
        <v/>
      </c>
      <c r="S1549" s="65" t="str">
        <f>IF($A1549="","",IFERROR(MAXIFS(Candidates!$AA$2:$AA$2000,Candidates!$A$2:$A$2000,$A1549),""))</f>
        <v/>
      </c>
      <c r="T1549" s="64" t="str">
        <f>IFERROR(__xludf.DUMMYFUNCTION("IF($A1549="""","""",IFERROR(TEXTJOIN("", "",TRUE,UNIQUE(FILTER(Candidates!$B$2:$B$2000,Candidates!$A$2:$A$2000=$A1549))),""""))"),"")</f>
        <v/>
      </c>
      <c r="U1549" s="66" t="str">
        <f>IF($A1549="","",COUNTIF(Candidates!$A$2:$A$2000,$A1549))</f>
        <v/>
      </c>
      <c r="V1549" s="64" t="str">
        <f>IFERROR(__xludf.DUMMYFUNCTION("IF($A1549="""","""",IFERROR(INDEX(FILTER(Candidates!$S$2:$S$2000,Candidates!$A$2:$A$2000=$A1549),COUNTIF(Candidates!$A$2:$A$2000,$A1549)),""""))"),"")</f>
        <v/>
      </c>
      <c r="W1549" s="64" t="str">
        <f>IFERROR(__xludf.DUMMYFUNCTION("IF($A1549="""","""",IFERROR(INDEX(FILTER(Candidates!$T$2:$T$2000,Candidates!$A$2:$A$2000=$A1549),COUNTIF(Candidates!$A$2:$A$2000,$A1549)),""""))"),"")</f>
        <v/>
      </c>
      <c r="X1549" s="64"/>
      <c r="Y1549" s="64"/>
      <c r="Z1549" s="65"/>
      <c r="AA1549" s="65"/>
      <c r="AB1549" s="65"/>
      <c r="AC1549" s="65"/>
    </row>
    <row r="1550">
      <c r="A1550" s="64"/>
      <c r="B1550" s="64"/>
      <c r="C1550" s="64"/>
      <c r="D1550" s="64"/>
      <c r="E1550" s="64"/>
      <c r="F1550" s="64"/>
      <c r="G1550" s="64"/>
      <c r="H1550" s="63"/>
      <c r="I1550" s="64"/>
      <c r="J1550" s="64"/>
      <c r="K1550" s="64"/>
      <c r="L1550" s="64"/>
      <c r="M1550" s="64"/>
      <c r="N1550" s="64"/>
      <c r="O1550" s="64"/>
      <c r="P1550" s="64"/>
      <c r="Q1550" s="64"/>
      <c r="R1550" s="65" t="str">
        <f>IF($A1550="","",IFERROR(MINIFS(Candidates!$K$2:$K$2000,Candidates!$A$2:$A$2000,$A1550),""))</f>
        <v/>
      </c>
      <c r="S1550" s="65" t="str">
        <f>IF($A1550="","",IFERROR(MAXIFS(Candidates!$AA$2:$AA$2000,Candidates!$A$2:$A$2000,$A1550),""))</f>
        <v/>
      </c>
      <c r="T1550" s="64" t="str">
        <f>IFERROR(__xludf.DUMMYFUNCTION("IF($A1550="""","""",IFERROR(TEXTJOIN("", "",TRUE,UNIQUE(FILTER(Candidates!$B$2:$B$2000,Candidates!$A$2:$A$2000=$A1550))),""""))"),"")</f>
        <v/>
      </c>
      <c r="U1550" s="66" t="str">
        <f>IF($A1550="","",COUNTIF(Candidates!$A$2:$A$2000,$A1550))</f>
        <v/>
      </c>
      <c r="V1550" s="64" t="str">
        <f>IFERROR(__xludf.DUMMYFUNCTION("IF($A1550="""","""",IFERROR(INDEX(FILTER(Candidates!$S$2:$S$2000,Candidates!$A$2:$A$2000=$A1550),COUNTIF(Candidates!$A$2:$A$2000,$A1550)),""""))"),"")</f>
        <v/>
      </c>
      <c r="W1550" s="64" t="str">
        <f>IFERROR(__xludf.DUMMYFUNCTION("IF($A1550="""","""",IFERROR(INDEX(FILTER(Candidates!$T$2:$T$2000,Candidates!$A$2:$A$2000=$A1550),COUNTIF(Candidates!$A$2:$A$2000,$A1550)),""""))"),"")</f>
        <v/>
      </c>
      <c r="X1550" s="64"/>
      <c r="Y1550" s="64"/>
      <c r="Z1550" s="65"/>
      <c r="AA1550" s="65"/>
      <c r="AB1550" s="65"/>
      <c r="AC1550" s="65"/>
    </row>
    <row r="1551">
      <c r="A1551" s="64"/>
      <c r="B1551" s="64"/>
      <c r="C1551" s="64"/>
      <c r="D1551" s="64"/>
      <c r="E1551" s="64"/>
      <c r="F1551" s="64"/>
      <c r="G1551" s="64"/>
      <c r="H1551" s="63"/>
      <c r="I1551" s="64"/>
      <c r="J1551" s="64"/>
      <c r="K1551" s="64"/>
      <c r="L1551" s="64"/>
      <c r="M1551" s="64"/>
      <c r="N1551" s="64"/>
      <c r="O1551" s="64"/>
      <c r="P1551" s="64"/>
      <c r="Q1551" s="64"/>
      <c r="R1551" s="65" t="str">
        <f>IF($A1551="","",IFERROR(MINIFS(Candidates!$K$2:$K$2000,Candidates!$A$2:$A$2000,$A1551),""))</f>
        <v/>
      </c>
      <c r="S1551" s="65" t="str">
        <f>IF($A1551="","",IFERROR(MAXIFS(Candidates!$AA$2:$AA$2000,Candidates!$A$2:$A$2000,$A1551),""))</f>
        <v/>
      </c>
      <c r="T1551" s="64" t="str">
        <f>IFERROR(__xludf.DUMMYFUNCTION("IF($A1551="""","""",IFERROR(TEXTJOIN("", "",TRUE,UNIQUE(FILTER(Candidates!$B$2:$B$2000,Candidates!$A$2:$A$2000=$A1551))),""""))"),"")</f>
        <v/>
      </c>
      <c r="U1551" s="66" t="str">
        <f>IF($A1551="","",COUNTIF(Candidates!$A$2:$A$2000,$A1551))</f>
        <v/>
      </c>
      <c r="V1551" s="64" t="str">
        <f>IFERROR(__xludf.DUMMYFUNCTION("IF($A1551="""","""",IFERROR(INDEX(FILTER(Candidates!$S$2:$S$2000,Candidates!$A$2:$A$2000=$A1551),COUNTIF(Candidates!$A$2:$A$2000,$A1551)),""""))"),"")</f>
        <v/>
      </c>
      <c r="W1551" s="64" t="str">
        <f>IFERROR(__xludf.DUMMYFUNCTION("IF($A1551="""","""",IFERROR(INDEX(FILTER(Candidates!$T$2:$T$2000,Candidates!$A$2:$A$2000=$A1551),COUNTIF(Candidates!$A$2:$A$2000,$A1551)),""""))"),"")</f>
        <v/>
      </c>
      <c r="X1551" s="64"/>
      <c r="Y1551" s="64"/>
      <c r="Z1551" s="65"/>
      <c r="AA1551" s="65"/>
      <c r="AB1551" s="65"/>
      <c r="AC1551" s="65"/>
    </row>
    <row r="1552">
      <c r="A1552" s="64"/>
      <c r="B1552" s="64"/>
      <c r="C1552" s="64"/>
      <c r="D1552" s="64"/>
      <c r="E1552" s="64"/>
      <c r="F1552" s="64"/>
      <c r="G1552" s="64"/>
      <c r="H1552" s="63"/>
      <c r="I1552" s="64"/>
      <c r="J1552" s="64"/>
      <c r="K1552" s="64"/>
      <c r="L1552" s="64"/>
      <c r="M1552" s="64"/>
      <c r="N1552" s="64"/>
      <c r="O1552" s="64"/>
      <c r="P1552" s="64"/>
      <c r="Q1552" s="64"/>
      <c r="R1552" s="65" t="str">
        <f>IF($A1552="","",IFERROR(MINIFS(Candidates!$K$2:$K$2000,Candidates!$A$2:$A$2000,$A1552),""))</f>
        <v/>
      </c>
      <c r="S1552" s="65" t="str">
        <f>IF($A1552="","",IFERROR(MAXIFS(Candidates!$AA$2:$AA$2000,Candidates!$A$2:$A$2000,$A1552),""))</f>
        <v/>
      </c>
      <c r="T1552" s="64" t="str">
        <f>IFERROR(__xludf.DUMMYFUNCTION("IF($A1552="""","""",IFERROR(TEXTJOIN("", "",TRUE,UNIQUE(FILTER(Candidates!$B$2:$B$2000,Candidates!$A$2:$A$2000=$A1552))),""""))"),"")</f>
        <v/>
      </c>
      <c r="U1552" s="66" t="str">
        <f>IF($A1552="","",COUNTIF(Candidates!$A$2:$A$2000,$A1552))</f>
        <v/>
      </c>
      <c r="V1552" s="64" t="str">
        <f>IFERROR(__xludf.DUMMYFUNCTION("IF($A1552="""","""",IFERROR(INDEX(FILTER(Candidates!$S$2:$S$2000,Candidates!$A$2:$A$2000=$A1552),COUNTIF(Candidates!$A$2:$A$2000,$A1552)),""""))"),"")</f>
        <v/>
      </c>
      <c r="W1552" s="64" t="str">
        <f>IFERROR(__xludf.DUMMYFUNCTION("IF($A1552="""","""",IFERROR(INDEX(FILTER(Candidates!$T$2:$T$2000,Candidates!$A$2:$A$2000=$A1552),COUNTIF(Candidates!$A$2:$A$2000,$A1552)),""""))"),"")</f>
        <v/>
      </c>
      <c r="X1552" s="64"/>
      <c r="Y1552" s="64"/>
      <c r="Z1552" s="65"/>
      <c r="AA1552" s="65"/>
      <c r="AB1552" s="65"/>
      <c r="AC1552" s="65"/>
    </row>
    <row r="1553">
      <c r="A1553" s="64"/>
      <c r="B1553" s="64"/>
      <c r="C1553" s="64"/>
      <c r="D1553" s="64"/>
      <c r="E1553" s="64"/>
      <c r="F1553" s="64"/>
      <c r="G1553" s="64"/>
      <c r="H1553" s="63"/>
      <c r="I1553" s="64"/>
      <c r="J1553" s="64"/>
      <c r="K1553" s="64"/>
      <c r="L1553" s="64"/>
      <c r="M1553" s="64"/>
      <c r="N1553" s="64"/>
      <c r="O1553" s="64"/>
      <c r="P1553" s="64"/>
      <c r="Q1553" s="64"/>
      <c r="R1553" s="65" t="str">
        <f>IF($A1553="","",IFERROR(MINIFS(Candidates!$K$2:$K$2000,Candidates!$A$2:$A$2000,$A1553),""))</f>
        <v/>
      </c>
      <c r="S1553" s="65" t="str">
        <f>IF($A1553="","",IFERROR(MAXIFS(Candidates!$AA$2:$AA$2000,Candidates!$A$2:$A$2000,$A1553),""))</f>
        <v/>
      </c>
      <c r="T1553" s="64" t="str">
        <f>IFERROR(__xludf.DUMMYFUNCTION("IF($A1553="""","""",IFERROR(TEXTJOIN("", "",TRUE,UNIQUE(FILTER(Candidates!$B$2:$B$2000,Candidates!$A$2:$A$2000=$A1553))),""""))"),"")</f>
        <v/>
      </c>
      <c r="U1553" s="66" t="str">
        <f>IF($A1553="","",COUNTIF(Candidates!$A$2:$A$2000,$A1553))</f>
        <v/>
      </c>
      <c r="V1553" s="64" t="str">
        <f>IFERROR(__xludf.DUMMYFUNCTION("IF($A1553="""","""",IFERROR(INDEX(FILTER(Candidates!$S$2:$S$2000,Candidates!$A$2:$A$2000=$A1553),COUNTIF(Candidates!$A$2:$A$2000,$A1553)),""""))"),"")</f>
        <v/>
      </c>
      <c r="W1553" s="64" t="str">
        <f>IFERROR(__xludf.DUMMYFUNCTION("IF($A1553="""","""",IFERROR(INDEX(FILTER(Candidates!$T$2:$T$2000,Candidates!$A$2:$A$2000=$A1553),COUNTIF(Candidates!$A$2:$A$2000,$A1553)),""""))"),"")</f>
        <v/>
      </c>
      <c r="X1553" s="64"/>
      <c r="Y1553" s="64"/>
      <c r="Z1553" s="65"/>
      <c r="AA1553" s="65"/>
      <c r="AB1553" s="65"/>
      <c r="AC1553" s="65"/>
    </row>
    <row r="1554">
      <c r="A1554" s="64"/>
      <c r="B1554" s="64"/>
      <c r="C1554" s="64"/>
      <c r="D1554" s="64"/>
      <c r="E1554" s="64"/>
      <c r="F1554" s="64"/>
      <c r="G1554" s="64"/>
      <c r="H1554" s="63"/>
      <c r="I1554" s="64"/>
      <c r="J1554" s="64"/>
      <c r="K1554" s="64"/>
      <c r="L1554" s="64"/>
      <c r="M1554" s="64"/>
      <c r="N1554" s="64"/>
      <c r="O1554" s="64"/>
      <c r="P1554" s="64"/>
      <c r="Q1554" s="64"/>
      <c r="R1554" s="65" t="str">
        <f>IF($A1554="","",IFERROR(MINIFS(Candidates!$K$2:$K$2000,Candidates!$A$2:$A$2000,$A1554),""))</f>
        <v/>
      </c>
      <c r="S1554" s="65" t="str">
        <f>IF($A1554="","",IFERROR(MAXIFS(Candidates!$AA$2:$AA$2000,Candidates!$A$2:$A$2000,$A1554),""))</f>
        <v/>
      </c>
      <c r="T1554" s="64" t="str">
        <f>IFERROR(__xludf.DUMMYFUNCTION("IF($A1554="""","""",IFERROR(TEXTJOIN("", "",TRUE,UNIQUE(FILTER(Candidates!$B$2:$B$2000,Candidates!$A$2:$A$2000=$A1554))),""""))"),"")</f>
        <v/>
      </c>
      <c r="U1554" s="66" t="str">
        <f>IF($A1554="","",COUNTIF(Candidates!$A$2:$A$2000,$A1554))</f>
        <v/>
      </c>
      <c r="V1554" s="64" t="str">
        <f>IFERROR(__xludf.DUMMYFUNCTION("IF($A1554="""","""",IFERROR(INDEX(FILTER(Candidates!$S$2:$S$2000,Candidates!$A$2:$A$2000=$A1554),COUNTIF(Candidates!$A$2:$A$2000,$A1554)),""""))"),"")</f>
        <v/>
      </c>
      <c r="W1554" s="64" t="str">
        <f>IFERROR(__xludf.DUMMYFUNCTION("IF($A1554="""","""",IFERROR(INDEX(FILTER(Candidates!$T$2:$T$2000,Candidates!$A$2:$A$2000=$A1554),COUNTIF(Candidates!$A$2:$A$2000,$A1554)),""""))"),"")</f>
        <v/>
      </c>
      <c r="X1554" s="64"/>
      <c r="Y1554" s="64"/>
      <c r="Z1554" s="65"/>
      <c r="AA1554" s="65"/>
      <c r="AB1554" s="65"/>
      <c r="AC1554" s="65"/>
    </row>
    <row r="1555">
      <c r="A1555" s="64"/>
      <c r="B1555" s="64"/>
      <c r="C1555" s="64"/>
      <c r="D1555" s="64"/>
      <c r="E1555" s="64"/>
      <c r="F1555" s="64"/>
      <c r="G1555" s="64"/>
      <c r="H1555" s="63"/>
      <c r="I1555" s="64"/>
      <c r="J1555" s="64"/>
      <c r="K1555" s="64"/>
      <c r="L1555" s="64"/>
      <c r="M1555" s="64"/>
      <c r="N1555" s="64"/>
      <c r="O1555" s="64"/>
      <c r="P1555" s="64"/>
      <c r="Q1555" s="64"/>
      <c r="R1555" s="65" t="str">
        <f>IF($A1555="","",IFERROR(MINIFS(Candidates!$K$2:$K$2000,Candidates!$A$2:$A$2000,$A1555),""))</f>
        <v/>
      </c>
      <c r="S1555" s="65" t="str">
        <f>IF($A1555="","",IFERROR(MAXIFS(Candidates!$AA$2:$AA$2000,Candidates!$A$2:$A$2000,$A1555),""))</f>
        <v/>
      </c>
      <c r="T1555" s="64" t="str">
        <f>IFERROR(__xludf.DUMMYFUNCTION("IF($A1555="""","""",IFERROR(TEXTJOIN("", "",TRUE,UNIQUE(FILTER(Candidates!$B$2:$B$2000,Candidates!$A$2:$A$2000=$A1555))),""""))"),"")</f>
        <v/>
      </c>
      <c r="U1555" s="66" t="str">
        <f>IF($A1555="","",COUNTIF(Candidates!$A$2:$A$2000,$A1555))</f>
        <v/>
      </c>
      <c r="V1555" s="64" t="str">
        <f>IFERROR(__xludf.DUMMYFUNCTION("IF($A1555="""","""",IFERROR(INDEX(FILTER(Candidates!$S$2:$S$2000,Candidates!$A$2:$A$2000=$A1555),COUNTIF(Candidates!$A$2:$A$2000,$A1555)),""""))"),"")</f>
        <v/>
      </c>
      <c r="W1555" s="64" t="str">
        <f>IFERROR(__xludf.DUMMYFUNCTION("IF($A1555="""","""",IFERROR(INDEX(FILTER(Candidates!$T$2:$T$2000,Candidates!$A$2:$A$2000=$A1555),COUNTIF(Candidates!$A$2:$A$2000,$A1555)),""""))"),"")</f>
        <v/>
      </c>
      <c r="X1555" s="64"/>
      <c r="Y1555" s="64"/>
      <c r="Z1555" s="65"/>
      <c r="AA1555" s="65"/>
      <c r="AB1555" s="65"/>
      <c r="AC1555" s="65"/>
    </row>
    <row r="1556">
      <c r="A1556" s="64"/>
      <c r="B1556" s="64"/>
      <c r="C1556" s="64"/>
      <c r="D1556" s="64"/>
      <c r="E1556" s="64"/>
      <c r="F1556" s="64"/>
      <c r="G1556" s="64"/>
      <c r="H1556" s="63"/>
      <c r="I1556" s="64"/>
      <c r="J1556" s="64"/>
      <c r="K1556" s="64"/>
      <c r="L1556" s="64"/>
      <c r="M1556" s="64"/>
      <c r="N1556" s="64"/>
      <c r="O1556" s="64"/>
      <c r="P1556" s="64"/>
      <c r="Q1556" s="64"/>
      <c r="R1556" s="65" t="str">
        <f>IF($A1556="","",IFERROR(MINIFS(Candidates!$K$2:$K$2000,Candidates!$A$2:$A$2000,$A1556),""))</f>
        <v/>
      </c>
      <c r="S1556" s="65" t="str">
        <f>IF($A1556="","",IFERROR(MAXIFS(Candidates!$AA$2:$AA$2000,Candidates!$A$2:$A$2000,$A1556),""))</f>
        <v/>
      </c>
      <c r="T1556" s="64" t="str">
        <f>IFERROR(__xludf.DUMMYFUNCTION("IF($A1556="""","""",IFERROR(TEXTJOIN("", "",TRUE,UNIQUE(FILTER(Candidates!$B$2:$B$2000,Candidates!$A$2:$A$2000=$A1556))),""""))"),"")</f>
        <v/>
      </c>
      <c r="U1556" s="66" t="str">
        <f>IF($A1556="","",COUNTIF(Candidates!$A$2:$A$2000,$A1556))</f>
        <v/>
      </c>
      <c r="V1556" s="64" t="str">
        <f>IFERROR(__xludf.DUMMYFUNCTION("IF($A1556="""","""",IFERROR(INDEX(FILTER(Candidates!$S$2:$S$2000,Candidates!$A$2:$A$2000=$A1556),COUNTIF(Candidates!$A$2:$A$2000,$A1556)),""""))"),"")</f>
        <v/>
      </c>
      <c r="W1556" s="64" t="str">
        <f>IFERROR(__xludf.DUMMYFUNCTION("IF($A1556="""","""",IFERROR(INDEX(FILTER(Candidates!$T$2:$T$2000,Candidates!$A$2:$A$2000=$A1556),COUNTIF(Candidates!$A$2:$A$2000,$A1556)),""""))"),"")</f>
        <v/>
      </c>
      <c r="X1556" s="64"/>
      <c r="Y1556" s="64"/>
      <c r="Z1556" s="65"/>
      <c r="AA1556" s="65"/>
      <c r="AB1556" s="65"/>
      <c r="AC1556" s="65"/>
    </row>
    <row r="1557">
      <c r="A1557" s="64"/>
      <c r="B1557" s="64"/>
      <c r="C1557" s="64"/>
      <c r="D1557" s="64"/>
      <c r="E1557" s="64"/>
      <c r="F1557" s="64"/>
      <c r="G1557" s="64"/>
      <c r="H1557" s="63"/>
      <c r="I1557" s="64"/>
      <c r="J1557" s="64"/>
      <c r="K1557" s="64"/>
      <c r="L1557" s="64"/>
      <c r="M1557" s="64"/>
      <c r="N1557" s="64"/>
      <c r="O1557" s="64"/>
      <c r="P1557" s="64"/>
      <c r="Q1557" s="64"/>
      <c r="R1557" s="65" t="str">
        <f>IF($A1557="","",IFERROR(MINIFS(Candidates!$K$2:$K$2000,Candidates!$A$2:$A$2000,$A1557),""))</f>
        <v/>
      </c>
      <c r="S1557" s="65" t="str">
        <f>IF($A1557="","",IFERROR(MAXIFS(Candidates!$AA$2:$AA$2000,Candidates!$A$2:$A$2000,$A1557),""))</f>
        <v/>
      </c>
      <c r="T1557" s="64" t="str">
        <f>IFERROR(__xludf.DUMMYFUNCTION("IF($A1557="""","""",IFERROR(TEXTJOIN("", "",TRUE,UNIQUE(FILTER(Candidates!$B$2:$B$2000,Candidates!$A$2:$A$2000=$A1557))),""""))"),"")</f>
        <v/>
      </c>
      <c r="U1557" s="66" t="str">
        <f>IF($A1557="","",COUNTIF(Candidates!$A$2:$A$2000,$A1557))</f>
        <v/>
      </c>
      <c r="V1557" s="64" t="str">
        <f>IFERROR(__xludf.DUMMYFUNCTION("IF($A1557="""","""",IFERROR(INDEX(FILTER(Candidates!$S$2:$S$2000,Candidates!$A$2:$A$2000=$A1557),COUNTIF(Candidates!$A$2:$A$2000,$A1557)),""""))"),"")</f>
        <v/>
      </c>
      <c r="W1557" s="64" t="str">
        <f>IFERROR(__xludf.DUMMYFUNCTION("IF($A1557="""","""",IFERROR(INDEX(FILTER(Candidates!$T$2:$T$2000,Candidates!$A$2:$A$2000=$A1557),COUNTIF(Candidates!$A$2:$A$2000,$A1557)),""""))"),"")</f>
        <v/>
      </c>
      <c r="X1557" s="64"/>
      <c r="Y1557" s="64"/>
      <c r="Z1557" s="65"/>
      <c r="AA1557" s="65"/>
      <c r="AB1557" s="65"/>
      <c r="AC1557" s="65"/>
    </row>
    <row r="1558">
      <c r="A1558" s="64"/>
      <c r="B1558" s="64"/>
      <c r="C1558" s="64"/>
      <c r="D1558" s="64"/>
      <c r="E1558" s="64"/>
      <c r="F1558" s="64"/>
      <c r="G1558" s="64"/>
      <c r="H1558" s="63"/>
      <c r="I1558" s="64"/>
      <c r="J1558" s="64"/>
      <c r="K1558" s="64"/>
      <c r="L1558" s="64"/>
      <c r="M1558" s="64"/>
      <c r="N1558" s="64"/>
      <c r="O1558" s="64"/>
      <c r="P1558" s="64"/>
      <c r="Q1558" s="64"/>
      <c r="R1558" s="65" t="str">
        <f>IF($A1558="","",IFERROR(MINIFS(Candidates!$K$2:$K$2000,Candidates!$A$2:$A$2000,$A1558),""))</f>
        <v/>
      </c>
      <c r="S1558" s="65" t="str">
        <f>IF($A1558="","",IFERROR(MAXIFS(Candidates!$AA$2:$AA$2000,Candidates!$A$2:$A$2000,$A1558),""))</f>
        <v/>
      </c>
      <c r="T1558" s="64" t="str">
        <f>IFERROR(__xludf.DUMMYFUNCTION("IF($A1558="""","""",IFERROR(TEXTJOIN("", "",TRUE,UNIQUE(FILTER(Candidates!$B$2:$B$2000,Candidates!$A$2:$A$2000=$A1558))),""""))"),"")</f>
        <v/>
      </c>
      <c r="U1558" s="66" t="str">
        <f>IF($A1558="","",COUNTIF(Candidates!$A$2:$A$2000,$A1558))</f>
        <v/>
      </c>
      <c r="V1558" s="64" t="str">
        <f>IFERROR(__xludf.DUMMYFUNCTION("IF($A1558="""","""",IFERROR(INDEX(FILTER(Candidates!$S$2:$S$2000,Candidates!$A$2:$A$2000=$A1558),COUNTIF(Candidates!$A$2:$A$2000,$A1558)),""""))"),"")</f>
        <v/>
      </c>
      <c r="W1558" s="64" t="str">
        <f>IFERROR(__xludf.DUMMYFUNCTION("IF($A1558="""","""",IFERROR(INDEX(FILTER(Candidates!$T$2:$T$2000,Candidates!$A$2:$A$2000=$A1558),COUNTIF(Candidates!$A$2:$A$2000,$A1558)),""""))"),"")</f>
        <v/>
      </c>
      <c r="X1558" s="64"/>
      <c r="Y1558" s="64"/>
      <c r="Z1558" s="65"/>
      <c r="AA1558" s="65"/>
      <c r="AB1558" s="65"/>
      <c r="AC1558" s="65"/>
    </row>
    <row r="1559">
      <c r="A1559" s="64"/>
      <c r="B1559" s="64"/>
      <c r="C1559" s="64"/>
      <c r="D1559" s="64"/>
      <c r="E1559" s="64"/>
      <c r="F1559" s="64"/>
      <c r="G1559" s="64"/>
      <c r="H1559" s="63"/>
      <c r="I1559" s="64"/>
      <c r="J1559" s="64"/>
      <c r="K1559" s="64"/>
      <c r="L1559" s="64"/>
      <c r="M1559" s="64"/>
      <c r="N1559" s="64"/>
      <c r="O1559" s="64"/>
      <c r="P1559" s="64"/>
      <c r="Q1559" s="64"/>
      <c r="R1559" s="65" t="str">
        <f>IF($A1559="","",IFERROR(MINIFS(Candidates!$K$2:$K$2000,Candidates!$A$2:$A$2000,$A1559),""))</f>
        <v/>
      </c>
      <c r="S1559" s="65" t="str">
        <f>IF($A1559="","",IFERROR(MAXIFS(Candidates!$AA$2:$AA$2000,Candidates!$A$2:$A$2000,$A1559),""))</f>
        <v/>
      </c>
      <c r="T1559" s="64" t="str">
        <f>IFERROR(__xludf.DUMMYFUNCTION("IF($A1559="""","""",IFERROR(TEXTJOIN("", "",TRUE,UNIQUE(FILTER(Candidates!$B$2:$B$2000,Candidates!$A$2:$A$2000=$A1559))),""""))"),"")</f>
        <v/>
      </c>
      <c r="U1559" s="66" t="str">
        <f>IF($A1559="","",COUNTIF(Candidates!$A$2:$A$2000,$A1559))</f>
        <v/>
      </c>
      <c r="V1559" s="64" t="str">
        <f>IFERROR(__xludf.DUMMYFUNCTION("IF($A1559="""","""",IFERROR(INDEX(FILTER(Candidates!$S$2:$S$2000,Candidates!$A$2:$A$2000=$A1559),COUNTIF(Candidates!$A$2:$A$2000,$A1559)),""""))"),"")</f>
        <v/>
      </c>
      <c r="W1559" s="64" t="str">
        <f>IFERROR(__xludf.DUMMYFUNCTION("IF($A1559="""","""",IFERROR(INDEX(FILTER(Candidates!$T$2:$T$2000,Candidates!$A$2:$A$2000=$A1559),COUNTIF(Candidates!$A$2:$A$2000,$A1559)),""""))"),"")</f>
        <v/>
      </c>
      <c r="X1559" s="64"/>
      <c r="Y1559" s="64"/>
      <c r="Z1559" s="65"/>
      <c r="AA1559" s="65"/>
      <c r="AB1559" s="65"/>
      <c r="AC1559" s="65"/>
    </row>
    <row r="1560">
      <c r="A1560" s="64"/>
      <c r="B1560" s="64"/>
      <c r="C1560" s="64"/>
      <c r="D1560" s="64"/>
      <c r="E1560" s="64"/>
      <c r="F1560" s="64"/>
      <c r="G1560" s="64"/>
      <c r="H1560" s="63"/>
      <c r="I1560" s="64"/>
      <c r="J1560" s="64"/>
      <c r="K1560" s="64"/>
      <c r="L1560" s="64"/>
      <c r="M1560" s="64"/>
      <c r="N1560" s="64"/>
      <c r="O1560" s="64"/>
      <c r="P1560" s="64"/>
      <c r="Q1560" s="64"/>
      <c r="R1560" s="65" t="str">
        <f>IF($A1560="","",IFERROR(MINIFS(Candidates!$K$2:$K$2000,Candidates!$A$2:$A$2000,$A1560),""))</f>
        <v/>
      </c>
      <c r="S1560" s="65" t="str">
        <f>IF($A1560="","",IFERROR(MAXIFS(Candidates!$AA$2:$AA$2000,Candidates!$A$2:$A$2000,$A1560),""))</f>
        <v/>
      </c>
      <c r="T1560" s="64" t="str">
        <f>IFERROR(__xludf.DUMMYFUNCTION("IF($A1560="""","""",IFERROR(TEXTJOIN("", "",TRUE,UNIQUE(FILTER(Candidates!$B$2:$B$2000,Candidates!$A$2:$A$2000=$A1560))),""""))"),"")</f>
        <v/>
      </c>
      <c r="U1560" s="66" t="str">
        <f>IF($A1560="","",COUNTIF(Candidates!$A$2:$A$2000,$A1560))</f>
        <v/>
      </c>
      <c r="V1560" s="64" t="str">
        <f>IFERROR(__xludf.DUMMYFUNCTION("IF($A1560="""","""",IFERROR(INDEX(FILTER(Candidates!$S$2:$S$2000,Candidates!$A$2:$A$2000=$A1560),COUNTIF(Candidates!$A$2:$A$2000,$A1560)),""""))"),"")</f>
        <v/>
      </c>
      <c r="W1560" s="64" t="str">
        <f>IFERROR(__xludf.DUMMYFUNCTION("IF($A1560="""","""",IFERROR(INDEX(FILTER(Candidates!$T$2:$T$2000,Candidates!$A$2:$A$2000=$A1560),COUNTIF(Candidates!$A$2:$A$2000,$A1560)),""""))"),"")</f>
        <v/>
      </c>
      <c r="X1560" s="64"/>
      <c r="Y1560" s="64"/>
      <c r="Z1560" s="65"/>
      <c r="AA1560" s="65"/>
      <c r="AB1560" s="65"/>
      <c r="AC1560" s="65"/>
    </row>
    <row r="1561">
      <c r="A1561" s="64"/>
      <c r="B1561" s="64"/>
      <c r="C1561" s="64"/>
      <c r="D1561" s="64"/>
      <c r="E1561" s="64"/>
      <c r="F1561" s="64"/>
      <c r="G1561" s="64"/>
      <c r="H1561" s="63"/>
      <c r="I1561" s="64"/>
      <c r="J1561" s="64"/>
      <c r="K1561" s="64"/>
      <c r="L1561" s="64"/>
      <c r="M1561" s="64"/>
      <c r="N1561" s="64"/>
      <c r="O1561" s="64"/>
      <c r="P1561" s="64"/>
      <c r="Q1561" s="64"/>
      <c r="R1561" s="65" t="str">
        <f>IF($A1561="","",IFERROR(MINIFS(Candidates!$K$2:$K$2000,Candidates!$A$2:$A$2000,$A1561),""))</f>
        <v/>
      </c>
      <c r="S1561" s="65" t="str">
        <f>IF($A1561="","",IFERROR(MAXIFS(Candidates!$AA$2:$AA$2000,Candidates!$A$2:$A$2000,$A1561),""))</f>
        <v/>
      </c>
      <c r="T1561" s="64" t="str">
        <f>IFERROR(__xludf.DUMMYFUNCTION("IF($A1561="""","""",IFERROR(TEXTJOIN("", "",TRUE,UNIQUE(FILTER(Candidates!$B$2:$B$2000,Candidates!$A$2:$A$2000=$A1561))),""""))"),"")</f>
        <v/>
      </c>
      <c r="U1561" s="66" t="str">
        <f>IF($A1561="","",COUNTIF(Candidates!$A$2:$A$2000,$A1561))</f>
        <v/>
      </c>
      <c r="V1561" s="64" t="str">
        <f>IFERROR(__xludf.DUMMYFUNCTION("IF($A1561="""","""",IFERROR(INDEX(FILTER(Candidates!$S$2:$S$2000,Candidates!$A$2:$A$2000=$A1561),COUNTIF(Candidates!$A$2:$A$2000,$A1561)),""""))"),"")</f>
        <v/>
      </c>
      <c r="W1561" s="64" t="str">
        <f>IFERROR(__xludf.DUMMYFUNCTION("IF($A1561="""","""",IFERROR(INDEX(FILTER(Candidates!$T$2:$T$2000,Candidates!$A$2:$A$2000=$A1561),COUNTIF(Candidates!$A$2:$A$2000,$A1561)),""""))"),"")</f>
        <v/>
      </c>
      <c r="X1561" s="64"/>
      <c r="Y1561" s="64"/>
      <c r="Z1561" s="65"/>
      <c r="AA1561" s="65"/>
      <c r="AB1561" s="65"/>
      <c r="AC1561" s="65"/>
    </row>
    <row r="1562">
      <c r="A1562" s="64"/>
      <c r="B1562" s="64"/>
      <c r="C1562" s="64"/>
      <c r="D1562" s="64"/>
      <c r="E1562" s="64"/>
      <c r="F1562" s="64"/>
      <c r="G1562" s="64"/>
      <c r="H1562" s="63"/>
      <c r="I1562" s="64"/>
      <c r="J1562" s="64"/>
      <c r="K1562" s="64"/>
      <c r="L1562" s="64"/>
      <c r="M1562" s="64"/>
      <c r="N1562" s="64"/>
      <c r="O1562" s="64"/>
      <c r="P1562" s="64"/>
      <c r="Q1562" s="64"/>
      <c r="R1562" s="65" t="str">
        <f>IF($A1562="","",IFERROR(MINIFS(Candidates!$K$2:$K$2000,Candidates!$A$2:$A$2000,$A1562),""))</f>
        <v/>
      </c>
      <c r="S1562" s="65" t="str">
        <f>IF($A1562="","",IFERROR(MAXIFS(Candidates!$AA$2:$AA$2000,Candidates!$A$2:$A$2000,$A1562),""))</f>
        <v/>
      </c>
      <c r="T1562" s="64" t="str">
        <f>IFERROR(__xludf.DUMMYFUNCTION("IF($A1562="""","""",IFERROR(TEXTJOIN("", "",TRUE,UNIQUE(FILTER(Candidates!$B$2:$B$2000,Candidates!$A$2:$A$2000=$A1562))),""""))"),"")</f>
        <v/>
      </c>
      <c r="U1562" s="66" t="str">
        <f>IF($A1562="","",COUNTIF(Candidates!$A$2:$A$2000,$A1562))</f>
        <v/>
      </c>
      <c r="V1562" s="64" t="str">
        <f>IFERROR(__xludf.DUMMYFUNCTION("IF($A1562="""","""",IFERROR(INDEX(FILTER(Candidates!$S$2:$S$2000,Candidates!$A$2:$A$2000=$A1562),COUNTIF(Candidates!$A$2:$A$2000,$A1562)),""""))"),"")</f>
        <v/>
      </c>
      <c r="W1562" s="64" t="str">
        <f>IFERROR(__xludf.DUMMYFUNCTION("IF($A1562="""","""",IFERROR(INDEX(FILTER(Candidates!$T$2:$T$2000,Candidates!$A$2:$A$2000=$A1562),COUNTIF(Candidates!$A$2:$A$2000,$A1562)),""""))"),"")</f>
        <v/>
      </c>
      <c r="X1562" s="64"/>
      <c r="Y1562" s="64"/>
      <c r="Z1562" s="65"/>
      <c r="AA1562" s="65"/>
      <c r="AB1562" s="65"/>
      <c r="AC1562" s="65"/>
    </row>
    <row r="1563">
      <c r="A1563" s="64"/>
      <c r="B1563" s="64"/>
      <c r="C1563" s="64"/>
      <c r="D1563" s="64"/>
      <c r="E1563" s="64"/>
      <c r="F1563" s="64"/>
      <c r="G1563" s="64"/>
      <c r="H1563" s="63"/>
      <c r="I1563" s="64"/>
      <c r="J1563" s="64"/>
      <c r="K1563" s="64"/>
      <c r="L1563" s="64"/>
      <c r="M1563" s="64"/>
      <c r="N1563" s="64"/>
      <c r="O1563" s="64"/>
      <c r="P1563" s="64"/>
      <c r="Q1563" s="64"/>
      <c r="R1563" s="65" t="str">
        <f>IF($A1563="","",IFERROR(MINIFS(Candidates!$K$2:$K$2000,Candidates!$A$2:$A$2000,$A1563),""))</f>
        <v/>
      </c>
      <c r="S1563" s="65" t="str">
        <f>IF($A1563="","",IFERROR(MAXIFS(Candidates!$AA$2:$AA$2000,Candidates!$A$2:$A$2000,$A1563),""))</f>
        <v/>
      </c>
      <c r="T1563" s="64" t="str">
        <f>IFERROR(__xludf.DUMMYFUNCTION("IF($A1563="""","""",IFERROR(TEXTJOIN("", "",TRUE,UNIQUE(FILTER(Candidates!$B$2:$B$2000,Candidates!$A$2:$A$2000=$A1563))),""""))"),"")</f>
        <v/>
      </c>
      <c r="U1563" s="66" t="str">
        <f>IF($A1563="","",COUNTIF(Candidates!$A$2:$A$2000,$A1563))</f>
        <v/>
      </c>
      <c r="V1563" s="64" t="str">
        <f>IFERROR(__xludf.DUMMYFUNCTION("IF($A1563="""","""",IFERROR(INDEX(FILTER(Candidates!$S$2:$S$2000,Candidates!$A$2:$A$2000=$A1563),COUNTIF(Candidates!$A$2:$A$2000,$A1563)),""""))"),"")</f>
        <v/>
      </c>
      <c r="W1563" s="64" t="str">
        <f>IFERROR(__xludf.DUMMYFUNCTION("IF($A1563="""","""",IFERROR(INDEX(FILTER(Candidates!$T$2:$T$2000,Candidates!$A$2:$A$2000=$A1563),COUNTIF(Candidates!$A$2:$A$2000,$A1563)),""""))"),"")</f>
        <v/>
      </c>
      <c r="X1563" s="64"/>
      <c r="Y1563" s="64"/>
      <c r="Z1563" s="65"/>
      <c r="AA1563" s="65"/>
      <c r="AB1563" s="65"/>
      <c r="AC1563" s="65"/>
    </row>
    <row r="1564">
      <c r="A1564" s="64"/>
      <c r="B1564" s="64"/>
      <c r="C1564" s="64"/>
      <c r="D1564" s="64"/>
      <c r="E1564" s="64"/>
      <c r="F1564" s="64"/>
      <c r="G1564" s="64"/>
      <c r="H1564" s="63"/>
      <c r="I1564" s="64"/>
      <c r="J1564" s="64"/>
      <c r="K1564" s="64"/>
      <c r="L1564" s="64"/>
      <c r="M1564" s="64"/>
      <c r="N1564" s="64"/>
      <c r="O1564" s="64"/>
      <c r="P1564" s="64"/>
      <c r="Q1564" s="64"/>
      <c r="R1564" s="65" t="str">
        <f>IF($A1564="","",IFERROR(MINIFS(Candidates!$K$2:$K$2000,Candidates!$A$2:$A$2000,$A1564),""))</f>
        <v/>
      </c>
      <c r="S1564" s="65" t="str">
        <f>IF($A1564="","",IFERROR(MAXIFS(Candidates!$AA$2:$AA$2000,Candidates!$A$2:$A$2000,$A1564),""))</f>
        <v/>
      </c>
      <c r="T1564" s="64" t="str">
        <f>IFERROR(__xludf.DUMMYFUNCTION("IF($A1564="""","""",IFERROR(TEXTJOIN("", "",TRUE,UNIQUE(FILTER(Candidates!$B$2:$B$2000,Candidates!$A$2:$A$2000=$A1564))),""""))"),"")</f>
        <v/>
      </c>
      <c r="U1564" s="66" t="str">
        <f>IF($A1564="","",COUNTIF(Candidates!$A$2:$A$2000,$A1564))</f>
        <v/>
      </c>
      <c r="V1564" s="64" t="str">
        <f>IFERROR(__xludf.DUMMYFUNCTION("IF($A1564="""","""",IFERROR(INDEX(FILTER(Candidates!$S$2:$S$2000,Candidates!$A$2:$A$2000=$A1564),COUNTIF(Candidates!$A$2:$A$2000,$A1564)),""""))"),"")</f>
        <v/>
      </c>
      <c r="W1564" s="64" t="str">
        <f>IFERROR(__xludf.DUMMYFUNCTION("IF($A1564="""","""",IFERROR(INDEX(FILTER(Candidates!$T$2:$T$2000,Candidates!$A$2:$A$2000=$A1564),COUNTIF(Candidates!$A$2:$A$2000,$A1564)),""""))"),"")</f>
        <v/>
      </c>
      <c r="X1564" s="64"/>
      <c r="Y1564" s="64"/>
      <c r="Z1564" s="65"/>
      <c r="AA1564" s="65"/>
      <c r="AB1564" s="65"/>
      <c r="AC1564" s="65"/>
    </row>
    <row r="1565">
      <c r="A1565" s="64"/>
      <c r="B1565" s="64"/>
      <c r="C1565" s="64"/>
      <c r="D1565" s="64"/>
      <c r="E1565" s="64"/>
      <c r="F1565" s="64"/>
      <c r="G1565" s="64"/>
      <c r="H1565" s="63"/>
      <c r="I1565" s="64"/>
      <c r="J1565" s="64"/>
      <c r="K1565" s="64"/>
      <c r="L1565" s="64"/>
      <c r="M1565" s="64"/>
      <c r="N1565" s="64"/>
      <c r="O1565" s="64"/>
      <c r="P1565" s="64"/>
      <c r="Q1565" s="64"/>
      <c r="R1565" s="65" t="str">
        <f>IF($A1565="","",IFERROR(MINIFS(Candidates!$K$2:$K$2000,Candidates!$A$2:$A$2000,$A1565),""))</f>
        <v/>
      </c>
      <c r="S1565" s="65" t="str">
        <f>IF($A1565="","",IFERROR(MAXIFS(Candidates!$AA$2:$AA$2000,Candidates!$A$2:$A$2000,$A1565),""))</f>
        <v/>
      </c>
      <c r="T1565" s="64" t="str">
        <f>IFERROR(__xludf.DUMMYFUNCTION("IF($A1565="""","""",IFERROR(TEXTJOIN("", "",TRUE,UNIQUE(FILTER(Candidates!$B$2:$B$2000,Candidates!$A$2:$A$2000=$A1565))),""""))"),"")</f>
        <v/>
      </c>
      <c r="U1565" s="66" t="str">
        <f>IF($A1565="","",COUNTIF(Candidates!$A$2:$A$2000,$A1565))</f>
        <v/>
      </c>
      <c r="V1565" s="64" t="str">
        <f>IFERROR(__xludf.DUMMYFUNCTION("IF($A1565="""","""",IFERROR(INDEX(FILTER(Candidates!$S$2:$S$2000,Candidates!$A$2:$A$2000=$A1565),COUNTIF(Candidates!$A$2:$A$2000,$A1565)),""""))"),"")</f>
        <v/>
      </c>
      <c r="W1565" s="64" t="str">
        <f>IFERROR(__xludf.DUMMYFUNCTION("IF($A1565="""","""",IFERROR(INDEX(FILTER(Candidates!$T$2:$T$2000,Candidates!$A$2:$A$2000=$A1565),COUNTIF(Candidates!$A$2:$A$2000,$A1565)),""""))"),"")</f>
        <v/>
      </c>
      <c r="X1565" s="64"/>
      <c r="Y1565" s="64"/>
      <c r="Z1565" s="65"/>
      <c r="AA1565" s="65"/>
      <c r="AB1565" s="65"/>
      <c r="AC1565" s="65"/>
    </row>
    <row r="1566">
      <c r="A1566" s="64"/>
      <c r="B1566" s="64"/>
      <c r="C1566" s="64"/>
      <c r="D1566" s="64"/>
      <c r="E1566" s="64"/>
      <c r="F1566" s="64"/>
      <c r="G1566" s="64"/>
      <c r="H1566" s="63"/>
      <c r="I1566" s="64"/>
      <c r="J1566" s="64"/>
      <c r="K1566" s="64"/>
      <c r="L1566" s="64"/>
      <c r="M1566" s="64"/>
      <c r="N1566" s="64"/>
      <c r="O1566" s="64"/>
      <c r="P1566" s="64"/>
      <c r="Q1566" s="64"/>
      <c r="R1566" s="65" t="str">
        <f>IF($A1566="","",IFERROR(MINIFS(Candidates!$K$2:$K$2000,Candidates!$A$2:$A$2000,$A1566),""))</f>
        <v/>
      </c>
      <c r="S1566" s="65" t="str">
        <f>IF($A1566="","",IFERROR(MAXIFS(Candidates!$AA$2:$AA$2000,Candidates!$A$2:$A$2000,$A1566),""))</f>
        <v/>
      </c>
      <c r="T1566" s="64" t="str">
        <f>IFERROR(__xludf.DUMMYFUNCTION("IF($A1566="""","""",IFERROR(TEXTJOIN("", "",TRUE,UNIQUE(FILTER(Candidates!$B$2:$B$2000,Candidates!$A$2:$A$2000=$A1566))),""""))"),"")</f>
        <v/>
      </c>
      <c r="U1566" s="66" t="str">
        <f>IF($A1566="","",COUNTIF(Candidates!$A$2:$A$2000,$A1566))</f>
        <v/>
      </c>
      <c r="V1566" s="64" t="str">
        <f>IFERROR(__xludf.DUMMYFUNCTION("IF($A1566="""","""",IFERROR(INDEX(FILTER(Candidates!$S$2:$S$2000,Candidates!$A$2:$A$2000=$A1566),COUNTIF(Candidates!$A$2:$A$2000,$A1566)),""""))"),"")</f>
        <v/>
      </c>
      <c r="W1566" s="64" t="str">
        <f>IFERROR(__xludf.DUMMYFUNCTION("IF($A1566="""","""",IFERROR(INDEX(FILTER(Candidates!$T$2:$T$2000,Candidates!$A$2:$A$2000=$A1566),COUNTIF(Candidates!$A$2:$A$2000,$A1566)),""""))"),"")</f>
        <v/>
      </c>
      <c r="X1566" s="64"/>
      <c r="Y1566" s="64"/>
      <c r="Z1566" s="65"/>
      <c r="AA1566" s="65"/>
      <c r="AB1566" s="65"/>
      <c r="AC1566" s="65"/>
    </row>
    <row r="1567">
      <c r="A1567" s="64"/>
      <c r="B1567" s="64"/>
      <c r="C1567" s="64"/>
      <c r="D1567" s="64"/>
      <c r="E1567" s="64"/>
      <c r="F1567" s="64"/>
      <c r="G1567" s="64"/>
      <c r="H1567" s="63"/>
      <c r="I1567" s="64"/>
      <c r="J1567" s="64"/>
      <c r="K1567" s="64"/>
      <c r="L1567" s="64"/>
      <c r="M1567" s="64"/>
      <c r="N1567" s="64"/>
      <c r="O1567" s="64"/>
      <c r="P1567" s="64"/>
      <c r="Q1567" s="64"/>
      <c r="R1567" s="65" t="str">
        <f>IF($A1567="","",IFERROR(MINIFS(Candidates!$K$2:$K$2000,Candidates!$A$2:$A$2000,$A1567),""))</f>
        <v/>
      </c>
      <c r="S1567" s="65" t="str">
        <f>IF($A1567="","",IFERROR(MAXIFS(Candidates!$AA$2:$AA$2000,Candidates!$A$2:$A$2000,$A1567),""))</f>
        <v/>
      </c>
      <c r="T1567" s="64" t="str">
        <f>IFERROR(__xludf.DUMMYFUNCTION("IF($A1567="""","""",IFERROR(TEXTJOIN("", "",TRUE,UNIQUE(FILTER(Candidates!$B$2:$B$2000,Candidates!$A$2:$A$2000=$A1567))),""""))"),"")</f>
        <v/>
      </c>
      <c r="U1567" s="66" t="str">
        <f>IF($A1567="","",COUNTIF(Candidates!$A$2:$A$2000,$A1567))</f>
        <v/>
      </c>
      <c r="V1567" s="64" t="str">
        <f>IFERROR(__xludf.DUMMYFUNCTION("IF($A1567="""","""",IFERROR(INDEX(FILTER(Candidates!$S$2:$S$2000,Candidates!$A$2:$A$2000=$A1567),COUNTIF(Candidates!$A$2:$A$2000,$A1567)),""""))"),"")</f>
        <v/>
      </c>
      <c r="W1567" s="64" t="str">
        <f>IFERROR(__xludf.DUMMYFUNCTION("IF($A1567="""","""",IFERROR(INDEX(FILTER(Candidates!$T$2:$T$2000,Candidates!$A$2:$A$2000=$A1567),COUNTIF(Candidates!$A$2:$A$2000,$A1567)),""""))"),"")</f>
        <v/>
      </c>
      <c r="X1567" s="64"/>
      <c r="Y1567" s="64"/>
      <c r="Z1567" s="65"/>
      <c r="AA1567" s="65"/>
      <c r="AB1567" s="65"/>
      <c r="AC1567" s="65"/>
    </row>
    <row r="1568">
      <c r="A1568" s="64"/>
      <c r="B1568" s="64"/>
      <c r="C1568" s="64"/>
      <c r="D1568" s="64"/>
      <c r="E1568" s="64"/>
      <c r="F1568" s="64"/>
      <c r="G1568" s="64"/>
      <c r="H1568" s="63"/>
      <c r="I1568" s="64"/>
      <c r="J1568" s="64"/>
      <c r="K1568" s="64"/>
      <c r="L1568" s="64"/>
      <c r="M1568" s="64"/>
      <c r="N1568" s="64"/>
      <c r="O1568" s="64"/>
      <c r="P1568" s="64"/>
      <c r="Q1568" s="64"/>
      <c r="R1568" s="65" t="str">
        <f>IF($A1568="","",IFERROR(MINIFS(Candidates!$K$2:$K$2000,Candidates!$A$2:$A$2000,$A1568),""))</f>
        <v/>
      </c>
      <c r="S1568" s="65" t="str">
        <f>IF($A1568="","",IFERROR(MAXIFS(Candidates!$AA$2:$AA$2000,Candidates!$A$2:$A$2000,$A1568),""))</f>
        <v/>
      </c>
      <c r="T1568" s="64" t="str">
        <f>IFERROR(__xludf.DUMMYFUNCTION("IF($A1568="""","""",IFERROR(TEXTJOIN("", "",TRUE,UNIQUE(FILTER(Candidates!$B$2:$B$2000,Candidates!$A$2:$A$2000=$A1568))),""""))"),"")</f>
        <v/>
      </c>
      <c r="U1568" s="66" t="str">
        <f>IF($A1568="","",COUNTIF(Candidates!$A$2:$A$2000,$A1568))</f>
        <v/>
      </c>
      <c r="V1568" s="64" t="str">
        <f>IFERROR(__xludf.DUMMYFUNCTION("IF($A1568="""","""",IFERROR(INDEX(FILTER(Candidates!$S$2:$S$2000,Candidates!$A$2:$A$2000=$A1568),COUNTIF(Candidates!$A$2:$A$2000,$A1568)),""""))"),"")</f>
        <v/>
      </c>
      <c r="W1568" s="64" t="str">
        <f>IFERROR(__xludf.DUMMYFUNCTION("IF($A1568="""","""",IFERROR(INDEX(FILTER(Candidates!$T$2:$T$2000,Candidates!$A$2:$A$2000=$A1568),COUNTIF(Candidates!$A$2:$A$2000,$A1568)),""""))"),"")</f>
        <v/>
      </c>
      <c r="X1568" s="64"/>
      <c r="Y1568" s="64"/>
      <c r="Z1568" s="65"/>
      <c r="AA1568" s="65"/>
      <c r="AB1568" s="65"/>
      <c r="AC1568" s="65"/>
    </row>
    <row r="1569">
      <c r="A1569" s="64"/>
      <c r="B1569" s="64"/>
      <c r="C1569" s="64"/>
      <c r="D1569" s="64"/>
      <c r="E1569" s="64"/>
      <c r="F1569" s="64"/>
      <c r="G1569" s="64"/>
      <c r="H1569" s="63"/>
      <c r="I1569" s="64"/>
      <c r="J1569" s="64"/>
      <c r="K1569" s="64"/>
      <c r="L1569" s="64"/>
      <c r="M1569" s="64"/>
      <c r="N1569" s="64"/>
      <c r="O1569" s="64"/>
      <c r="P1569" s="64"/>
      <c r="Q1569" s="64"/>
      <c r="R1569" s="65" t="str">
        <f>IF($A1569="","",IFERROR(MINIFS(Candidates!$K$2:$K$2000,Candidates!$A$2:$A$2000,$A1569),""))</f>
        <v/>
      </c>
      <c r="S1569" s="65" t="str">
        <f>IF($A1569="","",IFERROR(MAXIFS(Candidates!$AA$2:$AA$2000,Candidates!$A$2:$A$2000,$A1569),""))</f>
        <v/>
      </c>
      <c r="T1569" s="64" t="str">
        <f>IFERROR(__xludf.DUMMYFUNCTION("IF($A1569="""","""",IFERROR(TEXTJOIN("", "",TRUE,UNIQUE(FILTER(Candidates!$B$2:$B$2000,Candidates!$A$2:$A$2000=$A1569))),""""))"),"")</f>
        <v/>
      </c>
      <c r="U1569" s="66" t="str">
        <f>IF($A1569="","",COUNTIF(Candidates!$A$2:$A$2000,$A1569))</f>
        <v/>
      </c>
      <c r="V1569" s="64" t="str">
        <f>IFERROR(__xludf.DUMMYFUNCTION("IF($A1569="""","""",IFERROR(INDEX(FILTER(Candidates!$S$2:$S$2000,Candidates!$A$2:$A$2000=$A1569),COUNTIF(Candidates!$A$2:$A$2000,$A1569)),""""))"),"")</f>
        <v/>
      </c>
      <c r="W1569" s="64" t="str">
        <f>IFERROR(__xludf.DUMMYFUNCTION("IF($A1569="""","""",IFERROR(INDEX(FILTER(Candidates!$T$2:$T$2000,Candidates!$A$2:$A$2000=$A1569),COUNTIF(Candidates!$A$2:$A$2000,$A1569)),""""))"),"")</f>
        <v/>
      </c>
      <c r="X1569" s="64"/>
      <c r="Y1569" s="64"/>
      <c r="Z1569" s="65"/>
      <c r="AA1569" s="65"/>
      <c r="AB1569" s="65"/>
      <c r="AC1569" s="65"/>
    </row>
    <row r="1570">
      <c r="A1570" s="64"/>
      <c r="B1570" s="64"/>
      <c r="C1570" s="64"/>
      <c r="D1570" s="64"/>
      <c r="E1570" s="64"/>
      <c r="F1570" s="64"/>
      <c r="G1570" s="64"/>
      <c r="H1570" s="63"/>
      <c r="I1570" s="64"/>
      <c r="J1570" s="64"/>
      <c r="K1570" s="64"/>
      <c r="L1570" s="64"/>
      <c r="M1570" s="64"/>
      <c r="N1570" s="64"/>
      <c r="O1570" s="64"/>
      <c r="P1570" s="64"/>
      <c r="Q1570" s="64"/>
      <c r="R1570" s="65" t="str">
        <f>IF($A1570="","",IFERROR(MINIFS(Candidates!$K$2:$K$2000,Candidates!$A$2:$A$2000,$A1570),""))</f>
        <v/>
      </c>
      <c r="S1570" s="65" t="str">
        <f>IF($A1570="","",IFERROR(MAXIFS(Candidates!$AA$2:$AA$2000,Candidates!$A$2:$A$2000,$A1570),""))</f>
        <v/>
      </c>
      <c r="T1570" s="64" t="str">
        <f>IFERROR(__xludf.DUMMYFUNCTION("IF($A1570="""","""",IFERROR(TEXTJOIN("", "",TRUE,UNIQUE(FILTER(Candidates!$B$2:$B$2000,Candidates!$A$2:$A$2000=$A1570))),""""))"),"")</f>
        <v/>
      </c>
      <c r="U1570" s="66" t="str">
        <f>IF($A1570="","",COUNTIF(Candidates!$A$2:$A$2000,$A1570))</f>
        <v/>
      </c>
      <c r="V1570" s="64" t="str">
        <f>IFERROR(__xludf.DUMMYFUNCTION("IF($A1570="""","""",IFERROR(INDEX(FILTER(Candidates!$S$2:$S$2000,Candidates!$A$2:$A$2000=$A1570),COUNTIF(Candidates!$A$2:$A$2000,$A1570)),""""))"),"")</f>
        <v/>
      </c>
      <c r="W1570" s="64" t="str">
        <f>IFERROR(__xludf.DUMMYFUNCTION("IF($A1570="""","""",IFERROR(INDEX(FILTER(Candidates!$T$2:$T$2000,Candidates!$A$2:$A$2000=$A1570),COUNTIF(Candidates!$A$2:$A$2000,$A1570)),""""))"),"")</f>
        <v/>
      </c>
      <c r="X1570" s="64"/>
      <c r="Y1570" s="64"/>
      <c r="Z1570" s="65"/>
      <c r="AA1570" s="65"/>
      <c r="AB1570" s="65"/>
      <c r="AC1570" s="65"/>
    </row>
    <row r="1571">
      <c r="A1571" s="64"/>
      <c r="B1571" s="64"/>
      <c r="C1571" s="64"/>
      <c r="D1571" s="64"/>
      <c r="E1571" s="64"/>
      <c r="F1571" s="64"/>
      <c r="G1571" s="64"/>
      <c r="H1571" s="63"/>
      <c r="I1571" s="64"/>
      <c r="J1571" s="64"/>
      <c r="K1571" s="64"/>
      <c r="L1571" s="64"/>
      <c r="M1571" s="64"/>
      <c r="N1571" s="64"/>
      <c r="O1571" s="64"/>
      <c r="P1571" s="64"/>
      <c r="Q1571" s="64"/>
      <c r="R1571" s="65" t="str">
        <f>IF($A1571="","",IFERROR(MINIFS(Candidates!$K$2:$K$2000,Candidates!$A$2:$A$2000,$A1571),""))</f>
        <v/>
      </c>
      <c r="S1571" s="65" t="str">
        <f>IF($A1571="","",IFERROR(MAXIFS(Candidates!$AA$2:$AA$2000,Candidates!$A$2:$A$2000,$A1571),""))</f>
        <v/>
      </c>
      <c r="T1571" s="64" t="str">
        <f>IFERROR(__xludf.DUMMYFUNCTION("IF($A1571="""","""",IFERROR(TEXTJOIN("", "",TRUE,UNIQUE(FILTER(Candidates!$B$2:$B$2000,Candidates!$A$2:$A$2000=$A1571))),""""))"),"")</f>
        <v/>
      </c>
      <c r="U1571" s="66" t="str">
        <f>IF($A1571="","",COUNTIF(Candidates!$A$2:$A$2000,$A1571))</f>
        <v/>
      </c>
      <c r="V1571" s="64" t="str">
        <f>IFERROR(__xludf.DUMMYFUNCTION("IF($A1571="""","""",IFERROR(INDEX(FILTER(Candidates!$S$2:$S$2000,Candidates!$A$2:$A$2000=$A1571),COUNTIF(Candidates!$A$2:$A$2000,$A1571)),""""))"),"")</f>
        <v/>
      </c>
      <c r="W1571" s="64" t="str">
        <f>IFERROR(__xludf.DUMMYFUNCTION("IF($A1571="""","""",IFERROR(INDEX(FILTER(Candidates!$T$2:$T$2000,Candidates!$A$2:$A$2000=$A1571),COUNTIF(Candidates!$A$2:$A$2000,$A1571)),""""))"),"")</f>
        <v/>
      </c>
      <c r="X1571" s="64"/>
      <c r="Y1571" s="64"/>
      <c r="Z1571" s="65"/>
      <c r="AA1571" s="65"/>
      <c r="AB1571" s="65"/>
      <c r="AC1571" s="65"/>
    </row>
    <row r="1572">
      <c r="A1572" s="64"/>
      <c r="B1572" s="64"/>
      <c r="C1572" s="64"/>
      <c r="D1572" s="64"/>
      <c r="E1572" s="64"/>
      <c r="F1572" s="64"/>
      <c r="G1572" s="64"/>
      <c r="H1572" s="63"/>
      <c r="I1572" s="64"/>
      <c r="J1572" s="64"/>
      <c r="K1572" s="64"/>
      <c r="L1572" s="64"/>
      <c r="M1572" s="64"/>
      <c r="N1572" s="64"/>
      <c r="O1572" s="64"/>
      <c r="P1572" s="64"/>
      <c r="Q1572" s="64"/>
      <c r="R1572" s="65" t="str">
        <f>IF($A1572="","",IFERROR(MINIFS(Candidates!$K$2:$K$2000,Candidates!$A$2:$A$2000,$A1572),""))</f>
        <v/>
      </c>
      <c r="S1572" s="65" t="str">
        <f>IF($A1572="","",IFERROR(MAXIFS(Candidates!$AA$2:$AA$2000,Candidates!$A$2:$A$2000,$A1572),""))</f>
        <v/>
      </c>
      <c r="T1572" s="64" t="str">
        <f>IFERROR(__xludf.DUMMYFUNCTION("IF($A1572="""","""",IFERROR(TEXTJOIN("", "",TRUE,UNIQUE(FILTER(Candidates!$B$2:$B$2000,Candidates!$A$2:$A$2000=$A1572))),""""))"),"")</f>
        <v/>
      </c>
      <c r="U1572" s="66" t="str">
        <f>IF($A1572="","",COUNTIF(Candidates!$A$2:$A$2000,$A1572))</f>
        <v/>
      </c>
      <c r="V1572" s="64" t="str">
        <f>IFERROR(__xludf.DUMMYFUNCTION("IF($A1572="""","""",IFERROR(INDEX(FILTER(Candidates!$S$2:$S$2000,Candidates!$A$2:$A$2000=$A1572),COUNTIF(Candidates!$A$2:$A$2000,$A1572)),""""))"),"")</f>
        <v/>
      </c>
      <c r="W1572" s="64" t="str">
        <f>IFERROR(__xludf.DUMMYFUNCTION("IF($A1572="""","""",IFERROR(INDEX(FILTER(Candidates!$T$2:$T$2000,Candidates!$A$2:$A$2000=$A1572),COUNTIF(Candidates!$A$2:$A$2000,$A1572)),""""))"),"")</f>
        <v/>
      </c>
      <c r="X1572" s="64"/>
      <c r="Y1572" s="64"/>
      <c r="Z1572" s="65"/>
      <c r="AA1572" s="65"/>
      <c r="AB1572" s="65"/>
      <c r="AC1572" s="65"/>
    </row>
    <row r="1573">
      <c r="A1573" s="64"/>
      <c r="B1573" s="64"/>
      <c r="C1573" s="64"/>
      <c r="D1573" s="64"/>
      <c r="E1573" s="64"/>
      <c r="F1573" s="64"/>
      <c r="G1573" s="64"/>
      <c r="H1573" s="63"/>
      <c r="I1573" s="64"/>
      <c r="J1573" s="64"/>
      <c r="K1573" s="64"/>
      <c r="L1573" s="64"/>
      <c r="M1573" s="64"/>
      <c r="N1573" s="64"/>
      <c r="O1573" s="64"/>
      <c r="P1573" s="64"/>
      <c r="Q1573" s="64"/>
      <c r="R1573" s="65" t="str">
        <f>IF($A1573="","",IFERROR(MINIFS(Candidates!$K$2:$K$2000,Candidates!$A$2:$A$2000,$A1573),""))</f>
        <v/>
      </c>
      <c r="S1573" s="65" t="str">
        <f>IF($A1573="","",IFERROR(MAXIFS(Candidates!$AA$2:$AA$2000,Candidates!$A$2:$A$2000,$A1573),""))</f>
        <v/>
      </c>
      <c r="T1573" s="64" t="str">
        <f>IFERROR(__xludf.DUMMYFUNCTION("IF($A1573="""","""",IFERROR(TEXTJOIN("", "",TRUE,UNIQUE(FILTER(Candidates!$B$2:$B$2000,Candidates!$A$2:$A$2000=$A1573))),""""))"),"")</f>
        <v/>
      </c>
      <c r="U1573" s="66" t="str">
        <f>IF($A1573="","",COUNTIF(Candidates!$A$2:$A$2000,$A1573))</f>
        <v/>
      </c>
      <c r="V1573" s="64" t="str">
        <f>IFERROR(__xludf.DUMMYFUNCTION("IF($A1573="""","""",IFERROR(INDEX(FILTER(Candidates!$S$2:$S$2000,Candidates!$A$2:$A$2000=$A1573),COUNTIF(Candidates!$A$2:$A$2000,$A1573)),""""))"),"")</f>
        <v/>
      </c>
      <c r="W1573" s="64" t="str">
        <f>IFERROR(__xludf.DUMMYFUNCTION("IF($A1573="""","""",IFERROR(INDEX(FILTER(Candidates!$T$2:$T$2000,Candidates!$A$2:$A$2000=$A1573),COUNTIF(Candidates!$A$2:$A$2000,$A1573)),""""))"),"")</f>
        <v/>
      </c>
      <c r="X1573" s="64"/>
      <c r="Y1573" s="64"/>
      <c r="Z1573" s="65"/>
      <c r="AA1573" s="65"/>
      <c r="AB1573" s="65"/>
      <c r="AC1573" s="65"/>
    </row>
    <row r="1574">
      <c r="A1574" s="64"/>
      <c r="B1574" s="64"/>
      <c r="C1574" s="64"/>
      <c r="D1574" s="64"/>
      <c r="E1574" s="64"/>
      <c r="F1574" s="64"/>
      <c r="G1574" s="64"/>
      <c r="H1574" s="63"/>
      <c r="I1574" s="64"/>
      <c r="J1574" s="64"/>
      <c r="K1574" s="64"/>
      <c r="L1574" s="64"/>
      <c r="M1574" s="64"/>
      <c r="N1574" s="64"/>
      <c r="O1574" s="64"/>
      <c r="P1574" s="64"/>
      <c r="Q1574" s="64"/>
      <c r="R1574" s="65" t="str">
        <f>IF($A1574="","",IFERROR(MINIFS(Candidates!$K$2:$K$2000,Candidates!$A$2:$A$2000,$A1574),""))</f>
        <v/>
      </c>
      <c r="S1574" s="65" t="str">
        <f>IF($A1574="","",IFERROR(MAXIFS(Candidates!$AA$2:$AA$2000,Candidates!$A$2:$A$2000,$A1574),""))</f>
        <v/>
      </c>
      <c r="T1574" s="64" t="str">
        <f>IFERROR(__xludf.DUMMYFUNCTION("IF($A1574="""","""",IFERROR(TEXTJOIN("", "",TRUE,UNIQUE(FILTER(Candidates!$B$2:$B$2000,Candidates!$A$2:$A$2000=$A1574))),""""))"),"")</f>
        <v/>
      </c>
      <c r="U1574" s="66" t="str">
        <f>IF($A1574="","",COUNTIF(Candidates!$A$2:$A$2000,$A1574))</f>
        <v/>
      </c>
      <c r="V1574" s="64" t="str">
        <f>IFERROR(__xludf.DUMMYFUNCTION("IF($A1574="""","""",IFERROR(INDEX(FILTER(Candidates!$S$2:$S$2000,Candidates!$A$2:$A$2000=$A1574),COUNTIF(Candidates!$A$2:$A$2000,$A1574)),""""))"),"")</f>
        <v/>
      </c>
      <c r="W1574" s="64" t="str">
        <f>IFERROR(__xludf.DUMMYFUNCTION("IF($A1574="""","""",IFERROR(INDEX(FILTER(Candidates!$T$2:$T$2000,Candidates!$A$2:$A$2000=$A1574),COUNTIF(Candidates!$A$2:$A$2000,$A1574)),""""))"),"")</f>
        <v/>
      </c>
      <c r="X1574" s="64"/>
      <c r="Y1574" s="64"/>
      <c r="Z1574" s="65"/>
      <c r="AA1574" s="65"/>
      <c r="AB1574" s="65"/>
      <c r="AC1574" s="65"/>
    </row>
    <row r="1575">
      <c r="A1575" s="64"/>
      <c r="B1575" s="64"/>
      <c r="C1575" s="64"/>
      <c r="D1575" s="64"/>
      <c r="E1575" s="64"/>
      <c r="F1575" s="64"/>
      <c r="G1575" s="64"/>
      <c r="H1575" s="63"/>
      <c r="I1575" s="64"/>
      <c r="J1575" s="64"/>
      <c r="K1575" s="64"/>
      <c r="L1575" s="64"/>
      <c r="M1575" s="64"/>
      <c r="N1575" s="64"/>
      <c r="O1575" s="64"/>
      <c r="P1575" s="64"/>
      <c r="Q1575" s="64"/>
      <c r="R1575" s="65" t="str">
        <f>IF($A1575="","",IFERROR(MINIFS(Candidates!$K$2:$K$2000,Candidates!$A$2:$A$2000,$A1575),""))</f>
        <v/>
      </c>
      <c r="S1575" s="65" t="str">
        <f>IF($A1575="","",IFERROR(MAXIFS(Candidates!$AA$2:$AA$2000,Candidates!$A$2:$A$2000,$A1575),""))</f>
        <v/>
      </c>
      <c r="T1575" s="64" t="str">
        <f>IFERROR(__xludf.DUMMYFUNCTION("IF($A1575="""","""",IFERROR(TEXTJOIN("", "",TRUE,UNIQUE(FILTER(Candidates!$B$2:$B$2000,Candidates!$A$2:$A$2000=$A1575))),""""))"),"")</f>
        <v/>
      </c>
      <c r="U1575" s="66" t="str">
        <f>IF($A1575="","",COUNTIF(Candidates!$A$2:$A$2000,$A1575))</f>
        <v/>
      </c>
      <c r="V1575" s="64" t="str">
        <f>IFERROR(__xludf.DUMMYFUNCTION("IF($A1575="""","""",IFERROR(INDEX(FILTER(Candidates!$S$2:$S$2000,Candidates!$A$2:$A$2000=$A1575),COUNTIF(Candidates!$A$2:$A$2000,$A1575)),""""))"),"")</f>
        <v/>
      </c>
      <c r="W1575" s="64" t="str">
        <f>IFERROR(__xludf.DUMMYFUNCTION("IF($A1575="""","""",IFERROR(INDEX(FILTER(Candidates!$T$2:$T$2000,Candidates!$A$2:$A$2000=$A1575),COUNTIF(Candidates!$A$2:$A$2000,$A1575)),""""))"),"")</f>
        <v/>
      </c>
      <c r="X1575" s="64"/>
      <c r="Y1575" s="64"/>
      <c r="Z1575" s="65"/>
      <c r="AA1575" s="65"/>
      <c r="AB1575" s="65"/>
      <c r="AC1575" s="65"/>
    </row>
    <row r="1576">
      <c r="A1576" s="64"/>
      <c r="B1576" s="64"/>
      <c r="C1576" s="64"/>
      <c r="D1576" s="64"/>
      <c r="E1576" s="64"/>
      <c r="F1576" s="64"/>
      <c r="G1576" s="64"/>
      <c r="H1576" s="63"/>
      <c r="I1576" s="64"/>
      <c r="J1576" s="64"/>
      <c r="K1576" s="64"/>
      <c r="L1576" s="64"/>
      <c r="M1576" s="64"/>
      <c r="N1576" s="64"/>
      <c r="O1576" s="64"/>
      <c r="P1576" s="64"/>
      <c r="Q1576" s="64"/>
      <c r="R1576" s="65" t="str">
        <f>IF($A1576="","",IFERROR(MINIFS(Candidates!$K$2:$K$2000,Candidates!$A$2:$A$2000,$A1576),""))</f>
        <v/>
      </c>
      <c r="S1576" s="65" t="str">
        <f>IF($A1576="","",IFERROR(MAXIFS(Candidates!$AA$2:$AA$2000,Candidates!$A$2:$A$2000,$A1576),""))</f>
        <v/>
      </c>
      <c r="T1576" s="64" t="str">
        <f>IFERROR(__xludf.DUMMYFUNCTION("IF($A1576="""","""",IFERROR(TEXTJOIN("", "",TRUE,UNIQUE(FILTER(Candidates!$B$2:$B$2000,Candidates!$A$2:$A$2000=$A1576))),""""))"),"")</f>
        <v/>
      </c>
      <c r="U1576" s="66" t="str">
        <f>IF($A1576="","",COUNTIF(Candidates!$A$2:$A$2000,$A1576))</f>
        <v/>
      </c>
      <c r="V1576" s="64" t="str">
        <f>IFERROR(__xludf.DUMMYFUNCTION("IF($A1576="""","""",IFERROR(INDEX(FILTER(Candidates!$S$2:$S$2000,Candidates!$A$2:$A$2000=$A1576),COUNTIF(Candidates!$A$2:$A$2000,$A1576)),""""))"),"")</f>
        <v/>
      </c>
      <c r="W1576" s="64" t="str">
        <f>IFERROR(__xludf.DUMMYFUNCTION("IF($A1576="""","""",IFERROR(INDEX(FILTER(Candidates!$T$2:$T$2000,Candidates!$A$2:$A$2000=$A1576),COUNTIF(Candidates!$A$2:$A$2000,$A1576)),""""))"),"")</f>
        <v/>
      </c>
      <c r="X1576" s="64"/>
      <c r="Y1576" s="64"/>
      <c r="Z1576" s="65"/>
      <c r="AA1576" s="65"/>
      <c r="AB1576" s="65"/>
      <c r="AC1576" s="65"/>
    </row>
    <row r="1577">
      <c r="A1577" s="64"/>
      <c r="B1577" s="64"/>
      <c r="C1577" s="64"/>
      <c r="D1577" s="64"/>
      <c r="E1577" s="64"/>
      <c r="F1577" s="64"/>
      <c r="G1577" s="64"/>
      <c r="H1577" s="63"/>
      <c r="I1577" s="64"/>
      <c r="J1577" s="64"/>
      <c r="K1577" s="64"/>
      <c r="L1577" s="64"/>
      <c r="M1577" s="64"/>
      <c r="N1577" s="64"/>
      <c r="O1577" s="64"/>
      <c r="P1577" s="64"/>
      <c r="Q1577" s="64"/>
      <c r="R1577" s="65" t="str">
        <f>IF($A1577="","",IFERROR(MINIFS(Candidates!$K$2:$K$2000,Candidates!$A$2:$A$2000,$A1577),""))</f>
        <v/>
      </c>
      <c r="S1577" s="65" t="str">
        <f>IF($A1577="","",IFERROR(MAXIFS(Candidates!$AA$2:$AA$2000,Candidates!$A$2:$A$2000,$A1577),""))</f>
        <v/>
      </c>
      <c r="T1577" s="64" t="str">
        <f>IFERROR(__xludf.DUMMYFUNCTION("IF($A1577="""","""",IFERROR(TEXTJOIN("", "",TRUE,UNIQUE(FILTER(Candidates!$B$2:$B$2000,Candidates!$A$2:$A$2000=$A1577))),""""))"),"")</f>
        <v/>
      </c>
      <c r="U1577" s="66" t="str">
        <f>IF($A1577="","",COUNTIF(Candidates!$A$2:$A$2000,$A1577))</f>
        <v/>
      </c>
      <c r="V1577" s="64" t="str">
        <f>IFERROR(__xludf.DUMMYFUNCTION("IF($A1577="""","""",IFERROR(INDEX(FILTER(Candidates!$S$2:$S$2000,Candidates!$A$2:$A$2000=$A1577),COUNTIF(Candidates!$A$2:$A$2000,$A1577)),""""))"),"")</f>
        <v/>
      </c>
      <c r="W1577" s="64" t="str">
        <f>IFERROR(__xludf.DUMMYFUNCTION("IF($A1577="""","""",IFERROR(INDEX(FILTER(Candidates!$T$2:$T$2000,Candidates!$A$2:$A$2000=$A1577),COUNTIF(Candidates!$A$2:$A$2000,$A1577)),""""))"),"")</f>
        <v/>
      </c>
      <c r="X1577" s="64"/>
      <c r="Y1577" s="64"/>
      <c r="Z1577" s="65"/>
      <c r="AA1577" s="65"/>
      <c r="AB1577" s="65"/>
      <c r="AC1577" s="65"/>
    </row>
    <row r="1578">
      <c r="A1578" s="64"/>
      <c r="B1578" s="64"/>
      <c r="C1578" s="64"/>
      <c r="D1578" s="64"/>
      <c r="E1578" s="64"/>
      <c r="F1578" s="64"/>
      <c r="G1578" s="64"/>
      <c r="H1578" s="63"/>
      <c r="I1578" s="64"/>
      <c r="J1578" s="64"/>
      <c r="K1578" s="64"/>
      <c r="L1578" s="64"/>
      <c r="M1578" s="64"/>
      <c r="N1578" s="64"/>
      <c r="O1578" s="64"/>
      <c r="P1578" s="64"/>
      <c r="Q1578" s="64"/>
      <c r="R1578" s="65" t="str">
        <f>IF($A1578="","",IFERROR(MINIFS(Candidates!$K$2:$K$2000,Candidates!$A$2:$A$2000,$A1578),""))</f>
        <v/>
      </c>
      <c r="S1578" s="65" t="str">
        <f>IF($A1578="","",IFERROR(MAXIFS(Candidates!$AA$2:$AA$2000,Candidates!$A$2:$A$2000,$A1578),""))</f>
        <v/>
      </c>
      <c r="T1578" s="64" t="str">
        <f>IFERROR(__xludf.DUMMYFUNCTION("IF($A1578="""","""",IFERROR(TEXTJOIN("", "",TRUE,UNIQUE(FILTER(Candidates!$B$2:$B$2000,Candidates!$A$2:$A$2000=$A1578))),""""))"),"")</f>
        <v/>
      </c>
      <c r="U1578" s="66" t="str">
        <f>IF($A1578="","",COUNTIF(Candidates!$A$2:$A$2000,$A1578))</f>
        <v/>
      </c>
      <c r="V1578" s="64" t="str">
        <f>IFERROR(__xludf.DUMMYFUNCTION("IF($A1578="""","""",IFERROR(INDEX(FILTER(Candidates!$S$2:$S$2000,Candidates!$A$2:$A$2000=$A1578),COUNTIF(Candidates!$A$2:$A$2000,$A1578)),""""))"),"")</f>
        <v/>
      </c>
      <c r="W1578" s="64" t="str">
        <f>IFERROR(__xludf.DUMMYFUNCTION("IF($A1578="""","""",IFERROR(INDEX(FILTER(Candidates!$T$2:$T$2000,Candidates!$A$2:$A$2000=$A1578),COUNTIF(Candidates!$A$2:$A$2000,$A1578)),""""))"),"")</f>
        <v/>
      </c>
      <c r="X1578" s="64"/>
      <c r="Y1578" s="64"/>
      <c r="Z1578" s="65"/>
      <c r="AA1578" s="65"/>
      <c r="AB1578" s="65"/>
      <c r="AC1578" s="65"/>
    </row>
    <row r="1579">
      <c r="A1579" s="64"/>
      <c r="B1579" s="64"/>
      <c r="C1579" s="64"/>
      <c r="D1579" s="64"/>
      <c r="E1579" s="64"/>
      <c r="F1579" s="64"/>
      <c r="G1579" s="64"/>
      <c r="H1579" s="63"/>
      <c r="I1579" s="64"/>
      <c r="J1579" s="64"/>
      <c r="K1579" s="64"/>
      <c r="L1579" s="64"/>
      <c r="M1579" s="64"/>
      <c r="N1579" s="64"/>
      <c r="O1579" s="64"/>
      <c r="P1579" s="64"/>
      <c r="Q1579" s="64"/>
      <c r="R1579" s="65" t="str">
        <f>IF($A1579="","",IFERROR(MINIFS(Candidates!$K$2:$K$2000,Candidates!$A$2:$A$2000,$A1579),""))</f>
        <v/>
      </c>
      <c r="S1579" s="65" t="str">
        <f>IF($A1579="","",IFERROR(MAXIFS(Candidates!$AA$2:$AA$2000,Candidates!$A$2:$A$2000,$A1579),""))</f>
        <v/>
      </c>
      <c r="T1579" s="64" t="str">
        <f>IFERROR(__xludf.DUMMYFUNCTION("IF($A1579="""","""",IFERROR(TEXTJOIN("", "",TRUE,UNIQUE(FILTER(Candidates!$B$2:$B$2000,Candidates!$A$2:$A$2000=$A1579))),""""))"),"")</f>
        <v/>
      </c>
      <c r="U1579" s="66" t="str">
        <f>IF($A1579="","",COUNTIF(Candidates!$A$2:$A$2000,$A1579))</f>
        <v/>
      </c>
      <c r="V1579" s="64" t="str">
        <f>IFERROR(__xludf.DUMMYFUNCTION("IF($A1579="""","""",IFERROR(INDEX(FILTER(Candidates!$S$2:$S$2000,Candidates!$A$2:$A$2000=$A1579),COUNTIF(Candidates!$A$2:$A$2000,$A1579)),""""))"),"")</f>
        <v/>
      </c>
      <c r="W1579" s="64" t="str">
        <f>IFERROR(__xludf.DUMMYFUNCTION("IF($A1579="""","""",IFERROR(INDEX(FILTER(Candidates!$T$2:$T$2000,Candidates!$A$2:$A$2000=$A1579),COUNTIF(Candidates!$A$2:$A$2000,$A1579)),""""))"),"")</f>
        <v/>
      </c>
      <c r="X1579" s="64"/>
      <c r="Y1579" s="64"/>
      <c r="Z1579" s="65"/>
      <c r="AA1579" s="65"/>
      <c r="AB1579" s="65"/>
      <c r="AC1579" s="65"/>
    </row>
    <row r="1580">
      <c r="A1580" s="64"/>
      <c r="B1580" s="64"/>
      <c r="C1580" s="64"/>
      <c r="D1580" s="64"/>
      <c r="E1580" s="64"/>
      <c r="F1580" s="64"/>
      <c r="G1580" s="64"/>
      <c r="H1580" s="63"/>
      <c r="I1580" s="64"/>
      <c r="J1580" s="64"/>
      <c r="K1580" s="64"/>
      <c r="L1580" s="64"/>
      <c r="M1580" s="64"/>
      <c r="N1580" s="64"/>
      <c r="O1580" s="64"/>
      <c r="P1580" s="64"/>
      <c r="Q1580" s="64"/>
      <c r="R1580" s="65" t="str">
        <f>IF($A1580="","",IFERROR(MINIFS(Candidates!$K$2:$K$2000,Candidates!$A$2:$A$2000,$A1580),""))</f>
        <v/>
      </c>
      <c r="S1580" s="65" t="str">
        <f>IF($A1580="","",IFERROR(MAXIFS(Candidates!$AA$2:$AA$2000,Candidates!$A$2:$A$2000,$A1580),""))</f>
        <v/>
      </c>
      <c r="T1580" s="64" t="str">
        <f>IFERROR(__xludf.DUMMYFUNCTION("IF($A1580="""","""",IFERROR(TEXTJOIN("", "",TRUE,UNIQUE(FILTER(Candidates!$B$2:$B$2000,Candidates!$A$2:$A$2000=$A1580))),""""))"),"")</f>
        <v/>
      </c>
      <c r="U1580" s="66" t="str">
        <f>IF($A1580="","",COUNTIF(Candidates!$A$2:$A$2000,$A1580))</f>
        <v/>
      </c>
      <c r="V1580" s="64" t="str">
        <f>IFERROR(__xludf.DUMMYFUNCTION("IF($A1580="""","""",IFERROR(INDEX(FILTER(Candidates!$S$2:$S$2000,Candidates!$A$2:$A$2000=$A1580),COUNTIF(Candidates!$A$2:$A$2000,$A1580)),""""))"),"")</f>
        <v/>
      </c>
      <c r="W1580" s="64" t="str">
        <f>IFERROR(__xludf.DUMMYFUNCTION("IF($A1580="""","""",IFERROR(INDEX(FILTER(Candidates!$T$2:$T$2000,Candidates!$A$2:$A$2000=$A1580),COUNTIF(Candidates!$A$2:$A$2000,$A1580)),""""))"),"")</f>
        <v/>
      </c>
      <c r="X1580" s="64"/>
      <c r="Y1580" s="64"/>
      <c r="Z1580" s="65"/>
      <c r="AA1580" s="65"/>
      <c r="AB1580" s="65"/>
      <c r="AC1580" s="65"/>
    </row>
    <row r="1581">
      <c r="A1581" s="64"/>
      <c r="B1581" s="64"/>
      <c r="C1581" s="64"/>
      <c r="D1581" s="64"/>
      <c r="E1581" s="64"/>
      <c r="F1581" s="64"/>
      <c r="G1581" s="64"/>
      <c r="H1581" s="63"/>
      <c r="I1581" s="64"/>
      <c r="J1581" s="64"/>
      <c r="K1581" s="64"/>
      <c r="L1581" s="64"/>
      <c r="M1581" s="64"/>
      <c r="N1581" s="64"/>
      <c r="O1581" s="64"/>
      <c r="P1581" s="64"/>
      <c r="Q1581" s="64"/>
      <c r="R1581" s="65" t="str">
        <f>IF($A1581="","",IFERROR(MINIFS(Candidates!$K$2:$K$2000,Candidates!$A$2:$A$2000,$A1581),""))</f>
        <v/>
      </c>
      <c r="S1581" s="65" t="str">
        <f>IF($A1581="","",IFERROR(MAXIFS(Candidates!$AA$2:$AA$2000,Candidates!$A$2:$A$2000,$A1581),""))</f>
        <v/>
      </c>
      <c r="T1581" s="64" t="str">
        <f>IFERROR(__xludf.DUMMYFUNCTION("IF($A1581="""","""",IFERROR(TEXTJOIN("", "",TRUE,UNIQUE(FILTER(Candidates!$B$2:$B$2000,Candidates!$A$2:$A$2000=$A1581))),""""))"),"")</f>
        <v/>
      </c>
      <c r="U1581" s="66" t="str">
        <f>IF($A1581="","",COUNTIF(Candidates!$A$2:$A$2000,$A1581))</f>
        <v/>
      </c>
      <c r="V1581" s="64" t="str">
        <f>IFERROR(__xludf.DUMMYFUNCTION("IF($A1581="""","""",IFERROR(INDEX(FILTER(Candidates!$S$2:$S$2000,Candidates!$A$2:$A$2000=$A1581),COUNTIF(Candidates!$A$2:$A$2000,$A1581)),""""))"),"")</f>
        <v/>
      </c>
      <c r="W1581" s="64" t="str">
        <f>IFERROR(__xludf.DUMMYFUNCTION("IF($A1581="""","""",IFERROR(INDEX(FILTER(Candidates!$T$2:$T$2000,Candidates!$A$2:$A$2000=$A1581),COUNTIF(Candidates!$A$2:$A$2000,$A1581)),""""))"),"")</f>
        <v/>
      </c>
      <c r="X1581" s="64"/>
      <c r="Y1581" s="64"/>
      <c r="Z1581" s="65"/>
      <c r="AA1581" s="65"/>
      <c r="AB1581" s="65"/>
      <c r="AC1581" s="65"/>
    </row>
    <row r="1582">
      <c r="A1582" s="64"/>
      <c r="B1582" s="64"/>
      <c r="C1582" s="64"/>
      <c r="D1582" s="64"/>
      <c r="E1582" s="64"/>
      <c r="F1582" s="64"/>
      <c r="G1582" s="64"/>
      <c r="H1582" s="63"/>
      <c r="I1582" s="64"/>
      <c r="J1582" s="64"/>
      <c r="K1582" s="64"/>
      <c r="L1582" s="64"/>
      <c r="M1582" s="64"/>
      <c r="N1582" s="64"/>
      <c r="O1582" s="64"/>
      <c r="P1582" s="64"/>
      <c r="Q1582" s="64"/>
      <c r="R1582" s="65" t="str">
        <f>IF($A1582="","",IFERROR(MINIFS(Candidates!$K$2:$K$2000,Candidates!$A$2:$A$2000,$A1582),""))</f>
        <v/>
      </c>
      <c r="S1582" s="65" t="str">
        <f>IF($A1582="","",IFERROR(MAXIFS(Candidates!$AA$2:$AA$2000,Candidates!$A$2:$A$2000,$A1582),""))</f>
        <v/>
      </c>
      <c r="T1582" s="64" t="str">
        <f>IFERROR(__xludf.DUMMYFUNCTION("IF($A1582="""","""",IFERROR(TEXTJOIN("", "",TRUE,UNIQUE(FILTER(Candidates!$B$2:$B$2000,Candidates!$A$2:$A$2000=$A1582))),""""))"),"")</f>
        <v/>
      </c>
      <c r="U1582" s="66" t="str">
        <f>IF($A1582="","",COUNTIF(Candidates!$A$2:$A$2000,$A1582))</f>
        <v/>
      </c>
      <c r="V1582" s="64" t="str">
        <f>IFERROR(__xludf.DUMMYFUNCTION("IF($A1582="""","""",IFERROR(INDEX(FILTER(Candidates!$S$2:$S$2000,Candidates!$A$2:$A$2000=$A1582),COUNTIF(Candidates!$A$2:$A$2000,$A1582)),""""))"),"")</f>
        <v/>
      </c>
      <c r="W1582" s="64" t="str">
        <f>IFERROR(__xludf.DUMMYFUNCTION("IF($A1582="""","""",IFERROR(INDEX(FILTER(Candidates!$T$2:$T$2000,Candidates!$A$2:$A$2000=$A1582),COUNTIF(Candidates!$A$2:$A$2000,$A1582)),""""))"),"")</f>
        <v/>
      </c>
      <c r="X1582" s="64"/>
      <c r="Y1582" s="64"/>
      <c r="Z1582" s="65"/>
      <c r="AA1582" s="65"/>
      <c r="AB1582" s="65"/>
      <c r="AC1582" s="65"/>
    </row>
    <row r="1583">
      <c r="A1583" s="64"/>
      <c r="B1583" s="64"/>
      <c r="C1583" s="64"/>
      <c r="D1583" s="64"/>
      <c r="E1583" s="64"/>
      <c r="F1583" s="64"/>
      <c r="G1583" s="64"/>
      <c r="H1583" s="63"/>
      <c r="I1583" s="64"/>
      <c r="J1583" s="64"/>
      <c r="K1583" s="64"/>
      <c r="L1583" s="64"/>
      <c r="M1583" s="64"/>
      <c r="N1583" s="64"/>
      <c r="O1583" s="64"/>
      <c r="P1583" s="64"/>
      <c r="Q1583" s="64"/>
      <c r="R1583" s="65" t="str">
        <f>IF($A1583="","",IFERROR(MINIFS(Candidates!$K$2:$K$2000,Candidates!$A$2:$A$2000,$A1583),""))</f>
        <v/>
      </c>
      <c r="S1583" s="65" t="str">
        <f>IF($A1583="","",IFERROR(MAXIFS(Candidates!$AA$2:$AA$2000,Candidates!$A$2:$A$2000,$A1583),""))</f>
        <v/>
      </c>
      <c r="T1583" s="64" t="str">
        <f>IFERROR(__xludf.DUMMYFUNCTION("IF($A1583="""","""",IFERROR(TEXTJOIN("", "",TRUE,UNIQUE(FILTER(Candidates!$B$2:$B$2000,Candidates!$A$2:$A$2000=$A1583))),""""))"),"")</f>
        <v/>
      </c>
      <c r="U1583" s="66" t="str">
        <f>IF($A1583="","",COUNTIF(Candidates!$A$2:$A$2000,$A1583))</f>
        <v/>
      </c>
      <c r="V1583" s="64" t="str">
        <f>IFERROR(__xludf.DUMMYFUNCTION("IF($A1583="""","""",IFERROR(INDEX(FILTER(Candidates!$S$2:$S$2000,Candidates!$A$2:$A$2000=$A1583),COUNTIF(Candidates!$A$2:$A$2000,$A1583)),""""))"),"")</f>
        <v/>
      </c>
      <c r="W1583" s="64" t="str">
        <f>IFERROR(__xludf.DUMMYFUNCTION("IF($A1583="""","""",IFERROR(INDEX(FILTER(Candidates!$T$2:$T$2000,Candidates!$A$2:$A$2000=$A1583),COUNTIF(Candidates!$A$2:$A$2000,$A1583)),""""))"),"")</f>
        <v/>
      </c>
      <c r="X1583" s="64"/>
      <c r="Y1583" s="64"/>
      <c r="Z1583" s="65"/>
      <c r="AA1583" s="65"/>
      <c r="AB1583" s="65"/>
      <c r="AC1583" s="65"/>
    </row>
    <row r="1584">
      <c r="A1584" s="64"/>
      <c r="B1584" s="64"/>
      <c r="C1584" s="64"/>
      <c r="D1584" s="64"/>
      <c r="E1584" s="64"/>
      <c r="F1584" s="64"/>
      <c r="G1584" s="64"/>
      <c r="H1584" s="63"/>
      <c r="I1584" s="64"/>
      <c r="J1584" s="64"/>
      <c r="K1584" s="64"/>
      <c r="L1584" s="64"/>
      <c r="M1584" s="64"/>
      <c r="N1584" s="64"/>
      <c r="O1584" s="64"/>
      <c r="P1584" s="64"/>
      <c r="Q1584" s="64"/>
      <c r="R1584" s="65" t="str">
        <f>IF($A1584="","",IFERROR(MINIFS(Candidates!$K$2:$K$2000,Candidates!$A$2:$A$2000,$A1584),""))</f>
        <v/>
      </c>
      <c r="S1584" s="65" t="str">
        <f>IF($A1584="","",IFERROR(MAXIFS(Candidates!$AA$2:$AA$2000,Candidates!$A$2:$A$2000,$A1584),""))</f>
        <v/>
      </c>
      <c r="T1584" s="64" t="str">
        <f>IFERROR(__xludf.DUMMYFUNCTION("IF($A1584="""","""",IFERROR(TEXTJOIN("", "",TRUE,UNIQUE(FILTER(Candidates!$B$2:$B$2000,Candidates!$A$2:$A$2000=$A1584))),""""))"),"")</f>
        <v/>
      </c>
      <c r="U1584" s="66" t="str">
        <f>IF($A1584="","",COUNTIF(Candidates!$A$2:$A$2000,$A1584))</f>
        <v/>
      </c>
      <c r="V1584" s="64" t="str">
        <f>IFERROR(__xludf.DUMMYFUNCTION("IF($A1584="""","""",IFERROR(INDEX(FILTER(Candidates!$S$2:$S$2000,Candidates!$A$2:$A$2000=$A1584),COUNTIF(Candidates!$A$2:$A$2000,$A1584)),""""))"),"")</f>
        <v/>
      </c>
      <c r="W1584" s="64" t="str">
        <f>IFERROR(__xludf.DUMMYFUNCTION("IF($A1584="""","""",IFERROR(INDEX(FILTER(Candidates!$T$2:$T$2000,Candidates!$A$2:$A$2000=$A1584),COUNTIF(Candidates!$A$2:$A$2000,$A1584)),""""))"),"")</f>
        <v/>
      </c>
      <c r="X1584" s="64"/>
      <c r="Y1584" s="64"/>
      <c r="Z1584" s="65"/>
      <c r="AA1584" s="65"/>
      <c r="AB1584" s="65"/>
      <c r="AC1584" s="65"/>
    </row>
    <row r="1585">
      <c r="A1585" s="64"/>
      <c r="B1585" s="64"/>
      <c r="C1585" s="64"/>
      <c r="D1585" s="64"/>
      <c r="E1585" s="64"/>
      <c r="F1585" s="64"/>
      <c r="G1585" s="64"/>
      <c r="H1585" s="63"/>
      <c r="I1585" s="64"/>
      <c r="J1585" s="64"/>
      <c r="K1585" s="64"/>
      <c r="L1585" s="64"/>
      <c r="M1585" s="64"/>
      <c r="N1585" s="64"/>
      <c r="O1585" s="64"/>
      <c r="P1585" s="64"/>
      <c r="Q1585" s="64"/>
      <c r="R1585" s="65" t="str">
        <f>IF($A1585="","",IFERROR(MINIFS(Candidates!$K$2:$K$2000,Candidates!$A$2:$A$2000,$A1585),""))</f>
        <v/>
      </c>
      <c r="S1585" s="65" t="str">
        <f>IF($A1585="","",IFERROR(MAXIFS(Candidates!$AA$2:$AA$2000,Candidates!$A$2:$A$2000,$A1585),""))</f>
        <v/>
      </c>
      <c r="T1585" s="64" t="str">
        <f>IFERROR(__xludf.DUMMYFUNCTION("IF($A1585="""","""",IFERROR(TEXTJOIN("", "",TRUE,UNIQUE(FILTER(Candidates!$B$2:$B$2000,Candidates!$A$2:$A$2000=$A1585))),""""))"),"")</f>
        <v/>
      </c>
      <c r="U1585" s="66" t="str">
        <f>IF($A1585="","",COUNTIF(Candidates!$A$2:$A$2000,$A1585))</f>
        <v/>
      </c>
      <c r="V1585" s="64" t="str">
        <f>IFERROR(__xludf.DUMMYFUNCTION("IF($A1585="""","""",IFERROR(INDEX(FILTER(Candidates!$S$2:$S$2000,Candidates!$A$2:$A$2000=$A1585),COUNTIF(Candidates!$A$2:$A$2000,$A1585)),""""))"),"")</f>
        <v/>
      </c>
      <c r="W1585" s="64" t="str">
        <f>IFERROR(__xludf.DUMMYFUNCTION("IF($A1585="""","""",IFERROR(INDEX(FILTER(Candidates!$T$2:$T$2000,Candidates!$A$2:$A$2000=$A1585),COUNTIF(Candidates!$A$2:$A$2000,$A1585)),""""))"),"")</f>
        <v/>
      </c>
      <c r="X1585" s="64"/>
      <c r="Y1585" s="64"/>
      <c r="Z1585" s="65"/>
      <c r="AA1585" s="65"/>
      <c r="AB1585" s="65"/>
      <c r="AC1585" s="65"/>
    </row>
    <row r="1586">
      <c r="A1586" s="64"/>
      <c r="B1586" s="64"/>
      <c r="C1586" s="64"/>
      <c r="D1586" s="64"/>
      <c r="E1586" s="64"/>
      <c r="F1586" s="64"/>
      <c r="G1586" s="64"/>
      <c r="H1586" s="63"/>
      <c r="I1586" s="64"/>
      <c r="J1586" s="64"/>
      <c r="K1586" s="64"/>
      <c r="L1586" s="64"/>
      <c r="M1586" s="64"/>
      <c r="N1586" s="64"/>
      <c r="O1586" s="64"/>
      <c r="P1586" s="64"/>
      <c r="Q1586" s="64"/>
      <c r="R1586" s="65" t="str">
        <f>IF($A1586="","",IFERROR(MINIFS(Candidates!$K$2:$K$2000,Candidates!$A$2:$A$2000,$A1586),""))</f>
        <v/>
      </c>
      <c r="S1586" s="65" t="str">
        <f>IF($A1586="","",IFERROR(MAXIFS(Candidates!$AA$2:$AA$2000,Candidates!$A$2:$A$2000,$A1586),""))</f>
        <v/>
      </c>
      <c r="T1586" s="64" t="str">
        <f>IFERROR(__xludf.DUMMYFUNCTION("IF($A1586="""","""",IFERROR(TEXTJOIN("", "",TRUE,UNIQUE(FILTER(Candidates!$B$2:$B$2000,Candidates!$A$2:$A$2000=$A1586))),""""))"),"")</f>
        <v/>
      </c>
      <c r="U1586" s="66" t="str">
        <f>IF($A1586="","",COUNTIF(Candidates!$A$2:$A$2000,$A1586))</f>
        <v/>
      </c>
      <c r="V1586" s="64" t="str">
        <f>IFERROR(__xludf.DUMMYFUNCTION("IF($A1586="""","""",IFERROR(INDEX(FILTER(Candidates!$S$2:$S$2000,Candidates!$A$2:$A$2000=$A1586),COUNTIF(Candidates!$A$2:$A$2000,$A1586)),""""))"),"")</f>
        <v/>
      </c>
      <c r="W1586" s="64" t="str">
        <f>IFERROR(__xludf.DUMMYFUNCTION("IF($A1586="""","""",IFERROR(INDEX(FILTER(Candidates!$T$2:$T$2000,Candidates!$A$2:$A$2000=$A1586),COUNTIF(Candidates!$A$2:$A$2000,$A1586)),""""))"),"")</f>
        <v/>
      </c>
      <c r="X1586" s="64"/>
      <c r="Y1586" s="64"/>
      <c r="Z1586" s="65"/>
      <c r="AA1586" s="65"/>
      <c r="AB1586" s="65"/>
      <c r="AC1586" s="65"/>
    </row>
    <row r="1587">
      <c r="A1587" s="64"/>
      <c r="B1587" s="64"/>
      <c r="C1587" s="64"/>
      <c r="D1587" s="64"/>
      <c r="E1587" s="64"/>
      <c r="F1587" s="64"/>
      <c r="G1587" s="64"/>
      <c r="H1587" s="63"/>
      <c r="I1587" s="64"/>
      <c r="J1587" s="64"/>
      <c r="K1587" s="64"/>
      <c r="L1587" s="64"/>
      <c r="M1587" s="64"/>
      <c r="N1587" s="64"/>
      <c r="O1587" s="64"/>
      <c r="P1587" s="64"/>
      <c r="Q1587" s="64"/>
      <c r="R1587" s="65" t="str">
        <f>IF($A1587="","",IFERROR(MINIFS(Candidates!$K$2:$K$2000,Candidates!$A$2:$A$2000,$A1587),""))</f>
        <v/>
      </c>
      <c r="S1587" s="65" t="str">
        <f>IF($A1587="","",IFERROR(MAXIFS(Candidates!$AA$2:$AA$2000,Candidates!$A$2:$A$2000,$A1587),""))</f>
        <v/>
      </c>
      <c r="T1587" s="64" t="str">
        <f>IFERROR(__xludf.DUMMYFUNCTION("IF($A1587="""","""",IFERROR(TEXTJOIN("", "",TRUE,UNIQUE(FILTER(Candidates!$B$2:$B$2000,Candidates!$A$2:$A$2000=$A1587))),""""))"),"")</f>
        <v/>
      </c>
      <c r="U1587" s="66" t="str">
        <f>IF($A1587="","",COUNTIF(Candidates!$A$2:$A$2000,$A1587))</f>
        <v/>
      </c>
      <c r="V1587" s="64" t="str">
        <f>IFERROR(__xludf.DUMMYFUNCTION("IF($A1587="""","""",IFERROR(INDEX(FILTER(Candidates!$S$2:$S$2000,Candidates!$A$2:$A$2000=$A1587),COUNTIF(Candidates!$A$2:$A$2000,$A1587)),""""))"),"")</f>
        <v/>
      </c>
      <c r="W1587" s="64" t="str">
        <f>IFERROR(__xludf.DUMMYFUNCTION("IF($A1587="""","""",IFERROR(INDEX(FILTER(Candidates!$T$2:$T$2000,Candidates!$A$2:$A$2000=$A1587),COUNTIF(Candidates!$A$2:$A$2000,$A1587)),""""))"),"")</f>
        <v/>
      </c>
      <c r="X1587" s="64"/>
      <c r="Y1587" s="64"/>
      <c r="Z1587" s="65"/>
      <c r="AA1587" s="65"/>
      <c r="AB1587" s="65"/>
      <c r="AC1587" s="65"/>
    </row>
    <row r="1588">
      <c r="A1588" s="64"/>
      <c r="B1588" s="64"/>
      <c r="C1588" s="64"/>
      <c r="D1588" s="64"/>
      <c r="E1588" s="64"/>
      <c r="F1588" s="64"/>
      <c r="G1588" s="64"/>
      <c r="H1588" s="63"/>
      <c r="I1588" s="64"/>
      <c r="J1588" s="64"/>
      <c r="K1588" s="64"/>
      <c r="L1588" s="64"/>
      <c r="M1588" s="64"/>
      <c r="N1588" s="64"/>
      <c r="O1588" s="64"/>
      <c r="P1588" s="64"/>
      <c r="Q1588" s="64"/>
      <c r="R1588" s="65" t="str">
        <f>IF($A1588="","",IFERROR(MINIFS(Candidates!$K$2:$K$2000,Candidates!$A$2:$A$2000,$A1588),""))</f>
        <v/>
      </c>
      <c r="S1588" s="65" t="str">
        <f>IF($A1588="","",IFERROR(MAXIFS(Candidates!$AA$2:$AA$2000,Candidates!$A$2:$A$2000,$A1588),""))</f>
        <v/>
      </c>
      <c r="T1588" s="64" t="str">
        <f>IFERROR(__xludf.DUMMYFUNCTION("IF($A1588="""","""",IFERROR(TEXTJOIN("", "",TRUE,UNIQUE(FILTER(Candidates!$B$2:$B$2000,Candidates!$A$2:$A$2000=$A1588))),""""))"),"")</f>
        <v/>
      </c>
      <c r="U1588" s="66" t="str">
        <f>IF($A1588="","",COUNTIF(Candidates!$A$2:$A$2000,$A1588))</f>
        <v/>
      </c>
      <c r="V1588" s="64" t="str">
        <f>IFERROR(__xludf.DUMMYFUNCTION("IF($A1588="""","""",IFERROR(INDEX(FILTER(Candidates!$S$2:$S$2000,Candidates!$A$2:$A$2000=$A1588),COUNTIF(Candidates!$A$2:$A$2000,$A1588)),""""))"),"")</f>
        <v/>
      </c>
      <c r="W1588" s="64" t="str">
        <f>IFERROR(__xludf.DUMMYFUNCTION("IF($A1588="""","""",IFERROR(INDEX(FILTER(Candidates!$T$2:$T$2000,Candidates!$A$2:$A$2000=$A1588),COUNTIF(Candidates!$A$2:$A$2000,$A1588)),""""))"),"")</f>
        <v/>
      </c>
      <c r="X1588" s="64"/>
      <c r="Y1588" s="64"/>
      <c r="Z1588" s="65"/>
      <c r="AA1588" s="65"/>
      <c r="AB1588" s="65"/>
      <c r="AC1588" s="65"/>
    </row>
    <row r="1589">
      <c r="A1589" s="64"/>
      <c r="B1589" s="64"/>
      <c r="C1589" s="64"/>
      <c r="D1589" s="64"/>
      <c r="E1589" s="64"/>
      <c r="F1589" s="64"/>
      <c r="G1589" s="64"/>
      <c r="H1589" s="63"/>
      <c r="I1589" s="64"/>
      <c r="J1589" s="64"/>
      <c r="K1589" s="64"/>
      <c r="L1589" s="64"/>
      <c r="M1589" s="64"/>
      <c r="N1589" s="64"/>
      <c r="O1589" s="64"/>
      <c r="P1589" s="64"/>
      <c r="Q1589" s="64"/>
      <c r="R1589" s="65" t="str">
        <f>IF($A1589="","",IFERROR(MINIFS(Candidates!$K$2:$K$2000,Candidates!$A$2:$A$2000,$A1589),""))</f>
        <v/>
      </c>
      <c r="S1589" s="65" t="str">
        <f>IF($A1589="","",IFERROR(MAXIFS(Candidates!$AA$2:$AA$2000,Candidates!$A$2:$A$2000,$A1589),""))</f>
        <v/>
      </c>
      <c r="T1589" s="64" t="str">
        <f>IFERROR(__xludf.DUMMYFUNCTION("IF($A1589="""","""",IFERROR(TEXTJOIN("", "",TRUE,UNIQUE(FILTER(Candidates!$B$2:$B$2000,Candidates!$A$2:$A$2000=$A1589))),""""))"),"")</f>
        <v/>
      </c>
      <c r="U1589" s="66" t="str">
        <f>IF($A1589="","",COUNTIF(Candidates!$A$2:$A$2000,$A1589))</f>
        <v/>
      </c>
      <c r="V1589" s="64" t="str">
        <f>IFERROR(__xludf.DUMMYFUNCTION("IF($A1589="""","""",IFERROR(INDEX(FILTER(Candidates!$S$2:$S$2000,Candidates!$A$2:$A$2000=$A1589),COUNTIF(Candidates!$A$2:$A$2000,$A1589)),""""))"),"")</f>
        <v/>
      </c>
      <c r="W1589" s="64" t="str">
        <f>IFERROR(__xludf.DUMMYFUNCTION("IF($A1589="""","""",IFERROR(INDEX(FILTER(Candidates!$T$2:$T$2000,Candidates!$A$2:$A$2000=$A1589),COUNTIF(Candidates!$A$2:$A$2000,$A1589)),""""))"),"")</f>
        <v/>
      </c>
      <c r="X1589" s="64"/>
      <c r="Y1589" s="64"/>
      <c r="Z1589" s="65"/>
      <c r="AA1589" s="65"/>
      <c r="AB1589" s="65"/>
      <c r="AC1589" s="65"/>
    </row>
    <row r="1590">
      <c r="A1590" s="64"/>
      <c r="B1590" s="64"/>
      <c r="C1590" s="64"/>
      <c r="D1590" s="64"/>
      <c r="E1590" s="64"/>
      <c r="F1590" s="64"/>
      <c r="G1590" s="64"/>
      <c r="H1590" s="63"/>
      <c r="I1590" s="64"/>
      <c r="J1590" s="64"/>
      <c r="K1590" s="64"/>
      <c r="L1590" s="64"/>
      <c r="M1590" s="64"/>
      <c r="N1590" s="64"/>
      <c r="O1590" s="64"/>
      <c r="P1590" s="64"/>
      <c r="Q1590" s="64"/>
      <c r="R1590" s="65" t="str">
        <f>IF($A1590="","",IFERROR(MINIFS(Candidates!$K$2:$K$2000,Candidates!$A$2:$A$2000,$A1590),""))</f>
        <v/>
      </c>
      <c r="S1590" s="65" t="str">
        <f>IF($A1590="","",IFERROR(MAXIFS(Candidates!$AA$2:$AA$2000,Candidates!$A$2:$A$2000,$A1590),""))</f>
        <v/>
      </c>
      <c r="T1590" s="64" t="str">
        <f>IFERROR(__xludf.DUMMYFUNCTION("IF($A1590="""","""",IFERROR(TEXTJOIN("", "",TRUE,UNIQUE(FILTER(Candidates!$B$2:$B$2000,Candidates!$A$2:$A$2000=$A1590))),""""))"),"")</f>
        <v/>
      </c>
      <c r="U1590" s="66" t="str">
        <f>IF($A1590="","",COUNTIF(Candidates!$A$2:$A$2000,$A1590))</f>
        <v/>
      </c>
      <c r="V1590" s="64" t="str">
        <f>IFERROR(__xludf.DUMMYFUNCTION("IF($A1590="""","""",IFERROR(INDEX(FILTER(Candidates!$S$2:$S$2000,Candidates!$A$2:$A$2000=$A1590),COUNTIF(Candidates!$A$2:$A$2000,$A1590)),""""))"),"")</f>
        <v/>
      </c>
      <c r="W1590" s="64" t="str">
        <f>IFERROR(__xludf.DUMMYFUNCTION("IF($A1590="""","""",IFERROR(INDEX(FILTER(Candidates!$T$2:$T$2000,Candidates!$A$2:$A$2000=$A1590),COUNTIF(Candidates!$A$2:$A$2000,$A1590)),""""))"),"")</f>
        <v/>
      </c>
      <c r="X1590" s="64"/>
      <c r="Y1590" s="64"/>
      <c r="Z1590" s="65"/>
      <c r="AA1590" s="65"/>
      <c r="AB1590" s="65"/>
      <c r="AC1590" s="65"/>
    </row>
    <row r="1591">
      <c r="A1591" s="64"/>
      <c r="B1591" s="64"/>
      <c r="C1591" s="64"/>
      <c r="D1591" s="64"/>
      <c r="E1591" s="64"/>
      <c r="F1591" s="64"/>
      <c r="G1591" s="64"/>
      <c r="H1591" s="63"/>
      <c r="I1591" s="64"/>
      <c r="J1591" s="64"/>
      <c r="K1591" s="64"/>
      <c r="L1591" s="64"/>
      <c r="M1591" s="64"/>
      <c r="N1591" s="64"/>
      <c r="O1591" s="64"/>
      <c r="P1591" s="64"/>
      <c r="Q1591" s="64"/>
      <c r="R1591" s="65" t="str">
        <f>IF($A1591="","",IFERROR(MINIFS(Candidates!$K$2:$K$2000,Candidates!$A$2:$A$2000,$A1591),""))</f>
        <v/>
      </c>
      <c r="S1591" s="65" t="str">
        <f>IF($A1591="","",IFERROR(MAXIFS(Candidates!$AA$2:$AA$2000,Candidates!$A$2:$A$2000,$A1591),""))</f>
        <v/>
      </c>
      <c r="T1591" s="64" t="str">
        <f>IFERROR(__xludf.DUMMYFUNCTION("IF($A1591="""","""",IFERROR(TEXTJOIN("", "",TRUE,UNIQUE(FILTER(Candidates!$B$2:$B$2000,Candidates!$A$2:$A$2000=$A1591))),""""))"),"")</f>
        <v/>
      </c>
      <c r="U1591" s="66" t="str">
        <f>IF($A1591="","",COUNTIF(Candidates!$A$2:$A$2000,$A1591))</f>
        <v/>
      </c>
      <c r="V1591" s="64" t="str">
        <f>IFERROR(__xludf.DUMMYFUNCTION("IF($A1591="""","""",IFERROR(INDEX(FILTER(Candidates!$S$2:$S$2000,Candidates!$A$2:$A$2000=$A1591),COUNTIF(Candidates!$A$2:$A$2000,$A1591)),""""))"),"")</f>
        <v/>
      </c>
      <c r="W1591" s="64" t="str">
        <f>IFERROR(__xludf.DUMMYFUNCTION("IF($A1591="""","""",IFERROR(INDEX(FILTER(Candidates!$T$2:$T$2000,Candidates!$A$2:$A$2000=$A1591),COUNTIF(Candidates!$A$2:$A$2000,$A1591)),""""))"),"")</f>
        <v/>
      </c>
      <c r="X1591" s="64"/>
      <c r="Y1591" s="64"/>
      <c r="Z1591" s="65"/>
      <c r="AA1591" s="65"/>
      <c r="AB1591" s="65"/>
      <c r="AC1591" s="65"/>
    </row>
    <row r="1592">
      <c r="A1592" s="64"/>
      <c r="B1592" s="64"/>
      <c r="C1592" s="64"/>
      <c r="D1592" s="64"/>
      <c r="E1592" s="64"/>
      <c r="F1592" s="64"/>
      <c r="G1592" s="64"/>
      <c r="H1592" s="63"/>
      <c r="I1592" s="64"/>
      <c r="J1592" s="64"/>
      <c r="K1592" s="64"/>
      <c r="L1592" s="64"/>
      <c r="M1592" s="64"/>
      <c r="N1592" s="64"/>
      <c r="O1592" s="64"/>
      <c r="P1592" s="64"/>
      <c r="Q1592" s="64"/>
      <c r="R1592" s="65" t="str">
        <f>IF($A1592="","",IFERROR(MINIFS(Candidates!$K$2:$K$2000,Candidates!$A$2:$A$2000,$A1592),""))</f>
        <v/>
      </c>
      <c r="S1592" s="65" t="str">
        <f>IF($A1592="","",IFERROR(MAXIFS(Candidates!$AA$2:$AA$2000,Candidates!$A$2:$A$2000,$A1592),""))</f>
        <v/>
      </c>
      <c r="T1592" s="64" t="str">
        <f>IFERROR(__xludf.DUMMYFUNCTION("IF($A1592="""","""",IFERROR(TEXTJOIN("", "",TRUE,UNIQUE(FILTER(Candidates!$B$2:$B$2000,Candidates!$A$2:$A$2000=$A1592))),""""))"),"")</f>
        <v/>
      </c>
      <c r="U1592" s="66" t="str">
        <f>IF($A1592="","",COUNTIF(Candidates!$A$2:$A$2000,$A1592))</f>
        <v/>
      </c>
      <c r="V1592" s="64" t="str">
        <f>IFERROR(__xludf.DUMMYFUNCTION("IF($A1592="""","""",IFERROR(INDEX(FILTER(Candidates!$S$2:$S$2000,Candidates!$A$2:$A$2000=$A1592),COUNTIF(Candidates!$A$2:$A$2000,$A1592)),""""))"),"")</f>
        <v/>
      </c>
      <c r="W1592" s="64" t="str">
        <f>IFERROR(__xludf.DUMMYFUNCTION("IF($A1592="""","""",IFERROR(INDEX(FILTER(Candidates!$T$2:$T$2000,Candidates!$A$2:$A$2000=$A1592),COUNTIF(Candidates!$A$2:$A$2000,$A1592)),""""))"),"")</f>
        <v/>
      </c>
      <c r="X1592" s="64"/>
      <c r="Y1592" s="64"/>
      <c r="Z1592" s="65"/>
      <c r="AA1592" s="65"/>
      <c r="AB1592" s="65"/>
      <c r="AC1592" s="65"/>
    </row>
    <row r="1593">
      <c r="A1593" s="64"/>
      <c r="B1593" s="64"/>
      <c r="C1593" s="64"/>
      <c r="D1593" s="64"/>
      <c r="E1593" s="64"/>
      <c r="F1593" s="64"/>
      <c r="G1593" s="64"/>
      <c r="H1593" s="63"/>
      <c r="I1593" s="64"/>
      <c r="J1593" s="64"/>
      <c r="K1593" s="64"/>
      <c r="L1593" s="64"/>
      <c r="M1593" s="64"/>
      <c r="N1593" s="64"/>
      <c r="O1593" s="64"/>
      <c r="P1593" s="64"/>
      <c r="Q1593" s="64"/>
      <c r="R1593" s="65" t="str">
        <f>IF($A1593="","",IFERROR(MINIFS(Candidates!$K$2:$K$2000,Candidates!$A$2:$A$2000,$A1593),""))</f>
        <v/>
      </c>
      <c r="S1593" s="65" t="str">
        <f>IF($A1593="","",IFERROR(MAXIFS(Candidates!$AA$2:$AA$2000,Candidates!$A$2:$A$2000,$A1593),""))</f>
        <v/>
      </c>
      <c r="T1593" s="64" t="str">
        <f>IFERROR(__xludf.DUMMYFUNCTION("IF($A1593="""","""",IFERROR(TEXTJOIN("", "",TRUE,UNIQUE(FILTER(Candidates!$B$2:$B$2000,Candidates!$A$2:$A$2000=$A1593))),""""))"),"")</f>
        <v/>
      </c>
      <c r="U1593" s="66" t="str">
        <f>IF($A1593="","",COUNTIF(Candidates!$A$2:$A$2000,$A1593))</f>
        <v/>
      </c>
      <c r="V1593" s="64" t="str">
        <f>IFERROR(__xludf.DUMMYFUNCTION("IF($A1593="""","""",IFERROR(INDEX(FILTER(Candidates!$S$2:$S$2000,Candidates!$A$2:$A$2000=$A1593),COUNTIF(Candidates!$A$2:$A$2000,$A1593)),""""))"),"")</f>
        <v/>
      </c>
      <c r="W1593" s="64" t="str">
        <f>IFERROR(__xludf.DUMMYFUNCTION("IF($A1593="""","""",IFERROR(INDEX(FILTER(Candidates!$T$2:$T$2000,Candidates!$A$2:$A$2000=$A1593),COUNTIF(Candidates!$A$2:$A$2000,$A1593)),""""))"),"")</f>
        <v/>
      </c>
      <c r="X1593" s="64"/>
      <c r="Y1593" s="64"/>
      <c r="Z1593" s="65"/>
      <c r="AA1593" s="65"/>
      <c r="AB1593" s="65"/>
      <c r="AC1593" s="65"/>
    </row>
    <row r="1594">
      <c r="A1594" s="64"/>
      <c r="B1594" s="64"/>
      <c r="C1594" s="64"/>
      <c r="D1594" s="64"/>
      <c r="E1594" s="64"/>
      <c r="F1594" s="64"/>
      <c r="G1594" s="64"/>
      <c r="H1594" s="63"/>
      <c r="I1594" s="64"/>
      <c r="J1594" s="64"/>
      <c r="K1594" s="64"/>
      <c r="L1594" s="64"/>
      <c r="M1594" s="64"/>
      <c r="N1594" s="64"/>
      <c r="O1594" s="64"/>
      <c r="P1594" s="64"/>
      <c r="Q1594" s="64"/>
      <c r="R1594" s="65" t="str">
        <f>IF($A1594="","",IFERROR(MINIFS(Candidates!$K$2:$K$2000,Candidates!$A$2:$A$2000,$A1594),""))</f>
        <v/>
      </c>
      <c r="S1594" s="65" t="str">
        <f>IF($A1594="","",IFERROR(MAXIFS(Candidates!$AA$2:$AA$2000,Candidates!$A$2:$A$2000,$A1594),""))</f>
        <v/>
      </c>
      <c r="T1594" s="64" t="str">
        <f>IFERROR(__xludf.DUMMYFUNCTION("IF($A1594="""","""",IFERROR(TEXTJOIN("", "",TRUE,UNIQUE(FILTER(Candidates!$B$2:$B$2000,Candidates!$A$2:$A$2000=$A1594))),""""))"),"")</f>
        <v/>
      </c>
      <c r="U1594" s="66" t="str">
        <f>IF($A1594="","",COUNTIF(Candidates!$A$2:$A$2000,$A1594))</f>
        <v/>
      </c>
      <c r="V1594" s="64" t="str">
        <f>IFERROR(__xludf.DUMMYFUNCTION("IF($A1594="""","""",IFERROR(INDEX(FILTER(Candidates!$S$2:$S$2000,Candidates!$A$2:$A$2000=$A1594),COUNTIF(Candidates!$A$2:$A$2000,$A1594)),""""))"),"")</f>
        <v/>
      </c>
      <c r="W1594" s="64" t="str">
        <f>IFERROR(__xludf.DUMMYFUNCTION("IF($A1594="""","""",IFERROR(INDEX(FILTER(Candidates!$T$2:$T$2000,Candidates!$A$2:$A$2000=$A1594),COUNTIF(Candidates!$A$2:$A$2000,$A1594)),""""))"),"")</f>
        <v/>
      </c>
      <c r="X1594" s="64"/>
      <c r="Y1594" s="64"/>
      <c r="Z1594" s="65"/>
      <c r="AA1594" s="65"/>
      <c r="AB1594" s="65"/>
      <c r="AC1594" s="65"/>
    </row>
    <row r="1595">
      <c r="A1595" s="64"/>
      <c r="B1595" s="64"/>
      <c r="C1595" s="64"/>
      <c r="D1595" s="64"/>
      <c r="E1595" s="64"/>
      <c r="F1595" s="64"/>
      <c r="G1595" s="64"/>
      <c r="H1595" s="63"/>
      <c r="I1595" s="64"/>
      <c r="J1595" s="64"/>
      <c r="K1595" s="64"/>
      <c r="L1595" s="64"/>
      <c r="M1595" s="64"/>
      <c r="N1595" s="64"/>
      <c r="O1595" s="64"/>
      <c r="P1595" s="64"/>
      <c r="Q1595" s="64"/>
      <c r="R1595" s="65" t="str">
        <f>IF($A1595="","",IFERROR(MINIFS(Candidates!$K$2:$K$2000,Candidates!$A$2:$A$2000,$A1595),""))</f>
        <v/>
      </c>
      <c r="S1595" s="65" t="str">
        <f>IF($A1595="","",IFERROR(MAXIFS(Candidates!$AA$2:$AA$2000,Candidates!$A$2:$A$2000,$A1595),""))</f>
        <v/>
      </c>
      <c r="T1595" s="64" t="str">
        <f>IFERROR(__xludf.DUMMYFUNCTION("IF($A1595="""","""",IFERROR(TEXTJOIN("", "",TRUE,UNIQUE(FILTER(Candidates!$B$2:$B$2000,Candidates!$A$2:$A$2000=$A1595))),""""))"),"")</f>
        <v/>
      </c>
      <c r="U1595" s="66" t="str">
        <f>IF($A1595="","",COUNTIF(Candidates!$A$2:$A$2000,$A1595))</f>
        <v/>
      </c>
      <c r="V1595" s="64" t="str">
        <f>IFERROR(__xludf.DUMMYFUNCTION("IF($A1595="""","""",IFERROR(INDEX(FILTER(Candidates!$S$2:$S$2000,Candidates!$A$2:$A$2000=$A1595),COUNTIF(Candidates!$A$2:$A$2000,$A1595)),""""))"),"")</f>
        <v/>
      </c>
      <c r="W1595" s="64" t="str">
        <f>IFERROR(__xludf.DUMMYFUNCTION("IF($A1595="""","""",IFERROR(INDEX(FILTER(Candidates!$T$2:$T$2000,Candidates!$A$2:$A$2000=$A1595),COUNTIF(Candidates!$A$2:$A$2000,$A1595)),""""))"),"")</f>
        <v/>
      </c>
      <c r="X1595" s="64"/>
      <c r="Y1595" s="64"/>
      <c r="Z1595" s="65"/>
      <c r="AA1595" s="65"/>
      <c r="AB1595" s="65"/>
      <c r="AC1595" s="65"/>
    </row>
    <row r="1596">
      <c r="A1596" s="64"/>
      <c r="B1596" s="64"/>
      <c r="C1596" s="64"/>
      <c r="D1596" s="64"/>
      <c r="E1596" s="64"/>
      <c r="F1596" s="64"/>
      <c r="G1596" s="64"/>
      <c r="H1596" s="63"/>
      <c r="I1596" s="64"/>
      <c r="J1596" s="64"/>
      <c r="K1596" s="64"/>
      <c r="L1596" s="64"/>
      <c r="M1596" s="64"/>
      <c r="N1596" s="64"/>
      <c r="O1596" s="64"/>
      <c r="P1596" s="64"/>
      <c r="Q1596" s="64"/>
      <c r="R1596" s="65" t="str">
        <f>IF($A1596="","",IFERROR(MINIFS(Candidates!$K$2:$K$2000,Candidates!$A$2:$A$2000,$A1596),""))</f>
        <v/>
      </c>
      <c r="S1596" s="65" t="str">
        <f>IF($A1596="","",IFERROR(MAXIFS(Candidates!$AA$2:$AA$2000,Candidates!$A$2:$A$2000,$A1596),""))</f>
        <v/>
      </c>
      <c r="T1596" s="64" t="str">
        <f>IFERROR(__xludf.DUMMYFUNCTION("IF($A1596="""","""",IFERROR(TEXTJOIN("", "",TRUE,UNIQUE(FILTER(Candidates!$B$2:$B$2000,Candidates!$A$2:$A$2000=$A1596))),""""))"),"")</f>
        <v/>
      </c>
      <c r="U1596" s="66" t="str">
        <f>IF($A1596="","",COUNTIF(Candidates!$A$2:$A$2000,$A1596))</f>
        <v/>
      </c>
      <c r="V1596" s="64" t="str">
        <f>IFERROR(__xludf.DUMMYFUNCTION("IF($A1596="""","""",IFERROR(INDEX(FILTER(Candidates!$S$2:$S$2000,Candidates!$A$2:$A$2000=$A1596),COUNTIF(Candidates!$A$2:$A$2000,$A1596)),""""))"),"")</f>
        <v/>
      </c>
      <c r="W1596" s="64" t="str">
        <f>IFERROR(__xludf.DUMMYFUNCTION("IF($A1596="""","""",IFERROR(INDEX(FILTER(Candidates!$T$2:$T$2000,Candidates!$A$2:$A$2000=$A1596),COUNTIF(Candidates!$A$2:$A$2000,$A1596)),""""))"),"")</f>
        <v/>
      </c>
      <c r="X1596" s="64"/>
      <c r="Y1596" s="64"/>
      <c r="Z1596" s="65"/>
      <c r="AA1596" s="65"/>
      <c r="AB1596" s="65"/>
      <c r="AC1596" s="65"/>
    </row>
    <row r="1597">
      <c r="A1597" s="64"/>
      <c r="B1597" s="64"/>
      <c r="C1597" s="64"/>
      <c r="D1597" s="64"/>
      <c r="E1597" s="64"/>
      <c r="F1597" s="64"/>
      <c r="G1597" s="64"/>
      <c r="H1597" s="63"/>
      <c r="I1597" s="64"/>
      <c r="J1597" s="64"/>
      <c r="K1597" s="64"/>
      <c r="L1597" s="64"/>
      <c r="M1597" s="64"/>
      <c r="N1597" s="64"/>
      <c r="O1597" s="64"/>
      <c r="P1597" s="64"/>
      <c r="Q1597" s="64"/>
      <c r="R1597" s="65" t="str">
        <f>IF($A1597="","",IFERROR(MINIFS(Candidates!$K$2:$K$2000,Candidates!$A$2:$A$2000,$A1597),""))</f>
        <v/>
      </c>
      <c r="S1597" s="65" t="str">
        <f>IF($A1597="","",IFERROR(MAXIFS(Candidates!$AA$2:$AA$2000,Candidates!$A$2:$A$2000,$A1597),""))</f>
        <v/>
      </c>
      <c r="T1597" s="64" t="str">
        <f>IFERROR(__xludf.DUMMYFUNCTION("IF($A1597="""","""",IFERROR(TEXTJOIN("", "",TRUE,UNIQUE(FILTER(Candidates!$B$2:$B$2000,Candidates!$A$2:$A$2000=$A1597))),""""))"),"")</f>
        <v/>
      </c>
      <c r="U1597" s="66" t="str">
        <f>IF($A1597="","",COUNTIF(Candidates!$A$2:$A$2000,$A1597))</f>
        <v/>
      </c>
      <c r="V1597" s="64" t="str">
        <f>IFERROR(__xludf.DUMMYFUNCTION("IF($A1597="""","""",IFERROR(INDEX(FILTER(Candidates!$S$2:$S$2000,Candidates!$A$2:$A$2000=$A1597),COUNTIF(Candidates!$A$2:$A$2000,$A1597)),""""))"),"")</f>
        <v/>
      </c>
      <c r="W1597" s="64" t="str">
        <f>IFERROR(__xludf.DUMMYFUNCTION("IF($A1597="""","""",IFERROR(INDEX(FILTER(Candidates!$T$2:$T$2000,Candidates!$A$2:$A$2000=$A1597),COUNTIF(Candidates!$A$2:$A$2000,$A1597)),""""))"),"")</f>
        <v/>
      </c>
      <c r="X1597" s="64"/>
      <c r="Y1597" s="64"/>
      <c r="Z1597" s="65"/>
      <c r="AA1597" s="65"/>
      <c r="AB1597" s="65"/>
      <c r="AC1597" s="65"/>
    </row>
    <row r="1598">
      <c r="A1598" s="64"/>
      <c r="B1598" s="64"/>
      <c r="C1598" s="64"/>
      <c r="D1598" s="64"/>
      <c r="E1598" s="64"/>
      <c r="F1598" s="64"/>
      <c r="G1598" s="64"/>
      <c r="H1598" s="63"/>
      <c r="I1598" s="64"/>
      <c r="J1598" s="64"/>
      <c r="K1598" s="64"/>
      <c r="L1598" s="64"/>
      <c r="M1598" s="64"/>
      <c r="N1598" s="64"/>
      <c r="O1598" s="64"/>
      <c r="P1598" s="64"/>
      <c r="Q1598" s="64"/>
      <c r="R1598" s="65" t="str">
        <f>IF($A1598="","",IFERROR(MINIFS(Candidates!$K$2:$K$2000,Candidates!$A$2:$A$2000,$A1598),""))</f>
        <v/>
      </c>
      <c r="S1598" s="65" t="str">
        <f>IF($A1598="","",IFERROR(MAXIFS(Candidates!$AA$2:$AA$2000,Candidates!$A$2:$A$2000,$A1598),""))</f>
        <v/>
      </c>
      <c r="T1598" s="64" t="str">
        <f>IFERROR(__xludf.DUMMYFUNCTION("IF($A1598="""","""",IFERROR(TEXTJOIN("", "",TRUE,UNIQUE(FILTER(Candidates!$B$2:$B$2000,Candidates!$A$2:$A$2000=$A1598))),""""))"),"")</f>
        <v/>
      </c>
      <c r="U1598" s="66" t="str">
        <f>IF($A1598="","",COUNTIF(Candidates!$A$2:$A$2000,$A1598))</f>
        <v/>
      </c>
      <c r="V1598" s="64" t="str">
        <f>IFERROR(__xludf.DUMMYFUNCTION("IF($A1598="""","""",IFERROR(INDEX(FILTER(Candidates!$S$2:$S$2000,Candidates!$A$2:$A$2000=$A1598),COUNTIF(Candidates!$A$2:$A$2000,$A1598)),""""))"),"")</f>
        <v/>
      </c>
      <c r="W1598" s="64" t="str">
        <f>IFERROR(__xludf.DUMMYFUNCTION("IF($A1598="""","""",IFERROR(INDEX(FILTER(Candidates!$T$2:$T$2000,Candidates!$A$2:$A$2000=$A1598),COUNTIF(Candidates!$A$2:$A$2000,$A1598)),""""))"),"")</f>
        <v/>
      </c>
      <c r="X1598" s="64"/>
      <c r="Y1598" s="64"/>
      <c r="Z1598" s="65"/>
      <c r="AA1598" s="65"/>
      <c r="AB1598" s="65"/>
      <c r="AC1598" s="65"/>
    </row>
    <row r="1599">
      <c r="A1599" s="64"/>
      <c r="B1599" s="64"/>
      <c r="C1599" s="64"/>
      <c r="D1599" s="64"/>
      <c r="E1599" s="64"/>
      <c r="F1599" s="64"/>
      <c r="G1599" s="64"/>
      <c r="H1599" s="63"/>
      <c r="I1599" s="64"/>
      <c r="J1599" s="64"/>
      <c r="K1599" s="64"/>
      <c r="L1599" s="64"/>
      <c r="M1599" s="64"/>
      <c r="N1599" s="64"/>
      <c r="O1599" s="64"/>
      <c r="P1599" s="64"/>
      <c r="Q1599" s="64"/>
      <c r="R1599" s="65" t="str">
        <f>IF($A1599="","",IFERROR(MINIFS(Candidates!$K$2:$K$2000,Candidates!$A$2:$A$2000,$A1599),""))</f>
        <v/>
      </c>
      <c r="S1599" s="65" t="str">
        <f>IF($A1599="","",IFERROR(MAXIFS(Candidates!$AA$2:$AA$2000,Candidates!$A$2:$A$2000,$A1599),""))</f>
        <v/>
      </c>
      <c r="T1599" s="64" t="str">
        <f>IFERROR(__xludf.DUMMYFUNCTION("IF($A1599="""","""",IFERROR(TEXTJOIN("", "",TRUE,UNIQUE(FILTER(Candidates!$B$2:$B$2000,Candidates!$A$2:$A$2000=$A1599))),""""))"),"")</f>
        <v/>
      </c>
      <c r="U1599" s="66" t="str">
        <f>IF($A1599="","",COUNTIF(Candidates!$A$2:$A$2000,$A1599))</f>
        <v/>
      </c>
      <c r="V1599" s="64" t="str">
        <f>IFERROR(__xludf.DUMMYFUNCTION("IF($A1599="""","""",IFERROR(INDEX(FILTER(Candidates!$S$2:$S$2000,Candidates!$A$2:$A$2000=$A1599),COUNTIF(Candidates!$A$2:$A$2000,$A1599)),""""))"),"")</f>
        <v/>
      </c>
      <c r="W1599" s="64" t="str">
        <f>IFERROR(__xludf.DUMMYFUNCTION("IF($A1599="""","""",IFERROR(INDEX(FILTER(Candidates!$T$2:$T$2000,Candidates!$A$2:$A$2000=$A1599),COUNTIF(Candidates!$A$2:$A$2000,$A1599)),""""))"),"")</f>
        <v/>
      </c>
      <c r="X1599" s="64"/>
      <c r="Y1599" s="64"/>
      <c r="Z1599" s="65"/>
      <c r="AA1599" s="65"/>
      <c r="AB1599" s="65"/>
      <c r="AC1599" s="65"/>
    </row>
    <row r="1600">
      <c r="A1600" s="64"/>
      <c r="B1600" s="64"/>
      <c r="C1600" s="64"/>
      <c r="D1600" s="64"/>
      <c r="E1600" s="64"/>
      <c r="F1600" s="64"/>
      <c r="G1600" s="64"/>
      <c r="H1600" s="63"/>
      <c r="I1600" s="64"/>
      <c r="J1600" s="64"/>
      <c r="K1600" s="64"/>
      <c r="L1600" s="64"/>
      <c r="M1600" s="64"/>
      <c r="N1600" s="64"/>
      <c r="O1600" s="64"/>
      <c r="P1600" s="64"/>
      <c r="Q1600" s="64"/>
      <c r="R1600" s="65" t="str">
        <f>IF($A1600="","",IFERROR(MINIFS(Candidates!$K$2:$K$2000,Candidates!$A$2:$A$2000,$A1600),""))</f>
        <v/>
      </c>
      <c r="S1600" s="65" t="str">
        <f>IF($A1600="","",IFERROR(MAXIFS(Candidates!$AA$2:$AA$2000,Candidates!$A$2:$A$2000,$A1600),""))</f>
        <v/>
      </c>
      <c r="T1600" s="64" t="str">
        <f>IFERROR(__xludf.DUMMYFUNCTION("IF($A1600="""","""",IFERROR(TEXTJOIN("", "",TRUE,UNIQUE(FILTER(Candidates!$B$2:$B$2000,Candidates!$A$2:$A$2000=$A1600))),""""))"),"")</f>
        <v/>
      </c>
      <c r="U1600" s="66" t="str">
        <f>IF($A1600="","",COUNTIF(Candidates!$A$2:$A$2000,$A1600))</f>
        <v/>
      </c>
      <c r="V1600" s="64" t="str">
        <f>IFERROR(__xludf.DUMMYFUNCTION("IF($A1600="""","""",IFERROR(INDEX(FILTER(Candidates!$S$2:$S$2000,Candidates!$A$2:$A$2000=$A1600),COUNTIF(Candidates!$A$2:$A$2000,$A1600)),""""))"),"")</f>
        <v/>
      </c>
      <c r="W1600" s="64" t="str">
        <f>IFERROR(__xludf.DUMMYFUNCTION("IF($A1600="""","""",IFERROR(INDEX(FILTER(Candidates!$T$2:$T$2000,Candidates!$A$2:$A$2000=$A1600),COUNTIF(Candidates!$A$2:$A$2000,$A1600)),""""))"),"")</f>
        <v/>
      </c>
      <c r="X1600" s="64"/>
      <c r="Y1600" s="64"/>
      <c r="Z1600" s="65"/>
      <c r="AA1600" s="65"/>
      <c r="AB1600" s="65"/>
      <c r="AC1600" s="65"/>
    </row>
    <row r="1601">
      <c r="A1601" s="64"/>
      <c r="B1601" s="64"/>
      <c r="C1601" s="64"/>
      <c r="D1601" s="64"/>
      <c r="E1601" s="64"/>
      <c r="F1601" s="64"/>
      <c r="G1601" s="64"/>
      <c r="H1601" s="63"/>
      <c r="I1601" s="64"/>
      <c r="J1601" s="64"/>
      <c r="K1601" s="64"/>
      <c r="L1601" s="64"/>
      <c r="M1601" s="64"/>
      <c r="N1601" s="64"/>
      <c r="O1601" s="64"/>
      <c r="P1601" s="64"/>
      <c r="Q1601" s="64"/>
      <c r="R1601" s="65" t="str">
        <f>IF($A1601="","",IFERROR(MINIFS(Candidates!$K$2:$K$2000,Candidates!$A$2:$A$2000,$A1601),""))</f>
        <v/>
      </c>
      <c r="S1601" s="65" t="str">
        <f>IF($A1601="","",IFERROR(MAXIFS(Candidates!$AA$2:$AA$2000,Candidates!$A$2:$A$2000,$A1601),""))</f>
        <v/>
      </c>
      <c r="T1601" s="64" t="str">
        <f>IFERROR(__xludf.DUMMYFUNCTION("IF($A1601="""","""",IFERROR(TEXTJOIN("", "",TRUE,UNIQUE(FILTER(Candidates!$B$2:$B$2000,Candidates!$A$2:$A$2000=$A1601))),""""))"),"")</f>
        <v/>
      </c>
      <c r="U1601" s="66" t="str">
        <f>IF($A1601="","",COUNTIF(Candidates!$A$2:$A$2000,$A1601))</f>
        <v/>
      </c>
      <c r="V1601" s="64" t="str">
        <f>IFERROR(__xludf.DUMMYFUNCTION("IF($A1601="""","""",IFERROR(INDEX(FILTER(Candidates!$S$2:$S$2000,Candidates!$A$2:$A$2000=$A1601),COUNTIF(Candidates!$A$2:$A$2000,$A1601)),""""))"),"")</f>
        <v/>
      </c>
      <c r="W1601" s="64" t="str">
        <f>IFERROR(__xludf.DUMMYFUNCTION("IF($A1601="""","""",IFERROR(INDEX(FILTER(Candidates!$T$2:$T$2000,Candidates!$A$2:$A$2000=$A1601),COUNTIF(Candidates!$A$2:$A$2000,$A1601)),""""))"),"")</f>
        <v/>
      </c>
      <c r="X1601" s="64"/>
      <c r="Y1601" s="64"/>
      <c r="Z1601" s="65"/>
      <c r="AA1601" s="65"/>
      <c r="AB1601" s="65"/>
      <c r="AC1601" s="65"/>
    </row>
    <row r="1602">
      <c r="A1602" s="64"/>
      <c r="B1602" s="64"/>
      <c r="C1602" s="64"/>
      <c r="D1602" s="64"/>
      <c r="E1602" s="64"/>
      <c r="F1602" s="64"/>
      <c r="G1602" s="64"/>
      <c r="H1602" s="63"/>
      <c r="I1602" s="64"/>
      <c r="J1602" s="64"/>
      <c r="K1602" s="64"/>
      <c r="L1602" s="64"/>
      <c r="M1602" s="64"/>
      <c r="N1602" s="64"/>
      <c r="O1602" s="64"/>
      <c r="P1602" s="64"/>
      <c r="Q1602" s="64"/>
      <c r="R1602" s="65" t="str">
        <f>IF($A1602="","",IFERROR(MINIFS(Candidates!$K$2:$K$2000,Candidates!$A$2:$A$2000,$A1602),""))</f>
        <v/>
      </c>
      <c r="S1602" s="65" t="str">
        <f>IF($A1602="","",IFERROR(MAXIFS(Candidates!$AA$2:$AA$2000,Candidates!$A$2:$A$2000,$A1602),""))</f>
        <v/>
      </c>
      <c r="T1602" s="64" t="str">
        <f>IFERROR(__xludf.DUMMYFUNCTION("IF($A1602="""","""",IFERROR(TEXTJOIN("", "",TRUE,UNIQUE(FILTER(Candidates!$B$2:$B$2000,Candidates!$A$2:$A$2000=$A1602))),""""))"),"")</f>
        <v/>
      </c>
      <c r="U1602" s="66" t="str">
        <f>IF($A1602="","",COUNTIF(Candidates!$A$2:$A$2000,$A1602))</f>
        <v/>
      </c>
      <c r="V1602" s="64" t="str">
        <f>IFERROR(__xludf.DUMMYFUNCTION("IF($A1602="""","""",IFERROR(INDEX(FILTER(Candidates!$S$2:$S$2000,Candidates!$A$2:$A$2000=$A1602),COUNTIF(Candidates!$A$2:$A$2000,$A1602)),""""))"),"")</f>
        <v/>
      </c>
      <c r="W1602" s="64" t="str">
        <f>IFERROR(__xludf.DUMMYFUNCTION("IF($A1602="""","""",IFERROR(INDEX(FILTER(Candidates!$T$2:$T$2000,Candidates!$A$2:$A$2000=$A1602),COUNTIF(Candidates!$A$2:$A$2000,$A1602)),""""))"),"")</f>
        <v/>
      </c>
      <c r="X1602" s="64"/>
      <c r="Y1602" s="64"/>
      <c r="Z1602" s="65"/>
      <c r="AA1602" s="65"/>
      <c r="AB1602" s="65"/>
      <c r="AC1602" s="65"/>
    </row>
    <row r="1603">
      <c r="A1603" s="64"/>
      <c r="B1603" s="64"/>
      <c r="C1603" s="64"/>
      <c r="D1603" s="64"/>
      <c r="E1603" s="64"/>
      <c r="F1603" s="64"/>
      <c r="G1603" s="64"/>
      <c r="H1603" s="63"/>
      <c r="I1603" s="64"/>
      <c r="J1603" s="64"/>
      <c r="K1603" s="64"/>
      <c r="L1603" s="64"/>
      <c r="M1603" s="64"/>
      <c r="N1603" s="64"/>
      <c r="O1603" s="64"/>
      <c r="P1603" s="64"/>
      <c r="Q1603" s="64"/>
      <c r="R1603" s="65" t="str">
        <f>IF($A1603="","",IFERROR(MINIFS(Candidates!$K$2:$K$2000,Candidates!$A$2:$A$2000,$A1603),""))</f>
        <v/>
      </c>
      <c r="S1603" s="65" t="str">
        <f>IF($A1603="","",IFERROR(MAXIFS(Candidates!$AA$2:$AA$2000,Candidates!$A$2:$A$2000,$A1603),""))</f>
        <v/>
      </c>
      <c r="T1603" s="64" t="str">
        <f>IFERROR(__xludf.DUMMYFUNCTION("IF($A1603="""","""",IFERROR(TEXTJOIN("", "",TRUE,UNIQUE(FILTER(Candidates!$B$2:$B$2000,Candidates!$A$2:$A$2000=$A1603))),""""))"),"")</f>
        <v/>
      </c>
      <c r="U1603" s="66" t="str">
        <f>IF($A1603="","",COUNTIF(Candidates!$A$2:$A$2000,$A1603))</f>
        <v/>
      </c>
      <c r="V1603" s="64" t="str">
        <f>IFERROR(__xludf.DUMMYFUNCTION("IF($A1603="""","""",IFERROR(INDEX(FILTER(Candidates!$S$2:$S$2000,Candidates!$A$2:$A$2000=$A1603),COUNTIF(Candidates!$A$2:$A$2000,$A1603)),""""))"),"")</f>
        <v/>
      </c>
      <c r="W1603" s="64" t="str">
        <f>IFERROR(__xludf.DUMMYFUNCTION("IF($A1603="""","""",IFERROR(INDEX(FILTER(Candidates!$T$2:$T$2000,Candidates!$A$2:$A$2000=$A1603),COUNTIF(Candidates!$A$2:$A$2000,$A1603)),""""))"),"")</f>
        <v/>
      </c>
      <c r="X1603" s="64"/>
      <c r="Y1603" s="64"/>
      <c r="Z1603" s="65"/>
      <c r="AA1603" s="65"/>
      <c r="AB1603" s="65"/>
      <c r="AC1603" s="65"/>
    </row>
    <row r="1604">
      <c r="A1604" s="64"/>
      <c r="B1604" s="64"/>
      <c r="C1604" s="64"/>
      <c r="D1604" s="64"/>
      <c r="E1604" s="64"/>
      <c r="F1604" s="64"/>
      <c r="G1604" s="64"/>
      <c r="H1604" s="63"/>
      <c r="I1604" s="64"/>
      <c r="J1604" s="64"/>
      <c r="K1604" s="64"/>
      <c r="L1604" s="64"/>
      <c r="M1604" s="64"/>
      <c r="N1604" s="64"/>
      <c r="O1604" s="64"/>
      <c r="P1604" s="64"/>
      <c r="Q1604" s="64"/>
      <c r="R1604" s="65" t="str">
        <f>IF($A1604="","",IFERROR(MINIFS(Candidates!$K$2:$K$2000,Candidates!$A$2:$A$2000,$A1604),""))</f>
        <v/>
      </c>
      <c r="S1604" s="65" t="str">
        <f>IF($A1604="","",IFERROR(MAXIFS(Candidates!$AA$2:$AA$2000,Candidates!$A$2:$A$2000,$A1604),""))</f>
        <v/>
      </c>
      <c r="T1604" s="64" t="str">
        <f>IFERROR(__xludf.DUMMYFUNCTION("IF($A1604="""","""",IFERROR(TEXTJOIN("", "",TRUE,UNIQUE(FILTER(Candidates!$B$2:$B$2000,Candidates!$A$2:$A$2000=$A1604))),""""))"),"")</f>
        <v/>
      </c>
      <c r="U1604" s="66" t="str">
        <f>IF($A1604="","",COUNTIF(Candidates!$A$2:$A$2000,$A1604))</f>
        <v/>
      </c>
      <c r="V1604" s="64" t="str">
        <f>IFERROR(__xludf.DUMMYFUNCTION("IF($A1604="""","""",IFERROR(INDEX(FILTER(Candidates!$S$2:$S$2000,Candidates!$A$2:$A$2000=$A1604),COUNTIF(Candidates!$A$2:$A$2000,$A1604)),""""))"),"")</f>
        <v/>
      </c>
      <c r="W1604" s="64" t="str">
        <f>IFERROR(__xludf.DUMMYFUNCTION("IF($A1604="""","""",IFERROR(INDEX(FILTER(Candidates!$T$2:$T$2000,Candidates!$A$2:$A$2000=$A1604),COUNTIF(Candidates!$A$2:$A$2000,$A1604)),""""))"),"")</f>
        <v/>
      </c>
      <c r="X1604" s="64"/>
      <c r="Y1604" s="64"/>
      <c r="Z1604" s="65"/>
      <c r="AA1604" s="65"/>
      <c r="AB1604" s="65"/>
      <c r="AC1604" s="65"/>
    </row>
    <row r="1605">
      <c r="A1605" s="64"/>
      <c r="B1605" s="64"/>
      <c r="C1605" s="64"/>
      <c r="D1605" s="64"/>
      <c r="E1605" s="64"/>
      <c r="F1605" s="64"/>
      <c r="G1605" s="64"/>
      <c r="H1605" s="63"/>
      <c r="I1605" s="64"/>
      <c r="J1605" s="64"/>
      <c r="K1605" s="64"/>
      <c r="L1605" s="64"/>
      <c r="M1605" s="64"/>
      <c r="N1605" s="64"/>
      <c r="O1605" s="64"/>
      <c r="P1605" s="64"/>
      <c r="Q1605" s="64"/>
      <c r="R1605" s="65" t="str">
        <f>IF($A1605="","",IFERROR(MINIFS(Candidates!$K$2:$K$2000,Candidates!$A$2:$A$2000,$A1605),""))</f>
        <v/>
      </c>
      <c r="S1605" s="65" t="str">
        <f>IF($A1605="","",IFERROR(MAXIFS(Candidates!$AA$2:$AA$2000,Candidates!$A$2:$A$2000,$A1605),""))</f>
        <v/>
      </c>
      <c r="T1605" s="64" t="str">
        <f>IFERROR(__xludf.DUMMYFUNCTION("IF($A1605="""","""",IFERROR(TEXTJOIN("", "",TRUE,UNIQUE(FILTER(Candidates!$B$2:$B$2000,Candidates!$A$2:$A$2000=$A1605))),""""))"),"")</f>
        <v/>
      </c>
      <c r="U1605" s="66" t="str">
        <f>IF($A1605="","",COUNTIF(Candidates!$A$2:$A$2000,$A1605))</f>
        <v/>
      </c>
      <c r="V1605" s="64" t="str">
        <f>IFERROR(__xludf.DUMMYFUNCTION("IF($A1605="""","""",IFERROR(INDEX(FILTER(Candidates!$S$2:$S$2000,Candidates!$A$2:$A$2000=$A1605),COUNTIF(Candidates!$A$2:$A$2000,$A1605)),""""))"),"")</f>
        <v/>
      </c>
      <c r="W1605" s="64" t="str">
        <f>IFERROR(__xludf.DUMMYFUNCTION("IF($A1605="""","""",IFERROR(INDEX(FILTER(Candidates!$T$2:$T$2000,Candidates!$A$2:$A$2000=$A1605),COUNTIF(Candidates!$A$2:$A$2000,$A1605)),""""))"),"")</f>
        <v/>
      </c>
      <c r="X1605" s="64"/>
      <c r="Y1605" s="64"/>
      <c r="Z1605" s="65"/>
      <c r="AA1605" s="65"/>
      <c r="AB1605" s="65"/>
      <c r="AC1605" s="65"/>
    </row>
    <row r="1606">
      <c r="A1606" s="64"/>
      <c r="B1606" s="64"/>
      <c r="C1606" s="64"/>
      <c r="D1606" s="64"/>
      <c r="E1606" s="64"/>
      <c r="F1606" s="64"/>
      <c r="G1606" s="64"/>
      <c r="H1606" s="63"/>
      <c r="I1606" s="64"/>
      <c r="J1606" s="64"/>
      <c r="K1606" s="64"/>
      <c r="L1606" s="64"/>
      <c r="M1606" s="64"/>
      <c r="N1606" s="64"/>
      <c r="O1606" s="64"/>
      <c r="P1606" s="64"/>
      <c r="Q1606" s="64"/>
      <c r="R1606" s="65" t="str">
        <f>IF($A1606="","",IFERROR(MINIFS(Candidates!$K$2:$K$2000,Candidates!$A$2:$A$2000,$A1606),""))</f>
        <v/>
      </c>
      <c r="S1606" s="65" t="str">
        <f>IF($A1606="","",IFERROR(MAXIFS(Candidates!$AA$2:$AA$2000,Candidates!$A$2:$A$2000,$A1606),""))</f>
        <v/>
      </c>
      <c r="T1606" s="64" t="str">
        <f>IFERROR(__xludf.DUMMYFUNCTION("IF($A1606="""","""",IFERROR(TEXTJOIN("", "",TRUE,UNIQUE(FILTER(Candidates!$B$2:$B$2000,Candidates!$A$2:$A$2000=$A1606))),""""))"),"")</f>
        <v/>
      </c>
      <c r="U1606" s="66" t="str">
        <f>IF($A1606="","",COUNTIF(Candidates!$A$2:$A$2000,$A1606))</f>
        <v/>
      </c>
      <c r="V1606" s="64" t="str">
        <f>IFERROR(__xludf.DUMMYFUNCTION("IF($A1606="""","""",IFERROR(INDEX(FILTER(Candidates!$S$2:$S$2000,Candidates!$A$2:$A$2000=$A1606),COUNTIF(Candidates!$A$2:$A$2000,$A1606)),""""))"),"")</f>
        <v/>
      </c>
      <c r="W1606" s="64" t="str">
        <f>IFERROR(__xludf.DUMMYFUNCTION("IF($A1606="""","""",IFERROR(INDEX(FILTER(Candidates!$T$2:$T$2000,Candidates!$A$2:$A$2000=$A1606),COUNTIF(Candidates!$A$2:$A$2000,$A1606)),""""))"),"")</f>
        <v/>
      </c>
      <c r="X1606" s="64"/>
      <c r="Y1606" s="64"/>
      <c r="Z1606" s="65"/>
      <c r="AA1606" s="65"/>
      <c r="AB1606" s="65"/>
      <c r="AC1606" s="65"/>
    </row>
    <row r="1607">
      <c r="A1607" s="64"/>
      <c r="B1607" s="64"/>
      <c r="C1607" s="64"/>
      <c r="D1607" s="64"/>
      <c r="E1607" s="64"/>
      <c r="F1607" s="64"/>
      <c r="G1607" s="64"/>
      <c r="H1607" s="63"/>
      <c r="I1607" s="64"/>
      <c r="J1607" s="64"/>
      <c r="K1607" s="64"/>
      <c r="L1607" s="64"/>
      <c r="M1607" s="64"/>
      <c r="N1607" s="64"/>
      <c r="O1607" s="64"/>
      <c r="P1607" s="64"/>
      <c r="Q1607" s="64"/>
      <c r="R1607" s="65" t="str">
        <f>IF($A1607="","",IFERROR(MINIFS(Candidates!$K$2:$K$2000,Candidates!$A$2:$A$2000,$A1607),""))</f>
        <v/>
      </c>
      <c r="S1607" s="65" t="str">
        <f>IF($A1607="","",IFERROR(MAXIFS(Candidates!$AA$2:$AA$2000,Candidates!$A$2:$A$2000,$A1607),""))</f>
        <v/>
      </c>
      <c r="T1607" s="64" t="str">
        <f>IFERROR(__xludf.DUMMYFUNCTION("IF($A1607="""","""",IFERROR(TEXTJOIN("", "",TRUE,UNIQUE(FILTER(Candidates!$B$2:$B$2000,Candidates!$A$2:$A$2000=$A1607))),""""))"),"")</f>
        <v/>
      </c>
      <c r="U1607" s="66" t="str">
        <f>IF($A1607="","",COUNTIF(Candidates!$A$2:$A$2000,$A1607))</f>
        <v/>
      </c>
      <c r="V1607" s="64" t="str">
        <f>IFERROR(__xludf.DUMMYFUNCTION("IF($A1607="""","""",IFERROR(INDEX(FILTER(Candidates!$S$2:$S$2000,Candidates!$A$2:$A$2000=$A1607),COUNTIF(Candidates!$A$2:$A$2000,$A1607)),""""))"),"")</f>
        <v/>
      </c>
      <c r="W1607" s="64" t="str">
        <f>IFERROR(__xludf.DUMMYFUNCTION("IF($A1607="""","""",IFERROR(INDEX(FILTER(Candidates!$T$2:$T$2000,Candidates!$A$2:$A$2000=$A1607),COUNTIF(Candidates!$A$2:$A$2000,$A1607)),""""))"),"")</f>
        <v/>
      </c>
      <c r="X1607" s="64"/>
      <c r="Y1607" s="64"/>
      <c r="Z1607" s="65"/>
      <c r="AA1607" s="65"/>
      <c r="AB1607" s="65"/>
      <c r="AC1607" s="65"/>
    </row>
    <row r="1608">
      <c r="A1608" s="64"/>
      <c r="B1608" s="64"/>
      <c r="C1608" s="64"/>
      <c r="D1608" s="64"/>
      <c r="E1608" s="64"/>
      <c r="F1608" s="64"/>
      <c r="G1608" s="64"/>
      <c r="H1608" s="63"/>
      <c r="I1608" s="64"/>
      <c r="J1608" s="64"/>
      <c r="K1608" s="64"/>
      <c r="L1608" s="64"/>
      <c r="M1608" s="64"/>
      <c r="N1608" s="64"/>
      <c r="O1608" s="64"/>
      <c r="P1608" s="64"/>
      <c r="Q1608" s="64"/>
      <c r="R1608" s="65" t="str">
        <f>IF($A1608="","",IFERROR(MINIFS(Candidates!$K$2:$K$2000,Candidates!$A$2:$A$2000,$A1608),""))</f>
        <v/>
      </c>
      <c r="S1608" s="65" t="str">
        <f>IF($A1608="","",IFERROR(MAXIFS(Candidates!$AA$2:$AA$2000,Candidates!$A$2:$A$2000,$A1608),""))</f>
        <v/>
      </c>
      <c r="T1608" s="64" t="str">
        <f>IFERROR(__xludf.DUMMYFUNCTION("IF($A1608="""","""",IFERROR(TEXTJOIN("", "",TRUE,UNIQUE(FILTER(Candidates!$B$2:$B$2000,Candidates!$A$2:$A$2000=$A1608))),""""))"),"")</f>
        <v/>
      </c>
      <c r="U1608" s="66" t="str">
        <f>IF($A1608="","",COUNTIF(Candidates!$A$2:$A$2000,$A1608))</f>
        <v/>
      </c>
      <c r="V1608" s="64" t="str">
        <f>IFERROR(__xludf.DUMMYFUNCTION("IF($A1608="""","""",IFERROR(INDEX(FILTER(Candidates!$S$2:$S$2000,Candidates!$A$2:$A$2000=$A1608),COUNTIF(Candidates!$A$2:$A$2000,$A1608)),""""))"),"")</f>
        <v/>
      </c>
      <c r="W1608" s="64" t="str">
        <f>IFERROR(__xludf.DUMMYFUNCTION("IF($A1608="""","""",IFERROR(INDEX(FILTER(Candidates!$T$2:$T$2000,Candidates!$A$2:$A$2000=$A1608),COUNTIF(Candidates!$A$2:$A$2000,$A1608)),""""))"),"")</f>
        <v/>
      </c>
      <c r="X1608" s="64"/>
      <c r="Y1608" s="64"/>
      <c r="Z1608" s="65"/>
      <c r="AA1608" s="65"/>
      <c r="AB1608" s="65"/>
      <c r="AC1608" s="65"/>
    </row>
    <row r="1609">
      <c r="A1609" s="64"/>
      <c r="B1609" s="64"/>
      <c r="C1609" s="64"/>
      <c r="D1609" s="64"/>
      <c r="E1609" s="64"/>
      <c r="F1609" s="64"/>
      <c r="G1609" s="64"/>
      <c r="H1609" s="63"/>
      <c r="I1609" s="64"/>
      <c r="J1609" s="64"/>
      <c r="K1609" s="64"/>
      <c r="L1609" s="64"/>
      <c r="M1609" s="64"/>
      <c r="N1609" s="64"/>
      <c r="O1609" s="64"/>
      <c r="P1609" s="64"/>
      <c r="Q1609" s="64"/>
      <c r="R1609" s="65" t="str">
        <f>IF($A1609="","",IFERROR(MINIFS(Candidates!$K$2:$K$2000,Candidates!$A$2:$A$2000,$A1609),""))</f>
        <v/>
      </c>
      <c r="S1609" s="65" t="str">
        <f>IF($A1609="","",IFERROR(MAXIFS(Candidates!$AA$2:$AA$2000,Candidates!$A$2:$A$2000,$A1609),""))</f>
        <v/>
      </c>
      <c r="T1609" s="64" t="str">
        <f>IFERROR(__xludf.DUMMYFUNCTION("IF($A1609="""","""",IFERROR(TEXTJOIN("", "",TRUE,UNIQUE(FILTER(Candidates!$B$2:$B$2000,Candidates!$A$2:$A$2000=$A1609))),""""))"),"")</f>
        <v/>
      </c>
      <c r="U1609" s="66" t="str">
        <f>IF($A1609="","",COUNTIF(Candidates!$A$2:$A$2000,$A1609))</f>
        <v/>
      </c>
      <c r="V1609" s="64" t="str">
        <f>IFERROR(__xludf.DUMMYFUNCTION("IF($A1609="""","""",IFERROR(INDEX(FILTER(Candidates!$S$2:$S$2000,Candidates!$A$2:$A$2000=$A1609),COUNTIF(Candidates!$A$2:$A$2000,$A1609)),""""))"),"")</f>
        <v/>
      </c>
      <c r="W1609" s="64" t="str">
        <f>IFERROR(__xludf.DUMMYFUNCTION("IF($A1609="""","""",IFERROR(INDEX(FILTER(Candidates!$T$2:$T$2000,Candidates!$A$2:$A$2000=$A1609),COUNTIF(Candidates!$A$2:$A$2000,$A1609)),""""))"),"")</f>
        <v/>
      </c>
      <c r="X1609" s="64"/>
      <c r="Y1609" s="64"/>
      <c r="Z1609" s="65"/>
      <c r="AA1609" s="65"/>
      <c r="AB1609" s="65"/>
      <c r="AC1609" s="65"/>
    </row>
    <row r="1610">
      <c r="A1610" s="64"/>
      <c r="B1610" s="64"/>
      <c r="C1610" s="64"/>
      <c r="D1610" s="64"/>
      <c r="E1610" s="64"/>
      <c r="F1610" s="64"/>
      <c r="G1610" s="64"/>
      <c r="H1610" s="63"/>
      <c r="I1610" s="64"/>
      <c r="J1610" s="64"/>
      <c r="K1610" s="64"/>
      <c r="L1610" s="64"/>
      <c r="M1610" s="64"/>
      <c r="N1610" s="64"/>
      <c r="O1610" s="64"/>
      <c r="P1610" s="64"/>
      <c r="Q1610" s="64"/>
      <c r="R1610" s="65" t="str">
        <f>IF($A1610="","",IFERROR(MINIFS(Candidates!$K$2:$K$2000,Candidates!$A$2:$A$2000,$A1610),""))</f>
        <v/>
      </c>
      <c r="S1610" s="65" t="str">
        <f>IF($A1610="","",IFERROR(MAXIFS(Candidates!$AA$2:$AA$2000,Candidates!$A$2:$A$2000,$A1610),""))</f>
        <v/>
      </c>
      <c r="T1610" s="64" t="str">
        <f>IFERROR(__xludf.DUMMYFUNCTION("IF($A1610="""","""",IFERROR(TEXTJOIN("", "",TRUE,UNIQUE(FILTER(Candidates!$B$2:$B$2000,Candidates!$A$2:$A$2000=$A1610))),""""))"),"")</f>
        <v/>
      </c>
      <c r="U1610" s="66" t="str">
        <f>IF($A1610="","",COUNTIF(Candidates!$A$2:$A$2000,$A1610))</f>
        <v/>
      </c>
      <c r="V1610" s="64" t="str">
        <f>IFERROR(__xludf.DUMMYFUNCTION("IF($A1610="""","""",IFERROR(INDEX(FILTER(Candidates!$S$2:$S$2000,Candidates!$A$2:$A$2000=$A1610),COUNTIF(Candidates!$A$2:$A$2000,$A1610)),""""))"),"")</f>
        <v/>
      </c>
      <c r="W1610" s="64" t="str">
        <f>IFERROR(__xludf.DUMMYFUNCTION("IF($A1610="""","""",IFERROR(INDEX(FILTER(Candidates!$T$2:$T$2000,Candidates!$A$2:$A$2000=$A1610),COUNTIF(Candidates!$A$2:$A$2000,$A1610)),""""))"),"")</f>
        <v/>
      </c>
      <c r="X1610" s="64"/>
      <c r="Y1610" s="64"/>
      <c r="Z1610" s="65"/>
      <c r="AA1610" s="65"/>
      <c r="AB1610" s="65"/>
      <c r="AC1610" s="65"/>
    </row>
    <row r="1611">
      <c r="A1611" s="64"/>
      <c r="B1611" s="64"/>
      <c r="C1611" s="64"/>
      <c r="D1611" s="64"/>
      <c r="E1611" s="64"/>
      <c r="F1611" s="64"/>
      <c r="G1611" s="64"/>
      <c r="H1611" s="63"/>
      <c r="I1611" s="64"/>
      <c r="J1611" s="64"/>
      <c r="K1611" s="64"/>
      <c r="L1611" s="64"/>
      <c r="M1611" s="64"/>
      <c r="N1611" s="64"/>
      <c r="O1611" s="64"/>
      <c r="P1611" s="64"/>
      <c r="Q1611" s="64"/>
      <c r="R1611" s="65" t="str">
        <f>IF($A1611="","",IFERROR(MINIFS(Candidates!$K$2:$K$2000,Candidates!$A$2:$A$2000,$A1611),""))</f>
        <v/>
      </c>
      <c r="S1611" s="65" t="str">
        <f>IF($A1611="","",IFERROR(MAXIFS(Candidates!$AA$2:$AA$2000,Candidates!$A$2:$A$2000,$A1611),""))</f>
        <v/>
      </c>
      <c r="T1611" s="64" t="str">
        <f>IFERROR(__xludf.DUMMYFUNCTION("IF($A1611="""","""",IFERROR(TEXTJOIN("", "",TRUE,UNIQUE(FILTER(Candidates!$B$2:$B$2000,Candidates!$A$2:$A$2000=$A1611))),""""))"),"")</f>
        <v/>
      </c>
      <c r="U1611" s="66" t="str">
        <f>IF($A1611="","",COUNTIF(Candidates!$A$2:$A$2000,$A1611))</f>
        <v/>
      </c>
      <c r="V1611" s="64" t="str">
        <f>IFERROR(__xludf.DUMMYFUNCTION("IF($A1611="""","""",IFERROR(INDEX(FILTER(Candidates!$S$2:$S$2000,Candidates!$A$2:$A$2000=$A1611),COUNTIF(Candidates!$A$2:$A$2000,$A1611)),""""))"),"")</f>
        <v/>
      </c>
      <c r="W1611" s="64" t="str">
        <f>IFERROR(__xludf.DUMMYFUNCTION("IF($A1611="""","""",IFERROR(INDEX(FILTER(Candidates!$T$2:$T$2000,Candidates!$A$2:$A$2000=$A1611),COUNTIF(Candidates!$A$2:$A$2000,$A1611)),""""))"),"")</f>
        <v/>
      </c>
      <c r="X1611" s="64"/>
      <c r="Y1611" s="64"/>
      <c r="Z1611" s="65"/>
      <c r="AA1611" s="65"/>
      <c r="AB1611" s="65"/>
      <c r="AC1611" s="65"/>
    </row>
    <row r="1612">
      <c r="A1612" s="64"/>
      <c r="B1612" s="64"/>
      <c r="C1612" s="64"/>
      <c r="D1612" s="64"/>
      <c r="E1612" s="64"/>
      <c r="F1612" s="64"/>
      <c r="G1612" s="64"/>
      <c r="H1612" s="63"/>
      <c r="I1612" s="64"/>
      <c r="J1612" s="64"/>
      <c r="K1612" s="64"/>
      <c r="L1612" s="64"/>
      <c r="M1612" s="64"/>
      <c r="N1612" s="64"/>
      <c r="O1612" s="64"/>
      <c r="P1612" s="64"/>
      <c r="Q1612" s="64"/>
      <c r="R1612" s="65" t="str">
        <f>IF($A1612="","",IFERROR(MINIFS(Candidates!$K$2:$K$2000,Candidates!$A$2:$A$2000,$A1612),""))</f>
        <v/>
      </c>
      <c r="S1612" s="65" t="str">
        <f>IF($A1612="","",IFERROR(MAXIFS(Candidates!$AA$2:$AA$2000,Candidates!$A$2:$A$2000,$A1612),""))</f>
        <v/>
      </c>
      <c r="T1612" s="64" t="str">
        <f>IFERROR(__xludf.DUMMYFUNCTION("IF($A1612="""","""",IFERROR(TEXTJOIN("", "",TRUE,UNIQUE(FILTER(Candidates!$B$2:$B$2000,Candidates!$A$2:$A$2000=$A1612))),""""))"),"")</f>
        <v/>
      </c>
      <c r="U1612" s="66" t="str">
        <f>IF($A1612="","",COUNTIF(Candidates!$A$2:$A$2000,$A1612))</f>
        <v/>
      </c>
      <c r="V1612" s="64" t="str">
        <f>IFERROR(__xludf.DUMMYFUNCTION("IF($A1612="""","""",IFERROR(INDEX(FILTER(Candidates!$S$2:$S$2000,Candidates!$A$2:$A$2000=$A1612),COUNTIF(Candidates!$A$2:$A$2000,$A1612)),""""))"),"")</f>
        <v/>
      </c>
      <c r="W1612" s="64" t="str">
        <f>IFERROR(__xludf.DUMMYFUNCTION("IF($A1612="""","""",IFERROR(INDEX(FILTER(Candidates!$T$2:$T$2000,Candidates!$A$2:$A$2000=$A1612),COUNTIF(Candidates!$A$2:$A$2000,$A1612)),""""))"),"")</f>
        <v/>
      </c>
      <c r="X1612" s="64"/>
      <c r="Y1612" s="64"/>
      <c r="Z1612" s="65"/>
      <c r="AA1612" s="65"/>
      <c r="AB1612" s="65"/>
      <c r="AC1612" s="65"/>
    </row>
    <row r="1613">
      <c r="A1613" s="64"/>
      <c r="B1613" s="64"/>
      <c r="C1613" s="64"/>
      <c r="D1613" s="64"/>
      <c r="E1613" s="64"/>
      <c r="F1613" s="64"/>
      <c r="G1613" s="64"/>
      <c r="H1613" s="63"/>
      <c r="I1613" s="64"/>
      <c r="J1613" s="64"/>
      <c r="K1613" s="64"/>
      <c r="L1613" s="64"/>
      <c r="M1613" s="64"/>
      <c r="N1613" s="64"/>
      <c r="O1613" s="64"/>
      <c r="P1613" s="64"/>
      <c r="Q1613" s="64"/>
      <c r="R1613" s="65" t="str">
        <f>IF($A1613="","",IFERROR(MINIFS(Candidates!$K$2:$K$2000,Candidates!$A$2:$A$2000,$A1613),""))</f>
        <v/>
      </c>
      <c r="S1613" s="65" t="str">
        <f>IF($A1613="","",IFERROR(MAXIFS(Candidates!$AA$2:$AA$2000,Candidates!$A$2:$A$2000,$A1613),""))</f>
        <v/>
      </c>
      <c r="T1613" s="64" t="str">
        <f>IFERROR(__xludf.DUMMYFUNCTION("IF($A1613="""","""",IFERROR(TEXTJOIN("", "",TRUE,UNIQUE(FILTER(Candidates!$B$2:$B$2000,Candidates!$A$2:$A$2000=$A1613))),""""))"),"")</f>
        <v/>
      </c>
      <c r="U1613" s="66" t="str">
        <f>IF($A1613="","",COUNTIF(Candidates!$A$2:$A$2000,$A1613))</f>
        <v/>
      </c>
      <c r="V1613" s="64" t="str">
        <f>IFERROR(__xludf.DUMMYFUNCTION("IF($A1613="""","""",IFERROR(INDEX(FILTER(Candidates!$S$2:$S$2000,Candidates!$A$2:$A$2000=$A1613),COUNTIF(Candidates!$A$2:$A$2000,$A1613)),""""))"),"")</f>
        <v/>
      </c>
      <c r="W1613" s="64" t="str">
        <f>IFERROR(__xludf.DUMMYFUNCTION("IF($A1613="""","""",IFERROR(INDEX(FILTER(Candidates!$T$2:$T$2000,Candidates!$A$2:$A$2000=$A1613),COUNTIF(Candidates!$A$2:$A$2000,$A1613)),""""))"),"")</f>
        <v/>
      </c>
      <c r="X1613" s="64"/>
      <c r="Y1613" s="64"/>
      <c r="Z1613" s="65"/>
      <c r="AA1613" s="65"/>
      <c r="AB1613" s="65"/>
      <c r="AC1613" s="65"/>
    </row>
    <row r="1614">
      <c r="A1614" s="64"/>
      <c r="B1614" s="64"/>
      <c r="C1614" s="64"/>
      <c r="D1614" s="64"/>
      <c r="E1614" s="64"/>
      <c r="F1614" s="64"/>
      <c r="G1614" s="64"/>
      <c r="H1614" s="63"/>
      <c r="I1614" s="64"/>
      <c r="J1614" s="64"/>
      <c r="K1614" s="64"/>
      <c r="L1614" s="64"/>
      <c r="M1614" s="64"/>
      <c r="N1614" s="64"/>
      <c r="O1614" s="64"/>
      <c r="P1614" s="64"/>
      <c r="Q1614" s="64"/>
      <c r="R1614" s="65" t="str">
        <f>IF($A1614="","",IFERROR(MINIFS(Candidates!$K$2:$K$2000,Candidates!$A$2:$A$2000,$A1614),""))</f>
        <v/>
      </c>
      <c r="S1614" s="65" t="str">
        <f>IF($A1614="","",IFERROR(MAXIFS(Candidates!$AA$2:$AA$2000,Candidates!$A$2:$A$2000,$A1614),""))</f>
        <v/>
      </c>
      <c r="T1614" s="64" t="str">
        <f>IFERROR(__xludf.DUMMYFUNCTION("IF($A1614="""","""",IFERROR(TEXTJOIN("", "",TRUE,UNIQUE(FILTER(Candidates!$B$2:$B$2000,Candidates!$A$2:$A$2000=$A1614))),""""))"),"")</f>
        <v/>
      </c>
      <c r="U1614" s="66" t="str">
        <f>IF($A1614="","",COUNTIF(Candidates!$A$2:$A$2000,$A1614))</f>
        <v/>
      </c>
      <c r="V1614" s="64" t="str">
        <f>IFERROR(__xludf.DUMMYFUNCTION("IF($A1614="""","""",IFERROR(INDEX(FILTER(Candidates!$S$2:$S$2000,Candidates!$A$2:$A$2000=$A1614),COUNTIF(Candidates!$A$2:$A$2000,$A1614)),""""))"),"")</f>
        <v/>
      </c>
      <c r="W1614" s="64" t="str">
        <f>IFERROR(__xludf.DUMMYFUNCTION("IF($A1614="""","""",IFERROR(INDEX(FILTER(Candidates!$T$2:$T$2000,Candidates!$A$2:$A$2000=$A1614),COUNTIF(Candidates!$A$2:$A$2000,$A1614)),""""))"),"")</f>
        <v/>
      </c>
      <c r="X1614" s="64"/>
      <c r="Y1614" s="64"/>
      <c r="Z1614" s="65"/>
      <c r="AA1614" s="65"/>
      <c r="AB1614" s="65"/>
      <c r="AC1614" s="65"/>
    </row>
    <row r="1615">
      <c r="A1615" s="64"/>
      <c r="B1615" s="64"/>
      <c r="C1615" s="64"/>
      <c r="D1615" s="64"/>
      <c r="E1615" s="64"/>
      <c r="F1615" s="64"/>
      <c r="G1615" s="64"/>
      <c r="H1615" s="63"/>
      <c r="I1615" s="64"/>
      <c r="J1615" s="64"/>
      <c r="K1615" s="64"/>
      <c r="L1615" s="64"/>
      <c r="M1615" s="64"/>
      <c r="N1615" s="64"/>
      <c r="O1615" s="64"/>
      <c r="P1615" s="64"/>
      <c r="Q1615" s="64"/>
      <c r="R1615" s="65" t="str">
        <f>IF($A1615="","",IFERROR(MINIFS(Candidates!$K$2:$K$2000,Candidates!$A$2:$A$2000,$A1615),""))</f>
        <v/>
      </c>
      <c r="S1615" s="65" t="str">
        <f>IF($A1615="","",IFERROR(MAXIFS(Candidates!$AA$2:$AA$2000,Candidates!$A$2:$A$2000,$A1615),""))</f>
        <v/>
      </c>
      <c r="T1615" s="64" t="str">
        <f>IFERROR(__xludf.DUMMYFUNCTION("IF($A1615="""","""",IFERROR(TEXTJOIN("", "",TRUE,UNIQUE(FILTER(Candidates!$B$2:$B$2000,Candidates!$A$2:$A$2000=$A1615))),""""))"),"")</f>
        <v/>
      </c>
      <c r="U1615" s="66" t="str">
        <f>IF($A1615="","",COUNTIF(Candidates!$A$2:$A$2000,$A1615))</f>
        <v/>
      </c>
      <c r="V1615" s="64" t="str">
        <f>IFERROR(__xludf.DUMMYFUNCTION("IF($A1615="""","""",IFERROR(INDEX(FILTER(Candidates!$S$2:$S$2000,Candidates!$A$2:$A$2000=$A1615),COUNTIF(Candidates!$A$2:$A$2000,$A1615)),""""))"),"")</f>
        <v/>
      </c>
      <c r="W1615" s="64" t="str">
        <f>IFERROR(__xludf.DUMMYFUNCTION("IF($A1615="""","""",IFERROR(INDEX(FILTER(Candidates!$T$2:$T$2000,Candidates!$A$2:$A$2000=$A1615),COUNTIF(Candidates!$A$2:$A$2000,$A1615)),""""))"),"")</f>
        <v/>
      </c>
      <c r="X1615" s="64"/>
      <c r="Y1615" s="64"/>
      <c r="Z1615" s="65"/>
      <c r="AA1615" s="65"/>
      <c r="AB1615" s="65"/>
      <c r="AC1615" s="65"/>
    </row>
    <row r="1616">
      <c r="A1616" s="64"/>
      <c r="B1616" s="64"/>
      <c r="C1616" s="64"/>
      <c r="D1616" s="64"/>
      <c r="E1616" s="64"/>
      <c r="F1616" s="64"/>
      <c r="G1616" s="64"/>
      <c r="H1616" s="63"/>
      <c r="I1616" s="64"/>
      <c r="J1616" s="64"/>
      <c r="K1616" s="64"/>
      <c r="L1616" s="64"/>
      <c r="M1616" s="64"/>
      <c r="N1616" s="64"/>
      <c r="O1616" s="64"/>
      <c r="P1616" s="64"/>
      <c r="Q1616" s="64"/>
      <c r="R1616" s="65" t="str">
        <f>IF($A1616="","",IFERROR(MINIFS(Candidates!$K$2:$K$2000,Candidates!$A$2:$A$2000,$A1616),""))</f>
        <v/>
      </c>
      <c r="S1616" s="65" t="str">
        <f>IF($A1616="","",IFERROR(MAXIFS(Candidates!$AA$2:$AA$2000,Candidates!$A$2:$A$2000,$A1616),""))</f>
        <v/>
      </c>
      <c r="T1616" s="64" t="str">
        <f>IFERROR(__xludf.DUMMYFUNCTION("IF($A1616="""","""",IFERROR(TEXTJOIN("", "",TRUE,UNIQUE(FILTER(Candidates!$B$2:$B$2000,Candidates!$A$2:$A$2000=$A1616))),""""))"),"")</f>
        <v/>
      </c>
      <c r="U1616" s="66" t="str">
        <f>IF($A1616="","",COUNTIF(Candidates!$A$2:$A$2000,$A1616))</f>
        <v/>
      </c>
      <c r="V1616" s="64" t="str">
        <f>IFERROR(__xludf.DUMMYFUNCTION("IF($A1616="""","""",IFERROR(INDEX(FILTER(Candidates!$S$2:$S$2000,Candidates!$A$2:$A$2000=$A1616),COUNTIF(Candidates!$A$2:$A$2000,$A1616)),""""))"),"")</f>
        <v/>
      </c>
      <c r="W1616" s="64" t="str">
        <f>IFERROR(__xludf.DUMMYFUNCTION("IF($A1616="""","""",IFERROR(INDEX(FILTER(Candidates!$T$2:$T$2000,Candidates!$A$2:$A$2000=$A1616),COUNTIF(Candidates!$A$2:$A$2000,$A1616)),""""))"),"")</f>
        <v/>
      </c>
      <c r="X1616" s="64"/>
      <c r="Y1616" s="64"/>
      <c r="Z1616" s="65"/>
      <c r="AA1616" s="65"/>
      <c r="AB1616" s="65"/>
      <c r="AC1616" s="65"/>
    </row>
    <row r="1617">
      <c r="A1617" s="64"/>
      <c r="B1617" s="64"/>
      <c r="C1617" s="64"/>
      <c r="D1617" s="64"/>
      <c r="E1617" s="64"/>
      <c r="F1617" s="64"/>
      <c r="G1617" s="64"/>
      <c r="H1617" s="63"/>
      <c r="I1617" s="64"/>
      <c r="J1617" s="64"/>
      <c r="K1617" s="64"/>
      <c r="L1617" s="64"/>
      <c r="M1617" s="64"/>
      <c r="N1617" s="64"/>
      <c r="O1617" s="64"/>
      <c r="P1617" s="64"/>
      <c r="Q1617" s="64"/>
      <c r="R1617" s="65" t="str">
        <f>IF($A1617="","",IFERROR(MINIFS(Candidates!$K$2:$K$2000,Candidates!$A$2:$A$2000,$A1617),""))</f>
        <v/>
      </c>
      <c r="S1617" s="65" t="str">
        <f>IF($A1617="","",IFERROR(MAXIFS(Candidates!$AA$2:$AA$2000,Candidates!$A$2:$A$2000,$A1617),""))</f>
        <v/>
      </c>
      <c r="T1617" s="64" t="str">
        <f>IFERROR(__xludf.DUMMYFUNCTION("IF($A1617="""","""",IFERROR(TEXTJOIN("", "",TRUE,UNIQUE(FILTER(Candidates!$B$2:$B$2000,Candidates!$A$2:$A$2000=$A1617))),""""))"),"")</f>
        <v/>
      </c>
      <c r="U1617" s="66" t="str">
        <f>IF($A1617="","",COUNTIF(Candidates!$A$2:$A$2000,$A1617))</f>
        <v/>
      </c>
      <c r="V1617" s="64" t="str">
        <f>IFERROR(__xludf.DUMMYFUNCTION("IF($A1617="""","""",IFERROR(INDEX(FILTER(Candidates!$S$2:$S$2000,Candidates!$A$2:$A$2000=$A1617),COUNTIF(Candidates!$A$2:$A$2000,$A1617)),""""))"),"")</f>
        <v/>
      </c>
      <c r="W1617" s="64" t="str">
        <f>IFERROR(__xludf.DUMMYFUNCTION("IF($A1617="""","""",IFERROR(INDEX(FILTER(Candidates!$T$2:$T$2000,Candidates!$A$2:$A$2000=$A1617),COUNTIF(Candidates!$A$2:$A$2000,$A1617)),""""))"),"")</f>
        <v/>
      </c>
      <c r="X1617" s="64"/>
      <c r="Y1617" s="64"/>
      <c r="Z1617" s="65"/>
      <c r="AA1617" s="65"/>
      <c r="AB1617" s="65"/>
      <c r="AC1617" s="65"/>
    </row>
    <row r="1618">
      <c r="A1618" s="64"/>
      <c r="B1618" s="64"/>
      <c r="C1618" s="64"/>
      <c r="D1618" s="64"/>
      <c r="E1618" s="64"/>
      <c r="F1618" s="64"/>
      <c r="G1618" s="64"/>
      <c r="H1618" s="63"/>
      <c r="I1618" s="64"/>
      <c r="J1618" s="64"/>
      <c r="K1618" s="64"/>
      <c r="L1618" s="64"/>
      <c r="M1618" s="64"/>
      <c r="N1618" s="64"/>
      <c r="O1618" s="64"/>
      <c r="P1618" s="64"/>
      <c r="Q1618" s="64"/>
      <c r="R1618" s="65" t="str">
        <f>IF($A1618="","",IFERROR(MINIFS(Candidates!$K$2:$K$2000,Candidates!$A$2:$A$2000,$A1618),""))</f>
        <v/>
      </c>
      <c r="S1618" s="65" t="str">
        <f>IF($A1618="","",IFERROR(MAXIFS(Candidates!$AA$2:$AA$2000,Candidates!$A$2:$A$2000,$A1618),""))</f>
        <v/>
      </c>
      <c r="T1618" s="64" t="str">
        <f>IFERROR(__xludf.DUMMYFUNCTION("IF($A1618="""","""",IFERROR(TEXTJOIN("", "",TRUE,UNIQUE(FILTER(Candidates!$B$2:$B$2000,Candidates!$A$2:$A$2000=$A1618))),""""))"),"")</f>
        <v/>
      </c>
      <c r="U1618" s="66" t="str">
        <f>IF($A1618="","",COUNTIF(Candidates!$A$2:$A$2000,$A1618))</f>
        <v/>
      </c>
      <c r="V1618" s="64" t="str">
        <f>IFERROR(__xludf.DUMMYFUNCTION("IF($A1618="""","""",IFERROR(INDEX(FILTER(Candidates!$S$2:$S$2000,Candidates!$A$2:$A$2000=$A1618),COUNTIF(Candidates!$A$2:$A$2000,$A1618)),""""))"),"")</f>
        <v/>
      </c>
      <c r="W1618" s="64" t="str">
        <f>IFERROR(__xludf.DUMMYFUNCTION("IF($A1618="""","""",IFERROR(INDEX(FILTER(Candidates!$T$2:$T$2000,Candidates!$A$2:$A$2000=$A1618),COUNTIF(Candidates!$A$2:$A$2000,$A1618)),""""))"),"")</f>
        <v/>
      </c>
      <c r="X1618" s="64"/>
      <c r="Y1618" s="64"/>
      <c r="Z1618" s="65"/>
      <c r="AA1618" s="65"/>
      <c r="AB1618" s="65"/>
      <c r="AC1618" s="65"/>
    </row>
    <row r="1619">
      <c r="A1619" s="64"/>
      <c r="B1619" s="64"/>
      <c r="C1619" s="64"/>
      <c r="D1619" s="64"/>
      <c r="E1619" s="64"/>
      <c r="F1619" s="64"/>
      <c r="G1619" s="64"/>
      <c r="H1619" s="63"/>
      <c r="I1619" s="64"/>
      <c r="J1619" s="64"/>
      <c r="K1619" s="64"/>
      <c r="L1619" s="64"/>
      <c r="M1619" s="64"/>
      <c r="N1619" s="64"/>
      <c r="O1619" s="64"/>
      <c r="P1619" s="64"/>
      <c r="Q1619" s="64"/>
      <c r="R1619" s="65" t="str">
        <f>IF($A1619="","",IFERROR(MINIFS(Candidates!$K$2:$K$2000,Candidates!$A$2:$A$2000,$A1619),""))</f>
        <v/>
      </c>
      <c r="S1619" s="65" t="str">
        <f>IF($A1619="","",IFERROR(MAXIFS(Candidates!$AA$2:$AA$2000,Candidates!$A$2:$A$2000,$A1619),""))</f>
        <v/>
      </c>
      <c r="T1619" s="64" t="str">
        <f>IFERROR(__xludf.DUMMYFUNCTION("IF($A1619="""","""",IFERROR(TEXTJOIN("", "",TRUE,UNIQUE(FILTER(Candidates!$B$2:$B$2000,Candidates!$A$2:$A$2000=$A1619))),""""))"),"")</f>
        <v/>
      </c>
      <c r="U1619" s="66" t="str">
        <f>IF($A1619="","",COUNTIF(Candidates!$A$2:$A$2000,$A1619))</f>
        <v/>
      </c>
      <c r="V1619" s="64" t="str">
        <f>IFERROR(__xludf.DUMMYFUNCTION("IF($A1619="""","""",IFERROR(INDEX(FILTER(Candidates!$S$2:$S$2000,Candidates!$A$2:$A$2000=$A1619),COUNTIF(Candidates!$A$2:$A$2000,$A1619)),""""))"),"")</f>
        <v/>
      </c>
      <c r="W1619" s="64" t="str">
        <f>IFERROR(__xludf.DUMMYFUNCTION("IF($A1619="""","""",IFERROR(INDEX(FILTER(Candidates!$T$2:$T$2000,Candidates!$A$2:$A$2000=$A1619),COUNTIF(Candidates!$A$2:$A$2000,$A1619)),""""))"),"")</f>
        <v/>
      </c>
      <c r="X1619" s="64"/>
      <c r="Y1619" s="64"/>
      <c r="Z1619" s="65"/>
      <c r="AA1619" s="65"/>
      <c r="AB1619" s="65"/>
      <c r="AC1619" s="65"/>
    </row>
    <row r="1620">
      <c r="A1620" s="64"/>
      <c r="B1620" s="64"/>
      <c r="C1620" s="64"/>
      <c r="D1620" s="64"/>
      <c r="E1620" s="64"/>
      <c r="F1620" s="64"/>
      <c r="G1620" s="64"/>
      <c r="H1620" s="63"/>
      <c r="I1620" s="64"/>
      <c r="J1620" s="64"/>
      <c r="K1620" s="64"/>
      <c r="L1620" s="64"/>
      <c r="M1620" s="64"/>
      <c r="N1620" s="64"/>
      <c r="O1620" s="64"/>
      <c r="P1620" s="64"/>
      <c r="Q1620" s="64"/>
      <c r="R1620" s="65" t="str">
        <f>IF($A1620="","",IFERROR(MINIFS(Candidates!$K$2:$K$2000,Candidates!$A$2:$A$2000,$A1620),""))</f>
        <v/>
      </c>
      <c r="S1620" s="65" t="str">
        <f>IF($A1620="","",IFERROR(MAXIFS(Candidates!$AA$2:$AA$2000,Candidates!$A$2:$A$2000,$A1620),""))</f>
        <v/>
      </c>
      <c r="T1620" s="64" t="str">
        <f>IFERROR(__xludf.DUMMYFUNCTION("IF($A1620="""","""",IFERROR(TEXTJOIN("", "",TRUE,UNIQUE(FILTER(Candidates!$B$2:$B$2000,Candidates!$A$2:$A$2000=$A1620))),""""))"),"")</f>
        <v/>
      </c>
      <c r="U1620" s="66" t="str">
        <f>IF($A1620="","",COUNTIF(Candidates!$A$2:$A$2000,$A1620))</f>
        <v/>
      </c>
      <c r="V1620" s="64" t="str">
        <f>IFERROR(__xludf.DUMMYFUNCTION("IF($A1620="""","""",IFERROR(INDEX(FILTER(Candidates!$S$2:$S$2000,Candidates!$A$2:$A$2000=$A1620),COUNTIF(Candidates!$A$2:$A$2000,$A1620)),""""))"),"")</f>
        <v/>
      </c>
      <c r="W1620" s="64" t="str">
        <f>IFERROR(__xludf.DUMMYFUNCTION("IF($A1620="""","""",IFERROR(INDEX(FILTER(Candidates!$T$2:$T$2000,Candidates!$A$2:$A$2000=$A1620),COUNTIF(Candidates!$A$2:$A$2000,$A1620)),""""))"),"")</f>
        <v/>
      </c>
      <c r="X1620" s="64"/>
      <c r="Y1620" s="64"/>
      <c r="Z1620" s="65"/>
      <c r="AA1620" s="65"/>
      <c r="AB1620" s="65"/>
      <c r="AC1620" s="65"/>
    </row>
    <row r="1621">
      <c r="A1621" s="64"/>
      <c r="B1621" s="64"/>
      <c r="C1621" s="64"/>
      <c r="D1621" s="64"/>
      <c r="E1621" s="64"/>
      <c r="F1621" s="64"/>
      <c r="G1621" s="64"/>
      <c r="H1621" s="63"/>
      <c r="I1621" s="64"/>
      <c r="J1621" s="64"/>
      <c r="K1621" s="64"/>
      <c r="L1621" s="64"/>
      <c r="M1621" s="64"/>
      <c r="N1621" s="64"/>
      <c r="O1621" s="64"/>
      <c r="P1621" s="64"/>
      <c r="Q1621" s="64"/>
      <c r="R1621" s="65" t="str">
        <f>IF($A1621="","",IFERROR(MINIFS(Candidates!$K$2:$K$2000,Candidates!$A$2:$A$2000,$A1621),""))</f>
        <v/>
      </c>
      <c r="S1621" s="65" t="str">
        <f>IF($A1621="","",IFERROR(MAXIFS(Candidates!$AA$2:$AA$2000,Candidates!$A$2:$A$2000,$A1621),""))</f>
        <v/>
      </c>
      <c r="T1621" s="64" t="str">
        <f>IFERROR(__xludf.DUMMYFUNCTION("IF($A1621="""","""",IFERROR(TEXTJOIN("", "",TRUE,UNIQUE(FILTER(Candidates!$B$2:$B$2000,Candidates!$A$2:$A$2000=$A1621))),""""))"),"")</f>
        <v/>
      </c>
      <c r="U1621" s="66" t="str">
        <f>IF($A1621="","",COUNTIF(Candidates!$A$2:$A$2000,$A1621))</f>
        <v/>
      </c>
      <c r="V1621" s="64" t="str">
        <f>IFERROR(__xludf.DUMMYFUNCTION("IF($A1621="""","""",IFERROR(INDEX(FILTER(Candidates!$S$2:$S$2000,Candidates!$A$2:$A$2000=$A1621),COUNTIF(Candidates!$A$2:$A$2000,$A1621)),""""))"),"")</f>
        <v/>
      </c>
      <c r="W1621" s="64" t="str">
        <f>IFERROR(__xludf.DUMMYFUNCTION("IF($A1621="""","""",IFERROR(INDEX(FILTER(Candidates!$T$2:$T$2000,Candidates!$A$2:$A$2000=$A1621),COUNTIF(Candidates!$A$2:$A$2000,$A1621)),""""))"),"")</f>
        <v/>
      </c>
      <c r="X1621" s="64"/>
      <c r="Y1621" s="64"/>
      <c r="Z1621" s="65"/>
      <c r="AA1621" s="65"/>
      <c r="AB1621" s="65"/>
      <c r="AC1621" s="65"/>
    </row>
    <row r="1622">
      <c r="A1622" s="64"/>
      <c r="B1622" s="64"/>
      <c r="C1622" s="64"/>
      <c r="D1622" s="64"/>
      <c r="E1622" s="64"/>
      <c r="F1622" s="64"/>
      <c r="G1622" s="64"/>
      <c r="H1622" s="63"/>
      <c r="I1622" s="64"/>
      <c r="J1622" s="64"/>
      <c r="K1622" s="64"/>
      <c r="L1622" s="64"/>
      <c r="M1622" s="64"/>
      <c r="N1622" s="64"/>
      <c r="O1622" s="64"/>
      <c r="P1622" s="64"/>
      <c r="Q1622" s="64"/>
      <c r="R1622" s="65" t="str">
        <f>IF($A1622="","",IFERROR(MINIFS(Candidates!$K$2:$K$2000,Candidates!$A$2:$A$2000,$A1622),""))</f>
        <v/>
      </c>
      <c r="S1622" s="65" t="str">
        <f>IF($A1622="","",IFERROR(MAXIFS(Candidates!$AA$2:$AA$2000,Candidates!$A$2:$A$2000,$A1622),""))</f>
        <v/>
      </c>
      <c r="T1622" s="64" t="str">
        <f>IFERROR(__xludf.DUMMYFUNCTION("IF($A1622="""","""",IFERROR(TEXTJOIN("", "",TRUE,UNIQUE(FILTER(Candidates!$B$2:$B$2000,Candidates!$A$2:$A$2000=$A1622))),""""))"),"")</f>
        <v/>
      </c>
      <c r="U1622" s="66" t="str">
        <f>IF($A1622="","",COUNTIF(Candidates!$A$2:$A$2000,$A1622))</f>
        <v/>
      </c>
      <c r="V1622" s="64" t="str">
        <f>IFERROR(__xludf.DUMMYFUNCTION("IF($A1622="""","""",IFERROR(INDEX(FILTER(Candidates!$S$2:$S$2000,Candidates!$A$2:$A$2000=$A1622),COUNTIF(Candidates!$A$2:$A$2000,$A1622)),""""))"),"")</f>
        <v/>
      </c>
      <c r="W1622" s="64" t="str">
        <f>IFERROR(__xludf.DUMMYFUNCTION("IF($A1622="""","""",IFERROR(INDEX(FILTER(Candidates!$T$2:$T$2000,Candidates!$A$2:$A$2000=$A1622),COUNTIF(Candidates!$A$2:$A$2000,$A1622)),""""))"),"")</f>
        <v/>
      </c>
      <c r="X1622" s="64"/>
      <c r="Y1622" s="64"/>
      <c r="Z1622" s="65"/>
      <c r="AA1622" s="65"/>
      <c r="AB1622" s="65"/>
      <c r="AC1622" s="65"/>
    </row>
    <row r="1623">
      <c r="A1623" s="64"/>
      <c r="B1623" s="64"/>
      <c r="C1623" s="64"/>
      <c r="D1623" s="64"/>
      <c r="E1623" s="64"/>
      <c r="F1623" s="64"/>
      <c r="G1623" s="64"/>
      <c r="H1623" s="63"/>
      <c r="I1623" s="64"/>
      <c r="J1623" s="64"/>
      <c r="K1623" s="64"/>
      <c r="L1623" s="64"/>
      <c r="M1623" s="64"/>
      <c r="N1623" s="64"/>
      <c r="O1623" s="64"/>
      <c r="P1623" s="64"/>
      <c r="Q1623" s="64"/>
      <c r="R1623" s="65" t="str">
        <f>IF($A1623="","",IFERROR(MINIFS(Candidates!$K$2:$K$2000,Candidates!$A$2:$A$2000,$A1623),""))</f>
        <v/>
      </c>
      <c r="S1623" s="65" t="str">
        <f>IF($A1623="","",IFERROR(MAXIFS(Candidates!$AA$2:$AA$2000,Candidates!$A$2:$A$2000,$A1623),""))</f>
        <v/>
      </c>
      <c r="T1623" s="64" t="str">
        <f>IFERROR(__xludf.DUMMYFUNCTION("IF($A1623="""","""",IFERROR(TEXTJOIN("", "",TRUE,UNIQUE(FILTER(Candidates!$B$2:$B$2000,Candidates!$A$2:$A$2000=$A1623))),""""))"),"")</f>
        <v/>
      </c>
      <c r="U1623" s="66" t="str">
        <f>IF($A1623="","",COUNTIF(Candidates!$A$2:$A$2000,$A1623))</f>
        <v/>
      </c>
      <c r="V1623" s="64" t="str">
        <f>IFERROR(__xludf.DUMMYFUNCTION("IF($A1623="""","""",IFERROR(INDEX(FILTER(Candidates!$S$2:$S$2000,Candidates!$A$2:$A$2000=$A1623),COUNTIF(Candidates!$A$2:$A$2000,$A1623)),""""))"),"")</f>
        <v/>
      </c>
      <c r="W1623" s="64" t="str">
        <f>IFERROR(__xludf.DUMMYFUNCTION("IF($A1623="""","""",IFERROR(INDEX(FILTER(Candidates!$T$2:$T$2000,Candidates!$A$2:$A$2000=$A1623),COUNTIF(Candidates!$A$2:$A$2000,$A1623)),""""))"),"")</f>
        <v/>
      </c>
      <c r="X1623" s="64"/>
      <c r="Y1623" s="64"/>
      <c r="Z1623" s="65"/>
      <c r="AA1623" s="65"/>
      <c r="AB1623" s="65"/>
      <c r="AC1623" s="65"/>
    </row>
    <row r="1624">
      <c r="A1624" s="64"/>
      <c r="B1624" s="64"/>
      <c r="C1624" s="64"/>
      <c r="D1624" s="64"/>
      <c r="E1624" s="64"/>
      <c r="F1624" s="64"/>
      <c r="G1624" s="64"/>
      <c r="H1624" s="63"/>
      <c r="I1624" s="64"/>
      <c r="J1624" s="64"/>
      <c r="K1624" s="64"/>
      <c r="L1624" s="64"/>
      <c r="M1624" s="64"/>
      <c r="N1624" s="64"/>
      <c r="O1624" s="64"/>
      <c r="P1624" s="64"/>
      <c r="Q1624" s="64"/>
      <c r="R1624" s="65" t="str">
        <f>IF($A1624="","",IFERROR(MINIFS(Candidates!$K$2:$K$2000,Candidates!$A$2:$A$2000,$A1624),""))</f>
        <v/>
      </c>
      <c r="S1624" s="65" t="str">
        <f>IF($A1624="","",IFERROR(MAXIFS(Candidates!$AA$2:$AA$2000,Candidates!$A$2:$A$2000,$A1624),""))</f>
        <v/>
      </c>
      <c r="T1624" s="64" t="str">
        <f>IFERROR(__xludf.DUMMYFUNCTION("IF($A1624="""","""",IFERROR(TEXTJOIN("", "",TRUE,UNIQUE(FILTER(Candidates!$B$2:$B$2000,Candidates!$A$2:$A$2000=$A1624))),""""))"),"")</f>
        <v/>
      </c>
      <c r="U1624" s="66" t="str">
        <f>IF($A1624="","",COUNTIF(Candidates!$A$2:$A$2000,$A1624))</f>
        <v/>
      </c>
      <c r="V1624" s="64" t="str">
        <f>IFERROR(__xludf.DUMMYFUNCTION("IF($A1624="""","""",IFERROR(INDEX(FILTER(Candidates!$S$2:$S$2000,Candidates!$A$2:$A$2000=$A1624),COUNTIF(Candidates!$A$2:$A$2000,$A1624)),""""))"),"")</f>
        <v/>
      </c>
      <c r="W1624" s="64" t="str">
        <f>IFERROR(__xludf.DUMMYFUNCTION("IF($A1624="""","""",IFERROR(INDEX(FILTER(Candidates!$T$2:$T$2000,Candidates!$A$2:$A$2000=$A1624),COUNTIF(Candidates!$A$2:$A$2000,$A1624)),""""))"),"")</f>
        <v/>
      </c>
      <c r="X1624" s="64"/>
      <c r="Y1624" s="64"/>
      <c r="Z1624" s="65"/>
      <c r="AA1624" s="65"/>
      <c r="AB1624" s="65"/>
      <c r="AC1624" s="65"/>
    </row>
    <row r="1625">
      <c r="A1625" s="64"/>
      <c r="B1625" s="64"/>
      <c r="C1625" s="64"/>
      <c r="D1625" s="64"/>
      <c r="E1625" s="64"/>
      <c r="F1625" s="64"/>
      <c r="G1625" s="64"/>
      <c r="H1625" s="63"/>
      <c r="I1625" s="64"/>
      <c r="J1625" s="64"/>
      <c r="K1625" s="64"/>
      <c r="L1625" s="64"/>
      <c r="M1625" s="64"/>
      <c r="N1625" s="64"/>
      <c r="O1625" s="64"/>
      <c r="P1625" s="64"/>
      <c r="Q1625" s="64"/>
      <c r="R1625" s="65" t="str">
        <f>IF($A1625="","",IFERROR(MINIFS(Candidates!$K$2:$K$2000,Candidates!$A$2:$A$2000,$A1625),""))</f>
        <v/>
      </c>
      <c r="S1625" s="65" t="str">
        <f>IF($A1625="","",IFERROR(MAXIFS(Candidates!$AA$2:$AA$2000,Candidates!$A$2:$A$2000,$A1625),""))</f>
        <v/>
      </c>
      <c r="T1625" s="64" t="str">
        <f>IFERROR(__xludf.DUMMYFUNCTION("IF($A1625="""","""",IFERROR(TEXTJOIN("", "",TRUE,UNIQUE(FILTER(Candidates!$B$2:$B$2000,Candidates!$A$2:$A$2000=$A1625))),""""))"),"")</f>
        <v/>
      </c>
      <c r="U1625" s="66" t="str">
        <f>IF($A1625="","",COUNTIF(Candidates!$A$2:$A$2000,$A1625))</f>
        <v/>
      </c>
      <c r="V1625" s="64" t="str">
        <f>IFERROR(__xludf.DUMMYFUNCTION("IF($A1625="""","""",IFERROR(INDEX(FILTER(Candidates!$S$2:$S$2000,Candidates!$A$2:$A$2000=$A1625),COUNTIF(Candidates!$A$2:$A$2000,$A1625)),""""))"),"")</f>
        <v/>
      </c>
      <c r="W1625" s="64" t="str">
        <f>IFERROR(__xludf.DUMMYFUNCTION("IF($A1625="""","""",IFERROR(INDEX(FILTER(Candidates!$T$2:$T$2000,Candidates!$A$2:$A$2000=$A1625),COUNTIF(Candidates!$A$2:$A$2000,$A1625)),""""))"),"")</f>
        <v/>
      </c>
      <c r="X1625" s="64"/>
      <c r="Y1625" s="64"/>
      <c r="Z1625" s="65"/>
      <c r="AA1625" s="65"/>
      <c r="AB1625" s="65"/>
      <c r="AC1625" s="65"/>
    </row>
    <row r="1626">
      <c r="A1626" s="64"/>
      <c r="B1626" s="64"/>
      <c r="C1626" s="64"/>
      <c r="D1626" s="64"/>
      <c r="E1626" s="64"/>
      <c r="F1626" s="64"/>
      <c r="G1626" s="64"/>
      <c r="H1626" s="63"/>
      <c r="I1626" s="64"/>
      <c r="J1626" s="64"/>
      <c r="K1626" s="64"/>
      <c r="L1626" s="64"/>
      <c r="M1626" s="64"/>
      <c r="N1626" s="64"/>
      <c r="O1626" s="64"/>
      <c r="P1626" s="64"/>
      <c r="Q1626" s="64"/>
      <c r="R1626" s="65" t="str">
        <f>IF($A1626="","",IFERROR(MINIFS(Candidates!$K$2:$K$2000,Candidates!$A$2:$A$2000,$A1626),""))</f>
        <v/>
      </c>
      <c r="S1626" s="65" t="str">
        <f>IF($A1626="","",IFERROR(MAXIFS(Candidates!$AA$2:$AA$2000,Candidates!$A$2:$A$2000,$A1626),""))</f>
        <v/>
      </c>
      <c r="T1626" s="64" t="str">
        <f>IFERROR(__xludf.DUMMYFUNCTION("IF($A1626="""","""",IFERROR(TEXTJOIN("", "",TRUE,UNIQUE(FILTER(Candidates!$B$2:$B$2000,Candidates!$A$2:$A$2000=$A1626))),""""))"),"")</f>
        <v/>
      </c>
      <c r="U1626" s="66" t="str">
        <f>IF($A1626="","",COUNTIF(Candidates!$A$2:$A$2000,$A1626))</f>
        <v/>
      </c>
      <c r="V1626" s="64" t="str">
        <f>IFERROR(__xludf.DUMMYFUNCTION("IF($A1626="""","""",IFERROR(INDEX(FILTER(Candidates!$S$2:$S$2000,Candidates!$A$2:$A$2000=$A1626),COUNTIF(Candidates!$A$2:$A$2000,$A1626)),""""))"),"")</f>
        <v/>
      </c>
      <c r="W1626" s="64" t="str">
        <f>IFERROR(__xludf.DUMMYFUNCTION("IF($A1626="""","""",IFERROR(INDEX(FILTER(Candidates!$T$2:$T$2000,Candidates!$A$2:$A$2000=$A1626),COUNTIF(Candidates!$A$2:$A$2000,$A1626)),""""))"),"")</f>
        <v/>
      </c>
      <c r="X1626" s="64"/>
      <c r="Y1626" s="64"/>
      <c r="Z1626" s="65"/>
      <c r="AA1626" s="65"/>
      <c r="AB1626" s="65"/>
      <c r="AC1626" s="65"/>
    </row>
    <row r="1627">
      <c r="A1627" s="64"/>
      <c r="B1627" s="64"/>
      <c r="C1627" s="64"/>
      <c r="D1627" s="64"/>
      <c r="E1627" s="64"/>
      <c r="F1627" s="64"/>
      <c r="G1627" s="64"/>
      <c r="H1627" s="63"/>
      <c r="I1627" s="64"/>
      <c r="J1627" s="64"/>
      <c r="K1627" s="64"/>
      <c r="L1627" s="64"/>
      <c r="M1627" s="64"/>
      <c r="N1627" s="64"/>
      <c r="O1627" s="64"/>
      <c r="P1627" s="64"/>
      <c r="Q1627" s="64"/>
      <c r="R1627" s="65" t="str">
        <f>IF($A1627="","",IFERROR(MINIFS(Candidates!$K$2:$K$2000,Candidates!$A$2:$A$2000,$A1627),""))</f>
        <v/>
      </c>
      <c r="S1627" s="65" t="str">
        <f>IF($A1627="","",IFERROR(MAXIFS(Candidates!$AA$2:$AA$2000,Candidates!$A$2:$A$2000,$A1627),""))</f>
        <v/>
      </c>
      <c r="T1627" s="64" t="str">
        <f>IFERROR(__xludf.DUMMYFUNCTION("IF($A1627="""","""",IFERROR(TEXTJOIN("", "",TRUE,UNIQUE(FILTER(Candidates!$B$2:$B$2000,Candidates!$A$2:$A$2000=$A1627))),""""))"),"")</f>
        <v/>
      </c>
      <c r="U1627" s="66" t="str">
        <f>IF($A1627="","",COUNTIF(Candidates!$A$2:$A$2000,$A1627))</f>
        <v/>
      </c>
      <c r="V1627" s="64" t="str">
        <f>IFERROR(__xludf.DUMMYFUNCTION("IF($A1627="""","""",IFERROR(INDEX(FILTER(Candidates!$S$2:$S$2000,Candidates!$A$2:$A$2000=$A1627),COUNTIF(Candidates!$A$2:$A$2000,$A1627)),""""))"),"")</f>
        <v/>
      </c>
      <c r="W1627" s="64" t="str">
        <f>IFERROR(__xludf.DUMMYFUNCTION("IF($A1627="""","""",IFERROR(INDEX(FILTER(Candidates!$T$2:$T$2000,Candidates!$A$2:$A$2000=$A1627),COUNTIF(Candidates!$A$2:$A$2000,$A1627)),""""))"),"")</f>
        <v/>
      </c>
      <c r="X1627" s="64"/>
      <c r="Y1627" s="64"/>
      <c r="Z1627" s="65"/>
      <c r="AA1627" s="65"/>
      <c r="AB1627" s="65"/>
      <c r="AC1627" s="65"/>
    </row>
    <row r="1628">
      <c r="A1628" s="64"/>
      <c r="B1628" s="64"/>
      <c r="C1628" s="64"/>
      <c r="D1628" s="64"/>
      <c r="E1628" s="64"/>
      <c r="F1628" s="64"/>
      <c r="G1628" s="64"/>
      <c r="H1628" s="63"/>
      <c r="I1628" s="64"/>
      <c r="J1628" s="64"/>
      <c r="K1628" s="64"/>
      <c r="L1628" s="64"/>
      <c r="M1628" s="64"/>
      <c r="N1628" s="64"/>
      <c r="O1628" s="64"/>
      <c r="P1628" s="64"/>
      <c r="Q1628" s="64"/>
      <c r="R1628" s="65" t="str">
        <f>IF($A1628="","",IFERROR(MINIFS(Candidates!$K$2:$K$2000,Candidates!$A$2:$A$2000,$A1628),""))</f>
        <v/>
      </c>
      <c r="S1628" s="65" t="str">
        <f>IF($A1628="","",IFERROR(MAXIFS(Candidates!$AA$2:$AA$2000,Candidates!$A$2:$A$2000,$A1628),""))</f>
        <v/>
      </c>
      <c r="T1628" s="64" t="str">
        <f>IFERROR(__xludf.DUMMYFUNCTION("IF($A1628="""","""",IFERROR(TEXTJOIN("", "",TRUE,UNIQUE(FILTER(Candidates!$B$2:$B$2000,Candidates!$A$2:$A$2000=$A1628))),""""))"),"")</f>
        <v/>
      </c>
      <c r="U1628" s="66" t="str">
        <f>IF($A1628="","",COUNTIF(Candidates!$A$2:$A$2000,$A1628))</f>
        <v/>
      </c>
      <c r="V1628" s="64" t="str">
        <f>IFERROR(__xludf.DUMMYFUNCTION("IF($A1628="""","""",IFERROR(INDEX(FILTER(Candidates!$S$2:$S$2000,Candidates!$A$2:$A$2000=$A1628),COUNTIF(Candidates!$A$2:$A$2000,$A1628)),""""))"),"")</f>
        <v/>
      </c>
      <c r="W1628" s="64" t="str">
        <f>IFERROR(__xludf.DUMMYFUNCTION("IF($A1628="""","""",IFERROR(INDEX(FILTER(Candidates!$T$2:$T$2000,Candidates!$A$2:$A$2000=$A1628),COUNTIF(Candidates!$A$2:$A$2000,$A1628)),""""))"),"")</f>
        <v/>
      </c>
      <c r="X1628" s="64"/>
      <c r="Y1628" s="64"/>
      <c r="Z1628" s="65"/>
      <c r="AA1628" s="65"/>
      <c r="AB1628" s="65"/>
      <c r="AC1628" s="65"/>
    </row>
    <row r="1629">
      <c r="A1629" s="64"/>
      <c r="B1629" s="64"/>
      <c r="C1629" s="64"/>
      <c r="D1629" s="64"/>
      <c r="E1629" s="64"/>
      <c r="F1629" s="64"/>
      <c r="G1629" s="64"/>
      <c r="H1629" s="63"/>
      <c r="I1629" s="64"/>
      <c r="J1629" s="64"/>
      <c r="K1629" s="64"/>
      <c r="L1629" s="64"/>
      <c r="M1629" s="64"/>
      <c r="N1629" s="64"/>
      <c r="O1629" s="64"/>
      <c r="P1629" s="64"/>
      <c r="Q1629" s="64"/>
      <c r="R1629" s="65" t="str">
        <f>IF($A1629="","",IFERROR(MINIFS(Candidates!$K$2:$K$2000,Candidates!$A$2:$A$2000,$A1629),""))</f>
        <v/>
      </c>
      <c r="S1629" s="65" t="str">
        <f>IF($A1629="","",IFERROR(MAXIFS(Candidates!$AA$2:$AA$2000,Candidates!$A$2:$A$2000,$A1629),""))</f>
        <v/>
      </c>
      <c r="T1629" s="64" t="str">
        <f>IFERROR(__xludf.DUMMYFUNCTION("IF($A1629="""","""",IFERROR(TEXTJOIN("", "",TRUE,UNIQUE(FILTER(Candidates!$B$2:$B$2000,Candidates!$A$2:$A$2000=$A1629))),""""))"),"")</f>
        <v/>
      </c>
      <c r="U1629" s="66" t="str">
        <f>IF($A1629="","",COUNTIF(Candidates!$A$2:$A$2000,$A1629))</f>
        <v/>
      </c>
      <c r="V1629" s="64" t="str">
        <f>IFERROR(__xludf.DUMMYFUNCTION("IF($A1629="""","""",IFERROR(INDEX(FILTER(Candidates!$S$2:$S$2000,Candidates!$A$2:$A$2000=$A1629),COUNTIF(Candidates!$A$2:$A$2000,$A1629)),""""))"),"")</f>
        <v/>
      </c>
      <c r="W1629" s="64" t="str">
        <f>IFERROR(__xludf.DUMMYFUNCTION("IF($A1629="""","""",IFERROR(INDEX(FILTER(Candidates!$T$2:$T$2000,Candidates!$A$2:$A$2000=$A1629),COUNTIF(Candidates!$A$2:$A$2000,$A1629)),""""))"),"")</f>
        <v/>
      </c>
      <c r="X1629" s="64"/>
      <c r="Y1629" s="64"/>
      <c r="Z1629" s="65"/>
      <c r="AA1629" s="65"/>
      <c r="AB1629" s="65"/>
      <c r="AC1629" s="65"/>
    </row>
    <row r="1630">
      <c r="A1630" s="64"/>
      <c r="B1630" s="64"/>
      <c r="C1630" s="64"/>
      <c r="D1630" s="64"/>
      <c r="E1630" s="64"/>
      <c r="F1630" s="64"/>
      <c r="G1630" s="64"/>
      <c r="H1630" s="63"/>
      <c r="I1630" s="64"/>
      <c r="J1630" s="64"/>
      <c r="K1630" s="64"/>
      <c r="L1630" s="64"/>
      <c r="M1630" s="64"/>
      <c r="N1630" s="64"/>
      <c r="O1630" s="64"/>
      <c r="P1630" s="64"/>
      <c r="Q1630" s="64"/>
      <c r="R1630" s="65" t="str">
        <f>IF($A1630="","",IFERROR(MINIFS(Candidates!$K$2:$K$2000,Candidates!$A$2:$A$2000,$A1630),""))</f>
        <v/>
      </c>
      <c r="S1630" s="65" t="str">
        <f>IF($A1630="","",IFERROR(MAXIFS(Candidates!$AA$2:$AA$2000,Candidates!$A$2:$A$2000,$A1630),""))</f>
        <v/>
      </c>
      <c r="T1630" s="64" t="str">
        <f>IFERROR(__xludf.DUMMYFUNCTION("IF($A1630="""","""",IFERROR(TEXTJOIN("", "",TRUE,UNIQUE(FILTER(Candidates!$B$2:$B$2000,Candidates!$A$2:$A$2000=$A1630))),""""))"),"")</f>
        <v/>
      </c>
      <c r="U1630" s="66" t="str">
        <f>IF($A1630="","",COUNTIF(Candidates!$A$2:$A$2000,$A1630))</f>
        <v/>
      </c>
      <c r="V1630" s="64" t="str">
        <f>IFERROR(__xludf.DUMMYFUNCTION("IF($A1630="""","""",IFERROR(INDEX(FILTER(Candidates!$S$2:$S$2000,Candidates!$A$2:$A$2000=$A1630),COUNTIF(Candidates!$A$2:$A$2000,$A1630)),""""))"),"")</f>
        <v/>
      </c>
      <c r="W1630" s="64" t="str">
        <f>IFERROR(__xludf.DUMMYFUNCTION("IF($A1630="""","""",IFERROR(INDEX(FILTER(Candidates!$T$2:$T$2000,Candidates!$A$2:$A$2000=$A1630),COUNTIF(Candidates!$A$2:$A$2000,$A1630)),""""))"),"")</f>
        <v/>
      </c>
      <c r="X1630" s="64"/>
      <c r="Y1630" s="64"/>
      <c r="Z1630" s="65"/>
      <c r="AA1630" s="65"/>
      <c r="AB1630" s="65"/>
      <c r="AC1630" s="65"/>
    </row>
    <row r="1631">
      <c r="A1631" s="64"/>
      <c r="B1631" s="64"/>
      <c r="C1631" s="64"/>
      <c r="D1631" s="64"/>
      <c r="E1631" s="64"/>
      <c r="F1631" s="64"/>
      <c r="G1631" s="64"/>
      <c r="H1631" s="63"/>
      <c r="I1631" s="64"/>
      <c r="J1631" s="64"/>
      <c r="K1631" s="64"/>
      <c r="L1631" s="64"/>
      <c r="M1631" s="64"/>
      <c r="N1631" s="64"/>
      <c r="O1631" s="64"/>
      <c r="P1631" s="64"/>
      <c r="Q1631" s="64"/>
      <c r="R1631" s="65" t="str">
        <f>IF($A1631="","",IFERROR(MINIFS(Candidates!$K$2:$K$2000,Candidates!$A$2:$A$2000,$A1631),""))</f>
        <v/>
      </c>
      <c r="S1631" s="65" t="str">
        <f>IF($A1631="","",IFERROR(MAXIFS(Candidates!$AA$2:$AA$2000,Candidates!$A$2:$A$2000,$A1631),""))</f>
        <v/>
      </c>
      <c r="T1631" s="64" t="str">
        <f>IFERROR(__xludf.DUMMYFUNCTION("IF($A1631="""","""",IFERROR(TEXTJOIN("", "",TRUE,UNIQUE(FILTER(Candidates!$B$2:$B$2000,Candidates!$A$2:$A$2000=$A1631))),""""))"),"")</f>
        <v/>
      </c>
      <c r="U1631" s="66" t="str">
        <f>IF($A1631="","",COUNTIF(Candidates!$A$2:$A$2000,$A1631))</f>
        <v/>
      </c>
      <c r="V1631" s="64" t="str">
        <f>IFERROR(__xludf.DUMMYFUNCTION("IF($A1631="""","""",IFERROR(INDEX(FILTER(Candidates!$S$2:$S$2000,Candidates!$A$2:$A$2000=$A1631),COUNTIF(Candidates!$A$2:$A$2000,$A1631)),""""))"),"")</f>
        <v/>
      </c>
      <c r="W1631" s="64" t="str">
        <f>IFERROR(__xludf.DUMMYFUNCTION("IF($A1631="""","""",IFERROR(INDEX(FILTER(Candidates!$T$2:$T$2000,Candidates!$A$2:$A$2000=$A1631),COUNTIF(Candidates!$A$2:$A$2000,$A1631)),""""))"),"")</f>
        <v/>
      </c>
      <c r="X1631" s="64"/>
      <c r="Y1631" s="64"/>
      <c r="Z1631" s="65"/>
      <c r="AA1631" s="65"/>
      <c r="AB1631" s="65"/>
      <c r="AC1631" s="65"/>
    </row>
    <row r="1632">
      <c r="A1632" s="64"/>
      <c r="B1632" s="64"/>
      <c r="C1632" s="64"/>
      <c r="D1632" s="64"/>
      <c r="E1632" s="64"/>
      <c r="F1632" s="64"/>
      <c r="G1632" s="64"/>
      <c r="H1632" s="63"/>
      <c r="I1632" s="64"/>
      <c r="J1632" s="64"/>
      <c r="K1632" s="64"/>
      <c r="L1632" s="64"/>
      <c r="M1632" s="64"/>
      <c r="N1632" s="64"/>
      <c r="O1632" s="64"/>
      <c r="P1632" s="64"/>
      <c r="Q1632" s="64"/>
      <c r="R1632" s="65" t="str">
        <f>IF($A1632="","",IFERROR(MINIFS(Candidates!$K$2:$K$2000,Candidates!$A$2:$A$2000,$A1632),""))</f>
        <v/>
      </c>
      <c r="S1632" s="65" t="str">
        <f>IF($A1632="","",IFERROR(MAXIFS(Candidates!$AA$2:$AA$2000,Candidates!$A$2:$A$2000,$A1632),""))</f>
        <v/>
      </c>
      <c r="T1632" s="64" t="str">
        <f>IFERROR(__xludf.DUMMYFUNCTION("IF($A1632="""","""",IFERROR(TEXTJOIN("", "",TRUE,UNIQUE(FILTER(Candidates!$B$2:$B$2000,Candidates!$A$2:$A$2000=$A1632))),""""))"),"")</f>
        <v/>
      </c>
      <c r="U1632" s="66" t="str">
        <f>IF($A1632="","",COUNTIF(Candidates!$A$2:$A$2000,$A1632))</f>
        <v/>
      </c>
      <c r="V1632" s="64" t="str">
        <f>IFERROR(__xludf.DUMMYFUNCTION("IF($A1632="""","""",IFERROR(INDEX(FILTER(Candidates!$S$2:$S$2000,Candidates!$A$2:$A$2000=$A1632),COUNTIF(Candidates!$A$2:$A$2000,$A1632)),""""))"),"")</f>
        <v/>
      </c>
      <c r="W1632" s="64" t="str">
        <f>IFERROR(__xludf.DUMMYFUNCTION("IF($A1632="""","""",IFERROR(INDEX(FILTER(Candidates!$T$2:$T$2000,Candidates!$A$2:$A$2000=$A1632),COUNTIF(Candidates!$A$2:$A$2000,$A1632)),""""))"),"")</f>
        <v/>
      </c>
      <c r="X1632" s="64"/>
      <c r="Y1632" s="64"/>
      <c r="Z1632" s="65"/>
      <c r="AA1632" s="65"/>
      <c r="AB1632" s="65"/>
      <c r="AC1632" s="65"/>
    </row>
    <row r="1633">
      <c r="A1633" s="64"/>
      <c r="B1633" s="64"/>
      <c r="C1633" s="64"/>
      <c r="D1633" s="64"/>
      <c r="E1633" s="64"/>
      <c r="F1633" s="64"/>
      <c r="G1633" s="64"/>
      <c r="H1633" s="63"/>
      <c r="I1633" s="64"/>
      <c r="J1633" s="64"/>
      <c r="K1633" s="64"/>
      <c r="L1633" s="64"/>
      <c r="M1633" s="64"/>
      <c r="N1633" s="64"/>
      <c r="O1633" s="64"/>
      <c r="P1633" s="64"/>
      <c r="Q1633" s="64"/>
      <c r="R1633" s="65" t="str">
        <f>IF($A1633="","",IFERROR(MINIFS(Candidates!$K$2:$K$2000,Candidates!$A$2:$A$2000,$A1633),""))</f>
        <v/>
      </c>
      <c r="S1633" s="65" t="str">
        <f>IF($A1633="","",IFERROR(MAXIFS(Candidates!$AA$2:$AA$2000,Candidates!$A$2:$A$2000,$A1633),""))</f>
        <v/>
      </c>
      <c r="T1633" s="64" t="str">
        <f>IFERROR(__xludf.DUMMYFUNCTION("IF($A1633="""","""",IFERROR(TEXTJOIN("", "",TRUE,UNIQUE(FILTER(Candidates!$B$2:$B$2000,Candidates!$A$2:$A$2000=$A1633))),""""))"),"")</f>
        <v/>
      </c>
      <c r="U1633" s="66" t="str">
        <f>IF($A1633="","",COUNTIF(Candidates!$A$2:$A$2000,$A1633))</f>
        <v/>
      </c>
      <c r="V1633" s="64" t="str">
        <f>IFERROR(__xludf.DUMMYFUNCTION("IF($A1633="""","""",IFERROR(INDEX(FILTER(Candidates!$S$2:$S$2000,Candidates!$A$2:$A$2000=$A1633),COUNTIF(Candidates!$A$2:$A$2000,$A1633)),""""))"),"")</f>
        <v/>
      </c>
      <c r="W1633" s="64" t="str">
        <f>IFERROR(__xludf.DUMMYFUNCTION("IF($A1633="""","""",IFERROR(INDEX(FILTER(Candidates!$T$2:$T$2000,Candidates!$A$2:$A$2000=$A1633),COUNTIF(Candidates!$A$2:$A$2000,$A1633)),""""))"),"")</f>
        <v/>
      </c>
      <c r="X1633" s="64"/>
      <c r="Y1633" s="64"/>
      <c r="Z1633" s="65"/>
      <c r="AA1633" s="65"/>
      <c r="AB1633" s="65"/>
      <c r="AC1633" s="65"/>
    </row>
    <row r="1634">
      <c r="A1634" s="64"/>
      <c r="B1634" s="64"/>
      <c r="C1634" s="64"/>
      <c r="D1634" s="64"/>
      <c r="E1634" s="64"/>
      <c r="F1634" s="64"/>
      <c r="G1634" s="64"/>
      <c r="H1634" s="63"/>
      <c r="I1634" s="64"/>
      <c r="J1634" s="64"/>
      <c r="K1634" s="64"/>
      <c r="L1634" s="64"/>
      <c r="M1634" s="64"/>
      <c r="N1634" s="64"/>
      <c r="O1634" s="64"/>
      <c r="P1634" s="64"/>
      <c r="Q1634" s="64"/>
      <c r="R1634" s="65" t="str">
        <f>IF($A1634="","",IFERROR(MINIFS(Candidates!$K$2:$K$2000,Candidates!$A$2:$A$2000,$A1634),""))</f>
        <v/>
      </c>
      <c r="S1634" s="65" t="str">
        <f>IF($A1634="","",IFERROR(MAXIFS(Candidates!$AA$2:$AA$2000,Candidates!$A$2:$A$2000,$A1634),""))</f>
        <v/>
      </c>
      <c r="T1634" s="64" t="str">
        <f>IFERROR(__xludf.DUMMYFUNCTION("IF($A1634="""","""",IFERROR(TEXTJOIN("", "",TRUE,UNIQUE(FILTER(Candidates!$B$2:$B$2000,Candidates!$A$2:$A$2000=$A1634))),""""))"),"")</f>
        <v/>
      </c>
      <c r="U1634" s="66" t="str">
        <f>IF($A1634="","",COUNTIF(Candidates!$A$2:$A$2000,$A1634))</f>
        <v/>
      </c>
      <c r="V1634" s="64" t="str">
        <f>IFERROR(__xludf.DUMMYFUNCTION("IF($A1634="""","""",IFERROR(INDEX(FILTER(Candidates!$S$2:$S$2000,Candidates!$A$2:$A$2000=$A1634),COUNTIF(Candidates!$A$2:$A$2000,$A1634)),""""))"),"")</f>
        <v/>
      </c>
      <c r="W1634" s="64" t="str">
        <f>IFERROR(__xludf.DUMMYFUNCTION("IF($A1634="""","""",IFERROR(INDEX(FILTER(Candidates!$T$2:$T$2000,Candidates!$A$2:$A$2000=$A1634),COUNTIF(Candidates!$A$2:$A$2000,$A1634)),""""))"),"")</f>
        <v/>
      </c>
      <c r="X1634" s="64"/>
      <c r="Y1634" s="64"/>
      <c r="Z1634" s="65"/>
      <c r="AA1634" s="65"/>
      <c r="AB1634" s="65"/>
      <c r="AC1634" s="65"/>
    </row>
    <row r="1635">
      <c r="A1635" s="64"/>
      <c r="B1635" s="64"/>
      <c r="C1635" s="64"/>
      <c r="D1635" s="64"/>
      <c r="E1635" s="64"/>
      <c r="F1635" s="64"/>
      <c r="G1635" s="64"/>
      <c r="H1635" s="63"/>
      <c r="I1635" s="64"/>
      <c r="J1635" s="64"/>
      <c r="K1635" s="64"/>
      <c r="L1635" s="64"/>
      <c r="M1635" s="64"/>
      <c r="N1635" s="64"/>
      <c r="O1635" s="64"/>
      <c r="P1635" s="64"/>
      <c r="Q1635" s="64"/>
      <c r="R1635" s="65" t="str">
        <f>IF($A1635="","",IFERROR(MINIFS(Candidates!$K$2:$K$2000,Candidates!$A$2:$A$2000,$A1635),""))</f>
        <v/>
      </c>
      <c r="S1635" s="65" t="str">
        <f>IF($A1635="","",IFERROR(MAXIFS(Candidates!$AA$2:$AA$2000,Candidates!$A$2:$A$2000,$A1635),""))</f>
        <v/>
      </c>
      <c r="T1635" s="64" t="str">
        <f>IFERROR(__xludf.DUMMYFUNCTION("IF($A1635="""","""",IFERROR(TEXTJOIN("", "",TRUE,UNIQUE(FILTER(Candidates!$B$2:$B$2000,Candidates!$A$2:$A$2000=$A1635))),""""))"),"")</f>
        <v/>
      </c>
      <c r="U1635" s="66" t="str">
        <f>IF($A1635="","",COUNTIF(Candidates!$A$2:$A$2000,$A1635))</f>
        <v/>
      </c>
      <c r="V1635" s="64" t="str">
        <f>IFERROR(__xludf.DUMMYFUNCTION("IF($A1635="""","""",IFERROR(INDEX(FILTER(Candidates!$S$2:$S$2000,Candidates!$A$2:$A$2000=$A1635),COUNTIF(Candidates!$A$2:$A$2000,$A1635)),""""))"),"")</f>
        <v/>
      </c>
      <c r="W1635" s="64" t="str">
        <f>IFERROR(__xludf.DUMMYFUNCTION("IF($A1635="""","""",IFERROR(INDEX(FILTER(Candidates!$T$2:$T$2000,Candidates!$A$2:$A$2000=$A1635),COUNTIF(Candidates!$A$2:$A$2000,$A1635)),""""))"),"")</f>
        <v/>
      </c>
      <c r="X1635" s="64"/>
      <c r="Y1635" s="64"/>
      <c r="Z1635" s="65"/>
      <c r="AA1635" s="65"/>
      <c r="AB1635" s="65"/>
      <c r="AC1635" s="65"/>
    </row>
    <row r="1636">
      <c r="A1636" s="64"/>
      <c r="B1636" s="64"/>
      <c r="C1636" s="64"/>
      <c r="D1636" s="64"/>
      <c r="E1636" s="64"/>
      <c r="F1636" s="64"/>
      <c r="G1636" s="64"/>
      <c r="H1636" s="63"/>
      <c r="I1636" s="64"/>
      <c r="J1636" s="64"/>
      <c r="K1636" s="64"/>
      <c r="L1636" s="64"/>
      <c r="M1636" s="64"/>
      <c r="N1636" s="64"/>
      <c r="O1636" s="64"/>
      <c r="P1636" s="64"/>
      <c r="Q1636" s="64"/>
      <c r="R1636" s="65" t="str">
        <f>IF($A1636="","",IFERROR(MINIFS(Candidates!$K$2:$K$2000,Candidates!$A$2:$A$2000,$A1636),""))</f>
        <v/>
      </c>
      <c r="S1636" s="65" t="str">
        <f>IF($A1636="","",IFERROR(MAXIFS(Candidates!$AA$2:$AA$2000,Candidates!$A$2:$A$2000,$A1636),""))</f>
        <v/>
      </c>
      <c r="T1636" s="64" t="str">
        <f>IFERROR(__xludf.DUMMYFUNCTION("IF($A1636="""","""",IFERROR(TEXTJOIN("", "",TRUE,UNIQUE(FILTER(Candidates!$B$2:$B$2000,Candidates!$A$2:$A$2000=$A1636))),""""))"),"")</f>
        <v/>
      </c>
      <c r="U1636" s="66" t="str">
        <f>IF($A1636="","",COUNTIF(Candidates!$A$2:$A$2000,$A1636))</f>
        <v/>
      </c>
      <c r="V1636" s="64" t="str">
        <f>IFERROR(__xludf.DUMMYFUNCTION("IF($A1636="""","""",IFERROR(INDEX(FILTER(Candidates!$S$2:$S$2000,Candidates!$A$2:$A$2000=$A1636),COUNTIF(Candidates!$A$2:$A$2000,$A1636)),""""))"),"")</f>
        <v/>
      </c>
      <c r="W1636" s="64" t="str">
        <f>IFERROR(__xludf.DUMMYFUNCTION("IF($A1636="""","""",IFERROR(INDEX(FILTER(Candidates!$T$2:$T$2000,Candidates!$A$2:$A$2000=$A1636),COUNTIF(Candidates!$A$2:$A$2000,$A1636)),""""))"),"")</f>
        <v/>
      </c>
      <c r="X1636" s="64"/>
      <c r="Y1636" s="64"/>
      <c r="Z1636" s="65"/>
      <c r="AA1636" s="65"/>
      <c r="AB1636" s="65"/>
      <c r="AC1636" s="65"/>
    </row>
    <row r="1637">
      <c r="A1637" s="64"/>
      <c r="B1637" s="64"/>
      <c r="C1637" s="64"/>
      <c r="D1637" s="64"/>
      <c r="E1637" s="64"/>
      <c r="F1637" s="64"/>
      <c r="G1637" s="64"/>
      <c r="H1637" s="63"/>
      <c r="I1637" s="64"/>
      <c r="J1637" s="64"/>
      <c r="K1637" s="64"/>
      <c r="L1637" s="64"/>
      <c r="M1637" s="64"/>
      <c r="N1637" s="64"/>
      <c r="O1637" s="64"/>
      <c r="P1637" s="64"/>
      <c r="Q1637" s="64"/>
      <c r="R1637" s="65" t="str">
        <f>IF($A1637="","",IFERROR(MINIFS(Candidates!$K$2:$K$2000,Candidates!$A$2:$A$2000,$A1637),""))</f>
        <v/>
      </c>
      <c r="S1637" s="65" t="str">
        <f>IF($A1637="","",IFERROR(MAXIFS(Candidates!$AA$2:$AA$2000,Candidates!$A$2:$A$2000,$A1637),""))</f>
        <v/>
      </c>
      <c r="T1637" s="64" t="str">
        <f>IFERROR(__xludf.DUMMYFUNCTION("IF($A1637="""","""",IFERROR(TEXTJOIN("", "",TRUE,UNIQUE(FILTER(Candidates!$B$2:$B$2000,Candidates!$A$2:$A$2000=$A1637))),""""))"),"")</f>
        <v/>
      </c>
      <c r="U1637" s="66" t="str">
        <f>IF($A1637="","",COUNTIF(Candidates!$A$2:$A$2000,$A1637))</f>
        <v/>
      </c>
      <c r="V1637" s="64" t="str">
        <f>IFERROR(__xludf.DUMMYFUNCTION("IF($A1637="""","""",IFERROR(INDEX(FILTER(Candidates!$S$2:$S$2000,Candidates!$A$2:$A$2000=$A1637),COUNTIF(Candidates!$A$2:$A$2000,$A1637)),""""))"),"")</f>
        <v/>
      </c>
      <c r="W1637" s="64" t="str">
        <f>IFERROR(__xludf.DUMMYFUNCTION("IF($A1637="""","""",IFERROR(INDEX(FILTER(Candidates!$T$2:$T$2000,Candidates!$A$2:$A$2000=$A1637),COUNTIF(Candidates!$A$2:$A$2000,$A1637)),""""))"),"")</f>
        <v/>
      </c>
      <c r="X1637" s="64"/>
      <c r="Y1637" s="64"/>
      <c r="Z1637" s="65"/>
      <c r="AA1637" s="65"/>
      <c r="AB1637" s="65"/>
      <c r="AC1637" s="65"/>
    </row>
    <row r="1638">
      <c r="A1638" s="64"/>
      <c r="B1638" s="64"/>
      <c r="C1638" s="64"/>
      <c r="D1638" s="64"/>
      <c r="E1638" s="64"/>
      <c r="F1638" s="64"/>
      <c r="G1638" s="64"/>
      <c r="H1638" s="63"/>
      <c r="I1638" s="64"/>
      <c r="J1638" s="64"/>
      <c r="K1638" s="64"/>
      <c r="L1638" s="64"/>
      <c r="M1638" s="64"/>
      <c r="N1638" s="64"/>
      <c r="O1638" s="64"/>
      <c r="P1638" s="64"/>
      <c r="Q1638" s="64"/>
      <c r="R1638" s="65" t="str">
        <f>IF($A1638="","",IFERROR(MINIFS(Candidates!$K$2:$K$2000,Candidates!$A$2:$A$2000,$A1638),""))</f>
        <v/>
      </c>
      <c r="S1638" s="65" t="str">
        <f>IF($A1638="","",IFERROR(MAXIFS(Candidates!$AA$2:$AA$2000,Candidates!$A$2:$A$2000,$A1638),""))</f>
        <v/>
      </c>
      <c r="T1638" s="64" t="str">
        <f>IFERROR(__xludf.DUMMYFUNCTION("IF($A1638="""","""",IFERROR(TEXTJOIN("", "",TRUE,UNIQUE(FILTER(Candidates!$B$2:$B$2000,Candidates!$A$2:$A$2000=$A1638))),""""))"),"")</f>
        <v/>
      </c>
      <c r="U1638" s="66" t="str">
        <f>IF($A1638="","",COUNTIF(Candidates!$A$2:$A$2000,$A1638))</f>
        <v/>
      </c>
      <c r="V1638" s="64" t="str">
        <f>IFERROR(__xludf.DUMMYFUNCTION("IF($A1638="""","""",IFERROR(INDEX(FILTER(Candidates!$S$2:$S$2000,Candidates!$A$2:$A$2000=$A1638),COUNTIF(Candidates!$A$2:$A$2000,$A1638)),""""))"),"")</f>
        <v/>
      </c>
      <c r="W1638" s="64" t="str">
        <f>IFERROR(__xludf.DUMMYFUNCTION("IF($A1638="""","""",IFERROR(INDEX(FILTER(Candidates!$T$2:$T$2000,Candidates!$A$2:$A$2000=$A1638),COUNTIF(Candidates!$A$2:$A$2000,$A1638)),""""))"),"")</f>
        <v/>
      </c>
      <c r="X1638" s="64"/>
      <c r="Y1638" s="64"/>
      <c r="Z1638" s="65"/>
      <c r="AA1638" s="65"/>
      <c r="AB1638" s="65"/>
      <c r="AC1638" s="65"/>
    </row>
    <row r="1639">
      <c r="A1639" s="64"/>
      <c r="B1639" s="64"/>
      <c r="C1639" s="64"/>
      <c r="D1639" s="64"/>
      <c r="E1639" s="64"/>
      <c r="F1639" s="64"/>
      <c r="G1639" s="64"/>
      <c r="H1639" s="63"/>
      <c r="I1639" s="64"/>
      <c r="J1639" s="64"/>
      <c r="K1639" s="64"/>
      <c r="L1639" s="64"/>
      <c r="M1639" s="64"/>
      <c r="N1639" s="64"/>
      <c r="O1639" s="64"/>
      <c r="P1639" s="64"/>
      <c r="Q1639" s="64"/>
      <c r="R1639" s="65" t="str">
        <f>IF($A1639="","",IFERROR(MINIFS(Candidates!$K$2:$K$2000,Candidates!$A$2:$A$2000,$A1639),""))</f>
        <v/>
      </c>
      <c r="S1639" s="65" t="str">
        <f>IF($A1639="","",IFERROR(MAXIFS(Candidates!$AA$2:$AA$2000,Candidates!$A$2:$A$2000,$A1639),""))</f>
        <v/>
      </c>
      <c r="T1639" s="64" t="str">
        <f>IFERROR(__xludf.DUMMYFUNCTION("IF($A1639="""","""",IFERROR(TEXTJOIN("", "",TRUE,UNIQUE(FILTER(Candidates!$B$2:$B$2000,Candidates!$A$2:$A$2000=$A1639))),""""))"),"")</f>
        <v/>
      </c>
      <c r="U1639" s="66" t="str">
        <f>IF($A1639="","",COUNTIF(Candidates!$A$2:$A$2000,$A1639))</f>
        <v/>
      </c>
      <c r="V1639" s="64" t="str">
        <f>IFERROR(__xludf.DUMMYFUNCTION("IF($A1639="""","""",IFERROR(INDEX(FILTER(Candidates!$S$2:$S$2000,Candidates!$A$2:$A$2000=$A1639),COUNTIF(Candidates!$A$2:$A$2000,$A1639)),""""))"),"")</f>
        <v/>
      </c>
      <c r="W1639" s="64" t="str">
        <f>IFERROR(__xludf.DUMMYFUNCTION("IF($A1639="""","""",IFERROR(INDEX(FILTER(Candidates!$T$2:$T$2000,Candidates!$A$2:$A$2000=$A1639),COUNTIF(Candidates!$A$2:$A$2000,$A1639)),""""))"),"")</f>
        <v/>
      </c>
      <c r="X1639" s="64"/>
      <c r="Y1639" s="64"/>
      <c r="Z1639" s="65"/>
      <c r="AA1639" s="65"/>
      <c r="AB1639" s="65"/>
      <c r="AC1639" s="65"/>
    </row>
    <row r="1640">
      <c r="A1640" s="64"/>
      <c r="B1640" s="64"/>
      <c r="C1640" s="64"/>
      <c r="D1640" s="64"/>
      <c r="E1640" s="64"/>
      <c r="F1640" s="64"/>
      <c r="G1640" s="64"/>
      <c r="H1640" s="63"/>
      <c r="I1640" s="64"/>
      <c r="J1640" s="64"/>
      <c r="K1640" s="64"/>
      <c r="L1640" s="64"/>
      <c r="M1640" s="64"/>
      <c r="N1640" s="64"/>
      <c r="O1640" s="64"/>
      <c r="P1640" s="64"/>
      <c r="Q1640" s="64"/>
      <c r="R1640" s="65" t="str">
        <f>IF($A1640="","",IFERROR(MINIFS(Candidates!$K$2:$K$2000,Candidates!$A$2:$A$2000,$A1640),""))</f>
        <v/>
      </c>
      <c r="S1640" s="65" t="str">
        <f>IF($A1640="","",IFERROR(MAXIFS(Candidates!$AA$2:$AA$2000,Candidates!$A$2:$A$2000,$A1640),""))</f>
        <v/>
      </c>
      <c r="T1640" s="64" t="str">
        <f>IFERROR(__xludf.DUMMYFUNCTION("IF($A1640="""","""",IFERROR(TEXTJOIN("", "",TRUE,UNIQUE(FILTER(Candidates!$B$2:$B$2000,Candidates!$A$2:$A$2000=$A1640))),""""))"),"")</f>
        <v/>
      </c>
      <c r="U1640" s="66" t="str">
        <f>IF($A1640="","",COUNTIF(Candidates!$A$2:$A$2000,$A1640))</f>
        <v/>
      </c>
      <c r="V1640" s="64" t="str">
        <f>IFERROR(__xludf.DUMMYFUNCTION("IF($A1640="""","""",IFERROR(INDEX(FILTER(Candidates!$S$2:$S$2000,Candidates!$A$2:$A$2000=$A1640),COUNTIF(Candidates!$A$2:$A$2000,$A1640)),""""))"),"")</f>
        <v/>
      </c>
      <c r="W1640" s="64" t="str">
        <f>IFERROR(__xludf.DUMMYFUNCTION("IF($A1640="""","""",IFERROR(INDEX(FILTER(Candidates!$T$2:$T$2000,Candidates!$A$2:$A$2000=$A1640),COUNTIF(Candidates!$A$2:$A$2000,$A1640)),""""))"),"")</f>
        <v/>
      </c>
      <c r="X1640" s="64"/>
      <c r="Y1640" s="64"/>
      <c r="Z1640" s="65"/>
      <c r="AA1640" s="65"/>
      <c r="AB1640" s="65"/>
      <c r="AC1640" s="65"/>
    </row>
    <row r="1641">
      <c r="A1641" s="64"/>
      <c r="B1641" s="64"/>
      <c r="C1641" s="64"/>
      <c r="D1641" s="64"/>
      <c r="E1641" s="64"/>
      <c r="F1641" s="64"/>
      <c r="G1641" s="64"/>
      <c r="H1641" s="63"/>
      <c r="I1641" s="64"/>
      <c r="J1641" s="64"/>
      <c r="K1641" s="64"/>
      <c r="L1641" s="64"/>
      <c r="M1641" s="64"/>
      <c r="N1641" s="64"/>
      <c r="O1641" s="64"/>
      <c r="P1641" s="64"/>
      <c r="Q1641" s="64"/>
      <c r="R1641" s="65" t="str">
        <f>IF($A1641="","",IFERROR(MINIFS(Candidates!$K$2:$K$2000,Candidates!$A$2:$A$2000,$A1641),""))</f>
        <v/>
      </c>
      <c r="S1641" s="65" t="str">
        <f>IF($A1641="","",IFERROR(MAXIFS(Candidates!$AA$2:$AA$2000,Candidates!$A$2:$A$2000,$A1641),""))</f>
        <v/>
      </c>
      <c r="T1641" s="64" t="str">
        <f>IFERROR(__xludf.DUMMYFUNCTION("IF($A1641="""","""",IFERROR(TEXTJOIN("", "",TRUE,UNIQUE(FILTER(Candidates!$B$2:$B$2000,Candidates!$A$2:$A$2000=$A1641))),""""))"),"")</f>
        <v/>
      </c>
      <c r="U1641" s="66" t="str">
        <f>IF($A1641="","",COUNTIF(Candidates!$A$2:$A$2000,$A1641))</f>
        <v/>
      </c>
      <c r="V1641" s="64" t="str">
        <f>IFERROR(__xludf.DUMMYFUNCTION("IF($A1641="""","""",IFERROR(INDEX(FILTER(Candidates!$S$2:$S$2000,Candidates!$A$2:$A$2000=$A1641),COUNTIF(Candidates!$A$2:$A$2000,$A1641)),""""))"),"")</f>
        <v/>
      </c>
      <c r="W1641" s="64" t="str">
        <f>IFERROR(__xludf.DUMMYFUNCTION("IF($A1641="""","""",IFERROR(INDEX(FILTER(Candidates!$T$2:$T$2000,Candidates!$A$2:$A$2000=$A1641),COUNTIF(Candidates!$A$2:$A$2000,$A1641)),""""))"),"")</f>
        <v/>
      </c>
      <c r="X1641" s="64"/>
      <c r="Y1641" s="64"/>
      <c r="Z1641" s="65"/>
      <c r="AA1641" s="65"/>
      <c r="AB1641" s="65"/>
      <c r="AC1641" s="65"/>
    </row>
    <row r="1642">
      <c r="A1642" s="64"/>
      <c r="B1642" s="64"/>
      <c r="C1642" s="64"/>
      <c r="D1642" s="64"/>
      <c r="E1642" s="64"/>
      <c r="F1642" s="64"/>
      <c r="G1642" s="64"/>
      <c r="H1642" s="63"/>
      <c r="I1642" s="64"/>
      <c r="J1642" s="64"/>
      <c r="K1642" s="64"/>
      <c r="L1642" s="64"/>
      <c r="M1642" s="64"/>
      <c r="N1642" s="64"/>
      <c r="O1642" s="64"/>
      <c r="P1642" s="64"/>
      <c r="Q1642" s="64"/>
      <c r="R1642" s="65" t="str">
        <f>IF($A1642="","",IFERROR(MINIFS(Candidates!$K$2:$K$2000,Candidates!$A$2:$A$2000,$A1642),""))</f>
        <v/>
      </c>
      <c r="S1642" s="65" t="str">
        <f>IF($A1642="","",IFERROR(MAXIFS(Candidates!$AA$2:$AA$2000,Candidates!$A$2:$A$2000,$A1642),""))</f>
        <v/>
      </c>
      <c r="T1642" s="64" t="str">
        <f>IFERROR(__xludf.DUMMYFUNCTION("IF($A1642="""","""",IFERROR(TEXTJOIN("", "",TRUE,UNIQUE(FILTER(Candidates!$B$2:$B$2000,Candidates!$A$2:$A$2000=$A1642))),""""))"),"")</f>
        <v/>
      </c>
      <c r="U1642" s="66" t="str">
        <f>IF($A1642="","",COUNTIF(Candidates!$A$2:$A$2000,$A1642))</f>
        <v/>
      </c>
      <c r="V1642" s="64" t="str">
        <f>IFERROR(__xludf.DUMMYFUNCTION("IF($A1642="""","""",IFERROR(INDEX(FILTER(Candidates!$S$2:$S$2000,Candidates!$A$2:$A$2000=$A1642),COUNTIF(Candidates!$A$2:$A$2000,$A1642)),""""))"),"")</f>
        <v/>
      </c>
      <c r="W1642" s="64" t="str">
        <f>IFERROR(__xludf.DUMMYFUNCTION("IF($A1642="""","""",IFERROR(INDEX(FILTER(Candidates!$T$2:$T$2000,Candidates!$A$2:$A$2000=$A1642),COUNTIF(Candidates!$A$2:$A$2000,$A1642)),""""))"),"")</f>
        <v/>
      </c>
      <c r="X1642" s="64"/>
      <c r="Y1642" s="64"/>
      <c r="Z1642" s="65"/>
      <c r="AA1642" s="65"/>
      <c r="AB1642" s="65"/>
      <c r="AC1642" s="65"/>
    </row>
    <row r="1643">
      <c r="A1643" s="64"/>
      <c r="B1643" s="64"/>
      <c r="C1643" s="64"/>
      <c r="D1643" s="64"/>
      <c r="E1643" s="64"/>
      <c r="F1643" s="64"/>
      <c r="G1643" s="64"/>
      <c r="H1643" s="63"/>
      <c r="I1643" s="64"/>
      <c r="J1643" s="64"/>
      <c r="K1643" s="64"/>
      <c r="L1643" s="64"/>
      <c r="M1643" s="64"/>
      <c r="N1643" s="64"/>
      <c r="O1643" s="64"/>
      <c r="P1643" s="64"/>
      <c r="Q1643" s="64"/>
      <c r="R1643" s="65" t="str">
        <f>IF($A1643="","",IFERROR(MINIFS(Candidates!$K$2:$K$2000,Candidates!$A$2:$A$2000,$A1643),""))</f>
        <v/>
      </c>
      <c r="S1643" s="65" t="str">
        <f>IF($A1643="","",IFERROR(MAXIFS(Candidates!$AA$2:$AA$2000,Candidates!$A$2:$A$2000,$A1643),""))</f>
        <v/>
      </c>
      <c r="T1643" s="64" t="str">
        <f>IFERROR(__xludf.DUMMYFUNCTION("IF($A1643="""","""",IFERROR(TEXTJOIN("", "",TRUE,UNIQUE(FILTER(Candidates!$B$2:$B$2000,Candidates!$A$2:$A$2000=$A1643))),""""))"),"")</f>
        <v/>
      </c>
      <c r="U1643" s="66" t="str">
        <f>IF($A1643="","",COUNTIF(Candidates!$A$2:$A$2000,$A1643))</f>
        <v/>
      </c>
      <c r="V1643" s="64" t="str">
        <f>IFERROR(__xludf.DUMMYFUNCTION("IF($A1643="""","""",IFERROR(INDEX(FILTER(Candidates!$S$2:$S$2000,Candidates!$A$2:$A$2000=$A1643),COUNTIF(Candidates!$A$2:$A$2000,$A1643)),""""))"),"")</f>
        <v/>
      </c>
      <c r="W1643" s="64" t="str">
        <f>IFERROR(__xludf.DUMMYFUNCTION("IF($A1643="""","""",IFERROR(INDEX(FILTER(Candidates!$T$2:$T$2000,Candidates!$A$2:$A$2000=$A1643),COUNTIF(Candidates!$A$2:$A$2000,$A1643)),""""))"),"")</f>
        <v/>
      </c>
      <c r="X1643" s="64"/>
      <c r="Y1643" s="64"/>
      <c r="Z1643" s="65"/>
      <c r="AA1643" s="65"/>
      <c r="AB1643" s="65"/>
      <c r="AC1643" s="65"/>
    </row>
    <row r="1644">
      <c r="A1644" s="64"/>
      <c r="B1644" s="64"/>
      <c r="C1644" s="64"/>
      <c r="D1644" s="64"/>
      <c r="E1644" s="64"/>
      <c r="F1644" s="64"/>
      <c r="G1644" s="64"/>
      <c r="H1644" s="63"/>
      <c r="I1644" s="64"/>
      <c r="J1644" s="64"/>
      <c r="K1644" s="64"/>
      <c r="L1644" s="64"/>
      <c r="M1644" s="64"/>
      <c r="N1644" s="64"/>
      <c r="O1644" s="64"/>
      <c r="P1644" s="64"/>
      <c r="Q1644" s="64"/>
      <c r="R1644" s="65" t="str">
        <f>IF($A1644="","",IFERROR(MINIFS(Candidates!$K$2:$K$2000,Candidates!$A$2:$A$2000,$A1644),""))</f>
        <v/>
      </c>
      <c r="S1644" s="65" t="str">
        <f>IF($A1644="","",IFERROR(MAXIFS(Candidates!$AA$2:$AA$2000,Candidates!$A$2:$A$2000,$A1644),""))</f>
        <v/>
      </c>
      <c r="T1644" s="64" t="str">
        <f>IFERROR(__xludf.DUMMYFUNCTION("IF($A1644="""","""",IFERROR(TEXTJOIN("", "",TRUE,UNIQUE(FILTER(Candidates!$B$2:$B$2000,Candidates!$A$2:$A$2000=$A1644))),""""))"),"")</f>
        <v/>
      </c>
      <c r="U1644" s="66" t="str">
        <f>IF($A1644="","",COUNTIF(Candidates!$A$2:$A$2000,$A1644))</f>
        <v/>
      </c>
      <c r="V1644" s="64" t="str">
        <f>IFERROR(__xludf.DUMMYFUNCTION("IF($A1644="""","""",IFERROR(INDEX(FILTER(Candidates!$S$2:$S$2000,Candidates!$A$2:$A$2000=$A1644),COUNTIF(Candidates!$A$2:$A$2000,$A1644)),""""))"),"")</f>
        <v/>
      </c>
      <c r="W1644" s="64" t="str">
        <f>IFERROR(__xludf.DUMMYFUNCTION("IF($A1644="""","""",IFERROR(INDEX(FILTER(Candidates!$T$2:$T$2000,Candidates!$A$2:$A$2000=$A1644),COUNTIF(Candidates!$A$2:$A$2000,$A1644)),""""))"),"")</f>
        <v/>
      </c>
      <c r="X1644" s="64"/>
      <c r="Y1644" s="64"/>
      <c r="Z1644" s="65"/>
      <c r="AA1644" s="65"/>
      <c r="AB1644" s="65"/>
      <c r="AC1644" s="65"/>
    </row>
    <row r="1645">
      <c r="A1645" s="64"/>
      <c r="B1645" s="64"/>
      <c r="C1645" s="64"/>
      <c r="D1645" s="64"/>
      <c r="E1645" s="64"/>
      <c r="F1645" s="64"/>
      <c r="G1645" s="64"/>
      <c r="H1645" s="63"/>
      <c r="I1645" s="64"/>
      <c r="J1645" s="64"/>
      <c r="K1645" s="64"/>
      <c r="L1645" s="64"/>
      <c r="M1645" s="64"/>
      <c r="N1645" s="64"/>
      <c r="O1645" s="64"/>
      <c r="P1645" s="64"/>
      <c r="Q1645" s="64"/>
      <c r="R1645" s="65" t="str">
        <f>IF($A1645="","",IFERROR(MINIFS(Candidates!$K$2:$K$2000,Candidates!$A$2:$A$2000,$A1645),""))</f>
        <v/>
      </c>
      <c r="S1645" s="65" t="str">
        <f>IF($A1645="","",IFERROR(MAXIFS(Candidates!$AA$2:$AA$2000,Candidates!$A$2:$A$2000,$A1645),""))</f>
        <v/>
      </c>
      <c r="T1645" s="64" t="str">
        <f>IFERROR(__xludf.DUMMYFUNCTION("IF($A1645="""","""",IFERROR(TEXTJOIN("", "",TRUE,UNIQUE(FILTER(Candidates!$B$2:$B$2000,Candidates!$A$2:$A$2000=$A1645))),""""))"),"")</f>
        <v/>
      </c>
      <c r="U1645" s="66" t="str">
        <f>IF($A1645="","",COUNTIF(Candidates!$A$2:$A$2000,$A1645))</f>
        <v/>
      </c>
      <c r="V1645" s="64" t="str">
        <f>IFERROR(__xludf.DUMMYFUNCTION("IF($A1645="""","""",IFERROR(INDEX(FILTER(Candidates!$S$2:$S$2000,Candidates!$A$2:$A$2000=$A1645),COUNTIF(Candidates!$A$2:$A$2000,$A1645)),""""))"),"")</f>
        <v/>
      </c>
      <c r="W1645" s="64" t="str">
        <f>IFERROR(__xludf.DUMMYFUNCTION("IF($A1645="""","""",IFERROR(INDEX(FILTER(Candidates!$T$2:$T$2000,Candidates!$A$2:$A$2000=$A1645),COUNTIF(Candidates!$A$2:$A$2000,$A1645)),""""))"),"")</f>
        <v/>
      </c>
      <c r="X1645" s="64"/>
      <c r="Y1645" s="64"/>
      <c r="Z1645" s="65"/>
      <c r="AA1645" s="65"/>
      <c r="AB1645" s="65"/>
      <c r="AC1645" s="65"/>
    </row>
    <row r="1646">
      <c r="A1646" s="64"/>
      <c r="B1646" s="64"/>
      <c r="C1646" s="64"/>
      <c r="D1646" s="64"/>
      <c r="E1646" s="64"/>
      <c r="F1646" s="64"/>
      <c r="G1646" s="64"/>
      <c r="H1646" s="63"/>
      <c r="I1646" s="64"/>
      <c r="J1646" s="64"/>
      <c r="K1646" s="64"/>
      <c r="L1646" s="64"/>
      <c r="M1646" s="64"/>
      <c r="N1646" s="64"/>
      <c r="O1646" s="64"/>
      <c r="P1646" s="64"/>
      <c r="Q1646" s="64"/>
      <c r="R1646" s="65" t="str">
        <f>IF($A1646="","",IFERROR(MINIFS(Candidates!$K$2:$K$2000,Candidates!$A$2:$A$2000,$A1646),""))</f>
        <v/>
      </c>
      <c r="S1646" s="65" t="str">
        <f>IF($A1646="","",IFERROR(MAXIFS(Candidates!$AA$2:$AA$2000,Candidates!$A$2:$A$2000,$A1646),""))</f>
        <v/>
      </c>
      <c r="T1646" s="64" t="str">
        <f>IFERROR(__xludf.DUMMYFUNCTION("IF($A1646="""","""",IFERROR(TEXTJOIN("", "",TRUE,UNIQUE(FILTER(Candidates!$B$2:$B$2000,Candidates!$A$2:$A$2000=$A1646))),""""))"),"")</f>
        <v/>
      </c>
      <c r="U1646" s="66" t="str">
        <f>IF($A1646="","",COUNTIF(Candidates!$A$2:$A$2000,$A1646))</f>
        <v/>
      </c>
      <c r="V1646" s="64" t="str">
        <f>IFERROR(__xludf.DUMMYFUNCTION("IF($A1646="""","""",IFERROR(INDEX(FILTER(Candidates!$S$2:$S$2000,Candidates!$A$2:$A$2000=$A1646),COUNTIF(Candidates!$A$2:$A$2000,$A1646)),""""))"),"")</f>
        <v/>
      </c>
      <c r="W1646" s="64" t="str">
        <f>IFERROR(__xludf.DUMMYFUNCTION("IF($A1646="""","""",IFERROR(INDEX(FILTER(Candidates!$T$2:$T$2000,Candidates!$A$2:$A$2000=$A1646),COUNTIF(Candidates!$A$2:$A$2000,$A1646)),""""))"),"")</f>
        <v/>
      </c>
      <c r="X1646" s="64"/>
      <c r="Y1646" s="64"/>
      <c r="Z1646" s="65"/>
      <c r="AA1646" s="65"/>
      <c r="AB1646" s="65"/>
      <c r="AC1646" s="65"/>
    </row>
    <row r="1647">
      <c r="A1647" s="64"/>
      <c r="B1647" s="64"/>
      <c r="C1647" s="64"/>
      <c r="D1647" s="64"/>
      <c r="E1647" s="64"/>
      <c r="F1647" s="64"/>
      <c r="G1647" s="64"/>
      <c r="H1647" s="63"/>
      <c r="I1647" s="64"/>
      <c r="J1647" s="64"/>
      <c r="K1647" s="64"/>
      <c r="L1647" s="64"/>
      <c r="M1647" s="64"/>
      <c r="N1647" s="64"/>
      <c r="O1647" s="64"/>
      <c r="P1647" s="64"/>
      <c r="Q1647" s="64"/>
      <c r="R1647" s="65" t="str">
        <f>IF($A1647="","",IFERROR(MINIFS(Candidates!$K$2:$K$2000,Candidates!$A$2:$A$2000,$A1647),""))</f>
        <v/>
      </c>
      <c r="S1647" s="65" t="str">
        <f>IF($A1647="","",IFERROR(MAXIFS(Candidates!$AA$2:$AA$2000,Candidates!$A$2:$A$2000,$A1647),""))</f>
        <v/>
      </c>
      <c r="T1647" s="64" t="str">
        <f>IFERROR(__xludf.DUMMYFUNCTION("IF($A1647="""","""",IFERROR(TEXTJOIN("", "",TRUE,UNIQUE(FILTER(Candidates!$B$2:$B$2000,Candidates!$A$2:$A$2000=$A1647))),""""))"),"")</f>
        <v/>
      </c>
      <c r="U1647" s="66" t="str">
        <f>IF($A1647="","",COUNTIF(Candidates!$A$2:$A$2000,$A1647))</f>
        <v/>
      </c>
      <c r="V1647" s="64" t="str">
        <f>IFERROR(__xludf.DUMMYFUNCTION("IF($A1647="""","""",IFERROR(INDEX(FILTER(Candidates!$S$2:$S$2000,Candidates!$A$2:$A$2000=$A1647),COUNTIF(Candidates!$A$2:$A$2000,$A1647)),""""))"),"")</f>
        <v/>
      </c>
      <c r="W1647" s="64" t="str">
        <f>IFERROR(__xludf.DUMMYFUNCTION("IF($A1647="""","""",IFERROR(INDEX(FILTER(Candidates!$T$2:$T$2000,Candidates!$A$2:$A$2000=$A1647),COUNTIF(Candidates!$A$2:$A$2000,$A1647)),""""))"),"")</f>
        <v/>
      </c>
      <c r="X1647" s="64"/>
      <c r="Y1647" s="64"/>
      <c r="Z1647" s="65"/>
      <c r="AA1647" s="65"/>
      <c r="AB1647" s="65"/>
      <c r="AC1647" s="65"/>
    </row>
    <row r="1648">
      <c r="A1648" s="64"/>
      <c r="B1648" s="64"/>
      <c r="C1648" s="64"/>
      <c r="D1648" s="64"/>
      <c r="E1648" s="64"/>
      <c r="F1648" s="64"/>
      <c r="G1648" s="64"/>
      <c r="H1648" s="63"/>
      <c r="I1648" s="64"/>
      <c r="J1648" s="64"/>
      <c r="K1648" s="64"/>
      <c r="L1648" s="64"/>
      <c r="M1648" s="64"/>
      <c r="N1648" s="64"/>
      <c r="O1648" s="64"/>
      <c r="P1648" s="64"/>
      <c r="Q1648" s="64"/>
      <c r="R1648" s="65" t="str">
        <f>IF($A1648="","",IFERROR(MINIFS(Candidates!$K$2:$K$2000,Candidates!$A$2:$A$2000,$A1648),""))</f>
        <v/>
      </c>
      <c r="S1648" s="65" t="str">
        <f>IF($A1648="","",IFERROR(MAXIFS(Candidates!$AA$2:$AA$2000,Candidates!$A$2:$A$2000,$A1648),""))</f>
        <v/>
      </c>
      <c r="T1648" s="64" t="str">
        <f>IFERROR(__xludf.DUMMYFUNCTION("IF($A1648="""","""",IFERROR(TEXTJOIN("", "",TRUE,UNIQUE(FILTER(Candidates!$B$2:$B$2000,Candidates!$A$2:$A$2000=$A1648))),""""))"),"")</f>
        <v/>
      </c>
      <c r="U1648" s="66" t="str">
        <f>IF($A1648="","",COUNTIF(Candidates!$A$2:$A$2000,$A1648))</f>
        <v/>
      </c>
      <c r="V1648" s="64" t="str">
        <f>IFERROR(__xludf.DUMMYFUNCTION("IF($A1648="""","""",IFERROR(INDEX(FILTER(Candidates!$S$2:$S$2000,Candidates!$A$2:$A$2000=$A1648),COUNTIF(Candidates!$A$2:$A$2000,$A1648)),""""))"),"")</f>
        <v/>
      </c>
      <c r="W1648" s="64" t="str">
        <f>IFERROR(__xludf.DUMMYFUNCTION("IF($A1648="""","""",IFERROR(INDEX(FILTER(Candidates!$T$2:$T$2000,Candidates!$A$2:$A$2000=$A1648),COUNTIF(Candidates!$A$2:$A$2000,$A1648)),""""))"),"")</f>
        <v/>
      </c>
      <c r="X1648" s="64"/>
      <c r="Y1648" s="64"/>
      <c r="Z1648" s="65"/>
      <c r="AA1648" s="65"/>
      <c r="AB1648" s="65"/>
      <c r="AC1648" s="65"/>
    </row>
    <row r="1649">
      <c r="A1649" s="64"/>
      <c r="B1649" s="64"/>
      <c r="C1649" s="64"/>
      <c r="D1649" s="64"/>
      <c r="E1649" s="64"/>
      <c r="F1649" s="64"/>
      <c r="G1649" s="64"/>
      <c r="H1649" s="63"/>
      <c r="I1649" s="64"/>
      <c r="J1649" s="64"/>
      <c r="K1649" s="64"/>
      <c r="L1649" s="64"/>
      <c r="M1649" s="64"/>
      <c r="N1649" s="64"/>
      <c r="O1649" s="64"/>
      <c r="P1649" s="64"/>
      <c r="Q1649" s="64"/>
      <c r="R1649" s="65" t="str">
        <f>IF($A1649="","",IFERROR(MINIFS(Candidates!$K$2:$K$2000,Candidates!$A$2:$A$2000,$A1649),""))</f>
        <v/>
      </c>
      <c r="S1649" s="65" t="str">
        <f>IF($A1649="","",IFERROR(MAXIFS(Candidates!$AA$2:$AA$2000,Candidates!$A$2:$A$2000,$A1649),""))</f>
        <v/>
      </c>
      <c r="T1649" s="64" t="str">
        <f>IFERROR(__xludf.DUMMYFUNCTION("IF($A1649="""","""",IFERROR(TEXTJOIN("", "",TRUE,UNIQUE(FILTER(Candidates!$B$2:$B$2000,Candidates!$A$2:$A$2000=$A1649))),""""))"),"")</f>
        <v/>
      </c>
      <c r="U1649" s="66" t="str">
        <f>IF($A1649="","",COUNTIF(Candidates!$A$2:$A$2000,$A1649))</f>
        <v/>
      </c>
      <c r="V1649" s="64" t="str">
        <f>IFERROR(__xludf.DUMMYFUNCTION("IF($A1649="""","""",IFERROR(INDEX(FILTER(Candidates!$S$2:$S$2000,Candidates!$A$2:$A$2000=$A1649),COUNTIF(Candidates!$A$2:$A$2000,$A1649)),""""))"),"")</f>
        <v/>
      </c>
      <c r="W1649" s="64" t="str">
        <f>IFERROR(__xludf.DUMMYFUNCTION("IF($A1649="""","""",IFERROR(INDEX(FILTER(Candidates!$T$2:$T$2000,Candidates!$A$2:$A$2000=$A1649),COUNTIF(Candidates!$A$2:$A$2000,$A1649)),""""))"),"")</f>
        <v/>
      </c>
      <c r="X1649" s="64"/>
      <c r="Y1649" s="64"/>
      <c r="Z1649" s="65"/>
      <c r="AA1649" s="65"/>
      <c r="AB1649" s="65"/>
      <c r="AC1649" s="65"/>
    </row>
    <row r="1650">
      <c r="A1650" s="64"/>
      <c r="B1650" s="64"/>
      <c r="C1650" s="64"/>
      <c r="D1650" s="64"/>
      <c r="E1650" s="64"/>
      <c r="F1650" s="64"/>
      <c r="G1650" s="64"/>
      <c r="H1650" s="63"/>
      <c r="I1650" s="64"/>
      <c r="J1650" s="64"/>
      <c r="K1650" s="64"/>
      <c r="L1650" s="64"/>
      <c r="M1650" s="64"/>
      <c r="N1650" s="64"/>
      <c r="O1650" s="64"/>
      <c r="P1650" s="64"/>
      <c r="Q1650" s="64"/>
      <c r="R1650" s="65" t="str">
        <f>IF($A1650="","",IFERROR(MINIFS(Candidates!$K$2:$K$2000,Candidates!$A$2:$A$2000,$A1650),""))</f>
        <v/>
      </c>
      <c r="S1650" s="65" t="str">
        <f>IF($A1650="","",IFERROR(MAXIFS(Candidates!$AA$2:$AA$2000,Candidates!$A$2:$A$2000,$A1650),""))</f>
        <v/>
      </c>
      <c r="T1650" s="64" t="str">
        <f>IFERROR(__xludf.DUMMYFUNCTION("IF($A1650="""","""",IFERROR(TEXTJOIN("", "",TRUE,UNIQUE(FILTER(Candidates!$B$2:$B$2000,Candidates!$A$2:$A$2000=$A1650))),""""))"),"")</f>
        <v/>
      </c>
      <c r="U1650" s="66" t="str">
        <f>IF($A1650="","",COUNTIF(Candidates!$A$2:$A$2000,$A1650))</f>
        <v/>
      </c>
      <c r="V1650" s="64" t="str">
        <f>IFERROR(__xludf.DUMMYFUNCTION("IF($A1650="""","""",IFERROR(INDEX(FILTER(Candidates!$S$2:$S$2000,Candidates!$A$2:$A$2000=$A1650),COUNTIF(Candidates!$A$2:$A$2000,$A1650)),""""))"),"")</f>
        <v/>
      </c>
      <c r="W1650" s="64" t="str">
        <f>IFERROR(__xludf.DUMMYFUNCTION("IF($A1650="""","""",IFERROR(INDEX(FILTER(Candidates!$T$2:$T$2000,Candidates!$A$2:$A$2000=$A1650),COUNTIF(Candidates!$A$2:$A$2000,$A1650)),""""))"),"")</f>
        <v/>
      </c>
      <c r="X1650" s="64"/>
      <c r="Y1650" s="64"/>
      <c r="Z1650" s="65"/>
      <c r="AA1650" s="65"/>
      <c r="AB1650" s="65"/>
      <c r="AC1650" s="65"/>
    </row>
    <row r="1651">
      <c r="A1651" s="64"/>
      <c r="B1651" s="64"/>
      <c r="C1651" s="64"/>
      <c r="D1651" s="64"/>
      <c r="E1651" s="64"/>
      <c r="F1651" s="64"/>
      <c r="G1651" s="64"/>
      <c r="H1651" s="63"/>
      <c r="I1651" s="64"/>
      <c r="J1651" s="64"/>
      <c r="K1651" s="64"/>
      <c r="L1651" s="64"/>
      <c r="M1651" s="64"/>
      <c r="N1651" s="64"/>
      <c r="O1651" s="64"/>
      <c r="P1651" s="64"/>
      <c r="Q1651" s="64"/>
      <c r="R1651" s="65" t="str">
        <f>IF($A1651="","",IFERROR(MINIFS(Candidates!$K$2:$K$2000,Candidates!$A$2:$A$2000,$A1651),""))</f>
        <v/>
      </c>
      <c r="S1651" s="65" t="str">
        <f>IF($A1651="","",IFERROR(MAXIFS(Candidates!$AA$2:$AA$2000,Candidates!$A$2:$A$2000,$A1651),""))</f>
        <v/>
      </c>
      <c r="T1651" s="64" t="str">
        <f>IFERROR(__xludf.DUMMYFUNCTION("IF($A1651="""","""",IFERROR(TEXTJOIN("", "",TRUE,UNIQUE(FILTER(Candidates!$B$2:$B$2000,Candidates!$A$2:$A$2000=$A1651))),""""))"),"")</f>
        <v/>
      </c>
      <c r="U1651" s="66" t="str">
        <f>IF($A1651="","",COUNTIF(Candidates!$A$2:$A$2000,$A1651))</f>
        <v/>
      </c>
      <c r="V1651" s="64" t="str">
        <f>IFERROR(__xludf.DUMMYFUNCTION("IF($A1651="""","""",IFERROR(INDEX(FILTER(Candidates!$S$2:$S$2000,Candidates!$A$2:$A$2000=$A1651),COUNTIF(Candidates!$A$2:$A$2000,$A1651)),""""))"),"")</f>
        <v/>
      </c>
      <c r="W1651" s="64" t="str">
        <f>IFERROR(__xludf.DUMMYFUNCTION("IF($A1651="""","""",IFERROR(INDEX(FILTER(Candidates!$T$2:$T$2000,Candidates!$A$2:$A$2000=$A1651),COUNTIF(Candidates!$A$2:$A$2000,$A1651)),""""))"),"")</f>
        <v/>
      </c>
      <c r="X1651" s="64"/>
      <c r="Y1651" s="64"/>
      <c r="Z1651" s="65"/>
      <c r="AA1651" s="65"/>
      <c r="AB1651" s="65"/>
      <c r="AC1651" s="65"/>
    </row>
    <row r="1652">
      <c r="A1652" s="64"/>
      <c r="B1652" s="64"/>
      <c r="C1652" s="64"/>
      <c r="D1652" s="64"/>
      <c r="E1652" s="64"/>
      <c r="F1652" s="64"/>
      <c r="G1652" s="64"/>
      <c r="H1652" s="63"/>
      <c r="I1652" s="64"/>
      <c r="J1652" s="64"/>
      <c r="K1652" s="64"/>
      <c r="L1652" s="64"/>
      <c r="M1652" s="64"/>
      <c r="N1652" s="64"/>
      <c r="O1652" s="64"/>
      <c r="P1652" s="64"/>
      <c r="Q1652" s="64"/>
      <c r="R1652" s="65" t="str">
        <f>IF($A1652="","",IFERROR(MINIFS(Candidates!$K$2:$K$2000,Candidates!$A$2:$A$2000,$A1652),""))</f>
        <v/>
      </c>
      <c r="S1652" s="65" t="str">
        <f>IF($A1652="","",IFERROR(MAXIFS(Candidates!$AA$2:$AA$2000,Candidates!$A$2:$A$2000,$A1652),""))</f>
        <v/>
      </c>
      <c r="T1652" s="64" t="str">
        <f>IFERROR(__xludf.DUMMYFUNCTION("IF($A1652="""","""",IFERROR(TEXTJOIN("", "",TRUE,UNIQUE(FILTER(Candidates!$B$2:$B$2000,Candidates!$A$2:$A$2000=$A1652))),""""))"),"")</f>
        <v/>
      </c>
      <c r="U1652" s="66" t="str">
        <f>IF($A1652="","",COUNTIF(Candidates!$A$2:$A$2000,$A1652))</f>
        <v/>
      </c>
      <c r="V1652" s="64" t="str">
        <f>IFERROR(__xludf.DUMMYFUNCTION("IF($A1652="""","""",IFERROR(INDEX(FILTER(Candidates!$S$2:$S$2000,Candidates!$A$2:$A$2000=$A1652),COUNTIF(Candidates!$A$2:$A$2000,$A1652)),""""))"),"")</f>
        <v/>
      </c>
      <c r="W1652" s="64" t="str">
        <f>IFERROR(__xludf.DUMMYFUNCTION("IF($A1652="""","""",IFERROR(INDEX(FILTER(Candidates!$T$2:$T$2000,Candidates!$A$2:$A$2000=$A1652),COUNTIF(Candidates!$A$2:$A$2000,$A1652)),""""))"),"")</f>
        <v/>
      </c>
      <c r="X1652" s="64"/>
      <c r="Y1652" s="64"/>
      <c r="Z1652" s="65"/>
      <c r="AA1652" s="65"/>
      <c r="AB1652" s="65"/>
      <c r="AC1652" s="65"/>
    </row>
    <row r="1653">
      <c r="A1653" s="64"/>
      <c r="B1653" s="64"/>
      <c r="C1653" s="64"/>
      <c r="D1653" s="64"/>
      <c r="E1653" s="64"/>
      <c r="F1653" s="64"/>
      <c r="G1653" s="64"/>
      <c r="H1653" s="63"/>
      <c r="I1653" s="64"/>
      <c r="J1653" s="64"/>
      <c r="K1653" s="64"/>
      <c r="L1653" s="64"/>
      <c r="M1653" s="64"/>
      <c r="N1653" s="64"/>
      <c r="O1653" s="64"/>
      <c r="P1653" s="64"/>
      <c r="Q1653" s="64"/>
      <c r="R1653" s="65" t="str">
        <f>IF($A1653="","",IFERROR(MINIFS(Candidates!$K$2:$K$2000,Candidates!$A$2:$A$2000,$A1653),""))</f>
        <v/>
      </c>
      <c r="S1653" s="65" t="str">
        <f>IF($A1653="","",IFERROR(MAXIFS(Candidates!$AA$2:$AA$2000,Candidates!$A$2:$A$2000,$A1653),""))</f>
        <v/>
      </c>
      <c r="T1653" s="64" t="str">
        <f>IFERROR(__xludf.DUMMYFUNCTION("IF($A1653="""","""",IFERROR(TEXTJOIN("", "",TRUE,UNIQUE(FILTER(Candidates!$B$2:$B$2000,Candidates!$A$2:$A$2000=$A1653))),""""))"),"")</f>
        <v/>
      </c>
      <c r="U1653" s="66" t="str">
        <f>IF($A1653="","",COUNTIF(Candidates!$A$2:$A$2000,$A1653))</f>
        <v/>
      </c>
      <c r="V1653" s="64" t="str">
        <f>IFERROR(__xludf.DUMMYFUNCTION("IF($A1653="""","""",IFERROR(INDEX(FILTER(Candidates!$S$2:$S$2000,Candidates!$A$2:$A$2000=$A1653),COUNTIF(Candidates!$A$2:$A$2000,$A1653)),""""))"),"")</f>
        <v/>
      </c>
      <c r="W1653" s="64" t="str">
        <f>IFERROR(__xludf.DUMMYFUNCTION("IF($A1653="""","""",IFERROR(INDEX(FILTER(Candidates!$T$2:$T$2000,Candidates!$A$2:$A$2000=$A1653),COUNTIF(Candidates!$A$2:$A$2000,$A1653)),""""))"),"")</f>
        <v/>
      </c>
      <c r="X1653" s="64"/>
      <c r="Y1653" s="64"/>
      <c r="Z1653" s="65"/>
      <c r="AA1653" s="65"/>
      <c r="AB1653" s="65"/>
      <c r="AC1653" s="65"/>
    </row>
    <row r="1654">
      <c r="A1654" s="64"/>
      <c r="B1654" s="64"/>
      <c r="C1654" s="64"/>
      <c r="D1654" s="64"/>
      <c r="E1654" s="64"/>
      <c r="F1654" s="64"/>
      <c r="G1654" s="64"/>
      <c r="H1654" s="63"/>
      <c r="I1654" s="64"/>
      <c r="J1654" s="64"/>
      <c r="K1654" s="64"/>
      <c r="L1654" s="64"/>
      <c r="M1654" s="64"/>
      <c r="N1654" s="64"/>
      <c r="O1654" s="64"/>
      <c r="P1654" s="64"/>
      <c r="Q1654" s="64"/>
      <c r="R1654" s="65" t="str">
        <f>IF($A1654="","",IFERROR(MINIFS(Candidates!$K$2:$K$2000,Candidates!$A$2:$A$2000,$A1654),""))</f>
        <v/>
      </c>
      <c r="S1654" s="65" t="str">
        <f>IF($A1654="","",IFERROR(MAXIFS(Candidates!$AA$2:$AA$2000,Candidates!$A$2:$A$2000,$A1654),""))</f>
        <v/>
      </c>
      <c r="T1654" s="64" t="str">
        <f>IFERROR(__xludf.DUMMYFUNCTION("IF($A1654="""","""",IFERROR(TEXTJOIN("", "",TRUE,UNIQUE(FILTER(Candidates!$B$2:$B$2000,Candidates!$A$2:$A$2000=$A1654))),""""))"),"")</f>
        <v/>
      </c>
      <c r="U1654" s="66" t="str">
        <f>IF($A1654="","",COUNTIF(Candidates!$A$2:$A$2000,$A1654))</f>
        <v/>
      </c>
      <c r="V1654" s="64" t="str">
        <f>IFERROR(__xludf.DUMMYFUNCTION("IF($A1654="""","""",IFERROR(INDEX(FILTER(Candidates!$S$2:$S$2000,Candidates!$A$2:$A$2000=$A1654),COUNTIF(Candidates!$A$2:$A$2000,$A1654)),""""))"),"")</f>
        <v/>
      </c>
      <c r="W1654" s="64" t="str">
        <f>IFERROR(__xludf.DUMMYFUNCTION("IF($A1654="""","""",IFERROR(INDEX(FILTER(Candidates!$T$2:$T$2000,Candidates!$A$2:$A$2000=$A1654),COUNTIF(Candidates!$A$2:$A$2000,$A1654)),""""))"),"")</f>
        <v/>
      </c>
      <c r="X1654" s="64"/>
      <c r="Y1654" s="64"/>
      <c r="Z1654" s="65"/>
      <c r="AA1654" s="65"/>
      <c r="AB1654" s="65"/>
      <c r="AC1654" s="65"/>
    </row>
    <row r="1655">
      <c r="A1655" s="64"/>
      <c r="B1655" s="64"/>
      <c r="C1655" s="64"/>
      <c r="D1655" s="64"/>
      <c r="E1655" s="64"/>
      <c r="F1655" s="64"/>
      <c r="G1655" s="64"/>
      <c r="H1655" s="63"/>
      <c r="I1655" s="64"/>
      <c r="J1655" s="64"/>
      <c r="K1655" s="64"/>
      <c r="L1655" s="64"/>
      <c r="M1655" s="64"/>
      <c r="N1655" s="64"/>
      <c r="O1655" s="64"/>
      <c r="P1655" s="64"/>
      <c r="Q1655" s="64"/>
      <c r="R1655" s="65" t="str">
        <f>IF($A1655="","",IFERROR(MINIFS(Candidates!$K$2:$K$2000,Candidates!$A$2:$A$2000,$A1655),""))</f>
        <v/>
      </c>
      <c r="S1655" s="65" t="str">
        <f>IF($A1655="","",IFERROR(MAXIFS(Candidates!$AA$2:$AA$2000,Candidates!$A$2:$A$2000,$A1655),""))</f>
        <v/>
      </c>
      <c r="T1655" s="64" t="str">
        <f>IFERROR(__xludf.DUMMYFUNCTION("IF($A1655="""","""",IFERROR(TEXTJOIN("", "",TRUE,UNIQUE(FILTER(Candidates!$B$2:$B$2000,Candidates!$A$2:$A$2000=$A1655))),""""))"),"")</f>
        <v/>
      </c>
      <c r="U1655" s="66" t="str">
        <f>IF($A1655="","",COUNTIF(Candidates!$A$2:$A$2000,$A1655))</f>
        <v/>
      </c>
      <c r="V1655" s="64" t="str">
        <f>IFERROR(__xludf.DUMMYFUNCTION("IF($A1655="""","""",IFERROR(INDEX(FILTER(Candidates!$S$2:$S$2000,Candidates!$A$2:$A$2000=$A1655),COUNTIF(Candidates!$A$2:$A$2000,$A1655)),""""))"),"")</f>
        <v/>
      </c>
      <c r="W1655" s="64" t="str">
        <f>IFERROR(__xludf.DUMMYFUNCTION("IF($A1655="""","""",IFERROR(INDEX(FILTER(Candidates!$T$2:$T$2000,Candidates!$A$2:$A$2000=$A1655),COUNTIF(Candidates!$A$2:$A$2000,$A1655)),""""))"),"")</f>
        <v/>
      </c>
      <c r="X1655" s="64"/>
      <c r="Y1655" s="64"/>
      <c r="Z1655" s="65"/>
      <c r="AA1655" s="65"/>
      <c r="AB1655" s="65"/>
      <c r="AC1655" s="65"/>
    </row>
    <row r="1656">
      <c r="A1656" s="64"/>
      <c r="B1656" s="64"/>
      <c r="C1656" s="64"/>
      <c r="D1656" s="64"/>
      <c r="E1656" s="64"/>
      <c r="F1656" s="64"/>
      <c r="G1656" s="64"/>
      <c r="H1656" s="63"/>
      <c r="I1656" s="64"/>
      <c r="J1656" s="64"/>
      <c r="K1656" s="64"/>
      <c r="L1656" s="64"/>
      <c r="M1656" s="64"/>
      <c r="N1656" s="64"/>
      <c r="O1656" s="64"/>
      <c r="P1656" s="64"/>
      <c r="Q1656" s="64"/>
      <c r="R1656" s="65" t="str">
        <f>IF($A1656="","",IFERROR(MINIFS(Candidates!$K$2:$K$2000,Candidates!$A$2:$A$2000,$A1656),""))</f>
        <v/>
      </c>
      <c r="S1656" s="65" t="str">
        <f>IF($A1656="","",IFERROR(MAXIFS(Candidates!$AA$2:$AA$2000,Candidates!$A$2:$A$2000,$A1656),""))</f>
        <v/>
      </c>
      <c r="T1656" s="64" t="str">
        <f>IFERROR(__xludf.DUMMYFUNCTION("IF($A1656="""","""",IFERROR(TEXTJOIN("", "",TRUE,UNIQUE(FILTER(Candidates!$B$2:$B$2000,Candidates!$A$2:$A$2000=$A1656))),""""))"),"")</f>
        <v/>
      </c>
      <c r="U1656" s="66" t="str">
        <f>IF($A1656="","",COUNTIF(Candidates!$A$2:$A$2000,$A1656))</f>
        <v/>
      </c>
      <c r="V1656" s="64" t="str">
        <f>IFERROR(__xludf.DUMMYFUNCTION("IF($A1656="""","""",IFERROR(INDEX(FILTER(Candidates!$S$2:$S$2000,Candidates!$A$2:$A$2000=$A1656),COUNTIF(Candidates!$A$2:$A$2000,$A1656)),""""))"),"")</f>
        <v/>
      </c>
      <c r="W1656" s="64" t="str">
        <f>IFERROR(__xludf.DUMMYFUNCTION("IF($A1656="""","""",IFERROR(INDEX(FILTER(Candidates!$T$2:$T$2000,Candidates!$A$2:$A$2000=$A1656),COUNTIF(Candidates!$A$2:$A$2000,$A1656)),""""))"),"")</f>
        <v/>
      </c>
      <c r="X1656" s="64"/>
      <c r="Y1656" s="64"/>
      <c r="Z1656" s="65"/>
      <c r="AA1656" s="65"/>
      <c r="AB1656" s="65"/>
      <c r="AC1656" s="65"/>
    </row>
    <row r="1657">
      <c r="A1657" s="64"/>
      <c r="B1657" s="64"/>
      <c r="C1657" s="64"/>
      <c r="D1657" s="64"/>
      <c r="E1657" s="64"/>
      <c r="F1657" s="64"/>
      <c r="G1657" s="64"/>
      <c r="H1657" s="63"/>
      <c r="I1657" s="64"/>
      <c r="J1657" s="64"/>
      <c r="K1657" s="64"/>
      <c r="L1657" s="64"/>
      <c r="M1657" s="64"/>
      <c r="N1657" s="64"/>
      <c r="O1657" s="64"/>
      <c r="P1657" s="64"/>
      <c r="Q1657" s="64"/>
      <c r="R1657" s="65" t="str">
        <f>IF($A1657="","",IFERROR(MINIFS(Candidates!$K$2:$K$2000,Candidates!$A$2:$A$2000,$A1657),""))</f>
        <v/>
      </c>
      <c r="S1657" s="65" t="str">
        <f>IF($A1657="","",IFERROR(MAXIFS(Candidates!$AA$2:$AA$2000,Candidates!$A$2:$A$2000,$A1657),""))</f>
        <v/>
      </c>
      <c r="T1657" s="64" t="str">
        <f>IFERROR(__xludf.DUMMYFUNCTION("IF($A1657="""","""",IFERROR(TEXTJOIN("", "",TRUE,UNIQUE(FILTER(Candidates!$B$2:$B$2000,Candidates!$A$2:$A$2000=$A1657))),""""))"),"")</f>
        <v/>
      </c>
      <c r="U1657" s="66" t="str">
        <f>IF($A1657="","",COUNTIF(Candidates!$A$2:$A$2000,$A1657))</f>
        <v/>
      </c>
      <c r="V1657" s="64" t="str">
        <f>IFERROR(__xludf.DUMMYFUNCTION("IF($A1657="""","""",IFERROR(INDEX(FILTER(Candidates!$S$2:$S$2000,Candidates!$A$2:$A$2000=$A1657),COUNTIF(Candidates!$A$2:$A$2000,$A1657)),""""))"),"")</f>
        <v/>
      </c>
      <c r="W1657" s="64" t="str">
        <f>IFERROR(__xludf.DUMMYFUNCTION("IF($A1657="""","""",IFERROR(INDEX(FILTER(Candidates!$T$2:$T$2000,Candidates!$A$2:$A$2000=$A1657),COUNTIF(Candidates!$A$2:$A$2000,$A1657)),""""))"),"")</f>
        <v/>
      </c>
      <c r="X1657" s="64"/>
      <c r="Y1657" s="64"/>
      <c r="Z1657" s="65"/>
      <c r="AA1657" s="65"/>
      <c r="AB1657" s="65"/>
      <c r="AC1657" s="65"/>
    </row>
    <row r="1658">
      <c r="A1658" s="64"/>
      <c r="B1658" s="64"/>
      <c r="C1658" s="64"/>
      <c r="D1658" s="64"/>
      <c r="E1658" s="64"/>
      <c r="F1658" s="64"/>
      <c r="G1658" s="64"/>
      <c r="H1658" s="63"/>
      <c r="I1658" s="64"/>
      <c r="J1658" s="64"/>
      <c r="K1658" s="64"/>
      <c r="L1658" s="64"/>
      <c r="M1658" s="64"/>
      <c r="N1658" s="64"/>
      <c r="O1658" s="64"/>
      <c r="P1658" s="64"/>
      <c r="Q1658" s="64"/>
      <c r="R1658" s="65" t="str">
        <f>IF($A1658="","",IFERROR(MINIFS(Candidates!$K$2:$K$2000,Candidates!$A$2:$A$2000,$A1658),""))</f>
        <v/>
      </c>
      <c r="S1658" s="65" t="str">
        <f>IF($A1658="","",IFERROR(MAXIFS(Candidates!$AA$2:$AA$2000,Candidates!$A$2:$A$2000,$A1658),""))</f>
        <v/>
      </c>
      <c r="T1658" s="64" t="str">
        <f>IFERROR(__xludf.DUMMYFUNCTION("IF($A1658="""","""",IFERROR(TEXTJOIN("", "",TRUE,UNIQUE(FILTER(Candidates!$B$2:$B$2000,Candidates!$A$2:$A$2000=$A1658))),""""))"),"")</f>
        <v/>
      </c>
      <c r="U1658" s="66" t="str">
        <f>IF($A1658="","",COUNTIF(Candidates!$A$2:$A$2000,$A1658))</f>
        <v/>
      </c>
      <c r="V1658" s="64" t="str">
        <f>IFERROR(__xludf.DUMMYFUNCTION("IF($A1658="""","""",IFERROR(INDEX(FILTER(Candidates!$S$2:$S$2000,Candidates!$A$2:$A$2000=$A1658),COUNTIF(Candidates!$A$2:$A$2000,$A1658)),""""))"),"")</f>
        <v/>
      </c>
      <c r="W1658" s="64" t="str">
        <f>IFERROR(__xludf.DUMMYFUNCTION("IF($A1658="""","""",IFERROR(INDEX(FILTER(Candidates!$T$2:$T$2000,Candidates!$A$2:$A$2000=$A1658),COUNTIF(Candidates!$A$2:$A$2000,$A1658)),""""))"),"")</f>
        <v/>
      </c>
      <c r="X1658" s="64"/>
      <c r="Y1658" s="64"/>
      <c r="Z1658" s="65"/>
      <c r="AA1658" s="65"/>
      <c r="AB1658" s="65"/>
      <c r="AC1658" s="65"/>
    </row>
    <row r="1659">
      <c r="A1659" s="64"/>
      <c r="B1659" s="64"/>
      <c r="C1659" s="64"/>
      <c r="D1659" s="64"/>
      <c r="E1659" s="64"/>
      <c r="F1659" s="64"/>
      <c r="G1659" s="64"/>
      <c r="H1659" s="63"/>
      <c r="I1659" s="64"/>
      <c r="J1659" s="64"/>
      <c r="K1659" s="64"/>
      <c r="L1659" s="64"/>
      <c r="M1659" s="64"/>
      <c r="N1659" s="64"/>
      <c r="O1659" s="64"/>
      <c r="P1659" s="64"/>
      <c r="Q1659" s="64"/>
      <c r="R1659" s="65" t="str">
        <f>IF($A1659="","",IFERROR(MINIFS(Candidates!$K$2:$K$2000,Candidates!$A$2:$A$2000,$A1659),""))</f>
        <v/>
      </c>
      <c r="S1659" s="65" t="str">
        <f>IF($A1659="","",IFERROR(MAXIFS(Candidates!$AA$2:$AA$2000,Candidates!$A$2:$A$2000,$A1659),""))</f>
        <v/>
      </c>
      <c r="T1659" s="64" t="str">
        <f>IFERROR(__xludf.DUMMYFUNCTION("IF($A1659="""","""",IFERROR(TEXTJOIN("", "",TRUE,UNIQUE(FILTER(Candidates!$B$2:$B$2000,Candidates!$A$2:$A$2000=$A1659))),""""))"),"")</f>
        <v/>
      </c>
      <c r="U1659" s="66" t="str">
        <f>IF($A1659="","",COUNTIF(Candidates!$A$2:$A$2000,$A1659))</f>
        <v/>
      </c>
      <c r="V1659" s="64" t="str">
        <f>IFERROR(__xludf.DUMMYFUNCTION("IF($A1659="""","""",IFERROR(INDEX(FILTER(Candidates!$S$2:$S$2000,Candidates!$A$2:$A$2000=$A1659),COUNTIF(Candidates!$A$2:$A$2000,$A1659)),""""))"),"")</f>
        <v/>
      </c>
      <c r="W1659" s="64" t="str">
        <f>IFERROR(__xludf.DUMMYFUNCTION("IF($A1659="""","""",IFERROR(INDEX(FILTER(Candidates!$T$2:$T$2000,Candidates!$A$2:$A$2000=$A1659),COUNTIF(Candidates!$A$2:$A$2000,$A1659)),""""))"),"")</f>
        <v/>
      </c>
      <c r="X1659" s="64"/>
      <c r="Y1659" s="64"/>
      <c r="Z1659" s="65"/>
      <c r="AA1659" s="65"/>
      <c r="AB1659" s="65"/>
      <c r="AC1659" s="65"/>
    </row>
    <row r="1660">
      <c r="A1660" s="64"/>
      <c r="B1660" s="64"/>
      <c r="C1660" s="64"/>
      <c r="D1660" s="64"/>
      <c r="E1660" s="64"/>
      <c r="F1660" s="64"/>
      <c r="G1660" s="64"/>
      <c r="H1660" s="63"/>
      <c r="I1660" s="64"/>
      <c r="J1660" s="64"/>
      <c r="K1660" s="64"/>
      <c r="L1660" s="64"/>
      <c r="M1660" s="64"/>
      <c r="N1660" s="64"/>
      <c r="O1660" s="64"/>
      <c r="P1660" s="64"/>
      <c r="Q1660" s="64"/>
      <c r="R1660" s="65" t="str">
        <f>IF($A1660="","",IFERROR(MINIFS(Candidates!$K$2:$K$2000,Candidates!$A$2:$A$2000,$A1660),""))</f>
        <v/>
      </c>
      <c r="S1660" s="65" t="str">
        <f>IF($A1660="","",IFERROR(MAXIFS(Candidates!$AA$2:$AA$2000,Candidates!$A$2:$A$2000,$A1660),""))</f>
        <v/>
      </c>
      <c r="T1660" s="64" t="str">
        <f>IFERROR(__xludf.DUMMYFUNCTION("IF($A1660="""","""",IFERROR(TEXTJOIN("", "",TRUE,UNIQUE(FILTER(Candidates!$B$2:$B$2000,Candidates!$A$2:$A$2000=$A1660))),""""))"),"")</f>
        <v/>
      </c>
      <c r="U1660" s="66" t="str">
        <f>IF($A1660="","",COUNTIF(Candidates!$A$2:$A$2000,$A1660))</f>
        <v/>
      </c>
      <c r="V1660" s="64" t="str">
        <f>IFERROR(__xludf.DUMMYFUNCTION("IF($A1660="""","""",IFERROR(INDEX(FILTER(Candidates!$S$2:$S$2000,Candidates!$A$2:$A$2000=$A1660),COUNTIF(Candidates!$A$2:$A$2000,$A1660)),""""))"),"")</f>
        <v/>
      </c>
      <c r="W1660" s="64" t="str">
        <f>IFERROR(__xludf.DUMMYFUNCTION("IF($A1660="""","""",IFERROR(INDEX(FILTER(Candidates!$T$2:$T$2000,Candidates!$A$2:$A$2000=$A1660),COUNTIF(Candidates!$A$2:$A$2000,$A1660)),""""))"),"")</f>
        <v/>
      </c>
      <c r="X1660" s="64"/>
      <c r="Y1660" s="64"/>
      <c r="Z1660" s="65"/>
      <c r="AA1660" s="65"/>
      <c r="AB1660" s="65"/>
      <c r="AC1660" s="65"/>
    </row>
    <row r="1661">
      <c r="A1661" s="64"/>
      <c r="B1661" s="64"/>
      <c r="C1661" s="64"/>
      <c r="D1661" s="64"/>
      <c r="E1661" s="64"/>
      <c r="F1661" s="64"/>
      <c r="G1661" s="64"/>
      <c r="H1661" s="63"/>
      <c r="I1661" s="64"/>
      <c r="J1661" s="64"/>
      <c r="K1661" s="64"/>
      <c r="L1661" s="64"/>
      <c r="M1661" s="64"/>
      <c r="N1661" s="64"/>
      <c r="O1661" s="64"/>
      <c r="P1661" s="64"/>
      <c r="Q1661" s="64"/>
      <c r="R1661" s="65" t="str">
        <f>IF($A1661="","",IFERROR(MINIFS(Candidates!$K$2:$K$2000,Candidates!$A$2:$A$2000,$A1661),""))</f>
        <v/>
      </c>
      <c r="S1661" s="65" t="str">
        <f>IF($A1661="","",IFERROR(MAXIFS(Candidates!$AA$2:$AA$2000,Candidates!$A$2:$A$2000,$A1661),""))</f>
        <v/>
      </c>
      <c r="T1661" s="64" t="str">
        <f>IFERROR(__xludf.DUMMYFUNCTION("IF($A1661="""","""",IFERROR(TEXTJOIN("", "",TRUE,UNIQUE(FILTER(Candidates!$B$2:$B$2000,Candidates!$A$2:$A$2000=$A1661))),""""))"),"")</f>
        <v/>
      </c>
      <c r="U1661" s="66" t="str">
        <f>IF($A1661="","",COUNTIF(Candidates!$A$2:$A$2000,$A1661))</f>
        <v/>
      </c>
      <c r="V1661" s="64" t="str">
        <f>IFERROR(__xludf.DUMMYFUNCTION("IF($A1661="""","""",IFERROR(INDEX(FILTER(Candidates!$S$2:$S$2000,Candidates!$A$2:$A$2000=$A1661),COUNTIF(Candidates!$A$2:$A$2000,$A1661)),""""))"),"")</f>
        <v/>
      </c>
      <c r="W1661" s="64" t="str">
        <f>IFERROR(__xludf.DUMMYFUNCTION("IF($A1661="""","""",IFERROR(INDEX(FILTER(Candidates!$T$2:$T$2000,Candidates!$A$2:$A$2000=$A1661),COUNTIF(Candidates!$A$2:$A$2000,$A1661)),""""))"),"")</f>
        <v/>
      </c>
      <c r="X1661" s="64"/>
      <c r="Y1661" s="64"/>
      <c r="Z1661" s="65"/>
      <c r="AA1661" s="65"/>
      <c r="AB1661" s="65"/>
      <c r="AC1661" s="65"/>
    </row>
    <row r="1662">
      <c r="A1662" s="64"/>
      <c r="B1662" s="64"/>
      <c r="C1662" s="64"/>
      <c r="D1662" s="64"/>
      <c r="E1662" s="64"/>
      <c r="F1662" s="64"/>
      <c r="G1662" s="64"/>
      <c r="H1662" s="63"/>
      <c r="I1662" s="64"/>
      <c r="J1662" s="64"/>
      <c r="K1662" s="64"/>
      <c r="L1662" s="64"/>
      <c r="M1662" s="64"/>
      <c r="N1662" s="64"/>
      <c r="O1662" s="64"/>
      <c r="P1662" s="64"/>
      <c r="Q1662" s="64"/>
      <c r="R1662" s="65" t="str">
        <f>IF($A1662="","",IFERROR(MINIFS(Candidates!$K$2:$K$2000,Candidates!$A$2:$A$2000,$A1662),""))</f>
        <v/>
      </c>
      <c r="S1662" s="65" t="str">
        <f>IF($A1662="","",IFERROR(MAXIFS(Candidates!$AA$2:$AA$2000,Candidates!$A$2:$A$2000,$A1662),""))</f>
        <v/>
      </c>
      <c r="T1662" s="64" t="str">
        <f>IFERROR(__xludf.DUMMYFUNCTION("IF($A1662="""","""",IFERROR(TEXTJOIN("", "",TRUE,UNIQUE(FILTER(Candidates!$B$2:$B$2000,Candidates!$A$2:$A$2000=$A1662))),""""))"),"")</f>
        <v/>
      </c>
      <c r="U1662" s="66" t="str">
        <f>IF($A1662="","",COUNTIF(Candidates!$A$2:$A$2000,$A1662))</f>
        <v/>
      </c>
      <c r="V1662" s="64" t="str">
        <f>IFERROR(__xludf.DUMMYFUNCTION("IF($A1662="""","""",IFERROR(INDEX(FILTER(Candidates!$S$2:$S$2000,Candidates!$A$2:$A$2000=$A1662),COUNTIF(Candidates!$A$2:$A$2000,$A1662)),""""))"),"")</f>
        <v/>
      </c>
      <c r="W1662" s="64" t="str">
        <f>IFERROR(__xludf.DUMMYFUNCTION("IF($A1662="""","""",IFERROR(INDEX(FILTER(Candidates!$T$2:$T$2000,Candidates!$A$2:$A$2000=$A1662),COUNTIF(Candidates!$A$2:$A$2000,$A1662)),""""))"),"")</f>
        <v/>
      </c>
      <c r="X1662" s="64"/>
      <c r="Y1662" s="64"/>
      <c r="Z1662" s="65"/>
      <c r="AA1662" s="65"/>
      <c r="AB1662" s="65"/>
      <c r="AC1662" s="65"/>
    </row>
    <row r="1663">
      <c r="A1663" s="64"/>
      <c r="B1663" s="64"/>
      <c r="C1663" s="64"/>
      <c r="D1663" s="64"/>
      <c r="E1663" s="64"/>
      <c r="F1663" s="64"/>
      <c r="G1663" s="64"/>
      <c r="H1663" s="63"/>
      <c r="I1663" s="64"/>
      <c r="J1663" s="64"/>
      <c r="K1663" s="64"/>
      <c r="L1663" s="64"/>
      <c r="M1663" s="64"/>
      <c r="N1663" s="64"/>
      <c r="O1663" s="64"/>
      <c r="P1663" s="64"/>
      <c r="Q1663" s="64"/>
      <c r="R1663" s="65" t="str">
        <f>IF($A1663="","",IFERROR(MINIFS(Candidates!$K$2:$K$2000,Candidates!$A$2:$A$2000,$A1663),""))</f>
        <v/>
      </c>
      <c r="S1663" s="65" t="str">
        <f>IF($A1663="","",IFERROR(MAXIFS(Candidates!$AA$2:$AA$2000,Candidates!$A$2:$A$2000,$A1663),""))</f>
        <v/>
      </c>
      <c r="T1663" s="64" t="str">
        <f>IFERROR(__xludf.DUMMYFUNCTION("IF($A1663="""","""",IFERROR(TEXTJOIN("", "",TRUE,UNIQUE(FILTER(Candidates!$B$2:$B$2000,Candidates!$A$2:$A$2000=$A1663))),""""))"),"")</f>
        <v/>
      </c>
      <c r="U1663" s="66" t="str">
        <f>IF($A1663="","",COUNTIF(Candidates!$A$2:$A$2000,$A1663))</f>
        <v/>
      </c>
      <c r="V1663" s="64" t="str">
        <f>IFERROR(__xludf.DUMMYFUNCTION("IF($A1663="""","""",IFERROR(INDEX(FILTER(Candidates!$S$2:$S$2000,Candidates!$A$2:$A$2000=$A1663),COUNTIF(Candidates!$A$2:$A$2000,$A1663)),""""))"),"")</f>
        <v/>
      </c>
      <c r="W1663" s="64" t="str">
        <f>IFERROR(__xludf.DUMMYFUNCTION("IF($A1663="""","""",IFERROR(INDEX(FILTER(Candidates!$T$2:$T$2000,Candidates!$A$2:$A$2000=$A1663),COUNTIF(Candidates!$A$2:$A$2000,$A1663)),""""))"),"")</f>
        <v/>
      </c>
      <c r="X1663" s="64"/>
      <c r="Y1663" s="64"/>
      <c r="Z1663" s="65"/>
      <c r="AA1663" s="65"/>
      <c r="AB1663" s="65"/>
      <c r="AC1663" s="65"/>
    </row>
    <row r="1664">
      <c r="A1664" s="64"/>
      <c r="B1664" s="64"/>
      <c r="C1664" s="64"/>
      <c r="D1664" s="64"/>
      <c r="E1664" s="64"/>
      <c r="F1664" s="64"/>
      <c r="G1664" s="64"/>
      <c r="H1664" s="63"/>
      <c r="I1664" s="64"/>
      <c r="J1664" s="64"/>
      <c r="K1664" s="64"/>
      <c r="L1664" s="64"/>
      <c r="M1664" s="64"/>
      <c r="N1664" s="64"/>
      <c r="O1664" s="64"/>
      <c r="P1664" s="64"/>
      <c r="Q1664" s="64"/>
      <c r="R1664" s="65" t="str">
        <f>IF($A1664="","",IFERROR(MINIFS(Candidates!$K$2:$K$2000,Candidates!$A$2:$A$2000,$A1664),""))</f>
        <v/>
      </c>
      <c r="S1664" s="65" t="str">
        <f>IF($A1664="","",IFERROR(MAXIFS(Candidates!$AA$2:$AA$2000,Candidates!$A$2:$A$2000,$A1664),""))</f>
        <v/>
      </c>
      <c r="T1664" s="64" t="str">
        <f>IFERROR(__xludf.DUMMYFUNCTION("IF($A1664="""","""",IFERROR(TEXTJOIN("", "",TRUE,UNIQUE(FILTER(Candidates!$B$2:$B$2000,Candidates!$A$2:$A$2000=$A1664))),""""))"),"")</f>
        <v/>
      </c>
      <c r="U1664" s="66" t="str">
        <f>IF($A1664="","",COUNTIF(Candidates!$A$2:$A$2000,$A1664))</f>
        <v/>
      </c>
      <c r="V1664" s="64" t="str">
        <f>IFERROR(__xludf.DUMMYFUNCTION("IF($A1664="""","""",IFERROR(INDEX(FILTER(Candidates!$S$2:$S$2000,Candidates!$A$2:$A$2000=$A1664),COUNTIF(Candidates!$A$2:$A$2000,$A1664)),""""))"),"")</f>
        <v/>
      </c>
      <c r="W1664" s="64" t="str">
        <f>IFERROR(__xludf.DUMMYFUNCTION("IF($A1664="""","""",IFERROR(INDEX(FILTER(Candidates!$T$2:$T$2000,Candidates!$A$2:$A$2000=$A1664),COUNTIF(Candidates!$A$2:$A$2000,$A1664)),""""))"),"")</f>
        <v/>
      </c>
      <c r="X1664" s="64"/>
      <c r="Y1664" s="64"/>
      <c r="Z1664" s="65"/>
      <c r="AA1664" s="65"/>
      <c r="AB1664" s="65"/>
      <c r="AC1664" s="65"/>
    </row>
    <row r="1665">
      <c r="A1665" s="64"/>
      <c r="B1665" s="64"/>
      <c r="C1665" s="64"/>
      <c r="D1665" s="64"/>
      <c r="E1665" s="64"/>
      <c r="F1665" s="64"/>
      <c r="G1665" s="64"/>
      <c r="H1665" s="63"/>
      <c r="I1665" s="64"/>
      <c r="J1665" s="64"/>
      <c r="K1665" s="64"/>
      <c r="L1665" s="64"/>
      <c r="M1665" s="64"/>
      <c r="N1665" s="64"/>
      <c r="O1665" s="64"/>
      <c r="P1665" s="64"/>
      <c r="Q1665" s="64"/>
      <c r="R1665" s="65" t="str">
        <f>IF($A1665="","",IFERROR(MINIFS(Candidates!$K$2:$K$2000,Candidates!$A$2:$A$2000,$A1665),""))</f>
        <v/>
      </c>
      <c r="S1665" s="65" t="str">
        <f>IF($A1665="","",IFERROR(MAXIFS(Candidates!$AA$2:$AA$2000,Candidates!$A$2:$A$2000,$A1665),""))</f>
        <v/>
      </c>
      <c r="T1665" s="64" t="str">
        <f>IFERROR(__xludf.DUMMYFUNCTION("IF($A1665="""","""",IFERROR(TEXTJOIN("", "",TRUE,UNIQUE(FILTER(Candidates!$B$2:$B$2000,Candidates!$A$2:$A$2000=$A1665))),""""))"),"")</f>
        <v/>
      </c>
      <c r="U1665" s="66" t="str">
        <f>IF($A1665="","",COUNTIF(Candidates!$A$2:$A$2000,$A1665))</f>
        <v/>
      </c>
      <c r="V1665" s="64" t="str">
        <f>IFERROR(__xludf.DUMMYFUNCTION("IF($A1665="""","""",IFERROR(INDEX(FILTER(Candidates!$S$2:$S$2000,Candidates!$A$2:$A$2000=$A1665),COUNTIF(Candidates!$A$2:$A$2000,$A1665)),""""))"),"")</f>
        <v/>
      </c>
      <c r="W1665" s="64" t="str">
        <f>IFERROR(__xludf.DUMMYFUNCTION("IF($A1665="""","""",IFERROR(INDEX(FILTER(Candidates!$T$2:$T$2000,Candidates!$A$2:$A$2000=$A1665),COUNTIF(Candidates!$A$2:$A$2000,$A1665)),""""))"),"")</f>
        <v/>
      </c>
      <c r="X1665" s="64"/>
      <c r="Y1665" s="64"/>
      <c r="Z1665" s="65"/>
      <c r="AA1665" s="65"/>
      <c r="AB1665" s="65"/>
      <c r="AC1665" s="65"/>
    </row>
    <row r="1666">
      <c r="A1666" s="64"/>
      <c r="B1666" s="64"/>
      <c r="C1666" s="64"/>
      <c r="D1666" s="64"/>
      <c r="E1666" s="64"/>
      <c r="F1666" s="64"/>
      <c r="G1666" s="64"/>
      <c r="H1666" s="63"/>
      <c r="I1666" s="64"/>
      <c r="J1666" s="64"/>
      <c r="K1666" s="64"/>
      <c r="L1666" s="64"/>
      <c r="M1666" s="64"/>
      <c r="N1666" s="64"/>
      <c r="O1666" s="64"/>
      <c r="P1666" s="64"/>
      <c r="Q1666" s="64"/>
      <c r="R1666" s="65" t="str">
        <f>IF($A1666="","",IFERROR(MINIFS(Candidates!$K$2:$K$2000,Candidates!$A$2:$A$2000,$A1666),""))</f>
        <v/>
      </c>
      <c r="S1666" s="65" t="str">
        <f>IF($A1666="","",IFERROR(MAXIFS(Candidates!$AA$2:$AA$2000,Candidates!$A$2:$A$2000,$A1666),""))</f>
        <v/>
      </c>
      <c r="T1666" s="64" t="str">
        <f>IFERROR(__xludf.DUMMYFUNCTION("IF($A1666="""","""",IFERROR(TEXTJOIN("", "",TRUE,UNIQUE(FILTER(Candidates!$B$2:$B$2000,Candidates!$A$2:$A$2000=$A1666))),""""))"),"")</f>
        <v/>
      </c>
      <c r="U1666" s="66" t="str">
        <f>IF($A1666="","",COUNTIF(Candidates!$A$2:$A$2000,$A1666))</f>
        <v/>
      </c>
      <c r="V1666" s="64" t="str">
        <f>IFERROR(__xludf.DUMMYFUNCTION("IF($A1666="""","""",IFERROR(INDEX(FILTER(Candidates!$S$2:$S$2000,Candidates!$A$2:$A$2000=$A1666),COUNTIF(Candidates!$A$2:$A$2000,$A1666)),""""))"),"")</f>
        <v/>
      </c>
      <c r="W1666" s="64" t="str">
        <f>IFERROR(__xludf.DUMMYFUNCTION("IF($A1666="""","""",IFERROR(INDEX(FILTER(Candidates!$T$2:$T$2000,Candidates!$A$2:$A$2000=$A1666),COUNTIF(Candidates!$A$2:$A$2000,$A1666)),""""))"),"")</f>
        <v/>
      </c>
      <c r="X1666" s="64"/>
      <c r="Y1666" s="64"/>
      <c r="Z1666" s="65"/>
      <c r="AA1666" s="65"/>
      <c r="AB1666" s="65"/>
      <c r="AC1666" s="65"/>
    </row>
    <row r="1667">
      <c r="A1667" s="64"/>
      <c r="B1667" s="64"/>
      <c r="C1667" s="64"/>
      <c r="D1667" s="64"/>
      <c r="E1667" s="64"/>
      <c r="F1667" s="64"/>
      <c r="G1667" s="64"/>
      <c r="H1667" s="63"/>
      <c r="I1667" s="64"/>
      <c r="J1667" s="64"/>
      <c r="K1667" s="64"/>
      <c r="L1667" s="64"/>
      <c r="M1667" s="64"/>
      <c r="N1667" s="64"/>
      <c r="O1667" s="64"/>
      <c r="P1667" s="64"/>
      <c r="Q1667" s="64"/>
      <c r="R1667" s="65" t="str">
        <f>IF($A1667="","",IFERROR(MINIFS(Candidates!$K$2:$K$2000,Candidates!$A$2:$A$2000,$A1667),""))</f>
        <v/>
      </c>
      <c r="S1667" s="65" t="str">
        <f>IF($A1667="","",IFERROR(MAXIFS(Candidates!$AA$2:$AA$2000,Candidates!$A$2:$A$2000,$A1667),""))</f>
        <v/>
      </c>
      <c r="T1667" s="64" t="str">
        <f>IFERROR(__xludf.DUMMYFUNCTION("IF($A1667="""","""",IFERROR(TEXTJOIN("", "",TRUE,UNIQUE(FILTER(Candidates!$B$2:$B$2000,Candidates!$A$2:$A$2000=$A1667))),""""))"),"")</f>
        <v/>
      </c>
      <c r="U1667" s="66" t="str">
        <f>IF($A1667="","",COUNTIF(Candidates!$A$2:$A$2000,$A1667))</f>
        <v/>
      </c>
      <c r="V1667" s="64" t="str">
        <f>IFERROR(__xludf.DUMMYFUNCTION("IF($A1667="""","""",IFERROR(INDEX(FILTER(Candidates!$S$2:$S$2000,Candidates!$A$2:$A$2000=$A1667),COUNTIF(Candidates!$A$2:$A$2000,$A1667)),""""))"),"")</f>
        <v/>
      </c>
      <c r="W1667" s="64" t="str">
        <f>IFERROR(__xludf.DUMMYFUNCTION("IF($A1667="""","""",IFERROR(INDEX(FILTER(Candidates!$T$2:$T$2000,Candidates!$A$2:$A$2000=$A1667),COUNTIF(Candidates!$A$2:$A$2000,$A1667)),""""))"),"")</f>
        <v/>
      </c>
      <c r="X1667" s="64"/>
      <c r="Y1667" s="64"/>
      <c r="Z1667" s="65"/>
      <c r="AA1667" s="65"/>
      <c r="AB1667" s="65"/>
      <c r="AC1667" s="65"/>
    </row>
    <row r="1668">
      <c r="A1668" s="64"/>
      <c r="B1668" s="64"/>
      <c r="C1668" s="64"/>
      <c r="D1668" s="64"/>
      <c r="E1668" s="64"/>
      <c r="F1668" s="64"/>
      <c r="G1668" s="64"/>
      <c r="H1668" s="63"/>
      <c r="I1668" s="64"/>
      <c r="J1668" s="64"/>
      <c r="K1668" s="64"/>
      <c r="L1668" s="64"/>
      <c r="M1668" s="64"/>
      <c r="N1668" s="64"/>
      <c r="O1668" s="64"/>
      <c r="P1668" s="64"/>
      <c r="Q1668" s="64"/>
      <c r="R1668" s="65" t="str">
        <f>IF($A1668="","",IFERROR(MINIFS(Candidates!$K$2:$K$2000,Candidates!$A$2:$A$2000,$A1668),""))</f>
        <v/>
      </c>
      <c r="S1668" s="65" t="str">
        <f>IF($A1668="","",IFERROR(MAXIFS(Candidates!$AA$2:$AA$2000,Candidates!$A$2:$A$2000,$A1668),""))</f>
        <v/>
      </c>
      <c r="T1668" s="64" t="str">
        <f>IFERROR(__xludf.DUMMYFUNCTION("IF($A1668="""","""",IFERROR(TEXTJOIN("", "",TRUE,UNIQUE(FILTER(Candidates!$B$2:$B$2000,Candidates!$A$2:$A$2000=$A1668))),""""))"),"")</f>
        <v/>
      </c>
      <c r="U1668" s="66" t="str">
        <f>IF($A1668="","",COUNTIF(Candidates!$A$2:$A$2000,$A1668))</f>
        <v/>
      </c>
      <c r="V1668" s="64" t="str">
        <f>IFERROR(__xludf.DUMMYFUNCTION("IF($A1668="""","""",IFERROR(INDEX(FILTER(Candidates!$S$2:$S$2000,Candidates!$A$2:$A$2000=$A1668),COUNTIF(Candidates!$A$2:$A$2000,$A1668)),""""))"),"")</f>
        <v/>
      </c>
      <c r="W1668" s="64" t="str">
        <f>IFERROR(__xludf.DUMMYFUNCTION("IF($A1668="""","""",IFERROR(INDEX(FILTER(Candidates!$T$2:$T$2000,Candidates!$A$2:$A$2000=$A1668),COUNTIF(Candidates!$A$2:$A$2000,$A1668)),""""))"),"")</f>
        <v/>
      </c>
      <c r="X1668" s="64"/>
      <c r="Y1668" s="64"/>
      <c r="Z1668" s="65"/>
      <c r="AA1668" s="65"/>
      <c r="AB1668" s="65"/>
      <c r="AC1668" s="65"/>
    </row>
    <row r="1669">
      <c r="A1669" s="64"/>
      <c r="B1669" s="64"/>
      <c r="C1669" s="64"/>
      <c r="D1669" s="64"/>
      <c r="E1669" s="64"/>
      <c r="F1669" s="64"/>
      <c r="G1669" s="64"/>
      <c r="H1669" s="63"/>
      <c r="I1669" s="64"/>
      <c r="J1669" s="64"/>
      <c r="K1669" s="64"/>
      <c r="L1669" s="64"/>
      <c r="M1669" s="64"/>
      <c r="N1669" s="64"/>
      <c r="O1669" s="64"/>
      <c r="P1669" s="64"/>
      <c r="Q1669" s="64"/>
      <c r="R1669" s="65" t="str">
        <f>IF($A1669="","",IFERROR(MINIFS(Candidates!$K$2:$K$2000,Candidates!$A$2:$A$2000,$A1669),""))</f>
        <v/>
      </c>
      <c r="S1669" s="65" t="str">
        <f>IF($A1669="","",IFERROR(MAXIFS(Candidates!$AA$2:$AA$2000,Candidates!$A$2:$A$2000,$A1669),""))</f>
        <v/>
      </c>
      <c r="T1669" s="64" t="str">
        <f>IFERROR(__xludf.DUMMYFUNCTION("IF($A1669="""","""",IFERROR(TEXTJOIN("", "",TRUE,UNIQUE(FILTER(Candidates!$B$2:$B$2000,Candidates!$A$2:$A$2000=$A1669))),""""))"),"")</f>
        <v/>
      </c>
      <c r="U1669" s="66" t="str">
        <f>IF($A1669="","",COUNTIF(Candidates!$A$2:$A$2000,$A1669))</f>
        <v/>
      </c>
      <c r="V1669" s="64" t="str">
        <f>IFERROR(__xludf.DUMMYFUNCTION("IF($A1669="""","""",IFERROR(INDEX(FILTER(Candidates!$S$2:$S$2000,Candidates!$A$2:$A$2000=$A1669),COUNTIF(Candidates!$A$2:$A$2000,$A1669)),""""))"),"")</f>
        <v/>
      </c>
      <c r="W1669" s="64" t="str">
        <f>IFERROR(__xludf.DUMMYFUNCTION("IF($A1669="""","""",IFERROR(INDEX(FILTER(Candidates!$T$2:$T$2000,Candidates!$A$2:$A$2000=$A1669),COUNTIF(Candidates!$A$2:$A$2000,$A1669)),""""))"),"")</f>
        <v/>
      </c>
      <c r="X1669" s="64"/>
      <c r="Y1669" s="64"/>
      <c r="Z1669" s="65"/>
      <c r="AA1669" s="65"/>
      <c r="AB1669" s="65"/>
      <c r="AC1669" s="65"/>
    </row>
    <row r="1670">
      <c r="A1670" s="64"/>
      <c r="B1670" s="64"/>
      <c r="C1670" s="64"/>
      <c r="D1670" s="64"/>
      <c r="E1670" s="64"/>
      <c r="F1670" s="64"/>
      <c r="G1670" s="64"/>
      <c r="H1670" s="63"/>
      <c r="I1670" s="64"/>
      <c r="J1670" s="64"/>
      <c r="K1670" s="64"/>
      <c r="L1670" s="64"/>
      <c r="M1670" s="64"/>
      <c r="N1670" s="64"/>
      <c r="O1670" s="64"/>
      <c r="P1670" s="64"/>
      <c r="Q1670" s="64"/>
      <c r="R1670" s="65" t="str">
        <f>IF($A1670="","",IFERROR(MINIFS(Candidates!$K$2:$K$2000,Candidates!$A$2:$A$2000,$A1670),""))</f>
        <v/>
      </c>
      <c r="S1670" s="65" t="str">
        <f>IF($A1670="","",IFERROR(MAXIFS(Candidates!$AA$2:$AA$2000,Candidates!$A$2:$A$2000,$A1670),""))</f>
        <v/>
      </c>
      <c r="T1670" s="64" t="str">
        <f>IFERROR(__xludf.DUMMYFUNCTION("IF($A1670="""","""",IFERROR(TEXTJOIN("", "",TRUE,UNIQUE(FILTER(Candidates!$B$2:$B$2000,Candidates!$A$2:$A$2000=$A1670))),""""))"),"")</f>
        <v/>
      </c>
      <c r="U1670" s="66" t="str">
        <f>IF($A1670="","",COUNTIF(Candidates!$A$2:$A$2000,$A1670))</f>
        <v/>
      </c>
      <c r="V1670" s="64" t="str">
        <f>IFERROR(__xludf.DUMMYFUNCTION("IF($A1670="""","""",IFERROR(INDEX(FILTER(Candidates!$S$2:$S$2000,Candidates!$A$2:$A$2000=$A1670),COUNTIF(Candidates!$A$2:$A$2000,$A1670)),""""))"),"")</f>
        <v/>
      </c>
      <c r="W1670" s="64" t="str">
        <f>IFERROR(__xludf.DUMMYFUNCTION("IF($A1670="""","""",IFERROR(INDEX(FILTER(Candidates!$T$2:$T$2000,Candidates!$A$2:$A$2000=$A1670),COUNTIF(Candidates!$A$2:$A$2000,$A1670)),""""))"),"")</f>
        <v/>
      </c>
      <c r="X1670" s="64"/>
      <c r="Y1670" s="64"/>
      <c r="Z1670" s="65"/>
      <c r="AA1670" s="65"/>
      <c r="AB1670" s="65"/>
      <c r="AC1670" s="65"/>
    </row>
    <row r="1671">
      <c r="A1671" s="64"/>
      <c r="B1671" s="64"/>
      <c r="C1671" s="64"/>
      <c r="D1671" s="64"/>
      <c r="E1671" s="64"/>
      <c r="F1671" s="64"/>
      <c r="G1671" s="64"/>
      <c r="H1671" s="63"/>
      <c r="I1671" s="64"/>
      <c r="J1671" s="64"/>
      <c r="K1671" s="64"/>
      <c r="L1671" s="64"/>
      <c r="M1671" s="64"/>
      <c r="N1671" s="64"/>
      <c r="O1671" s="64"/>
      <c r="P1671" s="64"/>
      <c r="Q1671" s="64"/>
      <c r="R1671" s="65" t="str">
        <f>IF($A1671="","",IFERROR(MINIFS(Candidates!$K$2:$K$2000,Candidates!$A$2:$A$2000,$A1671),""))</f>
        <v/>
      </c>
      <c r="S1671" s="65" t="str">
        <f>IF($A1671="","",IFERROR(MAXIFS(Candidates!$AA$2:$AA$2000,Candidates!$A$2:$A$2000,$A1671),""))</f>
        <v/>
      </c>
      <c r="T1671" s="64" t="str">
        <f>IFERROR(__xludf.DUMMYFUNCTION("IF($A1671="""","""",IFERROR(TEXTJOIN("", "",TRUE,UNIQUE(FILTER(Candidates!$B$2:$B$2000,Candidates!$A$2:$A$2000=$A1671))),""""))"),"")</f>
        <v/>
      </c>
      <c r="U1671" s="66" t="str">
        <f>IF($A1671="","",COUNTIF(Candidates!$A$2:$A$2000,$A1671))</f>
        <v/>
      </c>
      <c r="V1671" s="64" t="str">
        <f>IFERROR(__xludf.DUMMYFUNCTION("IF($A1671="""","""",IFERROR(INDEX(FILTER(Candidates!$S$2:$S$2000,Candidates!$A$2:$A$2000=$A1671),COUNTIF(Candidates!$A$2:$A$2000,$A1671)),""""))"),"")</f>
        <v/>
      </c>
      <c r="W1671" s="64" t="str">
        <f>IFERROR(__xludf.DUMMYFUNCTION("IF($A1671="""","""",IFERROR(INDEX(FILTER(Candidates!$T$2:$T$2000,Candidates!$A$2:$A$2000=$A1671),COUNTIF(Candidates!$A$2:$A$2000,$A1671)),""""))"),"")</f>
        <v/>
      </c>
      <c r="X1671" s="64"/>
      <c r="Y1671" s="64"/>
      <c r="Z1671" s="65"/>
      <c r="AA1671" s="65"/>
      <c r="AB1671" s="65"/>
      <c r="AC1671" s="65"/>
    </row>
    <row r="1672">
      <c r="A1672" s="64"/>
      <c r="B1672" s="64"/>
      <c r="C1672" s="64"/>
      <c r="D1672" s="64"/>
      <c r="E1672" s="64"/>
      <c r="F1672" s="64"/>
      <c r="G1672" s="64"/>
      <c r="H1672" s="63"/>
      <c r="I1672" s="64"/>
      <c r="J1672" s="64"/>
      <c r="K1672" s="64"/>
      <c r="L1672" s="64"/>
      <c r="M1672" s="64"/>
      <c r="N1672" s="64"/>
      <c r="O1672" s="64"/>
      <c r="P1672" s="64"/>
      <c r="Q1672" s="64"/>
      <c r="R1672" s="65" t="str">
        <f>IF($A1672="","",IFERROR(MINIFS(Candidates!$K$2:$K$2000,Candidates!$A$2:$A$2000,$A1672),""))</f>
        <v/>
      </c>
      <c r="S1672" s="65" t="str">
        <f>IF($A1672="","",IFERROR(MAXIFS(Candidates!$AA$2:$AA$2000,Candidates!$A$2:$A$2000,$A1672),""))</f>
        <v/>
      </c>
      <c r="T1672" s="64" t="str">
        <f>IFERROR(__xludf.DUMMYFUNCTION("IF($A1672="""","""",IFERROR(TEXTJOIN("", "",TRUE,UNIQUE(FILTER(Candidates!$B$2:$B$2000,Candidates!$A$2:$A$2000=$A1672))),""""))"),"")</f>
        <v/>
      </c>
      <c r="U1672" s="66" t="str">
        <f>IF($A1672="","",COUNTIF(Candidates!$A$2:$A$2000,$A1672))</f>
        <v/>
      </c>
      <c r="V1672" s="64" t="str">
        <f>IFERROR(__xludf.DUMMYFUNCTION("IF($A1672="""","""",IFERROR(INDEX(FILTER(Candidates!$S$2:$S$2000,Candidates!$A$2:$A$2000=$A1672),COUNTIF(Candidates!$A$2:$A$2000,$A1672)),""""))"),"")</f>
        <v/>
      </c>
      <c r="W1672" s="64" t="str">
        <f>IFERROR(__xludf.DUMMYFUNCTION("IF($A1672="""","""",IFERROR(INDEX(FILTER(Candidates!$T$2:$T$2000,Candidates!$A$2:$A$2000=$A1672),COUNTIF(Candidates!$A$2:$A$2000,$A1672)),""""))"),"")</f>
        <v/>
      </c>
      <c r="X1672" s="64"/>
      <c r="Y1672" s="64"/>
      <c r="Z1672" s="65"/>
      <c r="AA1672" s="65"/>
      <c r="AB1672" s="65"/>
      <c r="AC1672" s="65"/>
    </row>
    <row r="1673">
      <c r="A1673" s="64"/>
      <c r="B1673" s="64"/>
      <c r="C1673" s="64"/>
      <c r="D1673" s="64"/>
      <c r="E1673" s="64"/>
      <c r="F1673" s="64"/>
      <c r="G1673" s="64"/>
      <c r="H1673" s="63"/>
      <c r="I1673" s="64"/>
      <c r="J1673" s="64"/>
      <c r="K1673" s="64"/>
      <c r="L1673" s="64"/>
      <c r="M1673" s="64"/>
      <c r="N1673" s="64"/>
      <c r="O1673" s="64"/>
      <c r="P1673" s="64"/>
      <c r="Q1673" s="64"/>
      <c r="R1673" s="65" t="str">
        <f>IF($A1673="","",IFERROR(MINIFS(Candidates!$K$2:$K$2000,Candidates!$A$2:$A$2000,$A1673),""))</f>
        <v/>
      </c>
      <c r="S1673" s="65" t="str">
        <f>IF($A1673="","",IFERROR(MAXIFS(Candidates!$AA$2:$AA$2000,Candidates!$A$2:$A$2000,$A1673),""))</f>
        <v/>
      </c>
      <c r="T1673" s="64" t="str">
        <f>IFERROR(__xludf.DUMMYFUNCTION("IF($A1673="""","""",IFERROR(TEXTJOIN("", "",TRUE,UNIQUE(FILTER(Candidates!$B$2:$B$2000,Candidates!$A$2:$A$2000=$A1673))),""""))"),"")</f>
        <v/>
      </c>
      <c r="U1673" s="66" t="str">
        <f>IF($A1673="","",COUNTIF(Candidates!$A$2:$A$2000,$A1673))</f>
        <v/>
      </c>
      <c r="V1673" s="64" t="str">
        <f>IFERROR(__xludf.DUMMYFUNCTION("IF($A1673="""","""",IFERROR(INDEX(FILTER(Candidates!$S$2:$S$2000,Candidates!$A$2:$A$2000=$A1673),COUNTIF(Candidates!$A$2:$A$2000,$A1673)),""""))"),"")</f>
        <v/>
      </c>
      <c r="W1673" s="64" t="str">
        <f>IFERROR(__xludf.DUMMYFUNCTION("IF($A1673="""","""",IFERROR(INDEX(FILTER(Candidates!$T$2:$T$2000,Candidates!$A$2:$A$2000=$A1673),COUNTIF(Candidates!$A$2:$A$2000,$A1673)),""""))"),"")</f>
        <v/>
      </c>
      <c r="X1673" s="64"/>
      <c r="Y1673" s="64"/>
      <c r="Z1673" s="65"/>
      <c r="AA1673" s="65"/>
      <c r="AB1673" s="65"/>
      <c r="AC1673" s="65"/>
    </row>
    <row r="1674">
      <c r="A1674" s="64"/>
      <c r="B1674" s="64"/>
      <c r="C1674" s="64"/>
      <c r="D1674" s="64"/>
      <c r="E1674" s="64"/>
      <c r="F1674" s="64"/>
      <c r="G1674" s="64"/>
      <c r="H1674" s="63"/>
      <c r="I1674" s="64"/>
      <c r="J1674" s="64"/>
      <c r="K1674" s="64"/>
      <c r="L1674" s="64"/>
      <c r="M1674" s="64"/>
      <c r="N1674" s="64"/>
      <c r="O1674" s="64"/>
      <c r="P1674" s="64"/>
      <c r="Q1674" s="64"/>
      <c r="R1674" s="65" t="str">
        <f>IF($A1674="","",IFERROR(MINIFS(Candidates!$K$2:$K$2000,Candidates!$A$2:$A$2000,$A1674),""))</f>
        <v/>
      </c>
      <c r="S1674" s="65" t="str">
        <f>IF($A1674="","",IFERROR(MAXIFS(Candidates!$AA$2:$AA$2000,Candidates!$A$2:$A$2000,$A1674),""))</f>
        <v/>
      </c>
      <c r="T1674" s="64" t="str">
        <f>IFERROR(__xludf.DUMMYFUNCTION("IF($A1674="""","""",IFERROR(TEXTJOIN("", "",TRUE,UNIQUE(FILTER(Candidates!$B$2:$B$2000,Candidates!$A$2:$A$2000=$A1674))),""""))"),"")</f>
        <v/>
      </c>
      <c r="U1674" s="66" t="str">
        <f>IF($A1674="","",COUNTIF(Candidates!$A$2:$A$2000,$A1674))</f>
        <v/>
      </c>
      <c r="V1674" s="64" t="str">
        <f>IFERROR(__xludf.DUMMYFUNCTION("IF($A1674="""","""",IFERROR(INDEX(FILTER(Candidates!$S$2:$S$2000,Candidates!$A$2:$A$2000=$A1674),COUNTIF(Candidates!$A$2:$A$2000,$A1674)),""""))"),"")</f>
        <v/>
      </c>
      <c r="W1674" s="64" t="str">
        <f>IFERROR(__xludf.DUMMYFUNCTION("IF($A1674="""","""",IFERROR(INDEX(FILTER(Candidates!$T$2:$T$2000,Candidates!$A$2:$A$2000=$A1674),COUNTIF(Candidates!$A$2:$A$2000,$A1674)),""""))"),"")</f>
        <v/>
      </c>
      <c r="X1674" s="64"/>
      <c r="Y1674" s="64"/>
      <c r="Z1674" s="65"/>
      <c r="AA1674" s="65"/>
      <c r="AB1674" s="65"/>
      <c r="AC1674" s="65"/>
    </row>
    <row r="1675">
      <c r="A1675" s="64"/>
      <c r="B1675" s="64"/>
      <c r="C1675" s="64"/>
      <c r="D1675" s="64"/>
      <c r="E1675" s="64"/>
      <c r="F1675" s="64"/>
      <c r="G1675" s="64"/>
      <c r="H1675" s="63"/>
      <c r="I1675" s="64"/>
      <c r="J1675" s="64"/>
      <c r="K1675" s="64"/>
      <c r="L1675" s="64"/>
      <c r="M1675" s="64"/>
      <c r="N1675" s="64"/>
      <c r="O1675" s="64"/>
      <c r="P1675" s="64"/>
      <c r="Q1675" s="64"/>
      <c r="R1675" s="65" t="str">
        <f>IF($A1675="","",IFERROR(MINIFS(Candidates!$K$2:$K$2000,Candidates!$A$2:$A$2000,$A1675),""))</f>
        <v/>
      </c>
      <c r="S1675" s="65" t="str">
        <f>IF($A1675="","",IFERROR(MAXIFS(Candidates!$AA$2:$AA$2000,Candidates!$A$2:$A$2000,$A1675),""))</f>
        <v/>
      </c>
      <c r="T1675" s="64" t="str">
        <f>IFERROR(__xludf.DUMMYFUNCTION("IF($A1675="""","""",IFERROR(TEXTJOIN("", "",TRUE,UNIQUE(FILTER(Candidates!$B$2:$B$2000,Candidates!$A$2:$A$2000=$A1675))),""""))"),"")</f>
        <v/>
      </c>
      <c r="U1675" s="66" t="str">
        <f>IF($A1675="","",COUNTIF(Candidates!$A$2:$A$2000,$A1675))</f>
        <v/>
      </c>
      <c r="V1675" s="64" t="str">
        <f>IFERROR(__xludf.DUMMYFUNCTION("IF($A1675="""","""",IFERROR(INDEX(FILTER(Candidates!$S$2:$S$2000,Candidates!$A$2:$A$2000=$A1675),COUNTIF(Candidates!$A$2:$A$2000,$A1675)),""""))"),"")</f>
        <v/>
      </c>
      <c r="W1675" s="64" t="str">
        <f>IFERROR(__xludf.DUMMYFUNCTION("IF($A1675="""","""",IFERROR(INDEX(FILTER(Candidates!$T$2:$T$2000,Candidates!$A$2:$A$2000=$A1675),COUNTIF(Candidates!$A$2:$A$2000,$A1675)),""""))"),"")</f>
        <v/>
      </c>
      <c r="X1675" s="64"/>
      <c r="Y1675" s="64"/>
      <c r="Z1675" s="65"/>
      <c r="AA1675" s="65"/>
      <c r="AB1675" s="65"/>
      <c r="AC1675" s="65"/>
    </row>
    <row r="1676">
      <c r="A1676" s="64"/>
      <c r="B1676" s="64"/>
      <c r="C1676" s="64"/>
      <c r="D1676" s="64"/>
      <c r="E1676" s="64"/>
      <c r="F1676" s="64"/>
      <c r="G1676" s="64"/>
      <c r="H1676" s="63"/>
      <c r="I1676" s="64"/>
      <c r="J1676" s="64"/>
      <c r="K1676" s="64"/>
      <c r="L1676" s="64"/>
      <c r="M1676" s="64"/>
      <c r="N1676" s="64"/>
      <c r="O1676" s="64"/>
      <c r="P1676" s="64"/>
      <c r="Q1676" s="64"/>
      <c r="R1676" s="65" t="str">
        <f>IF($A1676="","",IFERROR(MINIFS(Candidates!$K$2:$K$2000,Candidates!$A$2:$A$2000,$A1676),""))</f>
        <v/>
      </c>
      <c r="S1676" s="65" t="str">
        <f>IF($A1676="","",IFERROR(MAXIFS(Candidates!$AA$2:$AA$2000,Candidates!$A$2:$A$2000,$A1676),""))</f>
        <v/>
      </c>
      <c r="T1676" s="64" t="str">
        <f>IFERROR(__xludf.DUMMYFUNCTION("IF($A1676="""","""",IFERROR(TEXTJOIN("", "",TRUE,UNIQUE(FILTER(Candidates!$B$2:$B$2000,Candidates!$A$2:$A$2000=$A1676))),""""))"),"")</f>
        <v/>
      </c>
      <c r="U1676" s="66" t="str">
        <f>IF($A1676="","",COUNTIF(Candidates!$A$2:$A$2000,$A1676))</f>
        <v/>
      </c>
      <c r="V1676" s="64" t="str">
        <f>IFERROR(__xludf.DUMMYFUNCTION("IF($A1676="""","""",IFERROR(INDEX(FILTER(Candidates!$S$2:$S$2000,Candidates!$A$2:$A$2000=$A1676),COUNTIF(Candidates!$A$2:$A$2000,$A1676)),""""))"),"")</f>
        <v/>
      </c>
      <c r="W1676" s="64" t="str">
        <f>IFERROR(__xludf.DUMMYFUNCTION("IF($A1676="""","""",IFERROR(INDEX(FILTER(Candidates!$T$2:$T$2000,Candidates!$A$2:$A$2000=$A1676),COUNTIF(Candidates!$A$2:$A$2000,$A1676)),""""))"),"")</f>
        <v/>
      </c>
      <c r="X1676" s="64"/>
      <c r="Y1676" s="64"/>
      <c r="Z1676" s="65"/>
      <c r="AA1676" s="65"/>
      <c r="AB1676" s="65"/>
      <c r="AC1676" s="65"/>
    </row>
    <row r="1677">
      <c r="A1677" s="64"/>
      <c r="B1677" s="64"/>
      <c r="C1677" s="64"/>
      <c r="D1677" s="64"/>
      <c r="E1677" s="64"/>
      <c r="F1677" s="64"/>
      <c r="G1677" s="64"/>
      <c r="H1677" s="63"/>
      <c r="I1677" s="64"/>
      <c r="J1677" s="64"/>
      <c r="K1677" s="64"/>
      <c r="L1677" s="64"/>
      <c r="M1677" s="64"/>
      <c r="N1677" s="64"/>
      <c r="O1677" s="64"/>
      <c r="P1677" s="64"/>
      <c r="Q1677" s="64"/>
      <c r="R1677" s="65" t="str">
        <f>IF($A1677="","",IFERROR(MINIFS(Candidates!$K$2:$K$2000,Candidates!$A$2:$A$2000,$A1677),""))</f>
        <v/>
      </c>
      <c r="S1677" s="65" t="str">
        <f>IF($A1677="","",IFERROR(MAXIFS(Candidates!$AA$2:$AA$2000,Candidates!$A$2:$A$2000,$A1677),""))</f>
        <v/>
      </c>
      <c r="T1677" s="64" t="str">
        <f>IFERROR(__xludf.DUMMYFUNCTION("IF($A1677="""","""",IFERROR(TEXTJOIN("", "",TRUE,UNIQUE(FILTER(Candidates!$B$2:$B$2000,Candidates!$A$2:$A$2000=$A1677))),""""))"),"")</f>
        <v/>
      </c>
      <c r="U1677" s="66" t="str">
        <f>IF($A1677="","",COUNTIF(Candidates!$A$2:$A$2000,$A1677))</f>
        <v/>
      </c>
      <c r="V1677" s="64" t="str">
        <f>IFERROR(__xludf.DUMMYFUNCTION("IF($A1677="""","""",IFERROR(INDEX(FILTER(Candidates!$S$2:$S$2000,Candidates!$A$2:$A$2000=$A1677),COUNTIF(Candidates!$A$2:$A$2000,$A1677)),""""))"),"")</f>
        <v/>
      </c>
      <c r="W1677" s="64" t="str">
        <f>IFERROR(__xludf.DUMMYFUNCTION("IF($A1677="""","""",IFERROR(INDEX(FILTER(Candidates!$T$2:$T$2000,Candidates!$A$2:$A$2000=$A1677),COUNTIF(Candidates!$A$2:$A$2000,$A1677)),""""))"),"")</f>
        <v/>
      </c>
      <c r="X1677" s="64"/>
      <c r="Y1677" s="64"/>
      <c r="Z1677" s="65"/>
      <c r="AA1677" s="65"/>
      <c r="AB1677" s="65"/>
      <c r="AC1677" s="65"/>
    </row>
    <row r="1678">
      <c r="A1678" s="64"/>
      <c r="B1678" s="64"/>
      <c r="C1678" s="64"/>
      <c r="D1678" s="64"/>
      <c r="E1678" s="64"/>
      <c r="F1678" s="64"/>
      <c r="G1678" s="64"/>
      <c r="H1678" s="63"/>
      <c r="I1678" s="64"/>
      <c r="J1678" s="64"/>
      <c r="K1678" s="64"/>
      <c r="L1678" s="64"/>
      <c r="M1678" s="64"/>
      <c r="N1678" s="64"/>
      <c r="O1678" s="64"/>
      <c r="P1678" s="64"/>
      <c r="Q1678" s="64"/>
      <c r="R1678" s="65" t="str">
        <f>IF($A1678="","",IFERROR(MINIFS(Candidates!$K$2:$K$2000,Candidates!$A$2:$A$2000,$A1678),""))</f>
        <v/>
      </c>
      <c r="S1678" s="65" t="str">
        <f>IF($A1678="","",IFERROR(MAXIFS(Candidates!$AA$2:$AA$2000,Candidates!$A$2:$A$2000,$A1678),""))</f>
        <v/>
      </c>
      <c r="T1678" s="64" t="str">
        <f>IFERROR(__xludf.DUMMYFUNCTION("IF($A1678="""","""",IFERROR(TEXTJOIN("", "",TRUE,UNIQUE(FILTER(Candidates!$B$2:$B$2000,Candidates!$A$2:$A$2000=$A1678))),""""))"),"")</f>
        <v/>
      </c>
      <c r="U1678" s="66" t="str">
        <f>IF($A1678="","",COUNTIF(Candidates!$A$2:$A$2000,$A1678))</f>
        <v/>
      </c>
      <c r="V1678" s="64" t="str">
        <f>IFERROR(__xludf.DUMMYFUNCTION("IF($A1678="""","""",IFERROR(INDEX(FILTER(Candidates!$S$2:$S$2000,Candidates!$A$2:$A$2000=$A1678),COUNTIF(Candidates!$A$2:$A$2000,$A1678)),""""))"),"")</f>
        <v/>
      </c>
      <c r="W1678" s="64" t="str">
        <f>IFERROR(__xludf.DUMMYFUNCTION("IF($A1678="""","""",IFERROR(INDEX(FILTER(Candidates!$T$2:$T$2000,Candidates!$A$2:$A$2000=$A1678),COUNTIF(Candidates!$A$2:$A$2000,$A1678)),""""))"),"")</f>
        <v/>
      </c>
      <c r="X1678" s="64"/>
      <c r="Y1678" s="64"/>
      <c r="Z1678" s="65"/>
      <c r="AA1678" s="65"/>
      <c r="AB1678" s="65"/>
      <c r="AC1678" s="65"/>
    </row>
    <row r="1679">
      <c r="A1679" s="64"/>
      <c r="B1679" s="64"/>
      <c r="C1679" s="64"/>
      <c r="D1679" s="64"/>
      <c r="E1679" s="64"/>
      <c r="F1679" s="64"/>
      <c r="G1679" s="64"/>
      <c r="H1679" s="63"/>
      <c r="I1679" s="64"/>
      <c r="J1679" s="64"/>
      <c r="K1679" s="64"/>
      <c r="L1679" s="64"/>
      <c r="M1679" s="64"/>
      <c r="N1679" s="64"/>
      <c r="O1679" s="64"/>
      <c r="P1679" s="64"/>
      <c r="Q1679" s="64"/>
      <c r="R1679" s="65" t="str">
        <f>IF($A1679="","",IFERROR(MINIFS(Candidates!$K$2:$K$2000,Candidates!$A$2:$A$2000,$A1679),""))</f>
        <v/>
      </c>
      <c r="S1679" s="65" t="str">
        <f>IF($A1679="","",IFERROR(MAXIFS(Candidates!$AA$2:$AA$2000,Candidates!$A$2:$A$2000,$A1679),""))</f>
        <v/>
      </c>
      <c r="T1679" s="64" t="str">
        <f>IFERROR(__xludf.DUMMYFUNCTION("IF($A1679="""","""",IFERROR(TEXTJOIN("", "",TRUE,UNIQUE(FILTER(Candidates!$B$2:$B$2000,Candidates!$A$2:$A$2000=$A1679))),""""))"),"")</f>
        <v/>
      </c>
      <c r="U1679" s="66" t="str">
        <f>IF($A1679="","",COUNTIF(Candidates!$A$2:$A$2000,$A1679))</f>
        <v/>
      </c>
      <c r="V1679" s="64" t="str">
        <f>IFERROR(__xludf.DUMMYFUNCTION("IF($A1679="""","""",IFERROR(INDEX(FILTER(Candidates!$S$2:$S$2000,Candidates!$A$2:$A$2000=$A1679),COUNTIF(Candidates!$A$2:$A$2000,$A1679)),""""))"),"")</f>
        <v/>
      </c>
      <c r="W1679" s="64" t="str">
        <f>IFERROR(__xludf.DUMMYFUNCTION("IF($A1679="""","""",IFERROR(INDEX(FILTER(Candidates!$T$2:$T$2000,Candidates!$A$2:$A$2000=$A1679),COUNTIF(Candidates!$A$2:$A$2000,$A1679)),""""))"),"")</f>
        <v/>
      </c>
      <c r="X1679" s="64"/>
      <c r="Y1679" s="64"/>
      <c r="Z1679" s="65"/>
      <c r="AA1679" s="65"/>
      <c r="AB1679" s="65"/>
      <c r="AC1679" s="65"/>
    </row>
    <row r="1680">
      <c r="A1680" s="64"/>
      <c r="B1680" s="64"/>
      <c r="C1680" s="64"/>
      <c r="D1680" s="64"/>
      <c r="E1680" s="64"/>
      <c r="F1680" s="64"/>
      <c r="G1680" s="64"/>
      <c r="H1680" s="63"/>
      <c r="I1680" s="64"/>
      <c r="J1680" s="64"/>
      <c r="K1680" s="64"/>
      <c r="L1680" s="64"/>
      <c r="M1680" s="64"/>
      <c r="N1680" s="64"/>
      <c r="O1680" s="64"/>
      <c r="P1680" s="64"/>
      <c r="Q1680" s="64"/>
      <c r="R1680" s="65" t="str">
        <f>IF($A1680="","",IFERROR(MINIFS(Candidates!$K$2:$K$2000,Candidates!$A$2:$A$2000,$A1680),""))</f>
        <v/>
      </c>
      <c r="S1680" s="65" t="str">
        <f>IF($A1680="","",IFERROR(MAXIFS(Candidates!$AA$2:$AA$2000,Candidates!$A$2:$A$2000,$A1680),""))</f>
        <v/>
      </c>
      <c r="T1680" s="64" t="str">
        <f>IFERROR(__xludf.DUMMYFUNCTION("IF($A1680="""","""",IFERROR(TEXTJOIN("", "",TRUE,UNIQUE(FILTER(Candidates!$B$2:$B$2000,Candidates!$A$2:$A$2000=$A1680))),""""))"),"")</f>
        <v/>
      </c>
      <c r="U1680" s="66" t="str">
        <f>IF($A1680="","",COUNTIF(Candidates!$A$2:$A$2000,$A1680))</f>
        <v/>
      </c>
      <c r="V1680" s="64" t="str">
        <f>IFERROR(__xludf.DUMMYFUNCTION("IF($A1680="""","""",IFERROR(INDEX(FILTER(Candidates!$S$2:$S$2000,Candidates!$A$2:$A$2000=$A1680),COUNTIF(Candidates!$A$2:$A$2000,$A1680)),""""))"),"")</f>
        <v/>
      </c>
      <c r="W1680" s="64" t="str">
        <f>IFERROR(__xludf.DUMMYFUNCTION("IF($A1680="""","""",IFERROR(INDEX(FILTER(Candidates!$T$2:$T$2000,Candidates!$A$2:$A$2000=$A1680),COUNTIF(Candidates!$A$2:$A$2000,$A1680)),""""))"),"")</f>
        <v/>
      </c>
      <c r="X1680" s="64"/>
      <c r="Y1680" s="64"/>
      <c r="Z1680" s="65"/>
      <c r="AA1680" s="65"/>
      <c r="AB1680" s="65"/>
      <c r="AC1680" s="65"/>
    </row>
    <row r="1681">
      <c r="A1681" s="64"/>
      <c r="B1681" s="64"/>
      <c r="C1681" s="64"/>
      <c r="D1681" s="64"/>
      <c r="E1681" s="64"/>
      <c r="F1681" s="64"/>
      <c r="G1681" s="64"/>
      <c r="H1681" s="63"/>
      <c r="I1681" s="64"/>
      <c r="J1681" s="64"/>
      <c r="K1681" s="64"/>
      <c r="L1681" s="64"/>
      <c r="M1681" s="64"/>
      <c r="N1681" s="64"/>
      <c r="O1681" s="64"/>
      <c r="P1681" s="64"/>
      <c r="Q1681" s="64"/>
      <c r="R1681" s="65" t="str">
        <f>IF($A1681="","",IFERROR(MINIFS(Candidates!$K$2:$K$2000,Candidates!$A$2:$A$2000,$A1681),""))</f>
        <v/>
      </c>
      <c r="S1681" s="65" t="str">
        <f>IF($A1681="","",IFERROR(MAXIFS(Candidates!$AA$2:$AA$2000,Candidates!$A$2:$A$2000,$A1681),""))</f>
        <v/>
      </c>
      <c r="T1681" s="64" t="str">
        <f>IFERROR(__xludf.DUMMYFUNCTION("IF($A1681="""","""",IFERROR(TEXTJOIN("", "",TRUE,UNIQUE(FILTER(Candidates!$B$2:$B$2000,Candidates!$A$2:$A$2000=$A1681))),""""))"),"")</f>
        <v/>
      </c>
      <c r="U1681" s="66" t="str">
        <f>IF($A1681="","",COUNTIF(Candidates!$A$2:$A$2000,$A1681))</f>
        <v/>
      </c>
      <c r="V1681" s="64" t="str">
        <f>IFERROR(__xludf.DUMMYFUNCTION("IF($A1681="""","""",IFERROR(INDEX(FILTER(Candidates!$S$2:$S$2000,Candidates!$A$2:$A$2000=$A1681),COUNTIF(Candidates!$A$2:$A$2000,$A1681)),""""))"),"")</f>
        <v/>
      </c>
      <c r="W1681" s="64" t="str">
        <f>IFERROR(__xludf.DUMMYFUNCTION("IF($A1681="""","""",IFERROR(INDEX(FILTER(Candidates!$T$2:$T$2000,Candidates!$A$2:$A$2000=$A1681),COUNTIF(Candidates!$A$2:$A$2000,$A1681)),""""))"),"")</f>
        <v/>
      </c>
      <c r="X1681" s="64"/>
      <c r="Y1681" s="64"/>
      <c r="Z1681" s="65"/>
      <c r="AA1681" s="65"/>
      <c r="AB1681" s="65"/>
      <c r="AC1681" s="65"/>
    </row>
    <row r="1682">
      <c r="A1682" s="64"/>
      <c r="B1682" s="64"/>
      <c r="C1682" s="64"/>
      <c r="D1682" s="64"/>
      <c r="E1682" s="64"/>
      <c r="F1682" s="64"/>
      <c r="G1682" s="64"/>
      <c r="H1682" s="63"/>
      <c r="I1682" s="64"/>
      <c r="J1682" s="64"/>
      <c r="K1682" s="64"/>
      <c r="L1682" s="64"/>
      <c r="M1682" s="64"/>
      <c r="N1682" s="64"/>
      <c r="O1682" s="64"/>
      <c r="P1682" s="64"/>
      <c r="Q1682" s="64"/>
      <c r="R1682" s="65" t="str">
        <f>IF($A1682="","",IFERROR(MINIFS(Candidates!$K$2:$K$2000,Candidates!$A$2:$A$2000,$A1682),""))</f>
        <v/>
      </c>
      <c r="S1682" s="65" t="str">
        <f>IF($A1682="","",IFERROR(MAXIFS(Candidates!$AA$2:$AA$2000,Candidates!$A$2:$A$2000,$A1682),""))</f>
        <v/>
      </c>
      <c r="T1682" s="64" t="str">
        <f>IFERROR(__xludf.DUMMYFUNCTION("IF($A1682="""","""",IFERROR(TEXTJOIN("", "",TRUE,UNIQUE(FILTER(Candidates!$B$2:$B$2000,Candidates!$A$2:$A$2000=$A1682))),""""))"),"")</f>
        <v/>
      </c>
      <c r="U1682" s="66" t="str">
        <f>IF($A1682="","",COUNTIF(Candidates!$A$2:$A$2000,$A1682))</f>
        <v/>
      </c>
      <c r="V1682" s="64" t="str">
        <f>IFERROR(__xludf.DUMMYFUNCTION("IF($A1682="""","""",IFERROR(INDEX(FILTER(Candidates!$S$2:$S$2000,Candidates!$A$2:$A$2000=$A1682),COUNTIF(Candidates!$A$2:$A$2000,$A1682)),""""))"),"")</f>
        <v/>
      </c>
      <c r="W1682" s="64" t="str">
        <f>IFERROR(__xludf.DUMMYFUNCTION("IF($A1682="""","""",IFERROR(INDEX(FILTER(Candidates!$T$2:$T$2000,Candidates!$A$2:$A$2000=$A1682),COUNTIF(Candidates!$A$2:$A$2000,$A1682)),""""))"),"")</f>
        <v/>
      </c>
      <c r="X1682" s="64"/>
      <c r="Y1682" s="64"/>
      <c r="Z1682" s="65"/>
      <c r="AA1682" s="65"/>
      <c r="AB1682" s="65"/>
      <c r="AC1682" s="65"/>
    </row>
    <row r="1683">
      <c r="A1683" s="64"/>
      <c r="B1683" s="64"/>
      <c r="C1683" s="64"/>
      <c r="D1683" s="64"/>
      <c r="E1683" s="64"/>
      <c r="F1683" s="64"/>
      <c r="G1683" s="64"/>
      <c r="H1683" s="63"/>
      <c r="I1683" s="64"/>
      <c r="J1683" s="64"/>
      <c r="K1683" s="64"/>
      <c r="L1683" s="64"/>
      <c r="M1683" s="64"/>
      <c r="N1683" s="64"/>
      <c r="O1683" s="64"/>
      <c r="P1683" s="64"/>
      <c r="Q1683" s="64"/>
      <c r="R1683" s="65" t="str">
        <f>IF($A1683="","",IFERROR(MINIFS(Candidates!$K$2:$K$2000,Candidates!$A$2:$A$2000,$A1683),""))</f>
        <v/>
      </c>
      <c r="S1683" s="65" t="str">
        <f>IF($A1683="","",IFERROR(MAXIFS(Candidates!$AA$2:$AA$2000,Candidates!$A$2:$A$2000,$A1683),""))</f>
        <v/>
      </c>
      <c r="T1683" s="64" t="str">
        <f>IFERROR(__xludf.DUMMYFUNCTION("IF($A1683="""","""",IFERROR(TEXTJOIN("", "",TRUE,UNIQUE(FILTER(Candidates!$B$2:$B$2000,Candidates!$A$2:$A$2000=$A1683))),""""))"),"")</f>
        <v/>
      </c>
      <c r="U1683" s="66" t="str">
        <f>IF($A1683="","",COUNTIF(Candidates!$A$2:$A$2000,$A1683))</f>
        <v/>
      </c>
      <c r="V1683" s="64" t="str">
        <f>IFERROR(__xludf.DUMMYFUNCTION("IF($A1683="""","""",IFERROR(INDEX(FILTER(Candidates!$S$2:$S$2000,Candidates!$A$2:$A$2000=$A1683),COUNTIF(Candidates!$A$2:$A$2000,$A1683)),""""))"),"")</f>
        <v/>
      </c>
      <c r="W1683" s="64" t="str">
        <f>IFERROR(__xludf.DUMMYFUNCTION("IF($A1683="""","""",IFERROR(INDEX(FILTER(Candidates!$T$2:$T$2000,Candidates!$A$2:$A$2000=$A1683),COUNTIF(Candidates!$A$2:$A$2000,$A1683)),""""))"),"")</f>
        <v/>
      </c>
      <c r="X1683" s="64"/>
      <c r="Y1683" s="64"/>
      <c r="Z1683" s="65"/>
      <c r="AA1683" s="65"/>
      <c r="AB1683" s="65"/>
      <c r="AC1683" s="65"/>
    </row>
    <row r="1684">
      <c r="A1684" s="64"/>
      <c r="B1684" s="64"/>
      <c r="C1684" s="64"/>
      <c r="D1684" s="64"/>
      <c r="E1684" s="64"/>
      <c r="F1684" s="64"/>
      <c r="G1684" s="64"/>
      <c r="H1684" s="63"/>
      <c r="I1684" s="64"/>
      <c r="J1684" s="64"/>
      <c r="K1684" s="64"/>
      <c r="L1684" s="64"/>
      <c r="M1684" s="64"/>
      <c r="N1684" s="64"/>
      <c r="O1684" s="64"/>
      <c r="P1684" s="64"/>
      <c r="Q1684" s="64"/>
      <c r="R1684" s="65" t="str">
        <f>IF($A1684="","",IFERROR(MINIFS(Candidates!$K$2:$K$2000,Candidates!$A$2:$A$2000,$A1684),""))</f>
        <v/>
      </c>
      <c r="S1684" s="65" t="str">
        <f>IF($A1684="","",IFERROR(MAXIFS(Candidates!$AA$2:$AA$2000,Candidates!$A$2:$A$2000,$A1684),""))</f>
        <v/>
      </c>
      <c r="T1684" s="64" t="str">
        <f>IFERROR(__xludf.DUMMYFUNCTION("IF($A1684="""","""",IFERROR(TEXTJOIN("", "",TRUE,UNIQUE(FILTER(Candidates!$B$2:$B$2000,Candidates!$A$2:$A$2000=$A1684))),""""))"),"")</f>
        <v/>
      </c>
      <c r="U1684" s="66" t="str">
        <f>IF($A1684="","",COUNTIF(Candidates!$A$2:$A$2000,$A1684))</f>
        <v/>
      </c>
      <c r="V1684" s="64" t="str">
        <f>IFERROR(__xludf.DUMMYFUNCTION("IF($A1684="""","""",IFERROR(INDEX(FILTER(Candidates!$S$2:$S$2000,Candidates!$A$2:$A$2000=$A1684),COUNTIF(Candidates!$A$2:$A$2000,$A1684)),""""))"),"")</f>
        <v/>
      </c>
      <c r="W1684" s="64" t="str">
        <f>IFERROR(__xludf.DUMMYFUNCTION("IF($A1684="""","""",IFERROR(INDEX(FILTER(Candidates!$T$2:$T$2000,Candidates!$A$2:$A$2000=$A1684),COUNTIF(Candidates!$A$2:$A$2000,$A1684)),""""))"),"")</f>
        <v/>
      </c>
      <c r="X1684" s="64"/>
      <c r="Y1684" s="64"/>
      <c r="Z1684" s="65"/>
      <c r="AA1684" s="65"/>
      <c r="AB1684" s="65"/>
      <c r="AC1684" s="65"/>
    </row>
    <row r="1685">
      <c r="A1685" s="64"/>
      <c r="B1685" s="64"/>
      <c r="C1685" s="64"/>
      <c r="D1685" s="64"/>
      <c r="E1685" s="64"/>
      <c r="F1685" s="64"/>
      <c r="G1685" s="64"/>
      <c r="H1685" s="63"/>
      <c r="I1685" s="64"/>
      <c r="J1685" s="64"/>
      <c r="K1685" s="64"/>
      <c r="L1685" s="64"/>
      <c r="M1685" s="64"/>
      <c r="N1685" s="64"/>
      <c r="O1685" s="64"/>
      <c r="P1685" s="64"/>
      <c r="Q1685" s="64"/>
      <c r="R1685" s="65" t="str">
        <f>IF($A1685="","",IFERROR(MINIFS(Candidates!$K$2:$K$2000,Candidates!$A$2:$A$2000,$A1685),""))</f>
        <v/>
      </c>
      <c r="S1685" s="65" t="str">
        <f>IF($A1685="","",IFERROR(MAXIFS(Candidates!$AA$2:$AA$2000,Candidates!$A$2:$A$2000,$A1685),""))</f>
        <v/>
      </c>
      <c r="T1685" s="64" t="str">
        <f>IFERROR(__xludf.DUMMYFUNCTION("IF($A1685="""","""",IFERROR(TEXTJOIN("", "",TRUE,UNIQUE(FILTER(Candidates!$B$2:$B$2000,Candidates!$A$2:$A$2000=$A1685))),""""))"),"")</f>
        <v/>
      </c>
      <c r="U1685" s="66" t="str">
        <f>IF($A1685="","",COUNTIF(Candidates!$A$2:$A$2000,$A1685))</f>
        <v/>
      </c>
      <c r="V1685" s="64" t="str">
        <f>IFERROR(__xludf.DUMMYFUNCTION("IF($A1685="""","""",IFERROR(INDEX(FILTER(Candidates!$S$2:$S$2000,Candidates!$A$2:$A$2000=$A1685),COUNTIF(Candidates!$A$2:$A$2000,$A1685)),""""))"),"")</f>
        <v/>
      </c>
      <c r="W1685" s="64" t="str">
        <f>IFERROR(__xludf.DUMMYFUNCTION("IF($A1685="""","""",IFERROR(INDEX(FILTER(Candidates!$T$2:$T$2000,Candidates!$A$2:$A$2000=$A1685),COUNTIF(Candidates!$A$2:$A$2000,$A1685)),""""))"),"")</f>
        <v/>
      </c>
      <c r="X1685" s="64"/>
      <c r="Y1685" s="64"/>
      <c r="Z1685" s="65"/>
      <c r="AA1685" s="65"/>
      <c r="AB1685" s="65"/>
      <c r="AC1685" s="65"/>
    </row>
    <row r="1686">
      <c r="A1686" s="64"/>
      <c r="B1686" s="64"/>
      <c r="C1686" s="64"/>
      <c r="D1686" s="64"/>
      <c r="E1686" s="64"/>
      <c r="F1686" s="64"/>
      <c r="G1686" s="64"/>
      <c r="H1686" s="63"/>
      <c r="I1686" s="64"/>
      <c r="J1686" s="64"/>
      <c r="K1686" s="64"/>
      <c r="L1686" s="64"/>
      <c r="M1686" s="64"/>
      <c r="N1686" s="64"/>
      <c r="O1686" s="64"/>
      <c r="P1686" s="64"/>
      <c r="Q1686" s="64"/>
      <c r="R1686" s="65" t="str">
        <f>IF($A1686="","",IFERROR(MINIFS(Candidates!$K$2:$K$2000,Candidates!$A$2:$A$2000,$A1686),""))</f>
        <v/>
      </c>
      <c r="S1686" s="65" t="str">
        <f>IF($A1686="","",IFERROR(MAXIFS(Candidates!$AA$2:$AA$2000,Candidates!$A$2:$A$2000,$A1686),""))</f>
        <v/>
      </c>
      <c r="T1686" s="64" t="str">
        <f>IFERROR(__xludf.DUMMYFUNCTION("IF($A1686="""","""",IFERROR(TEXTJOIN("", "",TRUE,UNIQUE(FILTER(Candidates!$B$2:$B$2000,Candidates!$A$2:$A$2000=$A1686))),""""))"),"")</f>
        <v/>
      </c>
      <c r="U1686" s="66" t="str">
        <f>IF($A1686="","",COUNTIF(Candidates!$A$2:$A$2000,$A1686))</f>
        <v/>
      </c>
      <c r="V1686" s="64" t="str">
        <f>IFERROR(__xludf.DUMMYFUNCTION("IF($A1686="""","""",IFERROR(INDEX(FILTER(Candidates!$S$2:$S$2000,Candidates!$A$2:$A$2000=$A1686),COUNTIF(Candidates!$A$2:$A$2000,$A1686)),""""))"),"")</f>
        <v/>
      </c>
      <c r="W1686" s="64" t="str">
        <f>IFERROR(__xludf.DUMMYFUNCTION("IF($A1686="""","""",IFERROR(INDEX(FILTER(Candidates!$T$2:$T$2000,Candidates!$A$2:$A$2000=$A1686),COUNTIF(Candidates!$A$2:$A$2000,$A1686)),""""))"),"")</f>
        <v/>
      </c>
      <c r="X1686" s="64"/>
      <c r="Y1686" s="64"/>
      <c r="Z1686" s="65"/>
      <c r="AA1686" s="65"/>
      <c r="AB1686" s="65"/>
      <c r="AC1686" s="65"/>
    </row>
    <row r="1687">
      <c r="A1687" s="64"/>
      <c r="B1687" s="64"/>
      <c r="C1687" s="64"/>
      <c r="D1687" s="64"/>
      <c r="E1687" s="64"/>
      <c r="F1687" s="64"/>
      <c r="G1687" s="64"/>
      <c r="H1687" s="63"/>
      <c r="I1687" s="64"/>
      <c r="J1687" s="64"/>
      <c r="K1687" s="64"/>
      <c r="L1687" s="64"/>
      <c r="M1687" s="64"/>
      <c r="N1687" s="64"/>
      <c r="O1687" s="64"/>
      <c r="P1687" s="64"/>
      <c r="Q1687" s="64"/>
      <c r="R1687" s="65" t="str">
        <f>IF($A1687="","",IFERROR(MINIFS(Candidates!$K$2:$K$2000,Candidates!$A$2:$A$2000,$A1687),""))</f>
        <v/>
      </c>
      <c r="S1687" s="65" t="str">
        <f>IF($A1687="","",IFERROR(MAXIFS(Candidates!$AA$2:$AA$2000,Candidates!$A$2:$A$2000,$A1687),""))</f>
        <v/>
      </c>
      <c r="T1687" s="64" t="str">
        <f>IFERROR(__xludf.DUMMYFUNCTION("IF($A1687="""","""",IFERROR(TEXTJOIN("", "",TRUE,UNIQUE(FILTER(Candidates!$B$2:$B$2000,Candidates!$A$2:$A$2000=$A1687))),""""))"),"")</f>
        <v/>
      </c>
      <c r="U1687" s="66" t="str">
        <f>IF($A1687="","",COUNTIF(Candidates!$A$2:$A$2000,$A1687))</f>
        <v/>
      </c>
      <c r="V1687" s="64" t="str">
        <f>IFERROR(__xludf.DUMMYFUNCTION("IF($A1687="""","""",IFERROR(INDEX(FILTER(Candidates!$S$2:$S$2000,Candidates!$A$2:$A$2000=$A1687),COUNTIF(Candidates!$A$2:$A$2000,$A1687)),""""))"),"")</f>
        <v/>
      </c>
      <c r="W1687" s="64" t="str">
        <f>IFERROR(__xludf.DUMMYFUNCTION("IF($A1687="""","""",IFERROR(INDEX(FILTER(Candidates!$T$2:$T$2000,Candidates!$A$2:$A$2000=$A1687),COUNTIF(Candidates!$A$2:$A$2000,$A1687)),""""))"),"")</f>
        <v/>
      </c>
      <c r="X1687" s="64"/>
      <c r="Y1687" s="64"/>
      <c r="Z1687" s="65"/>
      <c r="AA1687" s="65"/>
      <c r="AB1687" s="65"/>
      <c r="AC1687" s="65"/>
    </row>
    <row r="1688">
      <c r="A1688" s="64"/>
      <c r="B1688" s="64"/>
      <c r="C1688" s="64"/>
      <c r="D1688" s="64"/>
      <c r="E1688" s="64"/>
      <c r="F1688" s="64"/>
      <c r="G1688" s="64"/>
      <c r="H1688" s="63"/>
      <c r="I1688" s="64"/>
      <c r="J1688" s="64"/>
      <c r="K1688" s="64"/>
      <c r="L1688" s="64"/>
      <c r="M1688" s="64"/>
      <c r="N1688" s="64"/>
      <c r="O1688" s="64"/>
      <c r="P1688" s="64"/>
      <c r="Q1688" s="64"/>
      <c r="R1688" s="65" t="str">
        <f>IF($A1688="","",IFERROR(MINIFS(Candidates!$K$2:$K$2000,Candidates!$A$2:$A$2000,$A1688),""))</f>
        <v/>
      </c>
      <c r="S1688" s="65" t="str">
        <f>IF($A1688="","",IFERROR(MAXIFS(Candidates!$AA$2:$AA$2000,Candidates!$A$2:$A$2000,$A1688),""))</f>
        <v/>
      </c>
      <c r="T1688" s="64" t="str">
        <f>IFERROR(__xludf.DUMMYFUNCTION("IF($A1688="""","""",IFERROR(TEXTJOIN("", "",TRUE,UNIQUE(FILTER(Candidates!$B$2:$B$2000,Candidates!$A$2:$A$2000=$A1688))),""""))"),"")</f>
        <v/>
      </c>
      <c r="U1688" s="66" t="str">
        <f>IF($A1688="","",COUNTIF(Candidates!$A$2:$A$2000,$A1688))</f>
        <v/>
      </c>
      <c r="V1688" s="64" t="str">
        <f>IFERROR(__xludf.DUMMYFUNCTION("IF($A1688="""","""",IFERROR(INDEX(FILTER(Candidates!$S$2:$S$2000,Candidates!$A$2:$A$2000=$A1688),COUNTIF(Candidates!$A$2:$A$2000,$A1688)),""""))"),"")</f>
        <v/>
      </c>
      <c r="W1688" s="64" t="str">
        <f>IFERROR(__xludf.DUMMYFUNCTION("IF($A1688="""","""",IFERROR(INDEX(FILTER(Candidates!$T$2:$T$2000,Candidates!$A$2:$A$2000=$A1688),COUNTIF(Candidates!$A$2:$A$2000,$A1688)),""""))"),"")</f>
        <v/>
      </c>
      <c r="X1688" s="64"/>
      <c r="Y1688" s="64"/>
      <c r="Z1688" s="65"/>
      <c r="AA1688" s="65"/>
      <c r="AB1688" s="65"/>
      <c r="AC1688" s="65"/>
    </row>
    <row r="1689">
      <c r="A1689" s="64"/>
      <c r="B1689" s="64"/>
      <c r="C1689" s="64"/>
      <c r="D1689" s="64"/>
      <c r="E1689" s="64"/>
      <c r="F1689" s="64"/>
      <c r="G1689" s="64"/>
      <c r="H1689" s="63"/>
      <c r="I1689" s="64"/>
      <c r="J1689" s="64"/>
      <c r="K1689" s="64"/>
      <c r="L1689" s="64"/>
      <c r="M1689" s="64"/>
      <c r="N1689" s="64"/>
      <c r="O1689" s="64"/>
      <c r="P1689" s="64"/>
      <c r="Q1689" s="64"/>
      <c r="R1689" s="65" t="str">
        <f>IF($A1689="","",IFERROR(MINIFS(Candidates!$K$2:$K$2000,Candidates!$A$2:$A$2000,$A1689),""))</f>
        <v/>
      </c>
      <c r="S1689" s="65" t="str">
        <f>IF($A1689="","",IFERROR(MAXIFS(Candidates!$AA$2:$AA$2000,Candidates!$A$2:$A$2000,$A1689),""))</f>
        <v/>
      </c>
      <c r="T1689" s="64" t="str">
        <f>IFERROR(__xludf.DUMMYFUNCTION("IF($A1689="""","""",IFERROR(TEXTJOIN("", "",TRUE,UNIQUE(FILTER(Candidates!$B$2:$B$2000,Candidates!$A$2:$A$2000=$A1689))),""""))"),"")</f>
        <v/>
      </c>
      <c r="U1689" s="66" t="str">
        <f>IF($A1689="","",COUNTIF(Candidates!$A$2:$A$2000,$A1689))</f>
        <v/>
      </c>
      <c r="V1689" s="64" t="str">
        <f>IFERROR(__xludf.DUMMYFUNCTION("IF($A1689="""","""",IFERROR(INDEX(FILTER(Candidates!$S$2:$S$2000,Candidates!$A$2:$A$2000=$A1689),COUNTIF(Candidates!$A$2:$A$2000,$A1689)),""""))"),"")</f>
        <v/>
      </c>
      <c r="W1689" s="64" t="str">
        <f>IFERROR(__xludf.DUMMYFUNCTION("IF($A1689="""","""",IFERROR(INDEX(FILTER(Candidates!$T$2:$T$2000,Candidates!$A$2:$A$2000=$A1689),COUNTIF(Candidates!$A$2:$A$2000,$A1689)),""""))"),"")</f>
        <v/>
      </c>
      <c r="X1689" s="64"/>
      <c r="Y1689" s="64"/>
      <c r="Z1689" s="65"/>
      <c r="AA1689" s="65"/>
      <c r="AB1689" s="65"/>
      <c r="AC1689" s="65"/>
    </row>
    <row r="1690">
      <c r="A1690" s="64"/>
      <c r="B1690" s="64"/>
      <c r="C1690" s="64"/>
      <c r="D1690" s="64"/>
      <c r="E1690" s="64"/>
      <c r="F1690" s="64"/>
      <c r="G1690" s="64"/>
      <c r="H1690" s="63"/>
      <c r="I1690" s="64"/>
      <c r="J1690" s="64"/>
      <c r="K1690" s="64"/>
      <c r="L1690" s="64"/>
      <c r="M1690" s="64"/>
      <c r="N1690" s="64"/>
      <c r="O1690" s="64"/>
      <c r="P1690" s="64"/>
      <c r="Q1690" s="64"/>
      <c r="R1690" s="65" t="str">
        <f>IF($A1690="","",IFERROR(MINIFS(Candidates!$K$2:$K$2000,Candidates!$A$2:$A$2000,$A1690),""))</f>
        <v/>
      </c>
      <c r="S1690" s="65" t="str">
        <f>IF($A1690="","",IFERROR(MAXIFS(Candidates!$AA$2:$AA$2000,Candidates!$A$2:$A$2000,$A1690),""))</f>
        <v/>
      </c>
      <c r="T1690" s="64" t="str">
        <f>IFERROR(__xludf.DUMMYFUNCTION("IF($A1690="""","""",IFERROR(TEXTJOIN("", "",TRUE,UNIQUE(FILTER(Candidates!$B$2:$B$2000,Candidates!$A$2:$A$2000=$A1690))),""""))"),"")</f>
        <v/>
      </c>
      <c r="U1690" s="66" t="str">
        <f>IF($A1690="","",COUNTIF(Candidates!$A$2:$A$2000,$A1690))</f>
        <v/>
      </c>
      <c r="V1690" s="64" t="str">
        <f>IFERROR(__xludf.DUMMYFUNCTION("IF($A1690="""","""",IFERROR(INDEX(FILTER(Candidates!$S$2:$S$2000,Candidates!$A$2:$A$2000=$A1690),COUNTIF(Candidates!$A$2:$A$2000,$A1690)),""""))"),"")</f>
        <v/>
      </c>
      <c r="W1690" s="64" t="str">
        <f>IFERROR(__xludf.DUMMYFUNCTION("IF($A1690="""","""",IFERROR(INDEX(FILTER(Candidates!$T$2:$T$2000,Candidates!$A$2:$A$2000=$A1690),COUNTIF(Candidates!$A$2:$A$2000,$A1690)),""""))"),"")</f>
        <v/>
      </c>
      <c r="X1690" s="64"/>
      <c r="Y1690" s="64"/>
      <c r="Z1690" s="65"/>
      <c r="AA1690" s="65"/>
      <c r="AB1690" s="65"/>
      <c r="AC1690" s="65"/>
    </row>
    <row r="1691">
      <c r="A1691" s="64"/>
      <c r="B1691" s="64"/>
      <c r="C1691" s="64"/>
      <c r="D1691" s="64"/>
      <c r="E1691" s="64"/>
      <c r="F1691" s="64"/>
      <c r="G1691" s="64"/>
      <c r="H1691" s="63"/>
      <c r="I1691" s="64"/>
      <c r="J1691" s="64"/>
      <c r="K1691" s="64"/>
      <c r="L1691" s="64"/>
      <c r="M1691" s="64"/>
      <c r="N1691" s="64"/>
      <c r="O1691" s="64"/>
      <c r="P1691" s="64"/>
      <c r="Q1691" s="64"/>
      <c r="R1691" s="65" t="str">
        <f>IF($A1691="","",IFERROR(MINIFS(Candidates!$K$2:$K$2000,Candidates!$A$2:$A$2000,$A1691),""))</f>
        <v/>
      </c>
      <c r="S1691" s="65" t="str">
        <f>IF($A1691="","",IFERROR(MAXIFS(Candidates!$AA$2:$AA$2000,Candidates!$A$2:$A$2000,$A1691),""))</f>
        <v/>
      </c>
      <c r="T1691" s="64" t="str">
        <f>IFERROR(__xludf.DUMMYFUNCTION("IF($A1691="""","""",IFERROR(TEXTJOIN("", "",TRUE,UNIQUE(FILTER(Candidates!$B$2:$B$2000,Candidates!$A$2:$A$2000=$A1691))),""""))"),"")</f>
        <v/>
      </c>
      <c r="U1691" s="66" t="str">
        <f>IF($A1691="","",COUNTIF(Candidates!$A$2:$A$2000,$A1691))</f>
        <v/>
      </c>
      <c r="V1691" s="64" t="str">
        <f>IFERROR(__xludf.DUMMYFUNCTION("IF($A1691="""","""",IFERROR(INDEX(FILTER(Candidates!$S$2:$S$2000,Candidates!$A$2:$A$2000=$A1691),COUNTIF(Candidates!$A$2:$A$2000,$A1691)),""""))"),"")</f>
        <v/>
      </c>
      <c r="W1691" s="64" t="str">
        <f>IFERROR(__xludf.DUMMYFUNCTION("IF($A1691="""","""",IFERROR(INDEX(FILTER(Candidates!$T$2:$T$2000,Candidates!$A$2:$A$2000=$A1691),COUNTIF(Candidates!$A$2:$A$2000,$A1691)),""""))"),"")</f>
        <v/>
      </c>
      <c r="X1691" s="64"/>
      <c r="Y1691" s="64"/>
      <c r="Z1691" s="65"/>
      <c r="AA1691" s="65"/>
      <c r="AB1691" s="65"/>
      <c r="AC1691" s="65"/>
    </row>
    <row r="1692">
      <c r="A1692" s="64"/>
      <c r="B1692" s="64"/>
      <c r="C1692" s="64"/>
      <c r="D1692" s="64"/>
      <c r="E1692" s="64"/>
      <c r="F1692" s="64"/>
      <c r="G1692" s="64"/>
      <c r="H1692" s="63"/>
      <c r="I1692" s="64"/>
      <c r="J1692" s="64"/>
      <c r="K1692" s="64"/>
      <c r="L1692" s="64"/>
      <c r="M1692" s="64"/>
      <c r="N1692" s="64"/>
      <c r="O1692" s="64"/>
      <c r="P1692" s="64"/>
      <c r="Q1692" s="64"/>
      <c r="R1692" s="65" t="str">
        <f>IF($A1692="","",IFERROR(MINIFS(Candidates!$K$2:$K$2000,Candidates!$A$2:$A$2000,$A1692),""))</f>
        <v/>
      </c>
      <c r="S1692" s="65" t="str">
        <f>IF($A1692="","",IFERROR(MAXIFS(Candidates!$AA$2:$AA$2000,Candidates!$A$2:$A$2000,$A1692),""))</f>
        <v/>
      </c>
      <c r="T1692" s="64" t="str">
        <f>IFERROR(__xludf.DUMMYFUNCTION("IF($A1692="""","""",IFERROR(TEXTJOIN("", "",TRUE,UNIQUE(FILTER(Candidates!$B$2:$B$2000,Candidates!$A$2:$A$2000=$A1692))),""""))"),"")</f>
        <v/>
      </c>
      <c r="U1692" s="66" t="str">
        <f>IF($A1692="","",COUNTIF(Candidates!$A$2:$A$2000,$A1692))</f>
        <v/>
      </c>
      <c r="V1692" s="64" t="str">
        <f>IFERROR(__xludf.DUMMYFUNCTION("IF($A1692="""","""",IFERROR(INDEX(FILTER(Candidates!$S$2:$S$2000,Candidates!$A$2:$A$2000=$A1692),COUNTIF(Candidates!$A$2:$A$2000,$A1692)),""""))"),"")</f>
        <v/>
      </c>
      <c r="W1692" s="64" t="str">
        <f>IFERROR(__xludf.DUMMYFUNCTION("IF($A1692="""","""",IFERROR(INDEX(FILTER(Candidates!$T$2:$T$2000,Candidates!$A$2:$A$2000=$A1692),COUNTIF(Candidates!$A$2:$A$2000,$A1692)),""""))"),"")</f>
        <v/>
      </c>
      <c r="X1692" s="64"/>
      <c r="Y1692" s="64"/>
      <c r="Z1692" s="65"/>
      <c r="AA1692" s="65"/>
      <c r="AB1692" s="65"/>
      <c r="AC1692" s="65"/>
    </row>
    <row r="1693">
      <c r="A1693" s="64"/>
      <c r="B1693" s="64"/>
      <c r="C1693" s="64"/>
      <c r="D1693" s="64"/>
      <c r="E1693" s="64"/>
      <c r="F1693" s="64"/>
      <c r="G1693" s="64"/>
      <c r="H1693" s="63"/>
      <c r="I1693" s="64"/>
      <c r="J1693" s="64"/>
      <c r="K1693" s="64"/>
      <c r="L1693" s="64"/>
      <c r="M1693" s="64"/>
      <c r="N1693" s="64"/>
      <c r="O1693" s="64"/>
      <c r="P1693" s="64"/>
      <c r="Q1693" s="64"/>
      <c r="R1693" s="65" t="str">
        <f>IF($A1693="","",IFERROR(MINIFS(Candidates!$K$2:$K$2000,Candidates!$A$2:$A$2000,$A1693),""))</f>
        <v/>
      </c>
      <c r="S1693" s="65" t="str">
        <f>IF($A1693="","",IFERROR(MAXIFS(Candidates!$AA$2:$AA$2000,Candidates!$A$2:$A$2000,$A1693),""))</f>
        <v/>
      </c>
      <c r="T1693" s="64" t="str">
        <f>IFERROR(__xludf.DUMMYFUNCTION("IF($A1693="""","""",IFERROR(TEXTJOIN("", "",TRUE,UNIQUE(FILTER(Candidates!$B$2:$B$2000,Candidates!$A$2:$A$2000=$A1693))),""""))"),"")</f>
        <v/>
      </c>
      <c r="U1693" s="66" t="str">
        <f>IF($A1693="","",COUNTIF(Candidates!$A$2:$A$2000,$A1693))</f>
        <v/>
      </c>
      <c r="V1693" s="64" t="str">
        <f>IFERROR(__xludf.DUMMYFUNCTION("IF($A1693="""","""",IFERROR(INDEX(FILTER(Candidates!$S$2:$S$2000,Candidates!$A$2:$A$2000=$A1693),COUNTIF(Candidates!$A$2:$A$2000,$A1693)),""""))"),"")</f>
        <v/>
      </c>
      <c r="W1693" s="64" t="str">
        <f>IFERROR(__xludf.DUMMYFUNCTION("IF($A1693="""","""",IFERROR(INDEX(FILTER(Candidates!$T$2:$T$2000,Candidates!$A$2:$A$2000=$A1693),COUNTIF(Candidates!$A$2:$A$2000,$A1693)),""""))"),"")</f>
        <v/>
      </c>
      <c r="X1693" s="64"/>
      <c r="Y1693" s="64"/>
      <c r="Z1693" s="65"/>
      <c r="AA1693" s="65"/>
      <c r="AB1693" s="65"/>
      <c r="AC1693" s="65"/>
    </row>
    <row r="1694">
      <c r="A1694" s="64"/>
      <c r="B1694" s="64"/>
      <c r="C1694" s="64"/>
      <c r="D1694" s="64"/>
      <c r="E1694" s="64"/>
      <c r="F1694" s="64"/>
      <c r="G1694" s="64"/>
      <c r="H1694" s="63"/>
      <c r="I1694" s="64"/>
      <c r="J1694" s="64"/>
      <c r="K1694" s="64"/>
      <c r="L1694" s="64"/>
      <c r="M1694" s="64"/>
      <c r="N1694" s="64"/>
      <c r="O1694" s="64"/>
      <c r="P1694" s="64"/>
      <c r="Q1694" s="64"/>
      <c r="R1694" s="65" t="str">
        <f>IF($A1694="","",IFERROR(MINIFS(Candidates!$K$2:$K$2000,Candidates!$A$2:$A$2000,$A1694),""))</f>
        <v/>
      </c>
      <c r="S1694" s="65" t="str">
        <f>IF($A1694="","",IFERROR(MAXIFS(Candidates!$AA$2:$AA$2000,Candidates!$A$2:$A$2000,$A1694),""))</f>
        <v/>
      </c>
      <c r="T1694" s="64" t="str">
        <f>IFERROR(__xludf.DUMMYFUNCTION("IF($A1694="""","""",IFERROR(TEXTJOIN("", "",TRUE,UNIQUE(FILTER(Candidates!$B$2:$B$2000,Candidates!$A$2:$A$2000=$A1694))),""""))"),"")</f>
        <v/>
      </c>
      <c r="U1694" s="66" t="str">
        <f>IF($A1694="","",COUNTIF(Candidates!$A$2:$A$2000,$A1694))</f>
        <v/>
      </c>
      <c r="V1694" s="64" t="str">
        <f>IFERROR(__xludf.DUMMYFUNCTION("IF($A1694="""","""",IFERROR(INDEX(FILTER(Candidates!$S$2:$S$2000,Candidates!$A$2:$A$2000=$A1694),COUNTIF(Candidates!$A$2:$A$2000,$A1694)),""""))"),"")</f>
        <v/>
      </c>
      <c r="W1694" s="64" t="str">
        <f>IFERROR(__xludf.DUMMYFUNCTION("IF($A1694="""","""",IFERROR(INDEX(FILTER(Candidates!$T$2:$T$2000,Candidates!$A$2:$A$2000=$A1694),COUNTIF(Candidates!$A$2:$A$2000,$A1694)),""""))"),"")</f>
        <v/>
      </c>
      <c r="X1694" s="64"/>
      <c r="Y1694" s="64"/>
      <c r="Z1694" s="65"/>
      <c r="AA1694" s="65"/>
      <c r="AB1694" s="65"/>
      <c r="AC1694" s="65"/>
    </row>
    <row r="1695">
      <c r="A1695" s="64"/>
      <c r="B1695" s="64"/>
      <c r="C1695" s="64"/>
      <c r="D1695" s="64"/>
      <c r="E1695" s="64"/>
      <c r="F1695" s="64"/>
      <c r="G1695" s="64"/>
      <c r="H1695" s="63"/>
      <c r="I1695" s="64"/>
      <c r="J1695" s="64"/>
      <c r="K1695" s="64"/>
      <c r="L1695" s="64"/>
      <c r="M1695" s="64"/>
      <c r="N1695" s="64"/>
      <c r="O1695" s="64"/>
      <c r="P1695" s="64"/>
      <c r="Q1695" s="64"/>
      <c r="R1695" s="65" t="str">
        <f>IF($A1695="","",IFERROR(MINIFS(Candidates!$K$2:$K$2000,Candidates!$A$2:$A$2000,$A1695),""))</f>
        <v/>
      </c>
      <c r="S1695" s="65" t="str">
        <f>IF($A1695="","",IFERROR(MAXIFS(Candidates!$AA$2:$AA$2000,Candidates!$A$2:$A$2000,$A1695),""))</f>
        <v/>
      </c>
      <c r="T1695" s="64" t="str">
        <f>IFERROR(__xludf.DUMMYFUNCTION("IF($A1695="""","""",IFERROR(TEXTJOIN("", "",TRUE,UNIQUE(FILTER(Candidates!$B$2:$B$2000,Candidates!$A$2:$A$2000=$A1695))),""""))"),"")</f>
        <v/>
      </c>
      <c r="U1695" s="66" t="str">
        <f>IF($A1695="","",COUNTIF(Candidates!$A$2:$A$2000,$A1695))</f>
        <v/>
      </c>
      <c r="V1695" s="64" t="str">
        <f>IFERROR(__xludf.DUMMYFUNCTION("IF($A1695="""","""",IFERROR(INDEX(FILTER(Candidates!$S$2:$S$2000,Candidates!$A$2:$A$2000=$A1695),COUNTIF(Candidates!$A$2:$A$2000,$A1695)),""""))"),"")</f>
        <v/>
      </c>
      <c r="W1695" s="64" t="str">
        <f>IFERROR(__xludf.DUMMYFUNCTION("IF($A1695="""","""",IFERROR(INDEX(FILTER(Candidates!$T$2:$T$2000,Candidates!$A$2:$A$2000=$A1695),COUNTIF(Candidates!$A$2:$A$2000,$A1695)),""""))"),"")</f>
        <v/>
      </c>
      <c r="X1695" s="64"/>
      <c r="Y1695" s="64"/>
      <c r="Z1695" s="65"/>
      <c r="AA1695" s="65"/>
      <c r="AB1695" s="65"/>
      <c r="AC1695" s="65"/>
    </row>
    <row r="1696">
      <c r="A1696" s="64"/>
      <c r="B1696" s="64"/>
      <c r="C1696" s="64"/>
      <c r="D1696" s="64"/>
      <c r="E1696" s="64"/>
      <c r="F1696" s="64"/>
      <c r="G1696" s="64"/>
      <c r="H1696" s="63"/>
      <c r="I1696" s="64"/>
      <c r="J1696" s="64"/>
      <c r="K1696" s="64"/>
      <c r="L1696" s="64"/>
      <c r="M1696" s="64"/>
      <c r="N1696" s="64"/>
      <c r="O1696" s="64"/>
      <c r="P1696" s="64"/>
      <c r="Q1696" s="64"/>
      <c r="R1696" s="65" t="str">
        <f>IF($A1696="","",IFERROR(MINIFS(Candidates!$K$2:$K$2000,Candidates!$A$2:$A$2000,$A1696),""))</f>
        <v/>
      </c>
      <c r="S1696" s="65" t="str">
        <f>IF($A1696="","",IFERROR(MAXIFS(Candidates!$AA$2:$AA$2000,Candidates!$A$2:$A$2000,$A1696),""))</f>
        <v/>
      </c>
      <c r="T1696" s="64" t="str">
        <f>IFERROR(__xludf.DUMMYFUNCTION("IF($A1696="""","""",IFERROR(TEXTJOIN("", "",TRUE,UNIQUE(FILTER(Candidates!$B$2:$B$2000,Candidates!$A$2:$A$2000=$A1696))),""""))"),"")</f>
        <v/>
      </c>
      <c r="U1696" s="66" t="str">
        <f>IF($A1696="","",COUNTIF(Candidates!$A$2:$A$2000,$A1696))</f>
        <v/>
      </c>
      <c r="V1696" s="64" t="str">
        <f>IFERROR(__xludf.DUMMYFUNCTION("IF($A1696="""","""",IFERROR(INDEX(FILTER(Candidates!$S$2:$S$2000,Candidates!$A$2:$A$2000=$A1696),COUNTIF(Candidates!$A$2:$A$2000,$A1696)),""""))"),"")</f>
        <v/>
      </c>
      <c r="W1696" s="64" t="str">
        <f>IFERROR(__xludf.DUMMYFUNCTION("IF($A1696="""","""",IFERROR(INDEX(FILTER(Candidates!$T$2:$T$2000,Candidates!$A$2:$A$2000=$A1696),COUNTIF(Candidates!$A$2:$A$2000,$A1696)),""""))"),"")</f>
        <v/>
      </c>
      <c r="X1696" s="64"/>
      <c r="Y1696" s="64"/>
      <c r="Z1696" s="65"/>
      <c r="AA1696" s="65"/>
      <c r="AB1696" s="65"/>
      <c r="AC1696" s="65"/>
    </row>
    <row r="1697">
      <c r="A1697" s="64"/>
      <c r="B1697" s="64"/>
      <c r="C1697" s="64"/>
      <c r="D1697" s="64"/>
      <c r="E1697" s="64"/>
      <c r="F1697" s="64"/>
      <c r="G1697" s="64"/>
      <c r="H1697" s="63"/>
      <c r="I1697" s="64"/>
      <c r="J1697" s="64"/>
      <c r="K1697" s="64"/>
      <c r="L1697" s="64"/>
      <c r="M1697" s="64"/>
      <c r="N1697" s="64"/>
      <c r="O1697" s="64"/>
      <c r="P1697" s="64"/>
      <c r="Q1697" s="64"/>
      <c r="R1697" s="65" t="str">
        <f>IF($A1697="","",IFERROR(MINIFS(Candidates!$K$2:$K$2000,Candidates!$A$2:$A$2000,$A1697),""))</f>
        <v/>
      </c>
      <c r="S1697" s="65" t="str">
        <f>IF($A1697="","",IFERROR(MAXIFS(Candidates!$AA$2:$AA$2000,Candidates!$A$2:$A$2000,$A1697),""))</f>
        <v/>
      </c>
      <c r="T1697" s="64" t="str">
        <f>IFERROR(__xludf.DUMMYFUNCTION("IF($A1697="""","""",IFERROR(TEXTJOIN("", "",TRUE,UNIQUE(FILTER(Candidates!$B$2:$B$2000,Candidates!$A$2:$A$2000=$A1697))),""""))"),"")</f>
        <v/>
      </c>
      <c r="U1697" s="66" t="str">
        <f>IF($A1697="","",COUNTIF(Candidates!$A$2:$A$2000,$A1697))</f>
        <v/>
      </c>
      <c r="V1697" s="64" t="str">
        <f>IFERROR(__xludf.DUMMYFUNCTION("IF($A1697="""","""",IFERROR(INDEX(FILTER(Candidates!$S$2:$S$2000,Candidates!$A$2:$A$2000=$A1697),COUNTIF(Candidates!$A$2:$A$2000,$A1697)),""""))"),"")</f>
        <v/>
      </c>
      <c r="W1697" s="64" t="str">
        <f>IFERROR(__xludf.DUMMYFUNCTION("IF($A1697="""","""",IFERROR(INDEX(FILTER(Candidates!$T$2:$T$2000,Candidates!$A$2:$A$2000=$A1697),COUNTIF(Candidates!$A$2:$A$2000,$A1697)),""""))"),"")</f>
        <v/>
      </c>
      <c r="X1697" s="64"/>
      <c r="Y1697" s="64"/>
      <c r="Z1697" s="65"/>
      <c r="AA1697" s="65"/>
      <c r="AB1697" s="65"/>
      <c r="AC1697" s="65"/>
    </row>
    <row r="1698">
      <c r="A1698" s="64"/>
      <c r="B1698" s="64"/>
      <c r="C1698" s="64"/>
      <c r="D1698" s="64"/>
      <c r="E1698" s="64"/>
      <c r="F1698" s="64"/>
      <c r="G1698" s="64"/>
      <c r="H1698" s="63"/>
      <c r="I1698" s="64"/>
      <c r="J1698" s="64"/>
      <c r="K1698" s="64"/>
      <c r="L1698" s="64"/>
      <c r="M1698" s="64"/>
      <c r="N1698" s="64"/>
      <c r="O1698" s="64"/>
      <c r="P1698" s="64"/>
      <c r="Q1698" s="64"/>
      <c r="R1698" s="65" t="str">
        <f>IF($A1698="","",IFERROR(MINIFS(Candidates!$K$2:$K$2000,Candidates!$A$2:$A$2000,$A1698),""))</f>
        <v/>
      </c>
      <c r="S1698" s="65" t="str">
        <f>IF($A1698="","",IFERROR(MAXIFS(Candidates!$AA$2:$AA$2000,Candidates!$A$2:$A$2000,$A1698),""))</f>
        <v/>
      </c>
      <c r="T1698" s="64" t="str">
        <f>IFERROR(__xludf.DUMMYFUNCTION("IF($A1698="""","""",IFERROR(TEXTJOIN("", "",TRUE,UNIQUE(FILTER(Candidates!$B$2:$B$2000,Candidates!$A$2:$A$2000=$A1698))),""""))"),"")</f>
        <v/>
      </c>
      <c r="U1698" s="66" t="str">
        <f>IF($A1698="","",COUNTIF(Candidates!$A$2:$A$2000,$A1698))</f>
        <v/>
      </c>
      <c r="V1698" s="64" t="str">
        <f>IFERROR(__xludf.DUMMYFUNCTION("IF($A1698="""","""",IFERROR(INDEX(FILTER(Candidates!$S$2:$S$2000,Candidates!$A$2:$A$2000=$A1698),COUNTIF(Candidates!$A$2:$A$2000,$A1698)),""""))"),"")</f>
        <v/>
      </c>
      <c r="W1698" s="64" t="str">
        <f>IFERROR(__xludf.DUMMYFUNCTION("IF($A1698="""","""",IFERROR(INDEX(FILTER(Candidates!$T$2:$T$2000,Candidates!$A$2:$A$2000=$A1698),COUNTIF(Candidates!$A$2:$A$2000,$A1698)),""""))"),"")</f>
        <v/>
      </c>
      <c r="X1698" s="64"/>
      <c r="Y1698" s="64"/>
      <c r="Z1698" s="65"/>
      <c r="AA1698" s="65"/>
      <c r="AB1698" s="65"/>
      <c r="AC1698" s="65"/>
    </row>
    <row r="1699">
      <c r="A1699" s="64"/>
      <c r="B1699" s="64"/>
      <c r="C1699" s="64"/>
      <c r="D1699" s="64"/>
      <c r="E1699" s="64"/>
      <c r="F1699" s="64"/>
      <c r="G1699" s="64"/>
      <c r="H1699" s="63"/>
      <c r="I1699" s="64"/>
      <c r="J1699" s="64"/>
      <c r="K1699" s="64"/>
      <c r="L1699" s="64"/>
      <c r="M1699" s="64"/>
      <c r="N1699" s="64"/>
      <c r="O1699" s="64"/>
      <c r="P1699" s="64"/>
      <c r="Q1699" s="64"/>
      <c r="R1699" s="65" t="str">
        <f>IF($A1699="","",IFERROR(MINIFS(Candidates!$K$2:$K$2000,Candidates!$A$2:$A$2000,$A1699),""))</f>
        <v/>
      </c>
      <c r="S1699" s="65" t="str">
        <f>IF($A1699="","",IFERROR(MAXIFS(Candidates!$AA$2:$AA$2000,Candidates!$A$2:$A$2000,$A1699),""))</f>
        <v/>
      </c>
      <c r="T1699" s="64" t="str">
        <f>IFERROR(__xludf.DUMMYFUNCTION("IF($A1699="""","""",IFERROR(TEXTJOIN("", "",TRUE,UNIQUE(FILTER(Candidates!$B$2:$B$2000,Candidates!$A$2:$A$2000=$A1699))),""""))"),"")</f>
        <v/>
      </c>
      <c r="U1699" s="66" t="str">
        <f>IF($A1699="","",COUNTIF(Candidates!$A$2:$A$2000,$A1699))</f>
        <v/>
      </c>
      <c r="V1699" s="64" t="str">
        <f>IFERROR(__xludf.DUMMYFUNCTION("IF($A1699="""","""",IFERROR(INDEX(FILTER(Candidates!$S$2:$S$2000,Candidates!$A$2:$A$2000=$A1699),COUNTIF(Candidates!$A$2:$A$2000,$A1699)),""""))"),"")</f>
        <v/>
      </c>
      <c r="W1699" s="64" t="str">
        <f>IFERROR(__xludf.DUMMYFUNCTION("IF($A1699="""","""",IFERROR(INDEX(FILTER(Candidates!$T$2:$T$2000,Candidates!$A$2:$A$2000=$A1699),COUNTIF(Candidates!$A$2:$A$2000,$A1699)),""""))"),"")</f>
        <v/>
      </c>
      <c r="X1699" s="64"/>
      <c r="Y1699" s="64"/>
      <c r="Z1699" s="65"/>
      <c r="AA1699" s="65"/>
      <c r="AB1699" s="65"/>
      <c r="AC1699" s="65"/>
    </row>
    <row r="1700">
      <c r="A1700" s="64"/>
      <c r="B1700" s="64"/>
      <c r="C1700" s="64"/>
      <c r="D1700" s="64"/>
      <c r="E1700" s="64"/>
      <c r="F1700" s="64"/>
      <c r="G1700" s="64"/>
      <c r="H1700" s="63"/>
      <c r="I1700" s="64"/>
      <c r="J1700" s="64"/>
      <c r="K1700" s="64"/>
      <c r="L1700" s="64"/>
      <c r="M1700" s="64"/>
      <c r="N1700" s="64"/>
      <c r="O1700" s="64"/>
      <c r="P1700" s="64"/>
      <c r="Q1700" s="64"/>
      <c r="R1700" s="65" t="str">
        <f>IF($A1700="","",IFERROR(MINIFS(Candidates!$K$2:$K$2000,Candidates!$A$2:$A$2000,$A1700),""))</f>
        <v/>
      </c>
      <c r="S1700" s="65" t="str">
        <f>IF($A1700="","",IFERROR(MAXIFS(Candidates!$AA$2:$AA$2000,Candidates!$A$2:$A$2000,$A1700),""))</f>
        <v/>
      </c>
      <c r="T1700" s="64" t="str">
        <f>IFERROR(__xludf.DUMMYFUNCTION("IF($A1700="""","""",IFERROR(TEXTJOIN("", "",TRUE,UNIQUE(FILTER(Candidates!$B$2:$B$2000,Candidates!$A$2:$A$2000=$A1700))),""""))"),"")</f>
        <v/>
      </c>
      <c r="U1700" s="66" t="str">
        <f>IF($A1700="","",COUNTIF(Candidates!$A$2:$A$2000,$A1700))</f>
        <v/>
      </c>
      <c r="V1700" s="64" t="str">
        <f>IFERROR(__xludf.DUMMYFUNCTION("IF($A1700="""","""",IFERROR(INDEX(FILTER(Candidates!$S$2:$S$2000,Candidates!$A$2:$A$2000=$A1700),COUNTIF(Candidates!$A$2:$A$2000,$A1700)),""""))"),"")</f>
        <v/>
      </c>
      <c r="W1700" s="64" t="str">
        <f>IFERROR(__xludf.DUMMYFUNCTION("IF($A1700="""","""",IFERROR(INDEX(FILTER(Candidates!$T$2:$T$2000,Candidates!$A$2:$A$2000=$A1700),COUNTIF(Candidates!$A$2:$A$2000,$A1700)),""""))"),"")</f>
        <v/>
      </c>
      <c r="X1700" s="64"/>
      <c r="Y1700" s="64"/>
      <c r="Z1700" s="65"/>
      <c r="AA1700" s="65"/>
      <c r="AB1700" s="65"/>
      <c r="AC1700" s="65"/>
    </row>
    <row r="1701">
      <c r="A1701" s="64"/>
      <c r="B1701" s="64"/>
      <c r="C1701" s="64"/>
      <c r="D1701" s="64"/>
      <c r="E1701" s="64"/>
      <c r="F1701" s="64"/>
      <c r="G1701" s="64"/>
      <c r="H1701" s="63"/>
      <c r="I1701" s="64"/>
      <c r="J1701" s="64"/>
      <c r="K1701" s="64"/>
      <c r="L1701" s="64"/>
      <c r="M1701" s="64"/>
      <c r="N1701" s="64"/>
      <c r="O1701" s="64"/>
      <c r="P1701" s="64"/>
      <c r="Q1701" s="64"/>
      <c r="R1701" s="65" t="str">
        <f>IF($A1701="","",IFERROR(MINIFS(Candidates!$K$2:$K$2000,Candidates!$A$2:$A$2000,$A1701),""))</f>
        <v/>
      </c>
      <c r="S1701" s="65" t="str">
        <f>IF($A1701="","",IFERROR(MAXIFS(Candidates!$AA$2:$AA$2000,Candidates!$A$2:$A$2000,$A1701),""))</f>
        <v/>
      </c>
      <c r="T1701" s="64" t="str">
        <f>IFERROR(__xludf.DUMMYFUNCTION("IF($A1701="""","""",IFERROR(TEXTJOIN("", "",TRUE,UNIQUE(FILTER(Candidates!$B$2:$B$2000,Candidates!$A$2:$A$2000=$A1701))),""""))"),"")</f>
        <v/>
      </c>
      <c r="U1701" s="66" t="str">
        <f>IF($A1701="","",COUNTIF(Candidates!$A$2:$A$2000,$A1701))</f>
        <v/>
      </c>
      <c r="V1701" s="64" t="str">
        <f>IFERROR(__xludf.DUMMYFUNCTION("IF($A1701="""","""",IFERROR(INDEX(FILTER(Candidates!$S$2:$S$2000,Candidates!$A$2:$A$2000=$A1701),COUNTIF(Candidates!$A$2:$A$2000,$A1701)),""""))"),"")</f>
        <v/>
      </c>
      <c r="W1701" s="64" t="str">
        <f>IFERROR(__xludf.DUMMYFUNCTION("IF($A1701="""","""",IFERROR(INDEX(FILTER(Candidates!$T$2:$T$2000,Candidates!$A$2:$A$2000=$A1701),COUNTIF(Candidates!$A$2:$A$2000,$A1701)),""""))"),"")</f>
        <v/>
      </c>
      <c r="X1701" s="64"/>
      <c r="Y1701" s="64"/>
      <c r="Z1701" s="65"/>
      <c r="AA1701" s="65"/>
      <c r="AB1701" s="65"/>
      <c r="AC1701" s="65"/>
    </row>
    <row r="1702">
      <c r="A1702" s="64"/>
      <c r="B1702" s="64"/>
      <c r="C1702" s="64"/>
      <c r="D1702" s="64"/>
      <c r="E1702" s="64"/>
      <c r="F1702" s="64"/>
      <c r="G1702" s="64"/>
      <c r="H1702" s="63"/>
      <c r="I1702" s="64"/>
      <c r="J1702" s="64"/>
      <c r="K1702" s="64"/>
      <c r="L1702" s="64"/>
      <c r="M1702" s="64"/>
      <c r="N1702" s="64"/>
      <c r="O1702" s="64"/>
      <c r="P1702" s="64"/>
      <c r="Q1702" s="64"/>
      <c r="R1702" s="65" t="str">
        <f>IF($A1702="","",IFERROR(MINIFS(Candidates!$K$2:$K$2000,Candidates!$A$2:$A$2000,$A1702),""))</f>
        <v/>
      </c>
      <c r="S1702" s="65" t="str">
        <f>IF($A1702="","",IFERROR(MAXIFS(Candidates!$AA$2:$AA$2000,Candidates!$A$2:$A$2000,$A1702),""))</f>
        <v/>
      </c>
      <c r="T1702" s="64" t="str">
        <f>IFERROR(__xludf.DUMMYFUNCTION("IF($A1702="""","""",IFERROR(TEXTJOIN("", "",TRUE,UNIQUE(FILTER(Candidates!$B$2:$B$2000,Candidates!$A$2:$A$2000=$A1702))),""""))"),"")</f>
        <v/>
      </c>
      <c r="U1702" s="66" t="str">
        <f>IF($A1702="","",COUNTIF(Candidates!$A$2:$A$2000,$A1702))</f>
        <v/>
      </c>
      <c r="V1702" s="64" t="str">
        <f>IFERROR(__xludf.DUMMYFUNCTION("IF($A1702="""","""",IFERROR(INDEX(FILTER(Candidates!$S$2:$S$2000,Candidates!$A$2:$A$2000=$A1702),COUNTIF(Candidates!$A$2:$A$2000,$A1702)),""""))"),"")</f>
        <v/>
      </c>
      <c r="W1702" s="64" t="str">
        <f>IFERROR(__xludf.DUMMYFUNCTION("IF($A1702="""","""",IFERROR(INDEX(FILTER(Candidates!$T$2:$T$2000,Candidates!$A$2:$A$2000=$A1702),COUNTIF(Candidates!$A$2:$A$2000,$A1702)),""""))"),"")</f>
        <v/>
      </c>
      <c r="X1702" s="64"/>
      <c r="Y1702" s="64"/>
      <c r="Z1702" s="65"/>
      <c r="AA1702" s="65"/>
      <c r="AB1702" s="65"/>
      <c r="AC1702" s="65"/>
    </row>
    <row r="1703">
      <c r="A1703" s="64"/>
      <c r="B1703" s="64"/>
      <c r="C1703" s="64"/>
      <c r="D1703" s="64"/>
      <c r="E1703" s="64"/>
      <c r="F1703" s="64"/>
      <c r="G1703" s="64"/>
      <c r="H1703" s="63"/>
      <c r="I1703" s="64"/>
      <c r="J1703" s="64"/>
      <c r="K1703" s="64"/>
      <c r="L1703" s="64"/>
      <c r="M1703" s="64"/>
      <c r="N1703" s="64"/>
      <c r="O1703" s="64"/>
      <c r="P1703" s="64"/>
      <c r="Q1703" s="64"/>
      <c r="R1703" s="65" t="str">
        <f>IF($A1703="","",IFERROR(MINIFS(Candidates!$K$2:$K$2000,Candidates!$A$2:$A$2000,$A1703),""))</f>
        <v/>
      </c>
      <c r="S1703" s="65" t="str">
        <f>IF($A1703="","",IFERROR(MAXIFS(Candidates!$AA$2:$AA$2000,Candidates!$A$2:$A$2000,$A1703),""))</f>
        <v/>
      </c>
      <c r="T1703" s="64" t="str">
        <f>IFERROR(__xludf.DUMMYFUNCTION("IF($A1703="""","""",IFERROR(TEXTJOIN("", "",TRUE,UNIQUE(FILTER(Candidates!$B$2:$B$2000,Candidates!$A$2:$A$2000=$A1703))),""""))"),"")</f>
        <v/>
      </c>
      <c r="U1703" s="66" t="str">
        <f>IF($A1703="","",COUNTIF(Candidates!$A$2:$A$2000,$A1703))</f>
        <v/>
      </c>
      <c r="V1703" s="64" t="str">
        <f>IFERROR(__xludf.DUMMYFUNCTION("IF($A1703="""","""",IFERROR(INDEX(FILTER(Candidates!$S$2:$S$2000,Candidates!$A$2:$A$2000=$A1703),COUNTIF(Candidates!$A$2:$A$2000,$A1703)),""""))"),"")</f>
        <v/>
      </c>
      <c r="W1703" s="64" t="str">
        <f>IFERROR(__xludf.DUMMYFUNCTION("IF($A1703="""","""",IFERROR(INDEX(FILTER(Candidates!$T$2:$T$2000,Candidates!$A$2:$A$2000=$A1703),COUNTIF(Candidates!$A$2:$A$2000,$A1703)),""""))"),"")</f>
        <v/>
      </c>
      <c r="X1703" s="64"/>
      <c r="Y1703" s="64"/>
      <c r="Z1703" s="65"/>
      <c r="AA1703" s="65"/>
      <c r="AB1703" s="65"/>
      <c r="AC1703" s="65"/>
    </row>
    <row r="1704">
      <c r="A1704" s="64"/>
      <c r="B1704" s="64"/>
      <c r="C1704" s="64"/>
      <c r="D1704" s="64"/>
      <c r="E1704" s="64"/>
      <c r="F1704" s="64"/>
      <c r="G1704" s="64"/>
      <c r="H1704" s="63"/>
      <c r="I1704" s="64"/>
      <c r="J1704" s="64"/>
      <c r="K1704" s="64"/>
      <c r="L1704" s="64"/>
      <c r="M1704" s="64"/>
      <c r="N1704" s="64"/>
      <c r="O1704" s="64"/>
      <c r="P1704" s="64"/>
      <c r="Q1704" s="64"/>
      <c r="R1704" s="65" t="str">
        <f>IF($A1704="","",IFERROR(MINIFS(Candidates!$K$2:$K$2000,Candidates!$A$2:$A$2000,$A1704),""))</f>
        <v/>
      </c>
      <c r="S1704" s="65" t="str">
        <f>IF($A1704="","",IFERROR(MAXIFS(Candidates!$AA$2:$AA$2000,Candidates!$A$2:$A$2000,$A1704),""))</f>
        <v/>
      </c>
      <c r="T1704" s="64" t="str">
        <f>IFERROR(__xludf.DUMMYFUNCTION("IF($A1704="""","""",IFERROR(TEXTJOIN("", "",TRUE,UNIQUE(FILTER(Candidates!$B$2:$B$2000,Candidates!$A$2:$A$2000=$A1704))),""""))"),"")</f>
        <v/>
      </c>
      <c r="U1704" s="66" t="str">
        <f>IF($A1704="","",COUNTIF(Candidates!$A$2:$A$2000,$A1704))</f>
        <v/>
      </c>
      <c r="V1704" s="64" t="str">
        <f>IFERROR(__xludf.DUMMYFUNCTION("IF($A1704="""","""",IFERROR(INDEX(FILTER(Candidates!$S$2:$S$2000,Candidates!$A$2:$A$2000=$A1704),COUNTIF(Candidates!$A$2:$A$2000,$A1704)),""""))"),"")</f>
        <v/>
      </c>
      <c r="W1704" s="64" t="str">
        <f>IFERROR(__xludf.DUMMYFUNCTION("IF($A1704="""","""",IFERROR(INDEX(FILTER(Candidates!$T$2:$T$2000,Candidates!$A$2:$A$2000=$A1704),COUNTIF(Candidates!$A$2:$A$2000,$A1704)),""""))"),"")</f>
        <v/>
      </c>
      <c r="X1704" s="64"/>
      <c r="Y1704" s="64"/>
      <c r="Z1704" s="65"/>
      <c r="AA1704" s="65"/>
      <c r="AB1704" s="65"/>
      <c r="AC1704" s="65"/>
    </row>
    <row r="1705">
      <c r="A1705" s="64"/>
      <c r="B1705" s="64"/>
      <c r="C1705" s="64"/>
      <c r="D1705" s="64"/>
      <c r="E1705" s="64"/>
      <c r="F1705" s="64"/>
      <c r="G1705" s="64"/>
      <c r="H1705" s="63"/>
      <c r="I1705" s="64"/>
      <c r="J1705" s="64"/>
      <c r="K1705" s="64"/>
      <c r="L1705" s="64"/>
      <c r="M1705" s="64"/>
      <c r="N1705" s="64"/>
      <c r="O1705" s="64"/>
      <c r="P1705" s="64"/>
      <c r="Q1705" s="64"/>
      <c r="R1705" s="65" t="str">
        <f>IF($A1705="","",IFERROR(MINIFS(Candidates!$K$2:$K$2000,Candidates!$A$2:$A$2000,$A1705),""))</f>
        <v/>
      </c>
      <c r="S1705" s="65" t="str">
        <f>IF($A1705="","",IFERROR(MAXIFS(Candidates!$AA$2:$AA$2000,Candidates!$A$2:$A$2000,$A1705),""))</f>
        <v/>
      </c>
      <c r="T1705" s="64" t="str">
        <f>IFERROR(__xludf.DUMMYFUNCTION("IF($A1705="""","""",IFERROR(TEXTJOIN("", "",TRUE,UNIQUE(FILTER(Candidates!$B$2:$B$2000,Candidates!$A$2:$A$2000=$A1705))),""""))"),"")</f>
        <v/>
      </c>
      <c r="U1705" s="66" t="str">
        <f>IF($A1705="","",COUNTIF(Candidates!$A$2:$A$2000,$A1705))</f>
        <v/>
      </c>
      <c r="V1705" s="64" t="str">
        <f>IFERROR(__xludf.DUMMYFUNCTION("IF($A1705="""","""",IFERROR(INDEX(FILTER(Candidates!$S$2:$S$2000,Candidates!$A$2:$A$2000=$A1705),COUNTIF(Candidates!$A$2:$A$2000,$A1705)),""""))"),"")</f>
        <v/>
      </c>
      <c r="W1705" s="64" t="str">
        <f>IFERROR(__xludf.DUMMYFUNCTION("IF($A1705="""","""",IFERROR(INDEX(FILTER(Candidates!$T$2:$T$2000,Candidates!$A$2:$A$2000=$A1705),COUNTIF(Candidates!$A$2:$A$2000,$A1705)),""""))"),"")</f>
        <v/>
      </c>
      <c r="X1705" s="64"/>
      <c r="Y1705" s="64"/>
      <c r="Z1705" s="65"/>
      <c r="AA1705" s="65"/>
      <c r="AB1705" s="65"/>
      <c r="AC1705" s="65"/>
    </row>
    <row r="1706">
      <c r="A1706" s="64"/>
      <c r="B1706" s="64"/>
      <c r="C1706" s="64"/>
      <c r="D1706" s="64"/>
      <c r="E1706" s="64"/>
      <c r="F1706" s="64"/>
      <c r="G1706" s="64"/>
      <c r="H1706" s="63"/>
      <c r="I1706" s="64"/>
      <c r="J1706" s="64"/>
      <c r="K1706" s="64"/>
      <c r="L1706" s="64"/>
      <c r="M1706" s="64"/>
      <c r="N1706" s="64"/>
      <c r="O1706" s="64"/>
      <c r="P1706" s="64"/>
      <c r="Q1706" s="64"/>
      <c r="R1706" s="65" t="str">
        <f>IF($A1706="","",IFERROR(MINIFS(Candidates!$K$2:$K$2000,Candidates!$A$2:$A$2000,$A1706),""))</f>
        <v/>
      </c>
      <c r="S1706" s="65" t="str">
        <f>IF($A1706="","",IFERROR(MAXIFS(Candidates!$AA$2:$AA$2000,Candidates!$A$2:$A$2000,$A1706),""))</f>
        <v/>
      </c>
      <c r="T1706" s="64" t="str">
        <f>IFERROR(__xludf.DUMMYFUNCTION("IF($A1706="""","""",IFERROR(TEXTJOIN("", "",TRUE,UNIQUE(FILTER(Candidates!$B$2:$B$2000,Candidates!$A$2:$A$2000=$A1706))),""""))"),"")</f>
        <v/>
      </c>
      <c r="U1706" s="66" t="str">
        <f>IF($A1706="","",COUNTIF(Candidates!$A$2:$A$2000,$A1706))</f>
        <v/>
      </c>
      <c r="V1706" s="64" t="str">
        <f>IFERROR(__xludf.DUMMYFUNCTION("IF($A1706="""","""",IFERROR(INDEX(FILTER(Candidates!$S$2:$S$2000,Candidates!$A$2:$A$2000=$A1706),COUNTIF(Candidates!$A$2:$A$2000,$A1706)),""""))"),"")</f>
        <v/>
      </c>
      <c r="W1706" s="64" t="str">
        <f>IFERROR(__xludf.DUMMYFUNCTION("IF($A1706="""","""",IFERROR(INDEX(FILTER(Candidates!$T$2:$T$2000,Candidates!$A$2:$A$2000=$A1706),COUNTIF(Candidates!$A$2:$A$2000,$A1706)),""""))"),"")</f>
        <v/>
      </c>
      <c r="X1706" s="64"/>
      <c r="Y1706" s="64"/>
      <c r="Z1706" s="65"/>
      <c r="AA1706" s="65"/>
      <c r="AB1706" s="65"/>
      <c r="AC1706" s="65"/>
    </row>
    <row r="1707">
      <c r="A1707" s="64"/>
      <c r="B1707" s="64"/>
      <c r="C1707" s="64"/>
      <c r="D1707" s="64"/>
      <c r="E1707" s="64"/>
      <c r="F1707" s="64"/>
      <c r="G1707" s="64"/>
      <c r="H1707" s="63"/>
      <c r="I1707" s="64"/>
      <c r="J1707" s="64"/>
      <c r="K1707" s="64"/>
      <c r="L1707" s="64"/>
      <c r="M1707" s="64"/>
      <c r="N1707" s="64"/>
      <c r="O1707" s="64"/>
      <c r="P1707" s="64"/>
      <c r="Q1707" s="64"/>
      <c r="R1707" s="65" t="str">
        <f>IF($A1707="","",IFERROR(MINIFS(Candidates!$K$2:$K$2000,Candidates!$A$2:$A$2000,$A1707),""))</f>
        <v/>
      </c>
      <c r="S1707" s="65" t="str">
        <f>IF($A1707="","",IFERROR(MAXIFS(Candidates!$AA$2:$AA$2000,Candidates!$A$2:$A$2000,$A1707),""))</f>
        <v/>
      </c>
      <c r="T1707" s="64" t="str">
        <f>IFERROR(__xludf.DUMMYFUNCTION("IF($A1707="""","""",IFERROR(TEXTJOIN("", "",TRUE,UNIQUE(FILTER(Candidates!$B$2:$B$2000,Candidates!$A$2:$A$2000=$A1707))),""""))"),"")</f>
        <v/>
      </c>
      <c r="U1707" s="66" t="str">
        <f>IF($A1707="","",COUNTIF(Candidates!$A$2:$A$2000,$A1707))</f>
        <v/>
      </c>
      <c r="V1707" s="64" t="str">
        <f>IFERROR(__xludf.DUMMYFUNCTION("IF($A1707="""","""",IFERROR(INDEX(FILTER(Candidates!$S$2:$S$2000,Candidates!$A$2:$A$2000=$A1707),COUNTIF(Candidates!$A$2:$A$2000,$A1707)),""""))"),"")</f>
        <v/>
      </c>
      <c r="W1707" s="64" t="str">
        <f>IFERROR(__xludf.DUMMYFUNCTION("IF($A1707="""","""",IFERROR(INDEX(FILTER(Candidates!$T$2:$T$2000,Candidates!$A$2:$A$2000=$A1707),COUNTIF(Candidates!$A$2:$A$2000,$A1707)),""""))"),"")</f>
        <v/>
      </c>
      <c r="X1707" s="64"/>
      <c r="Y1707" s="64"/>
      <c r="Z1707" s="65"/>
      <c r="AA1707" s="65"/>
      <c r="AB1707" s="65"/>
      <c r="AC1707" s="65"/>
    </row>
    <row r="1708">
      <c r="A1708" s="64"/>
      <c r="B1708" s="64"/>
      <c r="C1708" s="64"/>
      <c r="D1708" s="64"/>
      <c r="E1708" s="64"/>
      <c r="F1708" s="64"/>
      <c r="G1708" s="64"/>
      <c r="H1708" s="63"/>
      <c r="I1708" s="64"/>
      <c r="J1708" s="64"/>
      <c r="K1708" s="64"/>
      <c r="L1708" s="64"/>
      <c r="M1708" s="64"/>
      <c r="N1708" s="64"/>
      <c r="O1708" s="64"/>
      <c r="P1708" s="64"/>
      <c r="Q1708" s="64"/>
      <c r="R1708" s="65" t="str">
        <f>IF($A1708="","",IFERROR(MINIFS(Candidates!$K$2:$K$2000,Candidates!$A$2:$A$2000,$A1708),""))</f>
        <v/>
      </c>
      <c r="S1708" s="65" t="str">
        <f>IF($A1708="","",IFERROR(MAXIFS(Candidates!$AA$2:$AA$2000,Candidates!$A$2:$A$2000,$A1708),""))</f>
        <v/>
      </c>
      <c r="T1708" s="64" t="str">
        <f>IFERROR(__xludf.DUMMYFUNCTION("IF($A1708="""","""",IFERROR(TEXTJOIN("", "",TRUE,UNIQUE(FILTER(Candidates!$B$2:$B$2000,Candidates!$A$2:$A$2000=$A1708))),""""))"),"")</f>
        <v/>
      </c>
      <c r="U1708" s="66" t="str">
        <f>IF($A1708="","",COUNTIF(Candidates!$A$2:$A$2000,$A1708))</f>
        <v/>
      </c>
      <c r="V1708" s="64" t="str">
        <f>IFERROR(__xludf.DUMMYFUNCTION("IF($A1708="""","""",IFERROR(INDEX(FILTER(Candidates!$S$2:$S$2000,Candidates!$A$2:$A$2000=$A1708),COUNTIF(Candidates!$A$2:$A$2000,$A1708)),""""))"),"")</f>
        <v/>
      </c>
      <c r="W1708" s="64" t="str">
        <f>IFERROR(__xludf.DUMMYFUNCTION("IF($A1708="""","""",IFERROR(INDEX(FILTER(Candidates!$T$2:$T$2000,Candidates!$A$2:$A$2000=$A1708),COUNTIF(Candidates!$A$2:$A$2000,$A1708)),""""))"),"")</f>
        <v/>
      </c>
      <c r="X1708" s="64"/>
      <c r="Y1708" s="64"/>
      <c r="Z1708" s="65"/>
      <c r="AA1708" s="65"/>
      <c r="AB1708" s="65"/>
      <c r="AC1708" s="65"/>
    </row>
    <row r="1709">
      <c r="A1709" s="64"/>
      <c r="B1709" s="64"/>
      <c r="C1709" s="64"/>
      <c r="D1709" s="64"/>
      <c r="E1709" s="64"/>
      <c r="F1709" s="64"/>
      <c r="G1709" s="64"/>
      <c r="H1709" s="63"/>
      <c r="I1709" s="64"/>
      <c r="J1709" s="64"/>
      <c r="K1709" s="64"/>
      <c r="L1709" s="64"/>
      <c r="M1709" s="64"/>
      <c r="N1709" s="64"/>
      <c r="O1709" s="64"/>
      <c r="P1709" s="64"/>
      <c r="Q1709" s="64"/>
      <c r="R1709" s="65" t="str">
        <f>IF($A1709="","",IFERROR(MINIFS(Candidates!$K$2:$K$2000,Candidates!$A$2:$A$2000,$A1709),""))</f>
        <v/>
      </c>
      <c r="S1709" s="65" t="str">
        <f>IF($A1709="","",IFERROR(MAXIFS(Candidates!$AA$2:$AA$2000,Candidates!$A$2:$A$2000,$A1709),""))</f>
        <v/>
      </c>
      <c r="T1709" s="64" t="str">
        <f>IFERROR(__xludf.DUMMYFUNCTION("IF($A1709="""","""",IFERROR(TEXTJOIN("", "",TRUE,UNIQUE(FILTER(Candidates!$B$2:$B$2000,Candidates!$A$2:$A$2000=$A1709))),""""))"),"")</f>
        <v/>
      </c>
      <c r="U1709" s="66" t="str">
        <f>IF($A1709="","",COUNTIF(Candidates!$A$2:$A$2000,$A1709))</f>
        <v/>
      </c>
      <c r="V1709" s="64" t="str">
        <f>IFERROR(__xludf.DUMMYFUNCTION("IF($A1709="""","""",IFERROR(INDEX(FILTER(Candidates!$S$2:$S$2000,Candidates!$A$2:$A$2000=$A1709),COUNTIF(Candidates!$A$2:$A$2000,$A1709)),""""))"),"")</f>
        <v/>
      </c>
      <c r="W1709" s="64" t="str">
        <f>IFERROR(__xludf.DUMMYFUNCTION("IF($A1709="""","""",IFERROR(INDEX(FILTER(Candidates!$T$2:$T$2000,Candidates!$A$2:$A$2000=$A1709),COUNTIF(Candidates!$A$2:$A$2000,$A1709)),""""))"),"")</f>
        <v/>
      </c>
      <c r="X1709" s="64"/>
      <c r="Y1709" s="64"/>
      <c r="Z1709" s="65"/>
      <c r="AA1709" s="65"/>
      <c r="AB1709" s="65"/>
      <c r="AC1709" s="65"/>
    </row>
    <row r="1710">
      <c r="A1710" s="64"/>
      <c r="B1710" s="64"/>
      <c r="C1710" s="64"/>
      <c r="D1710" s="64"/>
      <c r="E1710" s="64"/>
      <c r="F1710" s="64"/>
      <c r="G1710" s="64"/>
      <c r="H1710" s="63"/>
      <c r="I1710" s="64"/>
      <c r="J1710" s="64"/>
      <c r="K1710" s="64"/>
      <c r="L1710" s="64"/>
      <c r="M1710" s="64"/>
      <c r="N1710" s="64"/>
      <c r="O1710" s="64"/>
      <c r="P1710" s="64"/>
      <c r="Q1710" s="64"/>
      <c r="R1710" s="65" t="str">
        <f>IF($A1710="","",IFERROR(MINIFS(Candidates!$K$2:$K$2000,Candidates!$A$2:$A$2000,$A1710),""))</f>
        <v/>
      </c>
      <c r="S1710" s="65" t="str">
        <f>IF($A1710="","",IFERROR(MAXIFS(Candidates!$AA$2:$AA$2000,Candidates!$A$2:$A$2000,$A1710),""))</f>
        <v/>
      </c>
      <c r="T1710" s="64" t="str">
        <f>IFERROR(__xludf.DUMMYFUNCTION("IF($A1710="""","""",IFERROR(TEXTJOIN("", "",TRUE,UNIQUE(FILTER(Candidates!$B$2:$B$2000,Candidates!$A$2:$A$2000=$A1710))),""""))"),"")</f>
        <v/>
      </c>
      <c r="U1710" s="66" t="str">
        <f>IF($A1710="","",COUNTIF(Candidates!$A$2:$A$2000,$A1710))</f>
        <v/>
      </c>
      <c r="V1710" s="64" t="str">
        <f>IFERROR(__xludf.DUMMYFUNCTION("IF($A1710="""","""",IFERROR(INDEX(FILTER(Candidates!$S$2:$S$2000,Candidates!$A$2:$A$2000=$A1710),COUNTIF(Candidates!$A$2:$A$2000,$A1710)),""""))"),"")</f>
        <v/>
      </c>
      <c r="W1710" s="64" t="str">
        <f>IFERROR(__xludf.DUMMYFUNCTION("IF($A1710="""","""",IFERROR(INDEX(FILTER(Candidates!$T$2:$T$2000,Candidates!$A$2:$A$2000=$A1710),COUNTIF(Candidates!$A$2:$A$2000,$A1710)),""""))"),"")</f>
        <v/>
      </c>
      <c r="X1710" s="64"/>
      <c r="Y1710" s="64"/>
      <c r="Z1710" s="65"/>
      <c r="AA1710" s="65"/>
      <c r="AB1710" s="65"/>
      <c r="AC1710" s="65"/>
    </row>
    <row r="1711">
      <c r="A1711" s="64"/>
      <c r="B1711" s="64"/>
      <c r="C1711" s="64"/>
      <c r="D1711" s="64"/>
      <c r="E1711" s="64"/>
      <c r="F1711" s="64"/>
      <c r="G1711" s="64"/>
      <c r="H1711" s="63"/>
      <c r="I1711" s="64"/>
      <c r="J1711" s="64"/>
      <c r="K1711" s="64"/>
      <c r="L1711" s="64"/>
      <c r="M1711" s="64"/>
      <c r="N1711" s="64"/>
      <c r="O1711" s="64"/>
      <c r="P1711" s="64"/>
      <c r="Q1711" s="64"/>
      <c r="R1711" s="65" t="str">
        <f>IF($A1711="","",IFERROR(MINIFS(Candidates!$K$2:$K$2000,Candidates!$A$2:$A$2000,$A1711),""))</f>
        <v/>
      </c>
      <c r="S1711" s="65" t="str">
        <f>IF($A1711="","",IFERROR(MAXIFS(Candidates!$AA$2:$AA$2000,Candidates!$A$2:$A$2000,$A1711),""))</f>
        <v/>
      </c>
      <c r="T1711" s="64" t="str">
        <f>IFERROR(__xludf.DUMMYFUNCTION("IF($A1711="""","""",IFERROR(TEXTJOIN("", "",TRUE,UNIQUE(FILTER(Candidates!$B$2:$B$2000,Candidates!$A$2:$A$2000=$A1711))),""""))"),"")</f>
        <v/>
      </c>
      <c r="U1711" s="66" t="str">
        <f>IF($A1711="","",COUNTIF(Candidates!$A$2:$A$2000,$A1711))</f>
        <v/>
      </c>
      <c r="V1711" s="64" t="str">
        <f>IFERROR(__xludf.DUMMYFUNCTION("IF($A1711="""","""",IFERROR(INDEX(FILTER(Candidates!$S$2:$S$2000,Candidates!$A$2:$A$2000=$A1711),COUNTIF(Candidates!$A$2:$A$2000,$A1711)),""""))"),"")</f>
        <v/>
      </c>
      <c r="W1711" s="64" t="str">
        <f>IFERROR(__xludf.DUMMYFUNCTION("IF($A1711="""","""",IFERROR(INDEX(FILTER(Candidates!$T$2:$T$2000,Candidates!$A$2:$A$2000=$A1711),COUNTIF(Candidates!$A$2:$A$2000,$A1711)),""""))"),"")</f>
        <v/>
      </c>
      <c r="X1711" s="64"/>
      <c r="Y1711" s="64"/>
      <c r="Z1711" s="65"/>
      <c r="AA1711" s="65"/>
      <c r="AB1711" s="65"/>
      <c r="AC1711" s="65"/>
    </row>
    <row r="1712">
      <c r="A1712" s="64"/>
      <c r="B1712" s="64"/>
      <c r="C1712" s="64"/>
      <c r="D1712" s="64"/>
      <c r="E1712" s="64"/>
      <c r="F1712" s="64"/>
      <c r="G1712" s="64"/>
      <c r="H1712" s="63"/>
      <c r="I1712" s="64"/>
      <c r="J1712" s="64"/>
      <c r="K1712" s="64"/>
      <c r="L1712" s="64"/>
      <c r="M1712" s="64"/>
      <c r="N1712" s="64"/>
      <c r="O1712" s="64"/>
      <c r="P1712" s="64"/>
      <c r="Q1712" s="64"/>
      <c r="R1712" s="65" t="str">
        <f>IF($A1712="","",IFERROR(MINIFS(Candidates!$K$2:$K$2000,Candidates!$A$2:$A$2000,$A1712),""))</f>
        <v/>
      </c>
      <c r="S1712" s="65" t="str">
        <f>IF($A1712="","",IFERROR(MAXIFS(Candidates!$AA$2:$AA$2000,Candidates!$A$2:$A$2000,$A1712),""))</f>
        <v/>
      </c>
      <c r="T1712" s="64" t="str">
        <f>IFERROR(__xludf.DUMMYFUNCTION("IF($A1712="""","""",IFERROR(TEXTJOIN("", "",TRUE,UNIQUE(FILTER(Candidates!$B$2:$B$2000,Candidates!$A$2:$A$2000=$A1712))),""""))"),"")</f>
        <v/>
      </c>
      <c r="U1712" s="66" t="str">
        <f>IF($A1712="","",COUNTIF(Candidates!$A$2:$A$2000,$A1712))</f>
        <v/>
      </c>
      <c r="V1712" s="64" t="str">
        <f>IFERROR(__xludf.DUMMYFUNCTION("IF($A1712="""","""",IFERROR(INDEX(FILTER(Candidates!$S$2:$S$2000,Candidates!$A$2:$A$2000=$A1712),COUNTIF(Candidates!$A$2:$A$2000,$A1712)),""""))"),"")</f>
        <v/>
      </c>
      <c r="W1712" s="64" t="str">
        <f>IFERROR(__xludf.DUMMYFUNCTION("IF($A1712="""","""",IFERROR(INDEX(FILTER(Candidates!$T$2:$T$2000,Candidates!$A$2:$A$2000=$A1712),COUNTIF(Candidates!$A$2:$A$2000,$A1712)),""""))"),"")</f>
        <v/>
      </c>
      <c r="X1712" s="64"/>
      <c r="Y1712" s="64"/>
      <c r="Z1712" s="65"/>
      <c r="AA1712" s="65"/>
      <c r="AB1712" s="65"/>
      <c r="AC1712" s="65"/>
    </row>
    <row r="1713">
      <c r="A1713" s="64"/>
      <c r="B1713" s="64"/>
      <c r="C1713" s="64"/>
      <c r="D1713" s="64"/>
      <c r="E1713" s="64"/>
      <c r="F1713" s="64"/>
      <c r="G1713" s="64"/>
      <c r="H1713" s="63"/>
      <c r="I1713" s="64"/>
      <c r="J1713" s="64"/>
      <c r="K1713" s="64"/>
      <c r="L1713" s="64"/>
      <c r="M1713" s="64"/>
      <c r="N1713" s="64"/>
      <c r="O1713" s="64"/>
      <c r="P1713" s="64"/>
      <c r="Q1713" s="64"/>
      <c r="R1713" s="65" t="str">
        <f>IF($A1713="","",IFERROR(MINIFS(Candidates!$K$2:$K$2000,Candidates!$A$2:$A$2000,$A1713),""))</f>
        <v/>
      </c>
      <c r="S1713" s="65" t="str">
        <f>IF($A1713="","",IFERROR(MAXIFS(Candidates!$AA$2:$AA$2000,Candidates!$A$2:$A$2000,$A1713),""))</f>
        <v/>
      </c>
      <c r="T1713" s="64" t="str">
        <f>IFERROR(__xludf.DUMMYFUNCTION("IF($A1713="""","""",IFERROR(TEXTJOIN("", "",TRUE,UNIQUE(FILTER(Candidates!$B$2:$B$2000,Candidates!$A$2:$A$2000=$A1713))),""""))"),"")</f>
        <v/>
      </c>
      <c r="U1713" s="66" t="str">
        <f>IF($A1713="","",COUNTIF(Candidates!$A$2:$A$2000,$A1713))</f>
        <v/>
      </c>
      <c r="V1713" s="64" t="str">
        <f>IFERROR(__xludf.DUMMYFUNCTION("IF($A1713="""","""",IFERROR(INDEX(FILTER(Candidates!$S$2:$S$2000,Candidates!$A$2:$A$2000=$A1713),COUNTIF(Candidates!$A$2:$A$2000,$A1713)),""""))"),"")</f>
        <v/>
      </c>
      <c r="W1713" s="64" t="str">
        <f>IFERROR(__xludf.DUMMYFUNCTION("IF($A1713="""","""",IFERROR(INDEX(FILTER(Candidates!$T$2:$T$2000,Candidates!$A$2:$A$2000=$A1713),COUNTIF(Candidates!$A$2:$A$2000,$A1713)),""""))"),"")</f>
        <v/>
      </c>
      <c r="X1713" s="64"/>
      <c r="Y1713" s="64"/>
      <c r="Z1713" s="65"/>
      <c r="AA1713" s="65"/>
      <c r="AB1713" s="65"/>
      <c r="AC1713" s="65"/>
    </row>
    <row r="1714">
      <c r="A1714" s="64"/>
      <c r="B1714" s="64"/>
      <c r="C1714" s="64"/>
      <c r="D1714" s="64"/>
      <c r="E1714" s="64"/>
      <c r="F1714" s="64"/>
      <c r="G1714" s="64"/>
      <c r="H1714" s="63"/>
      <c r="I1714" s="64"/>
      <c r="J1714" s="64"/>
      <c r="K1714" s="64"/>
      <c r="L1714" s="64"/>
      <c r="M1714" s="64"/>
      <c r="N1714" s="64"/>
      <c r="O1714" s="64"/>
      <c r="P1714" s="64"/>
      <c r="Q1714" s="64"/>
      <c r="R1714" s="65" t="str">
        <f>IF($A1714="","",IFERROR(MINIFS(Candidates!$K$2:$K$2000,Candidates!$A$2:$A$2000,$A1714),""))</f>
        <v/>
      </c>
      <c r="S1714" s="65" t="str">
        <f>IF($A1714="","",IFERROR(MAXIFS(Candidates!$AA$2:$AA$2000,Candidates!$A$2:$A$2000,$A1714),""))</f>
        <v/>
      </c>
      <c r="T1714" s="64" t="str">
        <f>IFERROR(__xludf.DUMMYFUNCTION("IF($A1714="""","""",IFERROR(TEXTJOIN("", "",TRUE,UNIQUE(FILTER(Candidates!$B$2:$B$2000,Candidates!$A$2:$A$2000=$A1714))),""""))"),"")</f>
        <v/>
      </c>
      <c r="U1714" s="66" t="str">
        <f>IF($A1714="","",COUNTIF(Candidates!$A$2:$A$2000,$A1714))</f>
        <v/>
      </c>
      <c r="V1714" s="64" t="str">
        <f>IFERROR(__xludf.DUMMYFUNCTION("IF($A1714="""","""",IFERROR(INDEX(FILTER(Candidates!$S$2:$S$2000,Candidates!$A$2:$A$2000=$A1714),COUNTIF(Candidates!$A$2:$A$2000,$A1714)),""""))"),"")</f>
        <v/>
      </c>
      <c r="W1714" s="64" t="str">
        <f>IFERROR(__xludf.DUMMYFUNCTION("IF($A1714="""","""",IFERROR(INDEX(FILTER(Candidates!$T$2:$T$2000,Candidates!$A$2:$A$2000=$A1714),COUNTIF(Candidates!$A$2:$A$2000,$A1714)),""""))"),"")</f>
        <v/>
      </c>
      <c r="X1714" s="64"/>
      <c r="Y1714" s="64"/>
      <c r="Z1714" s="65"/>
      <c r="AA1714" s="65"/>
      <c r="AB1714" s="65"/>
      <c r="AC1714" s="65"/>
    </row>
    <row r="1715">
      <c r="A1715" s="64"/>
      <c r="B1715" s="64"/>
      <c r="C1715" s="64"/>
      <c r="D1715" s="64"/>
      <c r="E1715" s="64"/>
      <c r="F1715" s="64"/>
      <c r="G1715" s="64"/>
      <c r="H1715" s="63"/>
      <c r="I1715" s="64"/>
      <c r="J1715" s="64"/>
      <c r="K1715" s="64"/>
      <c r="L1715" s="64"/>
      <c r="M1715" s="64"/>
      <c r="N1715" s="64"/>
      <c r="O1715" s="64"/>
      <c r="P1715" s="64"/>
      <c r="Q1715" s="64"/>
      <c r="R1715" s="65" t="str">
        <f>IF($A1715="","",IFERROR(MINIFS(Candidates!$K$2:$K$2000,Candidates!$A$2:$A$2000,$A1715),""))</f>
        <v/>
      </c>
      <c r="S1715" s="65" t="str">
        <f>IF($A1715="","",IFERROR(MAXIFS(Candidates!$AA$2:$AA$2000,Candidates!$A$2:$A$2000,$A1715),""))</f>
        <v/>
      </c>
      <c r="T1715" s="64" t="str">
        <f>IFERROR(__xludf.DUMMYFUNCTION("IF($A1715="""","""",IFERROR(TEXTJOIN("", "",TRUE,UNIQUE(FILTER(Candidates!$B$2:$B$2000,Candidates!$A$2:$A$2000=$A1715))),""""))"),"")</f>
        <v/>
      </c>
      <c r="U1715" s="66" t="str">
        <f>IF($A1715="","",COUNTIF(Candidates!$A$2:$A$2000,$A1715))</f>
        <v/>
      </c>
      <c r="V1715" s="64" t="str">
        <f>IFERROR(__xludf.DUMMYFUNCTION("IF($A1715="""","""",IFERROR(INDEX(FILTER(Candidates!$S$2:$S$2000,Candidates!$A$2:$A$2000=$A1715),COUNTIF(Candidates!$A$2:$A$2000,$A1715)),""""))"),"")</f>
        <v/>
      </c>
      <c r="W1715" s="64" t="str">
        <f>IFERROR(__xludf.DUMMYFUNCTION("IF($A1715="""","""",IFERROR(INDEX(FILTER(Candidates!$T$2:$T$2000,Candidates!$A$2:$A$2000=$A1715),COUNTIF(Candidates!$A$2:$A$2000,$A1715)),""""))"),"")</f>
        <v/>
      </c>
      <c r="X1715" s="64"/>
      <c r="Y1715" s="64"/>
      <c r="Z1715" s="65"/>
      <c r="AA1715" s="65"/>
      <c r="AB1715" s="65"/>
      <c r="AC1715" s="65"/>
    </row>
    <row r="1716">
      <c r="A1716" s="64"/>
      <c r="B1716" s="64"/>
      <c r="C1716" s="64"/>
      <c r="D1716" s="64"/>
      <c r="E1716" s="64"/>
      <c r="F1716" s="64"/>
      <c r="G1716" s="64"/>
      <c r="H1716" s="63"/>
      <c r="I1716" s="64"/>
      <c r="J1716" s="64"/>
      <c r="K1716" s="64"/>
      <c r="L1716" s="64"/>
      <c r="M1716" s="64"/>
      <c r="N1716" s="64"/>
      <c r="O1716" s="64"/>
      <c r="P1716" s="64"/>
      <c r="Q1716" s="64"/>
      <c r="R1716" s="65" t="str">
        <f>IF($A1716="","",IFERROR(MINIFS(Candidates!$K$2:$K$2000,Candidates!$A$2:$A$2000,$A1716),""))</f>
        <v/>
      </c>
      <c r="S1716" s="65" t="str">
        <f>IF($A1716="","",IFERROR(MAXIFS(Candidates!$AA$2:$AA$2000,Candidates!$A$2:$A$2000,$A1716),""))</f>
        <v/>
      </c>
      <c r="T1716" s="64" t="str">
        <f>IFERROR(__xludf.DUMMYFUNCTION("IF($A1716="""","""",IFERROR(TEXTJOIN("", "",TRUE,UNIQUE(FILTER(Candidates!$B$2:$B$2000,Candidates!$A$2:$A$2000=$A1716))),""""))"),"")</f>
        <v/>
      </c>
      <c r="U1716" s="66" t="str">
        <f>IF($A1716="","",COUNTIF(Candidates!$A$2:$A$2000,$A1716))</f>
        <v/>
      </c>
      <c r="V1716" s="64" t="str">
        <f>IFERROR(__xludf.DUMMYFUNCTION("IF($A1716="""","""",IFERROR(INDEX(FILTER(Candidates!$S$2:$S$2000,Candidates!$A$2:$A$2000=$A1716),COUNTIF(Candidates!$A$2:$A$2000,$A1716)),""""))"),"")</f>
        <v/>
      </c>
      <c r="W1716" s="64" t="str">
        <f>IFERROR(__xludf.DUMMYFUNCTION("IF($A1716="""","""",IFERROR(INDEX(FILTER(Candidates!$T$2:$T$2000,Candidates!$A$2:$A$2000=$A1716),COUNTIF(Candidates!$A$2:$A$2000,$A1716)),""""))"),"")</f>
        <v/>
      </c>
      <c r="X1716" s="64"/>
      <c r="Y1716" s="64"/>
      <c r="Z1716" s="65"/>
      <c r="AA1716" s="65"/>
      <c r="AB1716" s="65"/>
      <c r="AC1716" s="65"/>
    </row>
    <row r="1717">
      <c r="A1717" s="64"/>
      <c r="B1717" s="64"/>
      <c r="C1717" s="64"/>
      <c r="D1717" s="64"/>
      <c r="E1717" s="64"/>
      <c r="F1717" s="64"/>
      <c r="G1717" s="64"/>
      <c r="H1717" s="63"/>
      <c r="I1717" s="64"/>
      <c r="J1717" s="64"/>
      <c r="K1717" s="64"/>
      <c r="L1717" s="64"/>
      <c r="M1717" s="64"/>
      <c r="N1717" s="64"/>
      <c r="O1717" s="64"/>
      <c r="P1717" s="64"/>
      <c r="Q1717" s="64"/>
      <c r="R1717" s="65" t="str">
        <f>IF($A1717="","",IFERROR(MINIFS(Candidates!$K$2:$K$2000,Candidates!$A$2:$A$2000,$A1717),""))</f>
        <v/>
      </c>
      <c r="S1717" s="65" t="str">
        <f>IF($A1717="","",IFERROR(MAXIFS(Candidates!$AA$2:$AA$2000,Candidates!$A$2:$A$2000,$A1717),""))</f>
        <v/>
      </c>
      <c r="T1717" s="64" t="str">
        <f>IFERROR(__xludf.DUMMYFUNCTION("IF($A1717="""","""",IFERROR(TEXTJOIN("", "",TRUE,UNIQUE(FILTER(Candidates!$B$2:$B$2000,Candidates!$A$2:$A$2000=$A1717))),""""))"),"")</f>
        <v/>
      </c>
      <c r="U1717" s="66" t="str">
        <f>IF($A1717="","",COUNTIF(Candidates!$A$2:$A$2000,$A1717))</f>
        <v/>
      </c>
      <c r="V1717" s="64" t="str">
        <f>IFERROR(__xludf.DUMMYFUNCTION("IF($A1717="""","""",IFERROR(INDEX(FILTER(Candidates!$S$2:$S$2000,Candidates!$A$2:$A$2000=$A1717),COUNTIF(Candidates!$A$2:$A$2000,$A1717)),""""))"),"")</f>
        <v/>
      </c>
      <c r="W1717" s="64" t="str">
        <f>IFERROR(__xludf.DUMMYFUNCTION("IF($A1717="""","""",IFERROR(INDEX(FILTER(Candidates!$T$2:$T$2000,Candidates!$A$2:$A$2000=$A1717),COUNTIF(Candidates!$A$2:$A$2000,$A1717)),""""))"),"")</f>
        <v/>
      </c>
      <c r="X1717" s="64"/>
      <c r="Y1717" s="64"/>
      <c r="Z1717" s="65"/>
      <c r="AA1717" s="65"/>
      <c r="AB1717" s="65"/>
      <c r="AC1717" s="65"/>
    </row>
    <row r="1718">
      <c r="A1718" s="64"/>
      <c r="B1718" s="64"/>
      <c r="C1718" s="64"/>
      <c r="D1718" s="64"/>
      <c r="E1718" s="64"/>
      <c r="F1718" s="64"/>
      <c r="G1718" s="64"/>
      <c r="H1718" s="63"/>
      <c r="I1718" s="64"/>
      <c r="J1718" s="64"/>
      <c r="K1718" s="64"/>
      <c r="L1718" s="64"/>
      <c r="M1718" s="64"/>
      <c r="N1718" s="64"/>
      <c r="O1718" s="64"/>
      <c r="P1718" s="64"/>
      <c r="Q1718" s="64"/>
      <c r="R1718" s="65" t="str">
        <f>IF($A1718="","",IFERROR(MINIFS(Candidates!$K$2:$K$2000,Candidates!$A$2:$A$2000,$A1718),""))</f>
        <v/>
      </c>
      <c r="S1718" s="65" t="str">
        <f>IF($A1718="","",IFERROR(MAXIFS(Candidates!$AA$2:$AA$2000,Candidates!$A$2:$A$2000,$A1718),""))</f>
        <v/>
      </c>
      <c r="T1718" s="64" t="str">
        <f>IFERROR(__xludf.DUMMYFUNCTION("IF($A1718="""","""",IFERROR(TEXTJOIN("", "",TRUE,UNIQUE(FILTER(Candidates!$B$2:$B$2000,Candidates!$A$2:$A$2000=$A1718))),""""))"),"")</f>
        <v/>
      </c>
      <c r="U1718" s="66" t="str">
        <f>IF($A1718="","",COUNTIF(Candidates!$A$2:$A$2000,$A1718))</f>
        <v/>
      </c>
      <c r="V1718" s="64" t="str">
        <f>IFERROR(__xludf.DUMMYFUNCTION("IF($A1718="""","""",IFERROR(INDEX(FILTER(Candidates!$S$2:$S$2000,Candidates!$A$2:$A$2000=$A1718),COUNTIF(Candidates!$A$2:$A$2000,$A1718)),""""))"),"")</f>
        <v/>
      </c>
      <c r="W1718" s="64" t="str">
        <f>IFERROR(__xludf.DUMMYFUNCTION("IF($A1718="""","""",IFERROR(INDEX(FILTER(Candidates!$T$2:$T$2000,Candidates!$A$2:$A$2000=$A1718),COUNTIF(Candidates!$A$2:$A$2000,$A1718)),""""))"),"")</f>
        <v/>
      </c>
      <c r="X1718" s="64"/>
      <c r="Y1718" s="64"/>
      <c r="Z1718" s="65"/>
      <c r="AA1718" s="65"/>
      <c r="AB1718" s="65"/>
      <c r="AC1718" s="65"/>
    </row>
    <row r="1719">
      <c r="A1719" s="64"/>
      <c r="B1719" s="64"/>
      <c r="C1719" s="64"/>
      <c r="D1719" s="64"/>
      <c r="E1719" s="64"/>
      <c r="F1719" s="64"/>
      <c r="G1719" s="64"/>
      <c r="H1719" s="63"/>
      <c r="I1719" s="64"/>
      <c r="J1719" s="64"/>
      <c r="K1719" s="64"/>
      <c r="L1719" s="64"/>
      <c r="M1719" s="64"/>
      <c r="N1719" s="64"/>
      <c r="O1719" s="64"/>
      <c r="P1719" s="64"/>
      <c r="Q1719" s="64"/>
      <c r="R1719" s="65" t="str">
        <f>IF($A1719="","",IFERROR(MINIFS(Candidates!$K$2:$K$2000,Candidates!$A$2:$A$2000,$A1719),""))</f>
        <v/>
      </c>
      <c r="S1719" s="65" t="str">
        <f>IF($A1719="","",IFERROR(MAXIFS(Candidates!$AA$2:$AA$2000,Candidates!$A$2:$A$2000,$A1719),""))</f>
        <v/>
      </c>
      <c r="T1719" s="64" t="str">
        <f>IFERROR(__xludf.DUMMYFUNCTION("IF($A1719="""","""",IFERROR(TEXTJOIN("", "",TRUE,UNIQUE(FILTER(Candidates!$B$2:$B$2000,Candidates!$A$2:$A$2000=$A1719))),""""))"),"")</f>
        <v/>
      </c>
      <c r="U1719" s="66" t="str">
        <f>IF($A1719="","",COUNTIF(Candidates!$A$2:$A$2000,$A1719))</f>
        <v/>
      </c>
      <c r="V1719" s="64" t="str">
        <f>IFERROR(__xludf.DUMMYFUNCTION("IF($A1719="""","""",IFERROR(INDEX(FILTER(Candidates!$S$2:$S$2000,Candidates!$A$2:$A$2000=$A1719),COUNTIF(Candidates!$A$2:$A$2000,$A1719)),""""))"),"")</f>
        <v/>
      </c>
      <c r="W1719" s="64" t="str">
        <f>IFERROR(__xludf.DUMMYFUNCTION("IF($A1719="""","""",IFERROR(INDEX(FILTER(Candidates!$T$2:$T$2000,Candidates!$A$2:$A$2000=$A1719),COUNTIF(Candidates!$A$2:$A$2000,$A1719)),""""))"),"")</f>
        <v/>
      </c>
      <c r="X1719" s="64"/>
      <c r="Y1719" s="64"/>
      <c r="Z1719" s="65"/>
      <c r="AA1719" s="65"/>
      <c r="AB1719" s="65"/>
      <c r="AC1719" s="65"/>
    </row>
    <row r="1720">
      <c r="A1720" s="64"/>
      <c r="B1720" s="64"/>
      <c r="C1720" s="64"/>
      <c r="D1720" s="64"/>
      <c r="E1720" s="64"/>
      <c r="F1720" s="64"/>
      <c r="G1720" s="64"/>
      <c r="H1720" s="63"/>
      <c r="I1720" s="64"/>
      <c r="J1720" s="64"/>
      <c r="K1720" s="64"/>
      <c r="L1720" s="64"/>
      <c r="M1720" s="64"/>
      <c r="N1720" s="64"/>
      <c r="O1720" s="64"/>
      <c r="P1720" s="64"/>
      <c r="Q1720" s="64"/>
      <c r="R1720" s="65" t="str">
        <f>IF($A1720="","",IFERROR(MINIFS(Candidates!$K$2:$K$2000,Candidates!$A$2:$A$2000,$A1720),""))</f>
        <v/>
      </c>
      <c r="S1720" s="65" t="str">
        <f>IF($A1720="","",IFERROR(MAXIFS(Candidates!$AA$2:$AA$2000,Candidates!$A$2:$A$2000,$A1720),""))</f>
        <v/>
      </c>
      <c r="T1720" s="64" t="str">
        <f>IFERROR(__xludf.DUMMYFUNCTION("IF($A1720="""","""",IFERROR(TEXTJOIN("", "",TRUE,UNIQUE(FILTER(Candidates!$B$2:$B$2000,Candidates!$A$2:$A$2000=$A1720))),""""))"),"")</f>
        <v/>
      </c>
      <c r="U1720" s="66" t="str">
        <f>IF($A1720="","",COUNTIF(Candidates!$A$2:$A$2000,$A1720))</f>
        <v/>
      </c>
      <c r="V1720" s="64" t="str">
        <f>IFERROR(__xludf.DUMMYFUNCTION("IF($A1720="""","""",IFERROR(INDEX(FILTER(Candidates!$S$2:$S$2000,Candidates!$A$2:$A$2000=$A1720),COUNTIF(Candidates!$A$2:$A$2000,$A1720)),""""))"),"")</f>
        <v/>
      </c>
      <c r="W1720" s="64" t="str">
        <f>IFERROR(__xludf.DUMMYFUNCTION("IF($A1720="""","""",IFERROR(INDEX(FILTER(Candidates!$T$2:$T$2000,Candidates!$A$2:$A$2000=$A1720),COUNTIF(Candidates!$A$2:$A$2000,$A1720)),""""))"),"")</f>
        <v/>
      </c>
      <c r="X1720" s="64"/>
      <c r="Y1720" s="64"/>
      <c r="Z1720" s="65"/>
      <c r="AA1720" s="65"/>
      <c r="AB1720" s="65"/>
      <c r="AC1720" s="65"/>
    </row>
    <row r="1721">
      <c r="A1721" s="64"/>
      <c r="B1721" s="64"/>
      <c r="C1721" s="64"/>
      <c r="D1721" s="64"/>
      <c r="E1721" s="64"/>
      <c r="F1721" s="64"/>
      <c r="G1721" s="64"/>
      <c r="H1721" s="63"/>
      <c r="I1721" s="64"/>
      <c r="J1721" s="64"/>
      <c r="K1721" s="64"/>
      <c r="L1721" s="64"/>
      <c r="M1721" s="64"/>
      <c r="N1721" s="64"/>
      <c r="O1721" s="64"/>
      <c r="P1721" s="64"/>
      <c r="Q1721" s="64"/>
      <c r="R1721" s="65" t="str">
        <f>IF($A1721="","",IFERROR(MINIFS(Candidates!$K$2:$K$2000,Candidates!$A$2:$A$2000,$A1721),""))</f>
        <v/>
      </c>
      <c r="S1721" s="65" t="str">
        <f>IF($A1721="","",IFERROR(MAXIFS(Candidates!$AA$2:$AA$2000,Candidates!$A$2:$A$2000,$A1721),""))</f>
        <v/>
      </c>
      <c r="T1721" s="64" t="str">
        <f>IFERROR(__xludf.DUMMYFUNCTION("IF($A1721="""","""",IFERROR(TEXTJOIN("", "",TRUE,UNIQUE(FILTER(Candidates!$B$2:$B$2000,Candidates!$A$2:$A$2000=$A1721))),""""))"),"")</f>
        <v/>
      </c>
      <c r="U1721" s="66" t="str">
        <f>IF($A1721="","",COUNTIF(Candidates!$A$2:$A$2000,$A1721))</f>
        <v/>
      </c>
      <c r="V1721" s="64" t="str">
        <f>IFERROR(__xludf.DUMMYFUNCTION("IF($A1721="""","""",IFERROR(INDEX(FILTER(Candidates!$S$2:$S$2000,Candidates!$A$2:$A$2000=$A1721),COUNTIF(Candidates!$A$2:$A$2000,$A1721)),""""))"),"")</f>
        <v/>
      </c>
      <c r="W1721" s="64" t="str">
        <f>IFERROR(__xludf.DUMMYFUNCTION("IF($A1721="""","""",IFERROR(INDEX(FILTER(Candidates!$T$2:$T$2000,Candidates!$A$2:$A$2000=$A1721),COUNTIF(Candidates!$A$2:$A$2000,$A1721)),""""))"),"")</f>
        <v/>
      </c>
      <c r="X1721" s="64"/>
      <c r="Y1721" s="64"/>
      <c r="Z1721" s="65"/>
      <c r="AA1721" s="65"/>
      <c r="AB1721" s="65"/>
      <c r="AC1721" s="65"/>
    </row>
    <row r="1722">
      <c r="A1722" s="64"/>
      <c r="B1722" s="64"/>
      <c r="C1722" s="64"/>
      <c r="D1722" s="64"/>
      <c r="E1722" s="64"/>
      <c r="F1722" s="64"/>
      <c r="G1722" s="64"/>
      <c r="H1722" s="63"/>
      <c r="I1722" s="64"/>
      <c r="J1722" s="64"/>
      <c r="K1722" s="64"/>
      <c r="L1722" s="64"/>
      <c r="M1722" s="64"/>
      <c r="N1722" s="64"/>
      <c r="O1722" s="64"/>
      <c r="P1722" s="64"/>
      <c r="Q1722" s="64"/>
      <c r="R1722" s="65" t="str">
        <f>IF($A1722="","",IFERROR(MINIFS(Candidates!$K$2:$K$2000,Candidates!$A$2:$A$2000,$A1722),""))</f>
        <v/>
      </c>
      <c r="S1722" s="65" t="str">
        <f>IF($A1722="","",IFERROR(MAXIFS(Candidates!$AA$2:$AA$2000,Candidates!$A$2:$A$2000,$A1722),""))</f>
        <v/>
      </c>
      <c r="T1722" s="64" t="str">
        <f>IFERROR(__xludf.DUMMYFUNCTION("IF($A1722="""","""",IFERROR(TEXTJOIN("", "",TRUE,UNIQUE(FILTER(Candidates!$B$2:$B$2000,Candidates!$A$2:$A$2000=$A1722))),""""))"),"")</f>
        <v/>
      </c>
      <c r="U1722" s="66" t="str">
        <f>IF($A1722="","",COUNTIF(Candidates!$A$2:$A$2000,$A1722))</f>
        <v/>
      </c>
      <c r="V1722" s="64" t="str">
        <f>IFERROR(__xludf.DUMMYFUNCTION("IF($A1722="""","""",IFERROR(INDEX(FILTER(Candidates!$S$2:$S$2000,Candidates!$A$2:$A$2000=$A1722),COUNTIF(Candidates!$A$2:$A$2000,$A1722)),""""))"),"")</f>
        <v/>
      </c>
      <c r="W1722" s="64" t="str">
        <f>IFERROR(__xludf.DUMMYFUNCTION("IF($A1722="""","""",IFERROR(INDEX(FILTER(Candidates!$T$2:$T$2000,Candidates!$A$2:$A$2000=$A1722),COUNTIF(Candidates!$A$2:$A$2000,$A1722)),""""))"),"")</f>
        <v/>
      </c>
      <c r="X1722" s="64"/>
      <c r="Y1722" s="64"/>
      <c r="Z1722" s="65"/>
      <c r="AA1722" s="65"/>
      <c r="AB1722" s="65"/>
      <c r="AC1722" s="65"/>
    </row>
    <row r="1723">
      <c r="A1723" s="64"/>
      <c r="B1723" s="64"/>
      <c r="C1723" s="64"/>
      <c r="D1723" s="64"/>
      <c r="E1723" s="64"/>
      <c r="F1723" s="64"/>
      <c r="G1723" s="64"/>
      <c r="H1723" s="63"/>
      <c r="I1723" s="64"/>
      <c r="J1723" s="64"/>
      <c r="K1723" s="64"/>
      <c r="L1723" s="64"/>
      <c r="M1723" s="64"/>
      <c r="N1723" s="64"/>
      <c r="O1723" s="64"/>
      <c r="P1723" s="64"/>
      <c r="Q1723" s="64"/>
      <c r="R1723" s="65" t="str">
        <f>IF($A1723="","",IFERROR(MINIFS(Candidates!$K$2:$K$2000,Candidates!$A$2:$A$2000,$A1723),""))</f>
        <v/>
      </c>
      <c r="S1723" s="65" t="str">
        <f>IF($A1723="","",IFERROR(MAXIFS(Candidates!$AA$2:$AA$2000,Candidates!$A$2:$A$2000,$A1723),""))</f>
        <v/>
      </c>
      <c r="T1723" s="64" t="str">
        <f>IFERROR(__xludf.DUMMYFUNCTION("IF($A1723="""","""",IFERROR(TEXTJOIN("", "",TRUE,UNIQUE(FILTER(Candidates!$B$2:$B$2000,Candidates!$A$2:$A$2000=$A1723))),""""))"),"")</f>
        <v/>
      </c>
      <c r="U1723" s="66" t="str">
        <f>IF($A1723="","",COUNTIF(Candidates!$A$2:$A$2000,$A1723))</f>
        <v/>
      </c>
      <c r="V1723" s="64" t="str">
        <f>IFERROR(__xludf.DUMMYFUNCTION("IF($A1723="""","""",IFERROR(INDEX(FILTER(Candidates!$S$2:$S$2000,Candidates!$A$2:$A$2000=$A1723),COUNTIF(Candidates!$A$2:$A$2000,$A1723)),""""))"),"")</f>
        <v/>
      </c>
      <c r="W1723" s="64" t="str">
        <f>IFERROR(__xludf.DUMMYFUNCTION("IF($A1723="""","""",IFERROR(INDEX(FILTER(Candidates!$T$2:$T$2000,Candidates!$A$2:$A$2000=$A1723),COUNTIF(Candidates!$A$2:$A$2000,$A1723)),""""))"),"")</f>
        <v/>
      </c>
      <c r="X1723" s="64"/>
      <c r="Y1723" s="64"/>
      <c r="Z1723" s="65"/>
      <c r="AA1723" s="65"/>
      <c r="AB1723" s="65"/>
      <c r="AC1723" s="65"/>
    </row>
    <row r="1724">
      <c r="A1724" s="64"/>
      <c r="B1724" s="64"/>
      <c r="C1724" s="64"/>
      <c r="D1724" s="64"/>
      <c r="E1724" s="64"/>
      <c r="F1724" s="64"/>
      <c r="G1724" s="64"/>
      <c r="H1724" s="63"/>
      <c r="I1724" s="64"/>
      <c r="J1724" s="64"/>
      <c r="K1724" s="64"/>
      <c r="L1724" s="64"/>
      <c r="M1724" s="64"/>
      <c r="N1724" s="64"/>
      <c r="O1724" s="64"/>
      <c r="P1724" s="64"/>
      <c r="Q1724" s="64"/>
      <c r="R1724" s="65" t="str">
        <f>IF($A1724="","",IFERROR(MINIFS(Candidates!$K$2:$K$2000,Candidates!$A$2:$A$2000,$A1724),""))</f>
        <v/>
      </c>
      <c r="S1724" s="65" t="str">
        <f>IF($A1724="","",IFERROR(MAXIFS(Candidates!$AA$2:$AA$2000,Candidates!$A$2:$A$2000,$A1724),""))</f>
        <v/>
      </c>
      <c r="T1724" s="64" t="str">
        <f>IFERROR(__xludf.DUMMYFUNCTION("IF($A1724="""","""",IFERROR(TEXTJOIN("", "",TRUE,UNIQUE(FILTER(Candidates!$B$2:$B$2000,Candidates!$A$2:$A$2000=$A1724))),""""))"),"")</f>
        <v/>
      </c>
      <c r="U1724" s="66" t="str">
        <f>IF($A1724="","",COUNTIF(Candidates!$A$2:$A$2000,$A1724))</f>
        <v/>
      </c>
      <c r="V1724" s="64" t="str">
        <f>IFERROR(__xludf.DUMMYFUNCTION("IF($A1724="""","""",IFERROR(INDEX(FILTER(Candidates!$S$2:$S$2000,Candidates!$A$2:$A$2000=$A1724),COUNTIF(Candidates!$A$2:$A$2000,$A1724)),""""))"),"")</f>
        <v/>
      </c>
      <c r="W1724" s="64" t="str">
        <f>IFERROR(__xludf.DUMMYFUNCTION("IF($A1724="""","""",IFERROR(INDEX(FILTER(Candidates!$T$2:$T$2000,Candidates!$A$2:$A$2000=$A1724),COUNTIF(Candidates!$A$2:$A$2000,$A1724)),""""))"),"")</f>
        <v/>
      </c>
      <c r="X1724" s="64"/>
      <c r="Y1724" s="64"/>
      <c r="Z1724" s="65"/>
      <c r="AA1724" s="65"/>
      <c r="AB1724" s="65"/>
      <c r="AC1724" s="65"/>
    </row>
    <row r="1725">
      <c r="A1725" s="64"/>
      <c r="B1725" s="64"/>
      <c r="C1725" s="64"/>
      <c r="D1725" s="64"/>
      <c r="E1725" s="64"/>
      <c r="F1725" s="64"/>
      <c r="G1725" s="64"/>
      <c r="H1725" s="63"/>
      <c r="I1725" s="64"/>
      <c r="J1725" s="64"/>
      <c r="K1725" s="64"/>
      <c r="L1725" s="64"/>
      <c r="M1725" s="64"/>
      <c r="N1725" s="64"/>
      <c r="O1725" s="64"/>
      <c r="P1725" s="64"/>
      <c r="Q1725" s="64"/>
      <c r="R1725" s="65" t="str">
        <f>IF($A1725="","",IFERROR(MINIFS(Candidates!$K$2:$K$2000,Candidates!$A$2:$A$2000,$A1725),""))</f>
        <v/>
      </c>
      <c r="S1725" s="65" t="str">
        <f>IF($A1725="","",IFERROR(MAXIFS(Candidates!$AA$2:$AA$2000,Candidates!$A$2:$A$2000,$A1725),""))</f>
        <v/>
      </c>
      <c r="T1725" s="64" t="str">
        <f>IFERROR(__xludf.DUMMYFUNCTION("IF($A1725="""","""",IFERROR(TEXTJOIN("", "",TRUE,UNIQUE(FILTER(Candidates!$B$2:$B$2000,Candidates!$A$2:$A$2000=$A1725))),""""))"),"")</f>
        <v/>
      </c>
      <c r="U1725" s="66" t="str">
        <f>IF($A1725="","",COUNTIF(Candidates!$A$2:$A$2000,$A1725))</f>
        <v/>
      </c>
      <c r="V1725" s="64" t="str">
        <f>IFERROR(__xludf.DUMMYFUNCTION("IF($A1725="""","""",IFERROR(INDEX(FILTER(Candidates!$S$2:$S$2000,Candidates!$A$2:$A$2000=$A1725),COUNTIF(Candidates!$A$2:$A$2000,$A1725)),""""))"),"")</f>
        <v/>
      </c>
      <c r="W1725" s="64" t="str">
        <f>IFERROR(__xludf.DUMMYFUNCTION("IF($A1725="""","""",IFERROR(INDEX(FILTER(Candidates!$T$2:$T$2000,Candidates!$A$2:$A$2000=$A1725),COUNTIF(Candidates!$A$2:$A$2000,$A1725)),""""))"),"")</f>
        <v/>
      </c>
      <c r="X1725" s="64"/>
      <c r="Y1725" s="64"/>
      <c r="Z1725" s="65"/>
      <c r="AA1725" s="65"/>
      <c r="AB1725" s="65"/>
      <c r="AC1725" s="65"/>
    </row>
    <row r="1726">
      <c r="A1726" s="64"/>
      <c r="B1726" s="64"/>
      <c r="C1726" s="64"/>
      <c r="D1726" s="64"/>
      <c r="E1726" s="64"/>
      <c r="F1726" s="64"/>
      <c r="G1726" s="64"/>
      <c r="H1726" s="63"/>
      <c r="I1726" s="64"/>
      <c r="J1726" s="64"/>
      <c r="K1726" s="64"/>
      <c r="L1726" s="64"/>
      <c r="M1726" s="64"/>
      <c r="N1726" s="64"/>
      <c r="O1726" s="64"/>
      <c r="P1726" s="64"/>
      <c r="Q1726" s="64"/>
      <c r="R1726" s="65" t="str">
        <f>IF($A1726="","",IFERROR(MINIFS(Candidates!$K$2:$K$2000,Candidates!$A$2:$A$2000,$A1726),""))</f>
        <v/>
      </c>
      <c r="S1726" s="65" t="str">
        <f>IF($A1726="","",IFERROR(MAXIFS(Candidates!$AA$2:$AA$2000,Candidates!$A$2:$A$2000,$A1726),""))</f>
        <v/>
      </c>
      <c r="T1726" s="64" t="str">
        <f>IFERROR(__xludf.DUMMYFUNCTION("IF($A1726="""","""",IFERROR(TEXTJOIN("", "",TRUE,UNIQUE(FILTER(Candidates!$B$2:$B$2000,Candidates!$A$2:$A$2000=$A1726))),""""))"),"")</f>
        <v/>
      </c>
      <c r="U1726" s="66" t="str">
        <f>IF($A1726="","",COUNTIF(Candidates!$A$2:$A$2000,$A1726))</f>
        <v/>
      </c>
      <c r="V1726" s="64" t="str">
        <f>IFERROR(__xludf.DUMMYFUNCTION("IF($A1726="""","""",IFERROR(INDEX(FILTER(Candidates!$S$2:$S$2000,Candidates!$A$2:$A$2000=$A1726),COUNTIF(Candidates!$A$2:$A$2000,$A1726)),""""))"),"")</f>
        <v/>
      </c>
      <c r="W1726" s="64" t="str">
        <f>IFERROR(__xludf.DUMMYFUNCTION("IF($A1726="""","""",IFERROR(INDEX(FILTER(Candidates!$T$2:$T$2000,Candidates!$A$2:$A$2000=$A1726),COUNTIF(Candidates!$A$2:$A$2000,$A1726)),""""))"),"")</f>
        <v/>
      </c>
      <c r="X1726" s="64"/>
      <c r="Y1726" s="64"/>
      <c r="Z1726" s="65"/>
      <c r="AA1726" s="65"/>
      <c r="AB1726" s="65"/>
      <c r="AC1726" s="65"/>
    </row>
    <row r="1727">
      <c r="A1727" s="64"/>
      <c r="B1727" s="64"/>
      <c r="C1727" s="64"/>
      <c r="D1727" s="64"/>
      <c r="E1727" s="64"/>
      <c r="F1727" s="64"/>
      <c r="G1727" s="64"/>
      <c r="H1727" s="63"/>
      <c r="I1727" s="64"/>
      <c r="J1727" s="64"/>
      <c r="K1727" s="64"/>
      <c r="L1727" s="64"/>
      <c r="M1727" s="64"/>
      <c r="N1727" s="64"/>
      <c r="O1727" s="64"/>
      <c r="P1727" s="64"/>
      <c r="Q1727" s="64"/>
      <c r="R1727" s="65" t="str">
        <f>IF($A1727="","",IFERROR(MINIFS(Candidates!$K$2:$K$2000,Candidates!$A$2:$A$2000,$A1727),""))</f>
        <v/>
      </c>
      <c r="S1727" s="65" t="str">
        <f>IF($A1727="","",IFERROR(MAXIFS(Candidates!$AA$2:$AA$2000,Candidates!$A$2:$A$2000,$A1727),""))</f>
        <v/>
      </c>
      <c r="T1727" s="64" t="str">
        <f>IFERROR(__xludf.DUMMYFUNCTION("IF($A1727="""","""",IFERROR(TEXTJOIN("", "",TRUE,UNIQUE(FILTER(Candidates!$B$2:$B$2000,Candidates!$A$2:$A$2000=$A1727))),""""))"),"")</f>
        <v/>
      </c>
      <c r="U1727" s="66" t="str">
        <f>IF($A1727="","",COUNTIF(Candidates!$A$2:$A$2000,$A1727))</f>
        <v/>
      </c>
      <c r="V1727" s="64" t="str">
        <f>IFERROR(__xludf.DUMMYFUNCTION("IF($A1727="""","""",IFERROR(INDEX(FILTER(Candidates!$S$2:$S$2000,Candidates!$A$2:$A$2000=$A1727),COUNTIF(Candidates!$A$2:$A$2000,$A1727)),""""))"),"")</f>
        <v/>
      </c>
      <c r="W1727" s="64" t="str">
        <f>IFERROR(__xludf.DUMMYFUNCTION("IF($A1727="""","""",IFERROR(INDEX(FILTER(Candidates!$T$2:$T$2000,Candidates!$A$2:$A$2000=$A1727),COUNTIF(Candidates!$A$2:$A$2000,$A1727)),""""))"),"")</f>
        <v/>
      </c>
      <c r="X1727" s="64"/>
      <c r="Y1727" s="64"/>
      <c r="Z1727" s="65"/>
      <c r="AA1727" s="65"/>
      <c r="AB1727" s="65"/>
      <c r="AC1727" s="65"/>
    </row>
    <row r="1728">
      <c r="A1728" s="64"/>
      <c r="B1728" s="64"/>
      <c r="C1728" s="64"/>
      <c r="D1728" s="64"/>
      <c r="E1728" s="64"/>
      <c r="F1728" s="64"/>
      <c r="G1728" s="64"/>
      <c r="H1728" s="63"/>
      <c r="I1728" s="64"/>
      <c r="J1728" s="64"/>
      <c r="K1728" s="64"/>
      <c r="L1728" s="64"/>
      <c r="M1728" s="64"/>
      <c r="N1728" s="64"/>
      <c r="O1728" s="64"/>
      <c r="P1728" s="64"/>
      <c r="Q1728" s="64"/>
      <c r="R1728" s="65" t="str">
        <f>IF($A1728="","",IFERROR(MINIFS(Candidates!$K$2:$K$2000,Candidates!$A$2:$A$2000,$A1728),""))</f>
        <v/>
      </c>
      <c r="S1728" s="65" t="str">
        <f>IF($A1728="","",IFERROR(MAXIFS(Candidates!$AA$2:$AA$2000,Candidates!$A$2:$A$2000,$A1728),""))</f>
        <v/>
      </c>
      <c r="T1728" s="64" t="str">
        <f>IFERROR(__xludf.DUMMYFUNCTION("IF($A1728="""","""",IFERROR(TEXTJOIN("", "",TRUE,UNIQUE(FILTER(Candidates!$B$2:$B$2000,Candidates!$A$2:$A$2000=$A1728))),""""))"),"")</f>
        <v/>
      </c>
      <c r="U1728" s="66" t="str">
        <f>IF($A1728="","",COUNTIF(Candidates!$A$2:$A$2000,$A1728))</f>
        <v/>
      </c>
      <c r="V1728" s="64" t="str">
        <f>IFERROR(__xludf.DUMMYFUNCTION("IF($A1728="""","""",IFERROR(INDEX(FILTER(Candidates!$S$2:$S$2000,Candidates!$A$2:$A$2000=$A1728),COUNTIF(Candidates!$A$2:$A$2000,$A1728)),""""))"),"")</f>
        <v/>
      </c>
      <c r="W1728" s="64" t="str">
        <f>IFERROR(__xludf.DUMMYFUNCTION("IF($A1728="""","""",IFERROR(INDEX(FILTER(Candidates!$T$2:$T$2000,Candidates!$A$2:$A$2000=$A1728),COUNTIF(Candidates!$A$2:$A$2000,$A1728)),""""))"),"")</f>
        <v/>
      </c>
      <c r="X1728" s="64"/>
      <c r="Y1728" s="64"/>
      <c r="Z1728" s="65"/>
      <c r="AA1728" s="65"/>
      <c r="AB1728" s="65"/>
      <c r="AC1728" s="65"/>
    </row>
    <row r="1729">
      <c r="A1729" s="64"/>
      <c r="B1729" s="64"/>
      <c r="C1729" s="64"/>
      <c r="D1729" s="64"/>
      <c r="E1729" s="64"/>
      <c r="F1729" s="64"/>
      <c r="G1729" s="64"/>
      <c r="H1729" s="63"/>
      <c r="I1729" s="64"/>
      <c r="J1729" s="64"/>
      <c r="K1729" s="64"/>
      <c r="L1729" s="64"/>
      <c r="M1729" s="64"/>
      <c r="N1729" s="64"/>
      <c r="O1729" s="64"/>
      <c r="P1729" s="64"/>
      <c r="Q1729" s="64"/>
      <c r="R1729" s="65" t="str">
        <f>IF($A1729="","",IFERROR(MINIFS(Candidates!$K$2:$K$2000,Candidates!$A$2:$A$2000,$A1729),""))</f>
        <v/>
      </c>
      <c r="S1729" s="65" t="str">
        <f>IF($A1729="","",IFERROR(MAXIFS(Candidates!$AA$2:$AA$2000,Candidates!$A$2:$A$2000,$A1729),""))</f>
        <v/>
      </c>
      <c r="T1729" s="64" t="str">
        <f>IFERROR(__xludf.DUMMYFUNCTION("IF($A1729="""","""",IFERROR(TEXTJOIN("", "",TRUE,UNIQUE(FILTER(Candidates!$B$2:$B$2000,Candidates!$A$2:$A$2000=$A1729))),""""))"),"")</f>
        <v/>
      </c>
      <c r="U1729" s="66" t="str">
        <f>IF($A1729="","",COUNTIF(Candidates!$A$2:$A$2000,$A1729))</f>
        <v/>
      </c>
      <c r="V1729" s="64" t="str">
        <f>IFERROR(__xludf.DUMMYFUNCTION("IF($A1729="""","""",IFERROR(INDEX(FILTER(Candidates!$S$2:$S$2000,Candidates!$A$2:$A$2000=$A1729),COUNTIF(Candidates!$A$2:$A$2000,$A1729)),""""))"),"")</f>
        <v/>
      </c>
      <c r="W1729" s="64" t="str">
        <f>IFERROR(__xludf.DUMMYFUNCTION("IF($A1729="""","""",IFERROR(INDEX(FILTER(Candidates!$T$2:$T$2000,Candidates!$A$2:$A$2000=$A1729),COUNTIF(Candidates!$A$2:$A$2000,$A1729)),""""))"),"")</f>
        <v/>
      </c>
      <c r="X1729" s="64"/>
      <c r="Y1729" s="64"/>
      <c r="Z1729" s="65"/>
      <c r="AA1729" s="65"/>
      <c r="AB1729" s="65"/>
      <c r="AC1729" s="65"/>
    </row>
    <row r="1730">
      <c r="A1730" s="64"/>
      <c r="B1730" s="64"/>
      <c r="C1730" s="64"/>
      <c r="D1730" s="64"/>
      <c r="E1730" s="64"/>
      <c r="F1730" s="64"/>
      <c r="G1730" s="64"/>
      <c r="H1730" s="63"/>
      <c r="I1730" s="64"/>
      <c r="J1730" s="64"/>
      <c r="K1730" s="64"/>
      <c r="L1730" s="64"/>
      <c r="M1730" s="64"/>
      <c r="N1730" s="64"/>
      <c r="O1730" s="64"/>
      <c r="P1730" s="64"/>
      <c r="Q1730" s="64"/>
      <c r="R1730" s="65" t="str">
        <f>IF($A1730="","",IFERROR(MINIFS(Candidates!$K$2:$K$2000,Candidates!$A$2:$A$2000,$A1730),""))</f>
        <v/>
      </c>
      <c r="S1730" s="65" t="str">
        <f>IF($A1730="","",IFERROR(MAXIFS(Candidates!$AA$2:$AA$2000,Candidates!$A$2:$A$2000,$A1730),""))</f>
        <v/>
      </c>
      <c r="T1730" s="64" t="str">
        <f>IFERROR(__xludf.DUMMYFUNCTION("IF($A1730="""","""",IFERROR(TEXTJOIN("", "",TRUE,UNIQUE(FILTER(Candidates!$B$2:$B$2000,Candidates!$A$2:$A$2000=$A1730))),""""))"),"")</f>
        <v/>
      </c>
      <c r="U1730" s="66" t="str">
        <f>IF($A1730="","",COUNTIF(Candidates!$A$2:$A$2000,$A1730))</f>
        <v/>
      </c>
      <c r="V1730" s="64" t="str">
        <f>IFERROR(__xludf.DUMMYFUNCTION("IF($A1730="""","""",IFERROR(INDEX(FILTER(Candidates!$S$2:$S$2000,Candidates!$A$2:$A$2000=$A1730),COUNTIF(Candidates!$A$2:$A$2000,$A1730)),""""))"),"")</f>
        <v/>
      </c>
      <c r="W1730" s="64" t="str">
        <f>IFERROR(__xludf.DUMMYFUNCTION("IF($A1730="""","""",IFERROR(INDEX(FILTER(Candidates!$T$2:$T$2000,Candidates!$A$2:$A$2000=$A1730),COUNTIF(Candidates!$A$2:$A$2000,$A1730)),""""))"),"")</f>
        <v/>
      </c>
      <c r="X1730" s="64"/>
      <c r="Y1730" s="64"/>
      <c r="Z1730" s="65"/>
      <c r="AA1730" s="65"/>
      <c r="AB1730" s="65"/>
      <c r="AC1730" s="65"/>
    </row>
    <row r="1731">
      <c r="A1731" s="64"/>
      <c r="B1731" s="64"/>
      <c r="C1731" s="64"/>
      <c r="D1731" s="64"/>
      <c r="E1731" s="64"/>
      <c r="F1731" s="64"/>
      <c r="G1731" s="64"/>
      <c r="H1731" s="63"/>
      <c r="I1731" s="64"/>
      <c r="J1731" s="64"/>
      <c r="K1731" s="64"/>
      <c r="L1731" s="64"/>
      <c r="M1731" s="64"/>
      <c r="N1731" s="64"/>
      <c r="O1731" s="64"/>
      <c r="P1731" s="64"/>
      <c r="Q1731" s="64"/>
      <c r="R1731" s="65" t="str">
        <f>IF($A1731="","",IFERROR(MINIFS(Candidates!$K$2:$K$2000,Candidates!$A$2:$A$2000,$A1731),""))</f>
        <v/>
      </c>
      <c r="S1731" s="65" t="str">
        <f>IF($A1731="","",IFERROR(MAXIFS(Candidates!$AA$2:$AA$2000,Candidates!$A$2:$A$2000,$A1731),""))</f>
        <v/>
      </c>
      <c r="T1731" s="64" t="str">
        <f>IFERROR(__xludf.DUMMYFUNCTION("IF($A1731="""","""",IFERROR(TEXTJOIN("", "",TRUE,UNIQUE(FILTER(Candidates!$B$2:$B$2000,Candidates!$A$2:$A$2000=$A1731))),""""))"),"")</f>
        <v/>
      </c>
      <c r="U1731" s="66" t="str">
        <f>IF($A1731="","",COUNTIF(Candidates!$A$2:$A$2000,$A1731))</f>
        <v/>
      </c>
      <c r="V1731" s="64" t="str">
        <f>IFERROR(__xludf.DUMMYFUNCTION("IF($A1731="""","""",IFERROR(INDEX(FILTER(Candidates!$S$2:$S$2000,Candidates!$A$2:$A$2000=$A1731),COUNTIF(Candidates!$A$2:$A$2000,$A1731)),""""))"),"")</f>
        <v/>
      </c>
      <c r="W1731" s="64" t="str">
        <f>IFERROR(__xludf.DUMMYFUNCTION("IF($A1731="""","""",IFERROR(INDEX(FILTER(Candidates!$T$2:$T$2000,Candidates!$A$2:$A$2000=$A1731),COUNTIF(Candidates!$A$2:$A$2000,$A1731)),""""))"),"")</f>
        <v/>
      </c>
      <c r="X1731" s="64"/>
      <c r="Y1731" s="64"/>
      <c r="Z1731" s="65"/>
      <c r="AA1731" s="65"/>
      <c r="AB1731" s="65"/>
      <c r="AC1731" s="65"/>
    </row>
    <row r="1732">
      <c r="A1732" s="64"/>
      <c r="B1732" s="64"/>
      <c r="C1732" s="64"/>
      <c r="D1732" s="64"/>
      <c r="E1732" s="64"/>
      <c r="F1732" s="64"/>
      <c r="G1732" s="64"/>
      <c r="H1732" s="63"/>
      <c r="I1732" s="64"/>
      <c r="J1732" s="64"/>
      <c r="K1732" s="64"/>
      <c r="L1732" s="64"/>
      <c r="M1732" s="64"/>
      <c r="N1732" s="64"/>
      <c r="O1732" s="64"/>
      <c r="P1732" s="64"/>
      <c r="Q1732" s="64"/>
      <c r="R1732" s="65" t="str">
        <f>IF($A1732="","",IFERROR(MINIFS(Candidates!$K$2:$K$2000,Candidates!$A$2:$A$2000,$A1732),""))</f>
        <v/>
      </c>
      <c r="S1732" s="65" t="str">
        <f>IF($A1732="","",IFERROR(MAXIFS(Candidates!$AA$2:$AA$2000,Candidates!$A$2:$A$2000,$A1732),""))</f>
        <v/>
      </c>
      <c r="T1732" s="64" t="str">
        <f>IFERROR(__xludf.DUMMYFUNCTION("IF($A1732="""","""",IFERROR(TEXTJOIN("", "",TRUE,UNIQUE(FILTER(Candidates!$B$2:$B$2000,Candidates!$A$2:$A$2000=$A1732))),""""))"),"")</f>
        <v/>
      </c>
      <c r="U1732" s="66" t="str">
        <f>IF($A1732="","",COUNTIF(Candidates!$A$2:$A$2000,$A1732))</f>
        <v/>
      </c>
      <c r="V1732" s="64" t="str">
        <f>IFERROR(__xludf.DUMMYFUNCTION("IF($A1732="""","""",IFERROR(INDEX(FILTER(Candidates!$S$2:$S$2000,Candidates!$A$2:$A$2000=$A1732),COUNTIF(Candidates!$A$2:$A$2000,$A1732)),""""))"),"")</f>
        <v/>
      </c>
      <c r="W1732" s="64" t="str">
        <f>IFERROR(__xludf.DUMMYFUNCTION("IF($A1732="""","""",IFERROR(INDEX(FILTER(Candidates!$T$2:$T$2000,Candidates!$A$2:$A$2000=$A1732),COUNTIF(Candidates!$A$2:$A$2000,$A1732)),""""))"),"")</f>
        <v/>
      </c>
      <c r="X1732" s="64"/>
      <c r="Y1732" s="64"/>
      <c r="Z1732" s="65"/>
      <c r="AA1732" s="65"/>
      <c r="AB1732" s="65"/>
      <c r="AC1732" s="65"/>
    </row>
    <row r="1733">
      <c r="A1733" s="64"/>
      <c r="B1733" s="64"/>
      <c r="C1733" s="64"/>
      <c r="D1733" s="64"/>
      <c r="E1733" s="64"/>
      <c r="F1733" s="64"/>
      <c r="G1733" s="64"/>
      <c r="H1733" s="63"/>
      <c r="I1733" s="64"/>
      <c r="J1733" s="64"/>
      <c r="K1733" s="64"/>
      <c r="L1733" s="64"/>
      <c r="M1733" s="64"/>
      <c r="N1733" s="64"/>
      <c r="O1733" s="64"/>
      <c r="P1733" s="64"/>
      <c r="Q1733" s="64"/>
      <c r="R1733" s="65" t="str">
        <f>IF($A1733="","",IFERROR(MINIFS(Candidates!$K$2:$K$2000,Candidates!$A$2:$A$2000,$A1733),""))</f>
        <v/>
      </c>
      <c r="S1733" s="65" t="str">
        <f>IF($A1733="","",IFERROR(MAXIFS(Candidates!$AA$2:$AA$2000,Candidates!$A$2:$A$2000,$A1733),""))</f>
        <v/>
      </c>
      <c r="T1733" s="64" t="str">
        <f>IFERROR(__xludf.DUMMYFUNCTION("IF($A1733="""","""",IFERROR(TEXTJOIN("", "",TRUE,UNIQUE(FILTER(Candidates!$B$2:$B$2000,Candidates!$A$2:$A$2000=$A1733))),""""))"),"")</f>
        <v/>
      </c>
      <c r="U1733" s="66" t="str">
        <f>IF($A1733="","",COUNTIF(Candidates!$A$2:$A$2000,$A1733))</f>
        <v/>
      </c>
      <c r="V1733" s="64" t="str">
        <f>IFERROR(__xludf.DUMMYFUNCTION("IF($A1733="""","""",IFERROR(INDEX(FILTER(Candidates!$S$2:$S$2000,Candidates!$A$2:$A$2000=$A1733),COUNTIF(Candidates!$A$2:$A$2000,$A1733)),""""))"),"")</f>
        <v/>
      </c>
      <c r="W1733" s="64" t="str">
        <f>IFERROR(__xludf.DUMMYFUNCTION("IF($A1733="""","""",IFERROR(INDEX(FILTER(Candidates!$T$2:$T$2000,Candidates!$A$2:$A$2000=$A1733),COUNTIF(Candidates!$A$2:$A$2000,$A1733)),""""))"),"")</f>
        <v/>
      </c>
      <c r="X1733" s="64"/>
      <c r="Y1733" s="64"/>
      <c r="Z1733" s="65"/>
      <c r="AA1733" s="65"/>
      <c r="AB1733" s="65"/>
      <c r="AC1733" s="65"/>
    </row>
    <row r="1734">
      <c r="A1734" s="64"/>
      <c r="B1734" s="64"/>
      <c r="C1734" s="64"/>
      <c r="D1734" s="64"/>
      <c r="E1734" s="64"/>
      <c r="F1734" s="64"/>
      <c r="G1734" s="64"/>
      <c r="H1734" s="63"/>
      <c r="I1734" s="64"/>
      <c r="J1734" s="64"/>
      <c r="K1734" s="64"/>
      <c r="L1734" s="64"/>
      <c r="M1734" s="64"/>
      <c r="N1734" s="64"/>
      <c r="O1734" s="64"/>
      <c r="P1734" s="64"/>
      <c r="Q1734" s="64"/>
      <c r="R1734" s="65" t="str">
        <f>IF($A1734="","",IFERROR(MINIFS(Candidates!$K$2:$K$2000,Candidates!$A$2:$A$2000,$A1734),""))</f>
        <v/>
      </c>
      <c r="S1734" s="65" t="str">
        <f>IF($A1734="","",IFERROR(MAXIFS(Candidates!$AA$2:$AA$2000,Candidates!$A$2:$A$2000,$A1734),""))</f>
        <v/>
      </c>
      <c r="T1734" s="64" t="str">
        <f>IFERROR(__xludf.DUMMYFUNCTION("IF($A1734="""","""",IFERROR(TEXTJOIN("", "",TRUE,UNIQUE(FILTER(Candidates!$B$2:$B$2000,Candidates!$A$2:$A$2000=$A1734))),""""))"),"")</f>
        <v/>
      </c>
      <c r="U1734" s="66" t="str">
        <f>IF($A1734="","",COUNTIF(Candidates!$A$2:$A$2000,$A1734))</f>
        <v/>
      </c>
      <c r="V1734" s="64" t="str">
        <f>IFERROR(__xludf.DUMMYFUNCTION("IF($A1734="""","""",IFERROR(INDEX(FILTER(Candidates!$S$2:$S$2000,Candidates!$A$2:$A$2000=$A1734),COUNTIF(Candidates!$A$2:$A$2000,$A1734)),""""))"),"")</f>
        <v/>
      </c>
      <c r="W1734" s="64" t="str">
        <f>IFERROR(__xludf.DUMMYFUNCTION("IF($A1734="""","""",IFERROR(INDEX(FILTER(Candidates!$T$2:$T$2000,Candidates!$A$2:$A$2000=$A1734),COUNTIF(Candidates!$A$2:$A$2000,$A1734)),""""))"),"")</f>
        <v/>
      </c>
      <c r="X1734" s="64"/>
      <c r="Y1734" s="64"/>
      <c r="Z1734" s="65"/>
      <c r="AA1734" s="65"/>
      <c r="AB1734" s="65"/>
      <c r="AC1734" s="65"/>
    </row>
    <row r="1735">
      <c r="A1735" s="64"/>
      <c r="B1735" s="64"/>
      <c r="C1735" s="64"/>
      <c r="D1735" s="64"/>
      <c r="E1735" s="64"/>
      <c r="F1735" s="64"/>
      <c r="G1735" s="64"/>
      <c r="H1735" s="63"/>
      <c r="I1735" s="64"/>
      <c r="J1735" s="64"/>
      <c r="K1735" s="64"/>
      <c r="L1735" s="64"/>
      <c r="M1735" s="64"/>
      <c r="N1735" s="64"/>
      <c r="O1735" s="64"/>
      <c r="P1735" s="64"/>
      <c r="Q1735" s="64"/>
      <c r="R1735" s="65" t="str">
        <f>IF($A1735="","",IFERROR(MINIFS(Candidates!$K$2:$K$2000,Candidates!$A$2:$A$2000,$A1735),""))</f>
        <v/>
      </c>
      <c r="S1735" s="65" t="str">
        <f>IF($A1735="","",IFERROR(MAXIFS(Candidates!$AA$2:$AA$2000,Candidates!$A$2:$A$2000,$A1735),""))</f>
        <v/>
      </c>
      <c r="T1735" s="64" t="str">
        <f>IFERROR(__xludf.DUMMYFUNCTION("IF($A1735="""","""",IFERROR(TEXTJOIN("", "",TRUE,UNIQUE(FILTER(Candidates!$B$2:$B$2000,Candidates!$A$2:$A$2000=$A1735))),""""))"),"")</f>
        <v/>
      </c>
      <c r="U1735" s="66" t="str">
        <f>IF($A1735="","",COUNTIF(Candidates!$A$2:$A$2000,$A1735))</f>
        <v/>
      </c>
      <c r="V1735" s="64" t="str">
        <f>IFERROR(__xludf.DUMMYFUNCTION("IF($A1735="""","""",IFERROR(INDEX(FILTER(Candidates!$S$2:$S$2000,Candidates!$A$2:$A$2000=$A1735),COUNTIF(Candidates!$A$2:$A$2000,$A1735)),""""))"),"")</f>
        <v/>
      </c>
      <c r="W1735" s="64" t="str">
        <f>IFERROR(__xludf.DUMMYFUNCTION("IF($A1735="""","""",IFERROR(INDEX(FILTER(Candidates!$T$2:$T$2000,Candidates!$A$2:$A$2000=$A1735),COUNTIF(Candidates!$A$2:$A$2000,$A1735)),""""))"),"")</f>
        <v/>
      </c>
      <c r="X1735" s="64"/>
      <c r="Y1735" s="64"/>
      <c r="Z1735" s="65"/>
      <c r="AA1735" s="65"/>
      <c r="AB1735" s="65"/>
      <c r="AC1735" s="65"/>
    </row>
    <row r="1736">
      <c r="A1736" s="64"/>
      <c r="B1736" s="64"/>
      <c r="C1736" s="64"/>
      <c r="D1736" s="64"/>
      <c r="E1736" s="64"/>
      <c r="F1736" s="64"/>
      <c r="G1736" s="64"/>
      <c r="H1736" s="63"/>
      <c r="I1736" s="64"/>
      <c r="J1736" s="64"/>
      <c r="K1736" s="64"/>
      <c r="L1736" s="64"/>
      <c r="M1736" s="64"/>
      <c r="N1736" s="64"/>
      <c r="O1736" s="64"/>
      <c r="P1736" s="64"/>
      <c r="Q1736" s="64"/>
      <c r="R1736" s="65" t="str">
        <f>IF($A1736="","",IFERROR(MINIFS(Candidates!$K$2:$K$2000,Candidates!$A$2:$A$2000,$A1736),""))</f>
        <v/>
      </c>
      <c r="S1736" s="65" t="str">
        <f>IF($A1736="","",IFERROR(MAXIFS(Candidates!$AA$2:$AA$2000,Candidates!$A$2:$A$2000,$A1736),""))</f>
        <v/>
      </c>
      <c r="T1736" s="64" t="str">
        <f>IFERROR(__xludf.DUMMYFUNCTION("IF($A1736="""","""",IFERROR(TEXTJOIN("", "",TRUE,UNIQUE(FILTER(Candidates!$B$2:$B$2000,Candidates!$A$2:$A$2000=$A1736))),""""))"),"")</f>
        <v/>
      </c>
      <c r="U1736" s="66" t="str">
        <f>IF($A1736="","",COUNTIF(Candidates!$A$2:$A$2000,$A1736))</f>
        <v/>
      </c>
      <c r="V1736" s="64" t="str">
        <f>IFERROR(__xludf.DUMMYFUNCTION("IF($A1736="""","""",IFERROR(INDEX(FILTER(Candidates!$S$2:$S$2000,Candidates!$A$2:$A$2000=$A1736),COUNTIF(Candidates!$A$2:$A$2000,$A1736)),""""))"),"")</f>
        <v/>
      </c>
      <c r="W1736" s="64" t="str">
        <f>IFERROR(__xludf.DUMMYFUNCTION("IF($A1736="""","""",IFERROR(INDEX(FILTER(Candidates!$T$2:$T$2000,Candidates!$A$2:$A$2000=$A1736),COUNTIF(Candidates!$A$2:$A$2000,$A1736)),""""))"),"")</f>
        <v/>
      </c>
      <c r="X1736" s="64"/>
      <c r="Y1736" s="64"/>
      <c r="Z1736" s="65"/>
      <c r="AA1736" s="65"/>
      <c r="AB1736" s="65"/>
      <c r="AC1736" s="65"/>
    </row>
    <row r="1737">
      <c r="A1737" s="64"/>
      <c r="B1737" s="64"/>
      <c r="C1737" s="64"/>
      <c r="D1737" s="64"/>
      <c r="E1737" s="64"/>
      <c r="F1737" s="64"/>
      <c r="G1737" s="64"/>
      <c r="H1737" s="63"/>
      <c r="I1737" s="64"/>
      <c r="J1737" s="64"/>
      <c r="K1737" s="64"/>
      <c r="L1737" s="64"/>
      <c r="M1737" s="64"/>
      <c r="N1737" s="64"/>
      <c r="O1737" s="64"/>
      <c r="P1737" s="64"/>
      <c r="Q1737" s="64"/>
      <c r="R1737" s="65" t="str">
        <f>IF($A1737="","",IFERROR(MINIFS(Candidates!$K$2:$K$2000,Candidates!$A$2:$A$2000,$A1737),""))</f>
        <v/>
      </c>
      <c r="S1737" s="65" t="str">
        <f>IF($A1737="","",IFERROR(MAXIFS(Candidates!$AA$2:$AA$2000,Candidates!$A$2:$A$2000,$A1737),""))</f>
        <v/>
      </c>
      <c r="T1737" s="64" t="str">
        <f>IFERROR(__xludf.DUMMYFUNCTION("IF($A1737="""","""",IFERROR(TEXTJOIN("", "",TRUE,UNIQUE(FILTER(Candidates!$B$2:$B$2000,Candidates!$A$2:$A$2000=$A1737))),""""))"),"")</f>
        <v/>
      </c>
      <c r="U1737" s="66" t="str">
        <f>IF($A1737="","",COUNTIF(Candidates!$A$2:$A$2000,$A1737))</f>
        <v/>
      </c>
      <c r="V1737" s="64" t="str">
        <f>IFERROR(__xludf.DUMMYFUNCTION("IF($A1737="""","""",IFERROR(INDEX(FILTER(Candidates!$S$2:$S$2000,Candidates!$A$2:$A$2000=$A1737),COUNTIF(Candidates!$A$2:$A$2000,$A1737)),""""))"),"")</f>
        <v/>
      </c>
      <c r="W1737" s="64" t="str">
        <f>IFERROR(__xludf.DUMMYFUNCTION("IF($A1737="""","""",IFERROR(INDEX(FILTER(Candidates!$T$2:$T$2000,Candidates!$A$2:$A$2000=$A1737),COUNTIF(Candidates!$A$2:$A$2000,$A1737)),""""))"),"")</f>
        <v/>
      </c>
      <c r="X1737" s="64"/>
      <c r="Y1737" s="64"/>
      <c r="Z1737" s="65"/>
      <c r="AA1737" s="65"/>
      <c r="AB1737" s="65"/>
      <c r="AC1737" s="65"/>
    </row>
    <row r="1738">
      <c r="A1738" s="64"/>
      <c r="B1738" s="64"/>
      <c r="C1738" s="64"/>
      <c r="D1738" s="64"/>
      <c r="E1738" s="64"/>
      <c r="F1738" s="64"/>
      <c r="G1738" s="64"/>
      <c r="H1738" s="63"/>
      <c r="I1738" s="64"/>
      <c r="J1738" s="64"/>
      <c r="K1738" s="64"/>
      <c r="L1738" s="64"/>
      <c r="M1738" s="64"/>
      <c r="N1738" s="64"/>
      <c r="O1738" s="64"/>
      <c r="P1738" s="64"/>
      <c r="Q1738" s="64"/>
      <c r="R1738" s="65" t="str">
        <f>IF($A1738="","",IFERROR(MINIFS(Candidates!$K$2:$K$2000,Candidates!$A$2:$A$2000,$A1738),""))</f>
        <v/>
      </c>
      <c r="S1738" s="65" t="str">
        <f>IF($A1738="","",IFERROR(MAXIFS(Candidates!$AA$2:$AA$2000,Candidates!$A$2:$A$2000,$A1738),""))</f>
        <v/>
      </c>
      <c r="T1738" s="64" t="str">
        <f>IFERROR(__xludf.DUMMYFUNCTION("IF($A1738="""","""",IFERROR(TEXTJOIN("", "",TRUE,UNIQUE(FILTER(Candidates!$B$2:$B$2000,Candidates!$A$2:$A$2000=$A1738))),""""))"),"")</f>
        <v/>
      </c>
      <c r="U1738" s="66" t="str">
        <f>IF($A1738="","",COUNTIF(Candidates!$A$2:$A$2000,$A1738))</f>
        <v/>
      </c>
      <c r="V1738" s="64" t="str">
        <f>IFERROR(__xludf.DUMMYFUNCTION("IF($A1738="""","""",IFERROR(INDEX(FILTER(Candidates!$S$2:$S$2000,Candidates!$A$2:$A$2000=$A1738),COUNTIF(Candidates!$A$2:$A$2000,$A1738)),""""))"),"")</f>
        <v/>
      </c>
      <c r="W1738" s="64" t="str">
        <f>IFERROR(__xludf.DUMMYFUNCTION("IF($A1738="""","""",IFERROR(INDEX(FILTER(Candidates!$T$2:$T$2000,Candidates!$A$2:$A$2000=$A1738),COUNTIF(Candidates!$A$2:$A$2000,$A1738)),""""))"),"")</f>
        <v/>
      </c>
      <c r="X1738" s="64"/>
      <c r="Y1738" s="64"/>
      <c r="Z1738" s="65"/>
      <c r="AA1738" s="65"/>
      <c r="AB1738" s="65"/>
      <c r="AC1738" s="65"/>
    </row>
    <row r="1739">
      <c r="A1739" s="64"/>
      <c r="B1739" s="64"/>
      <c r="C1739" s="64"/>
      <c r="D1739" s="64"/>
      <c r="E1739" s="64"/>
      <c r="F1739" s="64"/>
      <c r="G1739" s="64"/>
      <c r="H1739" s="63"/>
      <c r="I1739" s="64"/>
      <c r="J1739" s="64"/>
      <c r="K1739" s="64"/>
      <c r="L1739" s="64"/>
      <c r="M1739" s="64"/>
      <c r="N1739" s="64"/>
      <c r="O1739" s="64"/>
      <c r="P1739" s="64"/>
      <c r="Q1739" s="64"/>
      <c r="R1739" s="65" t="str">
        <f>IF($A1739="","",IFERROR(MINIFS(Candidates!$K$2:$K$2000,Candidates!$A$2:$A$2000,$A1739),""))</f>
        <v/>
      </c>
      <c r="S1739" s="65" t="str">
        <f>IF($A1739="","",IFERROR(MAXIFS(Candidates!$AA$2:$AA$2000,Candidates!$A$2:$A$2000,$A1739),""))</f>
        <v/>
      </c>
      <c r="T1739" s="64" t="str">
        <f>IFERROR(__xludf.DUMMYFUNCTION("IF($A1739="""","""",IFERROR(TEXTJOIN("", "",TRUE,UNIQUE(FILTER(Candidates!$B$2:$B$2000,Candidates!$A$2:$A$2000=$A1739))),""""))"),"")</f>
        <v/>
      </c>
      <c r="U1739" s="66" t="str">
        <f>IF($A1739="","",COUNTIF(Candidates!$A$2:$A$2000,$A1739))</f>
        <v/>
      </c>
      <c r="V1739" s="64" t="str">
        <f>IFERROR(__xludf.DUMMYFUNCTION("IF($A1739="""","""",IFERROR(INDEX(FILTER(Candidates!$S$2:$S$2000,Candidates!$A$2:$A$2000=$A1739),COUNTIF(Candidates!$A$2:$A$2000,$A1739)),""""))"),"")</f>
        <v/>
      </c>
      <c r="W1739" s="64" t="str">
        <f>IFERROR(__xludf.DUMMYFUNCTION("IF($A1739="""","""",IFERROR(INDEX(FILTER(Candidates!$T$2:$T$2000,Candidates!$A$2:$A$2000=$A1739),COUNTIF(Candidates!$A$2:$A$2000,$A1739)),""""))"),"")</f>
        <v/>
      </c>
      <c r="X1739" s="64"/>
      <c r="Y1739" s="64"/>
      <c r="Z1739" s="65"/>
      <c r="AA1739" s="65"/>
      <c r="AB1739" s="65"/>
      <c r="AC1739" s="65"/>
    </row>
    <row r="1740">
      <c r="A1740" s="64"/>
      <c r="B1740" s="64"/>
      <c r="C1740" s="64"/>
      <c r="D1740" s="64"/>
      <c r="E1740" s="64"/>
      <c r="F1740" s="64"/>
      <c r="G1740" s="64"/>
      <c r="H1740" s="63"/>
      <c r="I1740" s="64"/>
      <c r="J1740" s="64"/>
      <c r="K1740" s="64"/>
      <c r="L1740" s="64"/>
      <c r="M1740" s="64"/>
      <c r="N1740" s="64"/>
      <c r="O1740" s="64"/>
      <c r="P1740" s="64"/>
      <c r="Q1740" s="64"/>
      <c r="R1740" s="65" t="str">
        <f>IF($A1740="","",IFERROR(MINIFS(Candidates!$K$2:$K$2000,Candidates!$A$2:$A$2000,$A1740),""))</f>
        <v/>
      </c>
      <c r="S1740" s="65" t="str">
        <f>IF($A1740="","",IFERROR(MAXIFS(Candidates!$AA$2:$AA$2000,Candidates!$A$2:$A$2000,$A1740),""))</f>
        <v/>
      </c>
      <c r="T1740" s="64" t="str">
        <f>IFERROR(__xludf.DUMMYFUNCTION("IF($A1740="""","""",IFERROR(TEXTJOIN("", "",TRUE,UNIQUE(FILTER(Candidates!$B$2:$B$2000,Candidates!$A$2:$A$2000=$A1740))),""""))"),"")</f>
        <v/>
      </c>
      <c r="U1740" s="66" t="str">
        <f>IF($A1740="","",COUNTIF(Candidates!$A$2:$A$2000,$A1740))</f>
        <v/>
      </c>
      <c r="V1740" s="64" t="str">
        <f>IFERROR(__xludf.DUMMYFUNCTION("IF($A1740="""","""",IFERROR(INDEX(FILTER(Candidates!$S$2:$S$2000,Candidates!$A$2:$A$2000=$A1740),COUNTIF(Candidates!$A$2:$A$2000,$A1740)),""""))"),"")</f>
        <v/>
      </c>
      <c r="W1740" s="64" t="str">
        <f>IFERROR(__xludf.DUMMYFUNCTION("IF($A1740="""","""",IFERROR(INDEX(FILTER(Candidates!$T$2:$T$2000,Candidates!$A$2:$A$2000=$A1740),COUNTIF(Candidates!$A$2:$A$2000,$A1740)),""""))"),"")</f>
        <v/>
      </c>
      <c r="X1740" s="64"/>
      <c r="Y1740" s="64"/>
      <c r="Z1740" s="65"/>
      <c r="AA1740" s="65"/>
      <c r="AB1740" s="65"/>
      <c r="AC1740" s="65"/>
    </row>
    <row r="1741">
      <c r="A1741" s="64"/>
      <c r="B1741" s="64"/>
      <c r="C1741" s="64"/>
      <c r="D1741" s="64"/>
      <c r="E1741" s="64"/>
      <c r="F1741" s="64"/>
      <c r="G1741" s="64"/>
      <c r="H1741" s="63"/>
      <c r="I1741" s="64"/>
      <c r="J1741" s="64"/>
      <c r="K1741" s="64"/>
      <c r="L1741" s="64"/>
      <c r="M1741" s="64"/>
      <c r="N1741" s="64"/>
      <c r="O1741" s="64"/>
      <c r="P1741" s="64"/>
      <c r="Q1741" s="64"/>
      <c r="R1741" s="65" t="str">
        <f>IF($A1741="","",IFERROR(MINIFS(Candidates!$K$2:$K$2000,Candidates!$A$2:$A$2000,$A1741),""))</f>
        <v/>
      </c>
      <c r="S1741" s="65" t="str">
        <f>IF($A1741="","",IFERROR(MAXIFS(Candidates!$AA$2:$AA$2000,Candidates!$A$2:$A$2000,$A1741),""))</f>
        <v/>
      </c>
      <c r="T1741" s="64" t="str">
        <f>IFERROR(__xludf.DUMMYFUNCTION("IF($A1741="""","""",IFERROR(TEXTJOIN("", "",TRUE,UNIQUE(FILTER(Candidates!$B$2:$B$2000,Candidates!$A$2:$A$2000=$A1741))),""""))"),"")</f>
        <v/>
      </c>
      <c r="U1741" s="66" t="str">
        <f>IF($A1741="","",COUNTIF(Candidates!$A$2:$A$2000,$A1741))</f>
        <v/>
      </c>
      <c r="V1741" s="64" t="str">
        <f>IFERROR(__xludf.DUMMYFUNCTION("IF($A1741="""","""",IFERROR(INDEX(FILTER(Candidates!$S$2:$S$2000,Candidates!$A$2:$A$2000=$A1741),COUNTIF(Candidates!$A$2:$A$2000,$A1741)),""""))"),"")</f>
        <v/>
      </c>
      <c r="W1741" s="64" t="str">
        <f>IFERROR(__xludf.DUMMYFUNCTION("IF($A1741="""","""",IFERROR(INDEX(FILTER(Candidates!$T$2:$T$2000,Candidates!$A$2:$A$2000=$A1741),COUNTIF(Candidates!$A$2:$A$2000,$A1741)),""""))"),"")</f>
        <v/>
      </c>
      <c r="X1741" s="64"/>
      <c r="Y1741" s="64"/>
      <c r="Z1741" s="65"/>
      <c r="AA1741" s="65"/>
      <c r="AB1741" s="65"/>
      <c r="AC1741" s="65"/>
    </row>
    <row r="1742">
      <c r="A1742" s="64"/>
      <c r="B1742" s="64"/>
      <c r="C1742" s="64"/>
      <c r="D1742" s="64"/>
      <c r="E1742" s="64"/>
      <c r="F1742" s="64"/>
      <c r="G1742" s="64"/>
      <c r="H1742" s="63"/>
      <c r="I1742" s="64"/>
      <c r="J1742" s="64"/>
      <c r="K1742" s="64"/>
      <c r="L1742" s="64"/>
      <c r="M1742" s="64"/>
      <c r="N1742" s="64"/>
      <c r="O1742" s="64"/>
      <c r="P1742" s="64"/>
      <c r="Q1742" s="64"/>
      <c r="R1742" s="65" t="str">
        <f>IF($A1742="","",IFERROR(MINIFS(Candidates!$K$2:$K$2000,Candidates!$A$2:$A$2000,$A1742),""))</f>
        <v/>
      </c>
      <c r="S1742" s="65" t="str">
        <f>IF($A1742="","",IFERROR(MAXIFS(Candidates!$AA$2:$AA$2000,Candidates!$A$2:$A$2000,$A1742),""))</f>
        <v/>
      </c>
      <c r="T1742" s="64" t="str">
        <f>IFERROR(__xludf.DUMMYFUNCTION("IF($A1742="""","""",IFERROR(TEXTJOIN("", "",TRUE,UNIQUE(FILTER(Candidates!$B$2:$B$2000,Candidates!$A$2:$A$2000=$A1742))),""""))"),"")</f>
        <v/>
      </c>
      <c r="U1742" s="66" t="str">
        <f>IF($A1742="","",COUNTIF(Candidates!$A$2:$A$2000,$A1742))</f>
        <v/>
      </c>
      <c r="V1742" s="64" t="str">
        <f>IFERROR(__xludf.DUMMYFUNCTION("IF($A1742="""","""",IFERROR(INDEX(FILTER(Candidates!$S$2:$S$2000,Candidates!$A$2:$A$2000=$A1742),COUNTIF(Candidates!$A$2:$A$2000,$A1742)),""""))"),"")</f>
        <v/>
      </c>
      <c r="W1742" s="64" t="str">
        <f>IFERROR(__xludf.DUMMYFUNCTION("IF($A1742="""","""",IFERROR(INDEX(FILTER(Candidates!$T$2:$T$2000,Candidates!$A$2:$A$2000=$A1742),COUNTIF(Candidates!$A$2:$A$2000,$A1742)),""""))"),"")</f>
        <v/>
      </c>
      <c r="X1742" s="64"/>
      <c r="Y1742" s="64"/>
      <c r="Z1742" s="65"/>
      <c r="AA1742" s="65"/>
      <c r="AB1742" s="65"/>
      <c r="AC1742" s="65"/>
    </row>
    <row r="1743">
      <c r="A1743" s="64"/>
      <c r="B1743" s="64"/>
      <c r="C1743" s="64"/>
      <c r="D1743" s="64"/>
      <c r="E1743" s="64"/>
      <c r="F1743" s="64"/>
      <c r="G1743" s="64"/>
      <c r="H1743" s="63"/>
      <c r="I1743" s="64"/>
      <c r="J1743" s="64"/>
      <c r="K1743" s="64"/>
      <c r="L1743" s="64"/>
      <c r="M1743" s="64"/>
      <c r="N1743" s="64"/>
      <c r="O1743" s="64"/>
      <c r="P1743" s="64"/>
      <c r="Q1743" s="64"/>
      <c r="R1743" s="65" t="str">
        <f>IF($A1743="","",IFERROR(MINIFS(Candidates!$K$2:$K$2000,Candidates!$A$2:$A$2000,$A1743),""))</f>
        <v/>
      </c>
      <c r="S1743" s="65" t="str">
        <f>IF($A1743="","",IFERROR(MAXIFS(Candidates!$AA$2:$AA$2000,Candidates!$A$2:$A$2000,$A1743),""))</f>
        <v/>
      </c>
      <c r="T1743" s="64" t="str">
        <f>IFERROR(__xludf.DUMMYFUNCTION("IF($A1743="""","""",IFERROR(TEXTJOIN("", "",TRUE,UNIQUE(FILTER(Candidates!$B$2:$B$2000,Candidates!$A$2:$A$2000=$A1743))),""""))"),"")</f>
        <v/>
      </c>
      <c r="U1743" s="66" t="str">
        <f>IF($A1743="","",COUNTIF(Candidates!$A$2:$A$2000,$A1743))</f>
        <v/>
      </c>
      <c r="V1743" s="64" t="str">
        <f>IFERROR(__xludf.DUMMYFUNCTION("IF($A1743="""","""",IFERROR(INDEX(FILTER(Candidates!$S$2:$S$2000,Candidates!$A$2:$A$2000=$A1743),COUNTIF(Candidates!$A$2:$A$2000,$A1743)),""""))"),"")</f>
        <v/>
      </c>
      <c r="W1743" s="64" t="str">
        <f>IFERROR(__xludf.DUMMYFUNCTION("IF($A1743="""","""",IFERROR(INDEX(FILTER(Candidates!$T$2:$T$2000,Candidates!$A$2:$A$2000=$A1743),COUNTIF(Candidates!$A$2:$A$2000,$A1743)),""""))"),"")</f>
        <v/>
      </c>
      <c r="X1743" s="64"/>
      <c r="Y1743" s="64"/>
      <c r="Z1743" s="65"/>
      <c r="AA1743" s="65"/>
      <c r="AB1743" s="65"/>
      <c r="AC1743" s="65"/>
    </row>
    <row r="1744">
      <c r="A1744" s="64"/>
      <c r="B1744" s="64"/>
      <c r="C1744" s="64"/>
      <c r="D1744" s="64"/>
      <c r="E1744" s="64"/>
      <c r="F1744" s="64"/>
      <c r="G1744" s="64"/>
      <c r="H1744" s="63"/>
      <c r="I1744" s="64"/>
      <c r="J1744" s="64"/>
      <c r="K1744" s="64"/>
      <c r="L1744" s="64"/>
      <c r="M1744" s="64"/>
      <c r="N1744" s="64"/>
      <c r="O1744" s="64"/>
      <c r="P1744" s="64"/>
      <c r="Q1744" s="64"/>
      <c r="R1744" s="65" t="str">
        <f>IF($A1744="","",IFERROR(MINIFS(Candidates!$K$2:$K$2000,Candidates!$A$2:$A$2000,$A1744),""))</f>
        <v/>
      </c>
      <c r="S1744" s="65" t="str">
        <f>IF($A1744="","",IFERROR(MAXIFS(Candidates!$AA$2:$AA$2000,Candidates!$A$2:$A$2000,$A1744),""))</f>
        <v/>
      </c>
      <c r="T1744" s="64" t="str">
        <f>IFERROR(__xludf.DUMMYFUNCTION("IF($A1744="""","""",IFERROR(TEXTJOIN("", "",TRUE,UNIQUE(FILTER(Candidates!$B$2:$B$2000,Candidates!$A$2:$A$2000=$A1744))),""""))"),"")</f>
        <v/>
      </c>
      <c r="U1744" s="66" t="str">
        <f>IF($A1744="","",COUNTIF(Candidates!$A$2:$A$2000,$A1744))</f>
        <v/>
      </c>
      <c r="V1744" s="64" t="str">
        <f>IFERROR(__xludf.DUMMYFUNCTION("IF($A1744="""","""",IFERROR(INDEX(FILTER(Candidates!$S$2:$S$2000,Candidates!$A$2:$A$2000=$A1744),COUNTIF(Candidates!$A$2:$A$2000,$A1744)),""""))"),"")</f>
        <v/>
      </c>
      <c r="W1744" s="64" t="str">
        <f>IFERROR(__xludf.DUMMYFUNCTION("IF($A1744="""","""",IFERROR(INDEX(FILTER(Candidates!$T$2:$T$2000,Candidates!$A$2:$A$2000=$A1744),COUNTIF(Candidates!$A$2:$A$2000,$A1744)),""""))"),"")</f>
        <v/>
      </c>
      <c r="X1744" s="64"/>
      <c r="Y1744" s="64"/>
      <c r="Z1744" s="65"/>
      <c r="AA1744" s="65"/>
      <c r="AB1744" s="65"/>
      <c r="AC1744" s="65"/>
    </row>
    <row r="1745">
      <c r="A1745" s="64"/>
      <c r="B1745" s="64"/>
      <c r="C1745" s="64"/>
      <c r="D1745" s="64"/>
      <c r="E1745" s="64"/>
      <c r="F1745" s="64"/>
      <c r="G1745" s="64"/>
      <c r="H1745" s="63"/>
      <c r="I1745" s="64"/>
      <c r="J1745" s="64"/>
      <c r="K1745" s="64"/>
      <c r="L1745" s="64"/>
      <c r="M1745" s="64"/>
      <c r="N1745" s="64"/>
      <c r="O1745" s="64"/>
      <c r="P1745" s="64"/>
      <c r="Q1745" s="64"/>
      <c r="R1745" s="65" t="str">
        <f>IF($A1745="","",IFERROR(MINIFS(Candidates!$K$2:$K$2000,Candidates!$A$2:$A$2000,$A1745),""))</f>
        <v/>
      </c>
      <c r="S1745" s="65" t="str">
        <f>IF($A1745="","",IFERROR(MAXIFS(Candidates!$AA$2:$AA$2000,Candidates!$A$2:$A$2000,$A1745),""))</f>
        <v/>
      </c>
      <c r="T1745" s="64" t="str">
        <f>IFERROR(__xludf.DUMMYFUNCTION("IF($A1745="""","""",IFERROR(TEXTJOIN("", "",TRUE,UNIQUE(FILTER(Candidates!$B$2:$B$2000,Candidates!$A$2:$A$2000=$A1745))),""""))"),"")</f>
        <v/>
      </c>
      <c r="U1745" s="66" t="str">
        <f>IF($A1745="","",COUNTIF(Candidates!$A$2:$A$2000,$A1745))</f>
        <v/>
      </c>
      <c r="V1745" s="64" t="str">
        <f>IFERROR(__xludf.DUMMYFUNCTION("IF($A1745="""","""",IFERROR(INDEX(FILTER(Candidates!$S$2:$S$2000,Candidates!$A$2:$A$2000=$A1745),COUNTIF(Candidates!$A$2:$A$2000,$A1745)),""""))"),"")</f>
        <v/>
      </c>
      <c r="W1745" s="64" t="str">
        <f>IFERROR(__xludf.DUMMYFUNCTION("IF($A1745="""","""",IFERROR(INDEX(FILTER(Candidates!$T$2:$T$2000,Candidates!$A$2:$A$2000=$A1745),COUNTIF(Candidates!$A$2:$A$2000,$A1745)),""""))"),"")</f>
        <v/>
      </c>
      <c r="X1745" s="64"/>
      <c r="Y1745" s="64"/>
      <c r="Z1745" s="65"/>
      <c r="AA1745" s="65"/>
      <c r="AB1745" s="65"/>
      <c r="AC1745" s="65"/>
    </row>
    <row r="1746">
      <c r="A1746" s="64"/>
      <c r="B1746" s="64"/>
      <c r="C1746" s="64"/>
      <c r="D1746" s="64"/>
      <c r="E1746" s="64"/>
      <c r="F1746" s="64"/>
      <c r="G1746" s="64"/>
      <c r="H1746" s="63"/>
      <c r="I1746" s="64"/>
      <c r="J1746" s="64"/>
      <c r="K1746" s="64"/>
      <c r="L1746" s="64"/>
      <c r="M1746" s="64"/>
      <c r="N1746" s="64"/>
      <c r="O1746" s="64"/>
      <c r="P1746" s="64"/>
      <c r="Q1746" s="64"/>
      <c r="R1746" s="65" t="str">
        <f>IF($A1746="","",IFERROR(MINIFS(Candidates!$K$2:$K$2000,Candidates!$A$2:$A$2000,$A1746),""))</f>
        <v/>
      </c>
      <c r="S1746" s="65" t="str">
        <f>IF($A1746="","",IFERROR(MAXIFS(Candidates!$AA$2:$AA$2000,Candidates!$A$2:$A$2000,$A1746),""))</f>
        <v/>
      </c>
      <c r="T1746" s="64" t="str">
        <f>IFERROR(__xludf.DUMMYFUNCTION("IF($A1746="""","""",IFERROR(TEXTJOIN("", "",TRUE,UNIQUE(FILTER(Candidates!$B$2:$B$2000,Candidates!$A$2:$A$2000=$A1746))),""""))"),"")</f>
        <v/>
      </c>
      <c r="U1746" s="66" t="str">
        <f>IF($A1746="","",COUNTIF(Candidates!$A$2:$A$2000,$A1746))</f>
        <v/>
      </c>
      <c r="V1746" s="64" t="str">
        <f>IFERROR(__xludf.DUMMYFUNCTION("IF($A1746="""","""",IFERROR(INDEX(FILTER(Candidates!$S$2:$S$2000,Candidates!$A$2:$A$2000=$A1746),COUNTIF(Candidates!$A$2:$A$2000,$A1746)),""""))"),"")</f>
        <v/>
      </c>
      <c r="W1746" s="64" t="str">
        <f>IFERROR(__xludf.DUMMYFUNCTION("IF($A1746="""","""",IFERROR(INDEX(FILTER(Candidates!$T$2:$T$2000,Candidates!$A$2:$A$2000=$A1746),COUNTIF(Candidates!$A$2:$A$2000,$A1746)),""""))"),"")</f>
        <v/>
      </c>
      <c r="X1746" s="64"/>
      <c r="Y1746" s="64"/>
      <c r="Z1746" s="65"/>
      <c r="AA1746" s="65"/>
      <c r="AB1746" s="65"/>
      <c r="AC1746" s="65"/>
    </row>
    <row r="1747">
      <c r="A1747" s="64"/>
      <c r="B1747" s="64"/>
      <c r="C1747" s="64"/>
      <c r="D1747" s="64"/>
      <c r="E1747" s="64"/>
      <c r="F1747" s="64"/>
      <c r="G1747" s="64"/>
      <c r="H1747" s="63"/>
      <c r="I1747" s="64"/>
      <c r="J1747" s="64"/>
      <c r="K1747" s="64"/>
      <c r="L1747" s="64"/>
      <c r="M1747" s="64"/>
      <c r="N1747" s="64"/>
      <c r="O1747" s="64"/>
      <c r="P1747" s="64"/>
      <c r="Q1747" s="64"/>
      <c r="R1747" s="65" t="str">
        <f>IF($A1747="","",IFERROR(MINIFS(Candidates!$K$2:$K$2000,Candidates!$A$2:$A$2000,$A1747),""))</f>
        <v/>
      </c>
      <c r="S1747" s="65" t="str">
        <f>IF($A1747="","",IFERROR(MAXIFS(Candidates!$AA$2:$AA$2000,Candidates!$A$2:$A$2000,$A1747),""))</f>
        <v/>
      </c>
      <c r="T1747" s="64" t="str">
        <f>IFERROR(__xludf.DUMMYFUNCTION("IF($A1747="""","""",IFERROR(TEXTJOIN("", "",TRUE,UNIQUE(FILTER(Candidates!$B$2:$B$2000,Candidates!$A$2:$A$2000=$A1747))),""""))"),"")</f>
        <v/>
      </c>
      <c r="U1747" s="66" t="str">
        <f>IF($A1747="","",COUNTIF(Candidates!$A$2:$A$2000,$A1747))</f>
        <v/>
      </c>
      <c r="V1747" s="64" t="str">
        <f>IFERROR(__xludf.DUMMYFUNCTION("IF($A1747="""","""",IFERROR(INDEX(FILTER(Candidates!$S$2:$S$2000,Candidates!$A$2:$A$2000=$A1747),COUNTIF(Candidates!$A$2:$A$2000,$A1747)),""""))"),"")</f>
        <v/>
      </c>
      <c r="W1747" s="64" t="str">
        <f>IFERROR(__xludf.DUMMYFUNCTION("IF($A1747="""","""",IFERROR(INDEX(FILTER(Candidates!$T$2:$T$2000,Candidates!$A$2:$A$2000=$A1747),COUNTIF(Candidates!$A$2:$A$2000,$A1747)),""""))"),"")</f>
        <v/>
      </c>
      <c r="X1747" s="64"/>
      <c r="Y1747" s="64"/>
      <c r="Z1747" s="65"/>
      <c r="AA1747" s="65"/>
      <c r="AB1747" s="65"/>
      <c r="AC1747" s="65"/>
    </row>
    <row r="1748">
      <c r="A1748" s="64"/>
      <c r="B1748" s="64"/>
      <c r="C1748" s="64"/>
      <c r="D1748" s="64"/>
      <c r="E1748" s="64"/>
      <c r="F1748" s="64"/>
      <c r="G1748" s="64"/>
      <c r="H1748" s="63"/>
      <c r="I1748" s="64"/>
      <c r="J1748" s="64"/>
      <c r="K1748" s="64"/>
      <c r="L1748" s="64"/>
      <c r="M1748" s="64"/>
      <c r="N1748" s="64"/>
      <c r="O1748" s="64"/>
      <c r="P1748" s="64"/>
      <c r="Q1748" s="64"/>
      <c r="R1748" s="65" t="str">
        <f>IF($A1748="","",IFERROR(MINIFS(Candidates!$K$2:$K$2000,Candidates!$A$2:$A$2000,$A1748),""))</f>
        <v/>
      </c>
      <c r="S1748" s="65" t="str">
        <f>IF($A1748="","",IFERROR(MAXIFS(Candidates!$AA$2:$AA$2000,Candidates!$A$2:$A$2000,$A1748),""))</f>
        <v/>
      </c>
      <c r="T1748" s="64" t="str">
        <f>IFERROR(__xludf.DUMMYFUNCTION("IF($A1748="""","""",IFERROR(TEXTJOIN("", "",TRUE,UNIQUE(FILTER(Candidates!$B$2:$B$2000,Candidates!$A$2:$A$2000=$A1748))),""""))"),"")</f>
        <v/>
      </c>
      <c r="U1748" s="66" t="str">
        <f>IF($A1748="","",COUNTIF(Candidates!$A$2:$A$2000,$A1748))</f>
        <v/>
      </c>
      <c r="V1748" s="64" t="str">
        <f>IFERROR(__xludf.DUMMYFUNCTION("IF($A1748="""","""",IFERROR(INDEX(FILTER(Candidates!$S$2:$S$2000,Candidates!$A$2:$A$2000=$A1748),COUNTIF(Candidates!$A$2:$A$2000,$A1748)),""""))"),"")</f>
        <v/>
      </c>
      <c r="W1748" s="64" t="str">
        <f>IFERROR(__xludf.DUMMYFUNCTION("IF($A1748="""","""",IFERROR(INDEX(FILTER(Candidates!$T$2:$T$2000,Candidates!$A$2:$A$2000=$A1748),COUNTIF(Candidates!$A$2:$A$2000,$A1748)),""""))"),"")</f>
        <v/>
      </c>
      <c r="X1748" s="64"/>
      <c r="Y1748" s="64"/>
      <c r="Z1748" s="65"/>
      <c r="AA1748" s="65"/>
      <c r="AB1748" s="65"/>
      <c r="AC1748" s="65"/>
    </row>
    <row r="1749">
      <c r="A1749" s="64"/>
      <c r="B1749" s="64"/>
      <c r="C1749" s="64"/>
      <c r="D1749" s="64"/>
      <c r="E1749" s="64"/>
      <c r="F1749" s="64"/>
      <c r="G1749" s="64"/>
      <c r="H1749" s="63"/>
      <c r="I1749" s="64"/>
      <c r="J1749" s="64"/>
      <c r="K1749" s="64"/>
      <c r="L1749" s="64"/>
      <c r="M1749" s="64"/>
      <c r="N1749" s="64"/>
      <c r="O1749" s="64"/>
      <c r="P1749" s="64"/>
      <c r="Q1749" s="64"/>
      <c r="R1749" s="65" t="str">
        <f>IF($A1749="","",IFERROR(MINIFS(Candidates!$K$2:$K$2000,Candidates!$A$2:$A$2000,$A1749),""))</f>
        <v/>
      </c>
      <c r="S1749" s="65" t="str">
        <f>IF($A1749="","",IFERROR(MAXIFS(Candidates!$AA$2:$AA$2000,Candidates!$A$2:$A$2000,$A1749),""))</f>
        <v/>
      </c>
      <c r="T1749" s="64" t="str">
        <f>IFERROR(__xludf.DUMMYFUNCTION("IF($A1749="""","""",IFERROR(TEXTJOIN("", "",TRUE,UNIQUE(FILTER(Candidates!$B$2:$B$2000,Candidates!$A$2:$A$2000=$A1749))),""""))"),"")</f>
        <v/>
      </c>
      <c r="U1749" s="66" t="str">
        <f>IF($A1749="","",COUNTIF(Candidates!$A$2:$A$2000,$A1749))</f>
        <v/>
      </c>
      <c r="V1749" s="64" t="str">
        <f>IFERROR(__xludf.DUMMYFUNCTION("IF($A1749="""","""",IFERROR(INDEX(FILTER(Candidates!$S$2:$S$2000,Candidates!$A$2:$A$2000=$A1749),COUNTIF(Candidates!$A$2:$A$2000,$A1749)),""""))"),"")</f>
        <v/>
      </c>
      <c r="W1749" s="64" t="str">
        <f>IFERROR(__xludf.DUMMYFUNCTION("IF($A1749="""","""",IFERROR(INDEX(FILTER(Candidates!$T$2:$T$2000,Candidates!$A$2:$A$2000=$A1749),COUNTIF(Candidates!$A$2:$A$2000,$A1749)),""""))"),"")</f>
        <v/>
      </c>
      <c r="X1749" s="64"/>
      <c r="Y1749" s="64"/>
      <c r="Z1749" s="65"/>
      <c r="AA1749" s="65"/>
      <c r="AB1749" s="65"/>
      <c r="AC1749" s="65"/>
    </row>
    <row r="1750">
      <c r="A1750" s="64"/>
      <c r="B1750" s="64"/>
      <c r="C1750" s="64"/>
      <c r="D1750" s="64"/>
      <c r="E1750" s="64"/>
      <c r="F1750" s="64"/>
      <c r="G1750" s="64"/>
      <c r="H1750" s="63"/>
      <c r="I1750" s="64"/>
      <c r="J1750" s="64"/>
      <c r="K1750" s="64"/>
      <c r="L1750" s="64"/>
      <c r="M1750" s="64"/>
      <c r="N1750" s="64"/>
      <c r="O1750" s="64"/>
      <c r="P1750" s="64"/>
      <c r="Q1750" s="64"/>
      <c r="R1750" s="65" t="str">
        <f>IF($A1750="","",IFERROR(MINIFS(Candidates!$K$2:$K$2000,Candidates!$A$2:$A$2000,$A1750),""))</f>
        <v/>
      </c>
      <c r="S1750" s="65" t="str">
        <f>IF($A1750="","",IFERROR(MAXIFS(Candidates!$AA$2:$AA$2000,Candidates!$A$2:$A$2000,$A1750),""))</f>
        <v/>
      </c>
      <c r="T1750" s="64" t="str">
        <f>IFERROR(__xludf.DUMMYFUNCTION("IF($A1750="""","""",IFERROR(TEXTJOIN("", "",TRUE,UNIQUE(FILTER(Candidates!$B$2:$B$2000,Candidates!$A$2:$A$2000=$A1750))),""""))"),"")</f>
        <v/>
      </c>
      <c r="U1750" s="66" t="str">
        <f>IF($A1750="","",COUNTIF(Candidates!$A$2:$A$2000,$A1750))</f>
        <v/>
      </c>
      <c r="V1750" s="64" t="str">
        <f>IFERROR(__xludf.DUMMYFUNCTION("IF($A1750="""","""",IFERROR(INDEX(FILTER(Candidates!$S$2:$S$2000,Candidates!$A$2:$A$2000=$A1750),COUNTIF(Candidates!$A$2:$A$2000,$A1750)),""""))"),"")</f>
        <v/>
      </c>
      <c r="W1750" s="64" t="str">
        <f>IFERROR(__xludf.DUMMYFUNCTION("IF($A1750="""","""",IFERROR(INDEX(FILTER(Candidates!$T$2:$T$2000,Candidates!$A$2:$A$2000=$A1750),COUNTIF(Candidates!$A$2:$A$2000,$A1750)),""""))"),"")</f>
        <v/>
      </c>
      <c r="X1750" s="64"/>
      <c r="Y1750" s="64"/>
      <c r="Z1750" s="65"/>
      <c r="AA1750" s="65"/>
      <c r="AB1750" s="65"/>
      <c r="AC1750" s="65"/>
    </row>
    <row r="1751">
      <c r="A1751" s="64"/>
      <c r="B1751" s="64"/>
      <c r="C1751" s="64"/>
      <c r="D1751" s="64"/>
      <c r="E1751" s="64"/>
      <c r="F1751" s="64"/>
      <c r="G1751" s="64"/>
      <c r="H1751" s="63"/>
      <c r="I1751" s="64"/>
      <c r="J1751" s="64"/>
      <c r="K1751" s="64"/>
      <c r="L1751" s="64"/>
      <c r="M1751" s="64"/>
      <c r="N1751" s="64"/>
      <c r="O1751" s="64"/>
      <c r="P1751" s="64"/>
      <c r="Q1751" s="64"/>
      <c r="R1751" s="65" t="str">
        <f>IF($A1751="","",IFERROR(MINIFS(Candidates!$K$2:$K$2000,Candidates!$A$2:$A$2000,$A1751),""))</f>
        <v/>
      </c>
      <c r="S1751" s="65" t="str">
        <f>IF($A1751="","",IFERROR(MAXIFS(Candidates!$AA$2:$AA$2000,Candidates!$A$2:$A$2000,$A1751),""))</f>
        <v/>
      </c>
      <c r="T1751" s="64" t="str">
        <f>IFERROR(__xludf.DUMMYFUNCTION("IF($A1751="""","""",IFERROR(TEXTJOIN("", "",TRUE,UNIQUE(FILTER(Candidates!$B$2:$B$2000,Candidates!$A$2:$A$2000=$A1751))),""""))"),"")</f>
        <v/>
      </c>
      <c r="U1751" s="66" t="str">
        <f>IF($A1751="","",COUNTIF(Candidates!$A$2:$A$2000,$A1751))</f>
        <v/>
      </c>
      <c r="V1751" s="64" t="str">
        <f>IFERROR(__xludf.DUMMYFUNCTION("IF($A1751="""","""",IFERROR(INDEX(FILTER(Candidates!$S$2:$S$2000,Candidates!$A$2:$A$2000=$A1751),COUNTIF(Candidates!$A$2:$A$2000,$A1751)),""""))"),"")</f>
        <v/>
      </c>
      <c r="W1751" s="64" t="str">
        <f>IFERROR(__xludf.DUMMYFUNCTION("IF($A1751="""","""",IFERROR(INDEX(FILTER(Candidates!$T$2:$T$2000,Candidates!$A$2:$A$2000=$A1751),COUNTIF(Candidates!$A$2:$A$2000,$A1751)),""""))"),"")</f>
        <v/>
      </c>
      <c r="X1751" s="64"/>
      <c r="Y1751" s="64"/>
      <c r="Z1751" s="65"/>
      <c r="AA1751" s="65"/>
      <c r="AB1751" s="65"/>
      <c r="AC1751" s="65"/>
    </row>
    <row r="1752">
      <c r="A1752" s="64"/>
      <c r="B1752" s="64"/>
      <c r="C1752" s="64"/>
      <c r="D1752" s="64"/>
      <c r="E1752" s="64"/>
      <c r="F1752" s="64"/>
      <c r="G1752" s="64"/>
      <c r="H1752" s="63"/>
      <c r="I1752" s="64"/>
      <c r="J1752" s="64"/>
      <c r="K1752" s="64"/>
      <c r="L1752" s="64"/>
      <c r="M1752" s="64"/>
      <c r="N1752" s="64"/>
      <c r="O1752" s="64"/>
      <c r="P1752" s="64"/>
      <c r="Q1752" s="64"/>
      <c r="R1752" s="65" t="str">
        <f>IF($A1752="","",IFERROR(MINIFS(Candidates!$K$2:$K$2000,Candidates!$A$2:$A$2000,$A1752),""))</f>
        <v/>
      </c>
      <c r="S1752" s="65" t="str">
        <f>IF($A1752="","",IFERROR(MAXIFS(Candidates!$AA$2:$AA$2000,Candidates!$A$2:$A$2000,$A1752),""))</f>
        <v/>
      </c>
      <c r="T1752" s="64" t="str">
        <f>IFERROR(__xludf.DUMMYFUNCTION("IF($A1752="""","""",IFERROR(TEXTJOIN("", "",TRUE,UNIQUE(FILTER(Candidates!$B$2:$B$2000,Candidates!$A$2:$A$2000=$A1752))),""""))"),"")</f>
        <v/>
      </c>
      <c r="U1752" s="66" t="str">
        <f>IF($A1752="","",COUNTIF(Candidates!$A$2:$A$2000,$A1752))</f>
        <v/>
      </c>
      <c r="V1752" s="64" t="str">
        <f>IFERROR(__xludf.DUMMYFUNCTION("IF($A1752="""","""",IFERROR(INDEX(FILTER(Candidates!$S$2:$S$2000,Candidates!$A$2:$A$2000=$A1752),COUNTIF(Candidates!$A$2:$A$2000,$A1752)),""""))"),"")</f>
        <v/>
      </c>
      <c r="W1752" s="64" t="str">
        <f>IFERROR(__xludf.DUMMYFUNCTION("IF($A1752="""","""",IFERROR(INDEX(FILTER(Candidates!$T$2:$T$2000,Candidates!$A$2:$A$2000=$A1752),COUNTIF(Candidates!$A$2:$A$2000,$A1752)),""""))"),"")</f>
        <v/>
      </c>
      <c r="X1752" s="64"/>
      <c r="Y1752" s="64"/>
      <c r="Z1752" s="65"/>
      <c r="AA1752" s="65"/>
      <c r="AB1752" s="65"/>
      <c r="AC1752" s="65"/>
    </row>
    <row r="1753">
      <c r="A1753" s="64"/>
      <c r="B1753" s="64"/>
      <c r="C1753" s="64"/>
      <c r="D1753" s="64"/>
      <c r="E1753" s="64"/>
      <c r="F1753" s="64"/>
      <c r="G1753" s="64"/>
      <c r="H1753" s="63"/>
      <c r="I1753" s="64"/>
      <c r="J1753" s="64"/>
      <c r="K1753" s="64"/>
      <c r="L1753" s="64"/>
      <c r="M1753" s="64"/>
      <c r="N1753" s="64"/>
      <c r="O1753" s="64"/>
      <c r="P1753" s="64"/>
      <c r="Q1753" s="64"/>
      <c r="R1753" s="65" t="str">
        <f>IF($A1753="","",IFERROR(MINIFS(Candidates!$K$2:$K$2000,Candidates!$A$2:$A$2000,$A1753),""))</f>
        <v/>
      </c>
      <c r="S1753" s="65" t="str">
        <f>IF($A1753="","",IFERROR(MAXIFS(Candidates!$AA$2:$AA$2000,Candidates!$A$2:$A$2000,$A1753),""))</f>
        <v/>
      </c>
      <c r="T1753" s="64" t="str">
        <f>IFERROR(__xludf.DUMMYFUNCTION("IF($A1753="""","""",IFERROR(TEXTJOIN("", "",TRUE,UNIQUE(FILTER(Candidates!$B$2:$B$2000,Candidates!$A$2:$A$2000=$A1753))),""""))"),"")</f>
        <v/>
      </c>
      <c r="U1753" s="66" t="str">
        <f>IF($A1753="","",COUNTIF(Candidates!$A$2:$A$2000,$A1753))</f>
        <v/>
      </c>
      <c r="V1753" s="64" t="str">
        <f>IFERROR(__xludf.DUMMYFUNCTION("IF($A1753="""","""",IFERROR(INDEX(FILTER(Candidates!$S$2:$S$2000,Candidates!$A$2:$A$2000=$A1753),COUNTIF(Candidates!$A$2:$A$2000,$A1753)),""""))"),"")</f>
        <v/>
      </c>
      <c r="W1753" s="64" t="str">
        <f>IFERROR(__xludf.DUMMYFUNCTION("IF($A1753="""","""",IFERROR(INDEX(FILTER(Candidates!$T$2:$T$2000,Candidates!$A$2:$A$2000=$A1753),COUNTIF(Candidates!$A$2:$A$2000,$A1753)),""""))"),"")</f>
        <v/>
      </c>
      <c r="X1753" s="64"/>
      <c r="Y1753" s="64"/>
      <c r="Z1753" s="65"/>
      <c r="AA1753" s="65"/>
      <c r="AB1753" s="65"/>
      <c r="AC1753" s="65"/>
    </row>
    <row r="1754">
      <c r="A1754" s="64"/>
      <c r="B1754" s="64"/>
      <c r="C1754" s="64"/>
      <c r="D1754" s="64"/>
      <c r="E1754" s="64"/>
      <c r="F1754" s="64"/>
      <c r="G1754" s="64"/>
      <c r="H1754" s="63"/>
      <c r="I1754" s="64"/>
      <c r="J1754" s="64"/>
      <c r="K1754" s="64"/>
      <c r="L1754" s="64"/>
      <c r="M1754" s="64"/>
      <c r="N1754" s="64"/>
      <c r="O1754" s="64"/>
      <c r="P1754" s="64"/>
      <c r="Q1754" s="64"/>
      <c r="R1754" s="65" t="str">
        <f>IF($A1754="","",IFERROR(MINIFS(Candidates!$K$2:$K$2000,Candidates!$A$2:$A$2000,$A1754),""))</f>
        <v/>
      </c>
      <c r="S1754" s="65" t="str">
        <f>IF($A1754="","",IFERROR(MAXIFS(Candidates!$AA$2:$AA$2000,Candidates!$A$2:$A$2000,$A1754),""))</f>
        <v/>
      </c>
      <c r="T1754" s="64" t="str">
        <f>IFERROR(__xludf.DUMMYFUNCTION("IF($A1754="""","""",IFERROR(TEXTJOIN("", "",TRUE,UNIQUE(FILTER(Candidates!$B$2:$B$2000,Candidates!$A$2:$A$2000=$A1754))),""""))"),"")</f>
        <v/>
      </c>
      <c r="U1754" s="66" t="str">
        <f>IF($A1754="","",COUNTIF(Candidates!$A$2:$A$2000,$A1754))</f>
        <v/>
      </c>
      <c r="V1754" s="64" t="str">
        <f>IFERROR(__xludf.DUMMYFUNCTION("IF($A1754="""","""",IFERROR(INDEX(FILTER(Candidates!$S$2:$S$2000,Candidates!$A$2:$A$2000=$A1754),COUNTIF(Candidates!$A$2:$A$2000,$A1754)),""""))"),"")</f>
        <v/>
      </c>
      <c r="W1754" s="64" t="str">
        <f>IFERROR(__xludf.DUMMYFUNCTION("IF($A1754="""","""",IFERROR(INDEX(FILTER(Candidates!$T$2:$T$2000,Candidates!$A$2:$A$2000=$A1754),COUNTIF(Candidates!$A$2:$A$2000,$A1754)),""""))"),"")</f>
        <v/>
      </c>
      <c r="X1754" s="64"/>
      <c r="Y1754" s="64"/>
      <c r="Z1754" s="65"/>
      <c r="AA1754" s="65"/>
      <c r="AB1754" s="65"/>
      <c r="AC1754" s="65"/>
    </row>
    <row r="1755">
      <c r="A1755" s="64"/>
      <c r="B1755" s="64"/>
      <c r="C1755" s="64"/>
      <c r="D1755" s="64"/>
      <c r="E1755" s="64"/>
      <c r="F1755" s="64"/>
      <c r="G1755" s="64"/>
      <c r="H1755" s="63"/>
      <c r="I1755" s="64"/>
      <c r="J1755" s="64"/>
      <c r="K1755" s="64"/>
      <c r="L1755" s="64"/>
      <c r="M1755" s="64"/>
      <c r="N1755" s="64"/>
      <c r="O1755" s="64"/>
      <c r="P1755" s="64"/>
      <c r="Q1755" s="64"/>
      <c r="R1755" s="65" t="str">
        <f>IF($A1755="","",IFERROR(MINIFS(Candidates!$K$2:$K$2000,Candidates!$A$2:$A$2000,$A1755),""))</f>
        <v/>
      </c>
      <c r="S1755" s="65" t="str">
        <f>IF($A1755="","",IFERROR(MAXIFS(Candidates!$AA$2:$AA$2000,Candidates!$A$2:$A$2000,$A1755),""))</f>
        <v/>
      </c>
      <c r="T1755" s="64" t="str">
        <f>IFERROR(__xludf.DUMMYFUNCTION("IF($A1755="""","""",IFERROR(TEXTJOIN("", "",TRUE,UNIQUE(FILTER(Candidates!$B$2:$B$2000,Candidates!$A$2:$A$2000=$A1755))),""""))"),"")</f>
        <v/>
      </c>
      <c r="U1755" s="66" t="str">
        <f>IF($A1755="","",COUNTIF(Candidates!$A$2:$A$2000,$A1755))</f>
        <v/>
      </c>
      <c r="V1755" s="64" t="str">
        <f>IFERROR(__xludf.DUMMYFUNCTION("IF($A1755="""","""",IFERROR(INDEX(FILTER(Candidates!$S$2:$S$2000,Candidates!$A$2:$A$2000=$A1755),COUNTIF(Candidates!$A$2:$A$2000,$A1755)),""""))"),"")</f>
        <v/>
      </c>
      <c r="W1755" s="64" t="str">
        <f>IFERROR(__xludf.DUMMYFUNCTION("IF($A1755="""","""",IFERROR(INDEX(FILTER(Candidates!$T$2:$T$2000,Candidates!$A$2:$A$2000=$A1755),COUNTIF(Candidates!$A$2:$A$2000,$A1755)),""""))"),"")</f>
        <v/>
      </c>
      <c r="X1755" s="64"/>
      <c r="Y1755" s="64"/>
      <c r="Z1755" s="65"/>
      <c r="AA1755" s="65"/>
      <c r="AB1755" s="65"/>
      <c r="AC1755" s="65"/>
    </row>
    <row r="1756">
      <c r="A1756" s="64"/>
      <c r="B1756" s="64"/>
      <c r="C1756" s="64"/>
      <c r="D1756" s="64"/>
      <c r="E1756" s="64"/>
      <c r="F1756" s="64"/>
      <c r="G1756" s="64"/>
      <c r="H1756" s="63"/>
      <c r="I1756" s="64"/>
      <c r="J1756" s="64"/>
      <c r="K1756" s="64"/>
      <c r="L1756" s="64"/>
      <c r="M1756" s="64"/>
      <c r="N1756" s="64"/>
      <c r="O1756" s="64"/>
      <c r="P1756" s="64"/>
      <c r="Q1756" s="64"/>
      <c r="R1756" s="65" t="str">
        <f>IF($A1756="","",IFERROR(MINIFS(Candidates!$K$2:$K$2000,Candidates!$A$2:$A$2000,$A1756),""))</f>
        <v/>
      </c>
      <c r="S1756" s="65" t="str">
        <f>IF($A1756="","",IFERROR(MAXIFS(Candidates!$AA$2:$AA$2000,Candidates!$A$2:$A$2000,$A1756),""))</f>
        <v/>
      </c>
      <c r="T1756" s="64" t="str">
        <f>IFERROR(__xludf.DUMMYFUNCTION("IF($A1756="""","""",IFERROR(TEXTJOIN("", "",TRUE,UNIQUE(FILTER(Candidates!$B$2:$B$2000,Candidates!$A$2:$A$2000=$A1756))),""""))"),"")</f>
        <v/>
      </c>
      <c r="U1756" s="66" t="str">
        <f>IF($A1756="","",COUNTIF(Candidates!$A$2:$A$2000,$A1756))</f>
        <v/>
      </c>
      <c r="V1756" s="64" t="str">
        <f>IFERROR(__xludf.DUMMYFUNCTION("IF($A1756="""","""",IFERROR(INDEX(FILTER(Candidates!$S$2:$S$2000,Candidates!$A$2:$A$2000=$A1756),COUNTIF(Candidates!$A$2:$A$2000,$A1756)),""""))"),"")</f>
        <v/>
      </c>
      <c r="W1756" s="64" t="str">
        <f>IFERROR(__xludf.DUMMYFUNCTION("IF($A1756="""","""",IFERROR(INDEX(FILTER(Candidates!$T$2:$T$2000,Candidates!$A$2:$A$2000=$A1756),COUNTIF(Candidates!$A$2:$A$2000,$A1756)),""""))"),"")</f>
        <v/>
      </c>
      <c r="X1756" s="64"/>
      <c r="Y1756" s="64"/>
      <c r="Z1756" s="65"/>
      <c r="AA1756" s="65"/>
      <c r="AB1756" s="65"/>
      <c r="AC1756" s="65"/>
    </row>
    <row r="1757">
      <c r="A1757" s="64"/>
      <c r="B1757" s="64"/>
      <c r="C1757" s="64"/>
      <c r="D1757" s="64"/>
      <c r="E1757" s="64"/>
      <c r="F1757" s="64"/>
      <c r="G1757" s="64"/>
      <c r="H1757" s="63"/>
      <c r="I1757" s="64"/>
      <c r="J1757" s="64"/>
      <c r="K1757" s="64"/>
      <c r="L1757" s="64"/>
      <c r="M1757" s="64"/>
      <c r="N1757" s="64"/>
      <c r="O1757" s="64"/>
      <c r="P1757" s="64"/>
      <c r="Q1757" s="64"/>
      <c r="R1757" s="65" t="str">
        <f>IF($A1757="","",IFERROR(MINIFS(Candidates!$K$2:$K$2000,Candidates!$A$2:$A$2000,$A1757),""))</f>
        <v/>
      </c>
      <c r="S1757" s="65" t="str">
        <f>IF($A1757="","",IFERROR(MAXIFS(Candidates!$AA$2:$AA$2000,Candidates!$A$2:$A$2000,$A1757),""))</f>
        <v/>
      </c>
      <c r="T1757" s="64" t="str">
        <f>IFERROR(__xludf.DUMMYFUNCTION("IF($A1757="""","""",IFERROR(TEXTJOIN("", "",TRUE,UNIQUE(FILTER(Candidates!$B$2:$B$2000,Candidates!$A$2:$A$2000=$A1757))),""""))"),"")</f>
        <v/>
      </c>
      <c r="U1757" s="66" t="str">
        <f>IF($A1757="","",COUNTIF(Candidates!$A$2:$A$2000,$A1757))</f>
        <v/>
      </c>
      <c r="V1757" s="64" t="str">
        <f>IFERROR(__xludf.DUMMYFUNCTION("IF($A1757="""","""",IFERROR(INDEX(FILTER(Candidates!$S$2:$S$2000,Candidates!$A$2:$A$2000=$A1757),COUNTIF(Candidates!$A$2:$A$2000,$A1757)),""""))"),"")</f>
        <v/>
      </c>
      <c r="W1757" s="64" t="str">
        <f>IFERROR(__xludf.DUMMYFUNCTION("IF($A1757="""","""",IFERROR(INDEX(FILTER(Candidates!$T$2:$T$2000,Candidates!$A$2:$A$2000=$A1757),COUNTIF(Candidates!$A$2:$A$2000,$A1757)),""""))"),"")</f>
        <v/>
      </c>
      <c r="X1757" s="64"/>
      <c r="Y1757" s="64"/>
      <c r="Z1757" s="65"/>
      <c r="AA1757" s="65"/>
      <c r="AB1757" s="65"/>
      <c r="AC1757" s="65"/>
    </row>
    <row r="1758">
      <c r="A1758" s="64"/>
      <c r="B1758" s="64"/>
      <c r="C1758" s="64"/>
      <c r="D1758" s="64"/>
      <c r="E1758" s="64"/>
      <c r="F1758" s="64"/>
      <c r="G1758" s="64"/>
      <c r="H1758" s="63"/>
      <c r="I1758" s="64"/>
      <c r="J1758" s="64"/>
      <c r="K1758" s="64"/>
      <c r="L1758" s="64"/>
      <c r="M1758" s="64"/>
      <c r="N1758" s="64"/>
      <c r="O1758" s="64"/>
      <c r="P1758" s="64"/>
      <c r="Q1758" s="64"/>
      <c r="R1758" s="65" t="str">
        <f>IF($A1758="","",IFERROR(MINIFS(Candidates!$K$2:$K$2000,Candidates!$A$2:$A$2000,$A1758),""))</f>
        <v/>
      </c>
      <c r="S1758" s="65" t="str">
        <f>IF($A1758="","",IFERROR(MAXIFS(Candidates!$AA$2:$AA$2000,Candidates!$A$2:$A$2000,$A1758),""))</f>
        <v/>
      </c>
      <c r="T1758" s="64" t="str">
        <f>IFERROR(__xludf.DUMMYFUNCTION("IF($A1758="""","""",IFERROR(TEXTJOIN("", "",TRUE,UNIQUE(FILTER(Candidates!$B$2:$B$2000,Candidates!$A$2:$A$2000=$A1758))),""""))"),"")</f>
        <v/>
      </c>
      <c r="U1758" s="66" t="str">
        <f>IF($A1758="","",COUNTIF(Candidates!$A$2:$A$2000,$A1758))</f>
        <v/>
      </c>
      <c r="V1758" s="64" t="str">
        <f>IFERROR(__xludf.DUMMYFUNCTION("IF($A1758="""","""",IFERROR(INDEX(FILTER(Candidates!$S$2:$S$2000,Candidates!$A$2:$A$2000=$A1758),COUNTIF(Candidates!$A$2:$A$2000,$A1758)),""""))"),"")</f>
        <v/>
      </c>
      <c r="W1758" s="64" t="str">
        <f>IFERROR(__xludf.DUMMYFUNCTION("IF($A1758="""","""",IFERROR(INDEX(FILTER(Candidates!$T$2:$T$2000,Candidates!$A$2:$A$2000=$A1758),COUNTIF(Candidates!$A$2:$A$2000,$A1758)),""""))"),"")</f>
        <v/>
      </c>
      <c r="X1758" s="64"/>
      <c r="Y1758" s="64"/>
      <c r="Z1758" s="65"/>
      <c r="AA1758" s="65"/>
      <c r="AB1758" s="65"/>
      <c r="AC1758" s="65"/>
    </row>
    <row r="1759">
      <c r="A1759" s="64"/>
      <c r="B1759" s="64"/>
      <c r="C1759" s="64"/>
      <c r="D1759" s="64"/>
      <c r="E1759" s="64"/>
      <c r="F1759" s="64"/>
      <c r="G1759" s="64"/>
      <c r="H1759" s="63"/>
      <c r="I1759" s="64"/>
      <c r="J1759" s="64"/>
      <c r="K1759" s="64"/>
      <c r="L1759" s="64"/>
      <c r="M1759" s="64"/>
      <c r="N1759" s="64"/>
      <c r="O1759" s="64"/>
      <c r="P1759" s="64"/>
      <c r="Q1759" s="64"/>
      <c r="R1759" s="65" t="str">
        <f>IF($A1759="","",IFERROR(MINIFS(Candidates!$K$2:$K$2000,Candidates!$A$2:$A$2000,$A1759),""))</f>
        <v/>
      </c>
      <c r="S1759" s="65" t="str">
        <f>IF($A1759="","",IFERROR(MAXIFS(Candidates!$AA$2:$AA$2000,Candidates!$A$2:$A$2000,$A1759),""))</f>
        <v/>
      </c>
      <c r="T1759" s="64" t="str">
        <f>IFERROR(__xludf.DUMMYFUNCTION("IF($A1759="""","""",IFERROR(TEXTJOIN("", "",TRUE,UNIQUE(FILTER(Candidates!$B$2:$B$2000,Candidates!$A$2:$A$2000=$A1759))),""""))"),"")</f>
        <v/>
      </c>
      <c r="U1759" s="66" t="str">
        <f>IF($A1759="","",COUNTIF(Candidates!$A$2:$A$2000,$A1759))</f>
        <v/>
      </c>
      <c r="V1759" s="64" t="str">
        <f>IFERROR(__xludf.DUMMYFUNCTION("IF($A1759="""","""",IFERROR(INDEX(FILTER(Candidates!$S$2:$S$2000,Candidates!$A$2:$A$2000=$A1759),COUNTIF(Candidates!$A$2:$A$2000,$A1759)),""""))"),"")</f>
        <v/>
      </c>
      <c r="W1759" s="64" t="str">
        <f>IFERROR(__xludf.DUMMYFUNCTION("IF($A1759="""","""",IFERROR(INDEX(FILTER(Candidates!$T$2:$T$2000,Candidates!$A$2:$A$2000=$A1759),COUNTIF(Candidates!$A$2:$A$2000,$A1759)),""""))"),"")</f>
        <v/>
      </c>
      <c r="X1759" s="64"/>
      <c r="Y1759" s="64"/>
      <c r="Z1759" s="65"/>
      <c r="AA1759" s="65"/>
      <c r="AB1759" s="65"/>
      <c r="AC1759" s="65"/>
    </row>
    <row r="1760">
      <c r="A1760" s="64"/>
      <c r="B1760" s="64"/>
      <c r="C1760" s="64"/>
      <c r="D1760" s="64"/>
      <c r="E1760" s="64"/>
      <c r="F1760" s="64"/>
      <c r="G1760" s="64"/>
      <c r="H1760" s="63"/>
      <c r="I1760" s="64"/>
      <c r="J1760" s="64"/>
      <c r="K1760" s="64"/>
      <c r="L1760" s="64"/>
      <c r="M1760" s="64"/>
      <c r="N1760" s="64"/>
      <c r="O1760" s="64"/>
      <c r="P1760" s="64"/>
      <c r="Q1760" s="64"/>
      <c r="R1760" s="65" t="str">
        <f>IF($A1760="","",IFERROR(MINIFS(Candidates!$K$2:$K$2000,Candidates!$A$2:$A$2000,$A1760),""))</f>
        <v/>
      </c>
      <c r="S1760" s="65" t="str">
        <f>IF($A1760="","",IFERROR(MAXIFS(Candidates!$AA$2:$AA$2000,Candidates!$A$2:$A$2000,$A1760),""))</f>
        <v/>
      </c>
      <c r="T1760" s="64" t="str">
        <f>IFERROR(__xludf.DUMMYFUNCTION("IF($A1760="""","""",IFERROR(TEXTJOIN("", "",TRUE,UNIQUE(FILTER(Candidates!$B$2:$B$2000,Candidates!$A$2:$A$2000=$A1760))),""""))"),"")</f>
        <v/>
      </c>
      <c r="U1760" s="66" t="str">
        <f>IF($A1760="","",COUNTIF(Candidates!$A$2:$A$2000,$A1760))</f>
        <v/>
      </c>
      <c r="V1760" s="64" t="str">
        <f>IFERROR(__xludf.DUMMYFUNCTION("IF($A1760="""","""",IFERROR(INDEX(FILTER(Candidates!$S$2:$S$2000,Candidates!$A$2:$A$2000=$A1760),COUNTIF(Candidates!$A$2:$A$2000,$A1760)),""""))"),"")</f>
        <v/>
      </c>
      <c r="W1760" s="64" t="str">
        <f>IFERROR(__xludf.DUMMYFUNCTION("IF($A1760="""","""",IFERROR(INDEX(FILTER(Candidates!$T$2:$T$2000,Candidates!$A$2:$A$2000=$A1760),COUNTIF(Candidates!$A$2:$A$2000,$A1760)),""""))"),"")</f>
        <v/>
      </c>
      <c r="X1760" s="64"/>
      <c r="Y1760" s="64"/>
      <c r="Z1760" s="65"/>
      <c r="AA1760" s="65"/>
      <c r="AB1760" s="65"/>
      <c r="AC1760" s="65"/>
    </row>
    <row r="1761">
      <c r="A1761" s="64"/>
      <c r="B1761" s="64"/>
      <c r="C1761" s="64"/>
      <c r="D1761" s="64"/>
      <c r="E1761" s="64"/>
      <c r="F1761" s="64"/>
      <c r="G1761" s="64"/>
      <c r="H1761" s="63"/>
      <c r="I1761" s="64"/>
      <c r="J1761" s="64"/>
      <c r="K1761" s="64"/>
      <c r="L1761" s="64"/>
      <c r="M1761" s="64"/>
      <c r="N1761" s="64"/>
      <c r="O1761" s="64"/>
      <c r="P1761" s="64"/>
      <c r="Q1761" s="64"/>
      <c r="R1761" s="65" t="str">
        <f>IF($A1761="","",IFERROR(MINIFS(Candidates!$K$2:$K$2000,Candidates!$A$2:$A$2000,$A1761),""))</f>
        <v/>
      </c>
      <c r="S1761" s="65" t="str">
        <f>IF($A1761="","",IFERROR(MAXIFS(Candidates!$AA$2:$AA$2000,Candidates!$A$2:$A$2000,$A1761),""))</f>
        <v/>
      </c>
      <c r="T1761" s="64" t="str">
        <f>IFERROR(__xludf.DUMMYFUNCTION("IF($A1761="""","""",IFERROR(TEXTJOIN("", "",TRUE,UNIQUE(FILTER(Candidates!$B$2:$B$2000,Candidates!$A$2:$A$2000=$A1761))),""""))"),"")</f>
        <v/>
      </c>
      <c r="U1761" s="66" t="str">
        <f>IF($A1761="","",COUNTIF(Candidates!$A$2:$A$2000,$A1761))</f>
        <v/>
      </c>
      <c r="V1761" s="64" t="str">
        <f>IFERROR(__xludf.DUMMYFUNCTION("IF($A1761="""","""",IFERROR(INDEX(FILTER(Candidates!$S$2:$S$2000,Candidates!$A$2:$A$2000=$A1761),COUNTIF(Candidates!$A$2:$A$2000,$A1761)),""""))"),"")</f>
        <v/>
      </c>
      <c r="W1761" s="64" t="str">
        <f>IFERROR(__xludf.DUMMYFUNCTION("IF($A1761="""","""",IFERROR(INDEX(FILTER(Candidates!$T$2:$T$2000,Candidates!$A$2:$A$2000=$A1761),COUNTIF(Candidates!$A$2:$A$2000,$A1761)),""""))"),"")</f>
        <v/>
      </c>
      <c r="X1761" s="64"/>
      <c r="Y1761" s="64"/>
      <c r="Z1761" s="65"/>
      <c r="AA1761" s="65"/>
      <c r="AB1761" s="65"/>
      <c r="AC1761" s="65"/>
    </row>
    <row r="1762">
      <c r="A1762" s="64"/>
      <c r="B1762" s="64"/>
      <c r="C1762" s="64"/>
      <c r="D1762" s="64"/>
      <c r="E1762" s="64"/>
      <c r="F1762" s="64"/>
      <c r="G1762" s="64"/>
      <c r="H1762" s="63"/>
      <c r="I1762" s="64"/>
      <c r="J1762" s="64"/>
      <c r="K1762" s="64"/>
      <c r="L1762" s="64"/>
      <c r="M1762" s="64"/>
      <c r="N1762" s="64"/>
      <c r="O1762" s="64"/>
      <c r="P1762" s="64"/>
      <c r="Q1762" s="64"/>
      <c r="R1762" s="65" t="str">
        <f>IF($A1762="","",IFERROR(MINIFS(Candidates!$K$2:$K$2000,Candidates!$A$2:$A$2000,$A1762),""))</f>
        <v/>
      </c>
      <c r="S1762" s="65" t="str">
        <f>IF($A1762="","",IFERROR(MAXIFS(Candidates!$AA$2:$AA$2000,Candidates!$A$2:$A$2000,$A1762),""))</f>
        <v/>
      </c>
      <c r="T1762" s="64" t="str">
        <f>IFERROR(__xludf.DUMMYFUNCTION("IF($A1762="""","""",IFERROR(TEXTJOIN("", "",TRUE,UNIQUE(FILTER(Candidates!$B$2:$B$2000,Candidates!$A$2:$A$2000=$A1762))),""""))"),"")</f>
        <v/>
      </c>
      <c r="U1762" s="66" t="str">
        <f>IF($A1762="","",COUNTIF(Candidates!$A$2:$A$2000,$A1762))</f>
        <v/>
      </c>
      <c r="V1762" s="64" t="str">
        <f>IFERROR(__xludf.DUMMYFUNCTION("IF($A1762="""","""",IFERROR(INDEX(FILTER(Candidates!$S$2:$S$2000,Candidates!$A$2:$A$2000=$A1762),COUNTIF(Candidates!$A$2:$A$2000,$A1762)),""""))"),"")</f>
        <v/>
      </c>
      <c r="W1762" s="64" t="str">
        <f>IFERROR(__xludf.DUMMYFUNCTION("IF($A1762="""","""",IFERROR(INDEX(FILTER(Candidates!$T$2:$T$2000,Candidates!$A$2:$A$2000=$A1762),COUNTIF(Candidates!$A$2:$A$2000,$A1762)),""""))"),"")</f>
        <v/>
      </c>
      <c r="X1762" s="64"/>
      <c r="Y1762" s="64"/>
      <c r="Z1762" s="65"/>
      <c r="AA1762" s="65"/>
      <c r="AB1762" s="65"/>
      <c r="AC1762" s="65"/>
    </row>
    <row r="1763">
      <c r="A1763" s="64"/>
      <c r="B1763" s="64"/>
      <c r="C1763" s="64"/>
      <c r="D1763" s="64"/>
      <c r="E1763" s="64"/>
      <c r="F1763" s="64"/>
      <c r="G1763" s="64"/>
      <c r="H1763" s="63"/>
      <c r="I1763" s="64"/>
      <c r="J1763" s="64"/>
      <c r="K1763" s="64"/>
      <c r="L1763" s="64"/>
      <c r="M1763" s="64"/>
      <c r="N1763" s="64"/>
      <c r="O1763" s="64"/>
      <c r="P1763" s="64"/>
      <c r="Q1763" s="64"/>
      <c r="R1763" s="65" t="str">
        <f>IF($A1763="","",IFERROR(MINIFS(Candidates!$K$2:$K$2000,Candidates!$A$2:$A$2000,$A1763),""))</f>
        <v/>
      </c>
      <c r="S1763" s="65" t="str">
        <f>IF($A1763="","",IFERROR(MAXIFS(Candidates!$AA$2:$AA$2000,Candidates!$A$2:$A$2000,$A1763),""))</f>
        <v/>
      </c>
      <c r="T1763" s="64" t="str">
        <f>IFERROR(__xludf.DUMMYFUNCTION("IF($A1763="""","""",IFERROR(TEXTJOIN("", "",TRUE,UNIQUE(FILTER(Candidates!$B$2:$B$2000,Candidates!$A$2:$A$2000=$A1763))),""""))"),"")</f>
        <v/>
      </c>
      <c r="U1763" s="66" t="str">
        <f>IF($A1763="","",COUNTIF(Candidates!$A$2:$A$2000,$A1763))</f>
        <v/>
      </c>
      <c r="V1763" s="64" t="str">
        <f>IFERROR(__xludf.DUMMYFUNCTION("IF($A1763="""","""",IFERROR(INDEX(FILTER(Candidates!$S$2:$S$2000,Candidates!$A$2:$A$2000=$A1763),COUNTIF(Candidates!$A$2:$A$2000,$A1763)),""""))"),"")</f>
        <v/>
      </c>
      <c r="W1763" s="64" t="str">
        <f>IFERROR(__xludf.DUMMYFUNCTION("IF($A1763="""","""",IFERROR(INDEX(FILTER(Candidates!$T$2:$T$2000,Candidates!$A$2:$A$2000=$A1763),COUNTIF(Candidates!$A$2:$A$2000,$A1763)),""""))"),"")</f>
        <v/>
      </c>
      <c r="X1763" s="64"/>
      <c r="Y1763" s="64"/>
      <c r="Z1763" s="65"/>
      <c r="AA1763" s="65"/>
      <c r="AB1763" s="65"/>
      <c r="AC1763" s="65"/>
    </row>
    <row r="1764">
      <c r="A1764" s="64"/>
      <c r="B1764" s="64"/>
      <c r="C1764" s="64"/>
      <c r="D1764" s="64"/>
      <c r="E1764" s="64"/>
      <c r="F1764" s="64"/>
      <c r="G1764" s="64"/>
      <c r="H1764" s="63"/>
      <c r="I1764" s="64"/>
      <c r="J1764" s="64"/>
      <c r="K1764" s="64"/>
      <c r="L1764" s="64"/>
      <c r="M1764" s="64"/>
      <c r="N1764" s="64"/>
      <c r="O1764" s="64"/>
      <c r="P1764" s="64"/>
      <c r="Q1764" s="64"/>
      <c r="R1764" s="65" t="str">
        <f>IF($A1764="","",IFERROR(MINIFS(Candidates!$K$2:$K$2000,Candidates!$A$2:$A$2000,$A1764),""))</f>
        <v/>
      </c>
      <c r="S1764" s="65" t="str">
        <f>IF($A1764="","",IFERROR(MAXIFS(Candidates!$AA$2:$AA$2000,Candidates!$A$2:$A$2000,$A1764),""))</f>
        <v/>
      </c>
      <c r="T1764" s="64" t="str">
        <f>IFERROR(__xludf.DUMMYFUNCTION("IF($A1764="""","""",IFERROR(TEXTJOIN("", "",TRUE,UNIQUE(FILTER(Candidates!$B$2:$B$2000,Candidates!$A$2:$A$2000=$A1764))),""""))"),"")</f>
        <v/>
      </c>
      <c r="U1764" s="66" t="str">
        <f>IF($A1764="","",COUNTIF(Candidates!$A$2:$A$2000,$A1764))</f>
        <v/>
      </c>
      <c r="V1764" s="64" t="str">
        <f>IFERROR(__xludf.DUMMYFUNCTION("IF($A1764="""","""",IFERROR(INDEX(FILTER(Candidates!$S$2:$S$2000,Candidates!$A$2:$A$2000=$A1764),COUNTIF(Candidates!$A$2:$A$2000,$A1764)),""""))"),"")</f>
        <v/>
      </c>
      <c r="W1764" s="64" t="str">
        <f>IFERROR(__xludf.DUMMYFUNCTION("IF($A1764="""","""",IFERROR(INDEX(FILTER(Candidates!$T$2:$T$2000,Candidates!$A$2:$A$2000=$A1764),COUNTIF(Candidates!$A$2:$A$2000,$A1764)),""""))"),"")</f>
        <v/>
      </c>
      <c r="X1764" s="64"/>
      <c r="Y1764" s="64"/>
      <c r="Z1764" s="65"/>
      <c r="AA1764" s="65"/>
      <c r="AB1764" s="65"/>
      <c r="AC1764" s="65"/>
    </row>
    <row r="1765">
      <c r="A1765" s="64"/>
      <c r="B1765" s="64"/>
      <c r="C1765" s="64"/>
      <c r="D1765" s="64"/>
      <c r="E1765" s="64"/>
      <c r="F1765" s="64"/>
      <c r="G1765" s="64"/>
      <c r="H1765" s="63"/>
      <c r="I1765" s="64"/>
      <c r="J1765" s="64"/>
      <c r="K1765" s="64"/>
      <c r="L1765" s="64"/>
      <c r="M1765" s="64"/>
      <c r="N1765" s="64"/>
      <c r="O1765" s="64"/>
      <c r="P1765" s="64"/>
      <c r="Q1765" s="64"/>
      <c r="R1765" s="65" t="str">
        <f>IF($A1765="","",IFERROR(MINIFS(Candidates!$K$2:$K$2000,Candidates!$A$2:$A$2000,$A1765),""))</f>
        <v/>
      </c>
      <c r="S1765" s="65" t="str">
        <f>IF($A1765="","",IFERROR(MAXIFS(Candidates!$AA$2:$AA$2000,Candidates!$A$2:$A$2000,$A1765),""))</f>
        <v/>
      </c>
      <c r="T1765" s="64" t="str">
        <f>IFERROR(__xludf.DUMMYFUNCTION("IF($A1765="""","""",IFERROR(TEXTJOIN("", "",TRUE,UNIQUE(FILTER(Candidates!$B$2:$B$2000,Candidates!$A$2:$A$2000=$A1765))),""""))"),"")</f>
        <v/>
      </c>
      <c r="U1765" s="66" t="str">
        <f>IF($A1765="","",COUNTIF(Candidates!$A$2:$A$2000,$A1765))</f>
        <v/>
      </c>
      <c r="V1765" s="64" t="str">
        <f>IFERROR(__xludf.DUMMYFUNCTION("IF($A1765="""","""",IFERROR(INDEX(FILTER(Candidates!$S$2:$S$2000,Candidates!$A$2:$A$2000=$A1765),COUNTIF(Candidates!$A$2:$A$2000,$A1765)),""""))"),"")</f>
        <v/>
      </c>
      <c r="W1765" s="64" t="str">
        <f>IFERROR(__xludf.DUMMYFUNCTION("IF($A1765="""","""",IFERROR(INDEX(FILTER(Candidates!$T$2:$T$2000,Candidates!$A$2:$A$2000=$A1765),COUNTIF(Candidates!$A$2:$A$2000,$A1765)),""""))"),"")</f>
        <v/>
      </c>
      <c r="X1765" s="64"/>
      <c r="Y1765" s="64"/>
      <c r="Z1765" s="65"/>
      <c r="AA1765" s="65"/>
      <c r="AB1765" s="65"/>
      <c r="AC1765" s="65"/>
    </row>
    <row r="1766">
      <c r="A1766" s="64"/>
      <c r="B1766" s="64"/>
      <c r="C1766" s="64"/>
      <c r="D1766" s="64"/>
      <c r="E1766" s="64"/>
      <c r="F1766" s="64"/>
      <c r="G1766" s="64"/>
      <c r="H1766" s="63"/>
      <c r="I1766" s="64"/>
      <c r="J1766" s="64"/>
      <c r="K1766" s="64"/>
      <c r="L1766" s="64"/>
      <c r="M1766" s="64"/>
      <c r="N1766" s="64"/>
      <c r="O1766" s="64"/>
      <c r="P1766" s="64"/>
      <c r="Q1766" s="64"/>
      <c r="R1766" s="65" t="str">
        <f>IF($A1766="","",IFERROR(MINIFS(Candidates!$K$2:$K$2000,Candidates!$A$2:$A$2000,$A1766),""))</f>
        <v/>
      </c>
      <c r="S1766" s="65" t="str">
        <f>IF($A1766="","",IFERROR(MAXIFS(Candidates!$AA$2:$AA$2000,Candidates!$A$2:$A$2000,$A1766),""))</f>
        <v/>
      </c>
      <c r="T1766" s="64" t="str">
        <f>IFERROR(__xludf.DUMMYFUNCTION("IF($A1766="""","""",IFERROR(TEXTJOIN("", "",TRUE,UNIQUE(FILTER(Candidates!$B$2:$B$2000,Candidates!$A$2:$A$2000=$A1766))),""""))"),"")</f>
        <v/>
      </c>
      <c r="U1766" s="66" t="str">
        <f>IF($A1766="","",COUNTIF(Candidates!$A$2:$A$2000,$A1766))</f>
        <v/>
      </c>
      <c r="V1766" s="64" t="str">
        <f>IFERROR(__xludf.DUMMYFUNCTION("IF($A1766="""","""",IFERROR(INDEX(FILTER(Candidates!$S$2:$S$2000,Candidates!$A$2:$A$2000=$A1766),COUNTIF(Candidates!$A$2:$A$2000,$A1766)),""""))"),"")</f>
        <v/>
      </c>
      <c r="W1766" s="64" t="str">
        <f>IFERROR(__xludf.DUMMYFUNCTION("IF($A1766="""","""",IFERROR(INDEX(FILTER(Candidates!$T$2:$T$2000,Candidates!$A$2:$A$2000=$A1766),COUNTIF(Candidates!$A$2:$A$2000,$A1766)),""""))"),"")</f>
        <v/>
      </c>
      <c r="X1766" s="64"/>
      <c r="Y1766" s="64"/>
      <c r="Z1766" s="65"/>
      <c r="AA1766" s="65"/>
      <c r="AB1766" s="65"/>
      <c r="AC1766" s="65"/>
    </row>
    <row r="1767">
      <c r="A1767" s="64"/>
      <c r="B1767" s="64"/>
      <c r="C1767" s="64"/>
      <c r="D1767" s="64"/>
      <c r="E1767" s="64"/>
      <c r="F1767" s="64"/>
      <c r="G1767" s="64"/>
      <c r="H1767" s="63"/>
      <c r="I1767" s="64"/>
      <c r="J1767" s="64"/>
      <c r="K1767" s="64"/>
      <c r="L1767" s="64"/>
      <c r="M1767" s="64"/>
      <c r="N1767" s="64"/>
      <c r="O1767" s="64"/>
      <c r="P1767" s="64"/>
      <c r="Q1767" s="64"/>
      <c r="R1767" s="65" t="str">
        <f>IF($A1767="","",IFERROR(MINIFS(Candidates!$K$2:$K$2000,Candidates!$A$2:$A$2000,$A1767),""))</f>
        <v/>
      </c>
      <c r="S1767" s="65" t="str">
        <f>IF($A1767="","",IFERROR(MAXIFS(Candidates!$AA$2:$AA$2000,Candidates!$A$2:$A$2000,$A1767),""))</f>
        <v/>
      </c>
      <c r="T1767" s="64" t="str">
        <f>IFERROR(__xludf.DUMMYFUNCTION("IF($A1767="""","""",IFERROR(TEXTJOIN("", "",TRUE,UNIQUE(FILTER(Candidates!$B$2:$B$2000,Candidates!$A$2:$A$2000=$A1767))),""""))"),"")</f>
        <v/>
      </c>
      <c r="U1767" s="66" t="str">
        <f>IF($A1767="","",COUNTIF(Candidates!$A$2:$A$2000,$A1767))</f>
        <v/>
      </c>
      <c r="V1767" s="64" t="str">
        <f>IFERROR(__xludf.DUMMYFUNCTION("IF($A1767="""","""",IFERROR(INDEX(FILTER(Candidates!$S$2:$S$2000,Candidates!$A$2:$A$2000=$A1767),COUNTIF(Candidates!$A$2:$A$2000,$A1767)),""""))"),"")</f>
        <v/>
      </c>
      <c r="W1767" s="64" t="str">
        <f>IFERROR(__xludf.DUMMYFUNCTION("IF($A1767="""","""",IFERROR(INDEX(FILTER(Candidates!$T$2:$T$2000,Candidates!$A$2:$A$2000=$A1767),COUNTIF(Candidates!$A$2:$A$2000,$A1767)),""""))"),"")</f>
        <v/>
      </c>
      <c r="X1767" s="64"/>
      <c r="Y1767" s="64"/>
      <c r="Z1767" s="65"/>
      <c r="AA1767" s="65"/>
      <c r="AB1767" s="65"/>
      <c r="AC1767" s="65"/>
    </row>
    <row r="1768">
      <c r="A1768" s="64"/>
      <c r="B1768" s="64"/>
      <c r="C1768" s="64"/>
      <c r="D1768" s="64"/>
      <c r="E1768" s="64"/>
      <c r="F1768" s="64"/>
      <c r="G1768" s="64"/>
      <c r="H1768" s="63"/>
      <c r="I1768" s="64"/>
      <c r="J1768" s="64"/>
      <c r="K1768" s="64"/>
      <c r="L1768" s="64"/>
      <c r="M1768" s="64"/>
      <c r="N1768" s="64"/>
      <c r="O1768" s="64"/>
      <c r="P1768" s="64"/>
      <c r="Q1768" s="64"/>
      <c r="R1768" s="65" t="str">
        <f>IF($A1768="","",IFERROR(MINIFS(Candidates!$K$2:$K$2000,Candidates!$A$2:$A$2000,$A1768),""))</f>
        <v/>
      </c>
      <c r="S1768" s="65" t="str">
        <f>IF($A1768="","",IFERROR(MAXIFS(Candidates!$AA$2:$AA$2000,Candidates!$A$2:$A$2000,$A1768),""))</f>
        <v/>
      </c>
      <c r="T1768" s="64" t="str">
        <f>IFERROR(__xludf.DUMMYFUNCTION("IF($A1768="""","""",IFERROR(TEXTJOIN("", "",TRUE,UNIQUE(FILTER(Candidates!$B$2:$B$2000,Candidates!$A$2:$A$2000=$A1768))),""""))"),"")</f>
        <v/>
      </c>
      <c r="U1768" s="66" t="str">
        <f>IF($A1768="","",COUNTIF(Candidates!$A$2:$A$2000,$A1768))</f>
        <v/>
      </c>
      <c r="V1768" s="64" t="str">
        <f>IFERROR(__xludf.DUMMYFUNCTION("IF($A1768="""","""",IFERROR(INDEX(FILTER(Candidates!$S$2:$S$2000,Candidates!$A$2:$A$2000=$A1768),COUNTIF(Candidates!$A$2:$A$2000,$A1768)),""""))"),"")</f>
        <v/>
      </c>
      <c r="W1768" s="64" t="str">
        <f>IFERROR(__xludf.DUMMYFUNCTION("IF($A1768="""","""",IFERROR(INDEX(FILTER(Candidates!$T$2:$T$2000,Candidates!$A$2:$A$2000=$A1768),COUNTIF(Candidates!$A$2:$A$2000,$A1768)),""""))"),"")</f>
        <v/>
      </c>
      <c r="X1768" s="64"/>
      <c r="Y1768" s="64"/>
      <c r="Z1768" s="65"/>
      <c r="AA1768" s="65"/>
      <c r="AB1768" s="65"/>
      <c r="AC1768" s="65"/>
    </row>
    <row r="1769">
      <c r="A1769" s="64"/>
      <c r="B1769" s="64"/>
      <c r="C1769" s="64"/>
      <c r="D1769" s="64"/>
      <c r="E1769" s="64"/>
      <c r="F1769" s="64"/>
      <c r="G1769" s="64"/>
      <c r="H1769" s="63"/>
      <c r="I1769" s="64"/>
      <c r="J1769" s="64"/>
      <c r="K1769" s="64"/>
      <c r="L1769" s="64"/>
      <c r="M1769" s="64"/>
      <c r="N1769" s="64"/>
      <c r="O1769" s="64"/>
      <c r="P1769" s="64"/>
      <c r="Q1769" s="64"/>
      <c r="R1769" s="65" t="str">
        <f>IF($A1769="","",IFERROR(MINIFS(Candidates!$K$2:$K$2000,Candidates!$A$2:$A$2000,$A1769),""))</f>
        <v/>
      </c>
      <c r="S1769" s="65" t="str">
        <f>IF($A1769="","",IFERROR(MAXIFS(Candidates!$AA$2:$AA$2000,Candidates!$A$2:$A$2000,$A1769),""))</f>
        <v/>
      </c>
      <c r="T1769" s="64" t="str">
        <f>IFERROR(__xludf.DUMMYFUNCTION("IF($A1769="""","""",IFERROR(TEXTJOIN("", "",TRUE,UNIQUE(FILTER(Candidates!$B$2:$B$2000,Candidates!$A$2:$A$2000=$A1769))),""""))"),"")</f>
        <v/>
      </c>
      <c r="U1769" s="66" t="str">
        <f>IF($A1769="","",COUNTIF(Candidates!$A$2:$A$2000,$A1769))</f>
        <v/>
      </c>
      <c r="V1769" s="64" t="str">
        <f>IFERROR(__xludf.DUMMYFUNCTION("IF($A1769="""","""",IFERROR(INDEX(FILTER(Candidates!$S$2:$S$2000,Candidates!$A$2:$A$2000=$A1769),COUNTIF(Candidates!$A$2:$A$2000,$A1769)),""""))"),"")</f>
        <v/>
      </c>
      <c r="W1769" s="64" t="str">
        <f>IFERROR(__xludf.DUMMYFUNCTION("IF($A1769="""","""",IFERROR(INDEX(FILTER(Candidates!$T$2:$T$2000,Candidates!$A$2:$A$2000=$A1769),COUNTIF(Candidates!$A$2:$A$2000,$A1769)),""""))"),"")</f>
        <v/>
      </c>
      <c r="X1769" s="64"/>
      <c r="Y1769" s="64"/>
      <c r="Z1769" s="65"/>
      <c r="AA1769" s="65"/>
      <c r="AB1769" s="65"/>
      <c r="AC1769" s="65"/>
    </row>
    <row r="1770">
      <c r="A1770" s="64"/>
      <c r="B1770" s="64"/>
      <c r="C1770" s="64"/>
      <c r="D1770" s="64"/>
      <c r="E1770" s="64"/>
      <c r="F1770" s="64"/>
      <c r="G1770" s="64"/>
      <c r="H1770" s="63"/>
      <c r="I1770" s="64"/>
      <c r="J1770" s="64"/>
      <c r="K1770" s="64"/>
      <c r="L1770" s="64"/>
      <c r="M1770" s="64"/>
      <c r="N1770" s="64"/>
      <c r="O1770" s="64"/>
      <c r="P1770" s="64"/>
      <c r="Q1770" s="64"/>
      <c r="R1770" s="65" t="str">
        <f>IF($A1770="","",IFERROR(MINIFS(Candidates!$K$2:$K$2000,Candidates!$A$2:$A$2000,$A1770),""))</f>
        <v/>
      </c>
      <c r="S1770" s="65" t="str">
        <f>IF($A1770="","",IFERROR(MAXIFS(Candidates!$AA$2:$AA$2000,Candidates!$A$2:$A$2000,$A1770),""))</f>
        <v/>
      </c>
      <c r="T1770" s="64" t="str">
        <f>IFERROR(__xludf.DUMMYFUNCTION("IF($A1770="""","""",IFERROR(TEXTJOIN("", "",TRUE,UNIQUE(FILTER(Candidates!$B$2:$B$2000,Candidates!$A$2:$A$2000=$A1770))),""""))"),"")</f>
        <v/>
      </c>
      <c r="U1770" s="66" t="str">
        <f>IF($A1770="","",COUNTIF(Candidates!$A$2:$A$2000,$A1770))</f>
        <v/>
      </c>
      <c r="V1770" s="64" t="str">
        <f>IFERROR(__xludf.DUMMYFUNCTION("IF($A1770="""","""",IFERROR(INDEX(FILTER(Candidates!$S$2:$S$2000,Candidates!$A$2:$A$2000=$A1770),COUNTIF(Candidates!$A$2:$A$2000,$A1770)),""""))"),"")</f>
        <v/>
      </c>
      <c r="W1770" s="64" t="str">
        <f>IFERROR(__xludf.DUMMYFUNCTION("IF($A1770="""","""",IFERROR(INDEX(FILTER(Candidates!$T$2:$T$2000,Candidates!$A$2:$A$2000=$A1770),COUNTIF(Candidates!$A$2:$A$2000,$A1770)),""""))"),"")</f>
        <v/>
      </c>
      <c r="X1770" s="64"/>
      <c r="Y1770" s="64"/>
      <c r="Z1770" s="65"/>
      <c r="AA1770" s="65"/>
      <c r="AB1770" s="65"/>
      <c r="AC1770" s="65"/>
    </row>
    <row r="1771">
      <c r="A1771" s="64"/>
      <c r="B1771" s="64"/>
      <c r="C1771" s="64"/>
      <c r="D1771" s="64"/>
      <c r="E1771" s="64"/>
      <c r="F1771" s="64"/>
      <c r="G1771" s="64"/>
      <c r="H1771" s="63"/>
      <c r="I1771" s="64"/>
      <c r="J1771" s="64"/>
      <c r="K1771" s="64"/>
      <c r="L1771" s="64"/>
      <c r="M1771" s="64"/>
      <c r="N1771" s="64"/>
      <c r="O1771" s="64"/>
      <c r="P1771" s="64"/>
      <c r="Q1771" s="64"/>
      <c r="R1771" s="65" t="str">
        <f>IF($A1771="","",IFERROR(MINIFS(Candidates!$K$2:$K$2000,Candidates!$A$2:$A$2000,$A1771),""))</f>
        <v/>
      </c>
      <c r="S1771" s="65" t="str">
        <f>IF($A1771="","",IFERROR(MAXIFS(Candidates!$AA$2:$AA$2000,Candidates!$A$2:$A$2000,$A1771),""))</f>
        <v/>
      </c>
      <c r="T1771" s="64" t="str">
        <f>IFERROR(__xludf.DUMMYFUNCTION("IF($A1771="""","""",IFERROR(TEXTJOIN("", "",TRUE,UNIQUE(FILTER(Candidates!$B$2:$B$2000,Candidates!$A$2:$A$2000=$A1771))),""""))"),"")</f>
        <v/>
      </c>
      <c r="U1771" s="66" t="str">
        <f>IF($A1771="","",COUNTIF(Candidates!$A$2:$A$2000,$A1771))</f>
        <v/>
      </c>
      <c r="V1771" s="64" t="str">
        <f>IFERROR(__xludf.DUMMYFUNCTION("IF($A1771="""","""",IFERROR(INDEX(FILTER(Candidates!$S$2:$S$2000,Candidates!$A$2:$A$2000=$A1771),COUNTIF(Candidates!$A$2:$A$2000,$A1771)),""""))"),"")</f>
        <v/>
      </c>
      <c r="W1771" s="64" t="str">
        <f>IFERROR(__xludf.DUMMYFUNCTION("IF($A1771="""","""",IFERROR(INDEX(FILTER(Candidates!$T$2:$T$2000,Candidates!$A$2:$A$2000=$A1771),COUNTIF(Candidates!$A$2:$A$2000,$A1771)),""""))"),"")</f>
        <v/>
      </c>
      <c r="X1771" s="64"/>
      <c r="Y1771" s="64"/>
      <c r="Z1771" s="65"/>
      <c r="AA1771" s="65"/>
      <c r="AB1771" s="65"/>
      <c r="AC1771" s="65"/>
    </row>
    <row r="1772">
      <c r="A1772" s="64"/>
      <c r="B1772" s="64"/>
      <c r="C1772" s="64"/>
      <c r="D1772" s="64"/>
      <c r="E1772" s="64"/>
      <c r="F1772" s="64"/>
      <c r="G1772" s="64"/>
      <c r="H1772" s="63"/>
      <c r="I1772" s="64"/>
      <c r="J1772" s="64"/>
      <c r="K1772" s="64"/>
      <c r="L1772" s="64"/>
      <c r="M1772" s="64"/>
      <c r="N1772" s="64"/>
      <c r="O1772" s="64"/>
      <c r="P1772" s="64"/>
      <c r="Q1772" s="64"/>
      <c r="R1772" s="65" t="str">
        <f>IF($A1772="","",IFERROR(MINIFS(Candidates!$K$2:$K$2000,Candidates!$A$2:$A$2000,$A1772),""))</f>
        <v/>
      </c>
      <c r="S1772" s="65" t="str">
        <f>IF($A1772="","",IFERROR(MAXIFS(Candidates!$AA$2:$AA$2000,Candidates!$A$2:$A$2000,$A1772),""))</f>
        <v/>
      </c>
      <c r="T1772" s="64" t="str">
        <f>IFERROR(__xludf.DUMMYFUNCTION("IF($A1772="""","""",IFERROR(TEXTJOIN("", "",TRUE,UNIQUE(FILTER(Candidates!$B$2:$B$2000,Candidates!$A$2:$A$2000=$A1772))),""""))"),"")</f>
        <v/>
      </c>
      <c r="U1772" s="66" t="str">
        <f>IF($A1772="","",COUNTIF(Candidates!$A$2:$A$2000,$A1772))</f>
        <v/>
      </c>
      <c r="V1772" s="64" t="str">
        <f>IFERROR(__xludf.DUMMYFUNCTION("IF($A1772="""","""",IFERROR(INDEX(FILTER(Candidates!$S$2:$S$2000,Candidates!$A$2:$A$2000=$A1772),COUNTIF(Candidates!$A$2:$A$2000,$A1772)),""""))"),"")</f>
        <v/>
      </c>
      <c r="W1772" s="64" t="str">
        <f>IFERROR(__xludf.DUMMYFUNCTION("IF($A1772="""","""",IFERROR(INDEX(FILTER(Candidates!$T$2:$T$2000,Candidates!$A$2:$A$2000=$A1772),COUNTIF(Candidates!$A$2:$A$2000,$A1772)),""""))"),"")</f>
        <v/>
      </c>
      <c r="X1772" s="64"/>
      <c r="Y1772" s="64"/>
      <c r="Z1772" s="65"/>
      <c r="AA1772" s="65"/>
      <c r="AB1772" s="65"/>
      <c r="AC1772" s="65"/>
    </row>
    <row r="1773">
      <c r="A1773" s="64"/>
      <c r="B1773" s="64"/>
      <c r="C1773" s="64"/>
      <c r="D1773" s="64"/>
      <c r="E1773" s="64"/>
      <c r="F1773" s="64"/>
      <c r="G1773" s="64"/>
      <c r="H1773" s="63"/>
      <c r="I1773" s="64"/>
      <c r="J1773" s="64"/>
      <c r="K1773" s="64"/>
      <c r="L1773" s="64"/>
      <c r="M1773" s="64"/>
      <c r="N1773" s="64"/>
      <c r="O1773" s="64"/>
      <c r="P1773" s="64"/>
      <c r="Q1773" s="64"/>
      <c r="R1773" s="65" t="str">
        <f>IF($A1773="","",IFERROR(MINIFS(Candidates!$K$2:$K$2000,Candidates!$A$2:$A$2000,$A1773),""))</f>
        <v/>
      </c>
      <c r="S1773" s="65" t="str">
        <f>IF($A1773="","",IFERROR(MAXIFS(Candidates!$AA$2:$AA$2000,Candidates!$A$2:$A$2000,$A1773),""))</f>
        <v/>
      </c>
      <c r="T1773" s="64" t="str">
        <f>IFERROR(__xludf.DUMMYFUNCTION("IF($A1773="""","""",IFERROR(TEXTJOIN("", "",TRUE,UNIQUE(FILTER(Candidates!$B$2:$B$2000,Candidates!$A$2:$A$2000=$A1773))),""""))"),"")</f>
        <v/>
      </c>
      <c r="U1773" s="66" t="str">
        <f>IF($A1773="","",COUNTIF(Candidates!$A$2:$A$2000,$A1773))</f>
        <v/>
      </c>
      <c r="V1773" s="64" t="str">
        <f>IFERROR(__xludf.DUMMYFUNCTION("IF($A1773="""","""",IFERROR(INDEX(FILTER(Candidates!$S$2:$S$2000,Candidates!$A$2:$A$2000=$A1773),COUNTIF(Candidates!$A$2:$A$2000,$A1773)),""""))"),"")</f>
        <v/>
      </c>
      <c r="W1773" s="64" t="str">
        <f>IFERROR(__xludf.DUMMYFUNCTION("IF($A1773="""","""",IFERROR(INDEX(FILTER(Candidates!$T$2:$T$2000,Candidates!$A$2:$A$2000=$A1773),COUNTIF(Candidates!$A$2:$A$2000,$A1773)),""""))"),"")</f>
        <v/>
      </c>
      <c r="X1773" s="64"/>
      <c r="Y1773" s="64"/>
      <c r="Z1773" s="65"/>
      <c r="AA1773" s="65"/>
      <c r="AB1773" s="65"/>
      <c r="AC1773" s="65"/>
    </row>
    <row r="1774">
      <c r="A1774" s="64"/>
      <c r="B1774" s="64"/>
      <c r="C1774" s="64"/>
      <c r="D1774" s="64"/>
      <c r="E1774" s="64"/>
      <c r="F1774" s="64"/>
      <c r="G1774" s="64"/>
      <c r="H1774" s="63"/>
      <c r="I1774" s="64"/>
      <c r="J1774" s="64"/>
      <c r="K1774" s="64"/>
      <c r="L1774" s="64"/>
      <c r="M1774" s="64"/>
      <c r="N1774" s="64"/>
      <c r="O1774" s="64"/>
      <c r="P1774" s="64"/>
      <c r="Q1774" s="64"/>
      <c r="R1774" s="65" t="str">
        <f>IF($A1774="","",IFERROR(MINIFS(Candidates!$K$2:$K$2000,Candidates!$A$2:$A$2000,$A1774),""))</f>
        <v/>
      </c>
      <c r="S1774" s="65" t="str">
        <f>IF($A1774="","",IFERROR(MAXIFS(Candidates!$AA$2:$AA$2000,Candidates!$A$2:$A$2000,$A1774),""))</f>
        <v/>
      </c>
      <c r="T1774" s="64" t="str">
        <f>IFERROR(__xludf.DUMMYFUNCTION("IF($A1774="""","""",IFERROR(TEXTJOIN("", "",TRUE,UNIQUE(FILTER(Candidates!$B$2:$B$2000,Candidates!$A$2:$A$2000=$A1774))),""""))"),"")</f>
        <v/>
      </c>
      <c r="U1774" s="66" t="str">
        <f>IF($A1774="","",COUNTIF(Candidates!$A$2:$A$2000,$A1774))</f>
        <v/>
      </c>
      <c r="V1774" s="64" t="str">
        <f>IFERROR(__xludf.DUMMYFUNCTION("IF($A1774="""","""",IFERROR(INDEX(FILTER(Candidates!$S$2:$S$2000,Candidates!$A$2:$A$2000=$A1774),COUNTIF(Candidates!$A$2:$A$2000,$A1774)),""""))"),"")</f>
        <v/>
      </c>
      <c r="W1774" s="64" t="str">
        <f>IFERROR(__xludf.DUMMYFUNCTION("IF($A1774="""","""",IFERROR(INDEX(FILTER(Candidates!$T$2:$T$2000,Candidates!$A$2:$A$2000=$A1774),COUNTIF(Candidates!$A$2:$A$2000,$A1774)),""""))"),"")</f>
        <v/>
      </c>
      <c r="X1774" s="64"/>
      <c r="Y1774" s="64"/>
      <c r="Z1774" s="65"/>
      <c r="AA1774" s="65"/>
      <c r="AB1774" s="65"/>
      <c r="AC1774" s="65"/>
    </row>
    <row r="1775">
      <c r="A1775" s="64"/>
      <c r="B1775" s="64"/>
      <c r="C1775" s="64"/>
      <c r="D1775" s="64"/>
      <c r="E1775" s="64"/>
      <c r="F1775" s="64"/>
      <c r="G1775" s="64"/>
      <c r="H1775" s="63"/>
      <c r="I1775" s="64"/>
      <c r="J1775" s="64"/>
      <c r="K1775" s="64"/>
      <c r="L1775" s="64"/>
      <c r="M1775" s="64"/>
      <c r="N1775" s="64"/>
      <c r="O1775" s="64"/>
      <c r="P1775" s="64"/>
      <c r="Q1775" s="64"/>
      <c r="R1775" s="65" t="str">
        <f>IF($A1775="","",IFERROR(MINIFS(Candidates!$K$2:$K$2000,Candidates!$A$2:$A$2000,$A1775),""))</f>
        <v/>
      </c>
      <c r="S1775" s="65" t="str">
        <f>IF($A1775="","",IFERROR(MAXIFS(Candidates!$AA$2:$AA$2000,Candidates!$A$2:$A$2000,$A1775),""))</f>
        <v/>
      </c>
      <c r="T1775" s="64" t="str">
        <f>IFERROR(__xludf.DUMMYFUNCTION("IF($A1775="""","""",IFERROR(TEXTJOIN("", "",TRUE,UNIQUE(FILTER(Candidates!$B$2:$B$2000,Candidates!$A$2:$A$2000=$A1775))),""""))"),"")</f>
        <v/>
      </c>
      <c r="U1775" s="66" t="str">
        <f>IF($A1775="","",COUNTIF(Candidates!$A$2:$A$2000,$A1775))</f>
        <v/>
      </c>
      <c r="V1775" s="64" t="str">
        <f>IFERROR(__xludf.DUMMYFUNCTION("IF($A1775="""","""",IFERROR(INDEX(FILTER(Candidates!$S$2:$S$2000,Candidates!$A$2:$A$2000=$A1775),COUNTIF(Candidates!$A$2:$A$2000,$A1775)),""""))"),"")</f>
        <v/>
      </c>
      <c r="W1775" s="64" t="str">
        <f>IFERROR(__xludf.DUMMYFUNCTION("IF($A1775="""","""",IFERROR(INDEX(FILTER(Candidates!$T$2:$T$2000,Candidates!$A$2:$A$2000=$A1775),COUNTIF(Candidates!$A$2:$A$2000,$A1775)),""""))"),"")</f>
        <v/>
      </c>
      <c r="X1775" s="64"/>
      <c r="Y1775" s="64"/>
      <c r="Z1775" s="65"/>
      <c r="AA1775" s="65"/>
      <c r="AB1775" s="65"/>
      <c r="AC1775" s="65"/>
    </row>
    <row r="1776">
      <c r="A1776" s="64"/>
      <c r="B1776" s="64"/>
      <c r="C1776" s="64"/>
      <c r="D1776" s="64"/>
      <c r="E1776" s="64"/>
      <c r="F1776" s="64"/>
      <c r="G1776" s="64"/>
      <c r="H1776" s="63"/>
      <c r="I1776" s="64"/>
      <c r="J1776" s="64"/>
      <c r="K1776" s="64"/>
      <c r="L1776" s="64"/>
      <c r="M1776" s="64"/>
      <c r="N1776" s="64"/>
      <c r="O1776" s="64"/>
      <c r="P1776" s="64"/>
      <c r="Q1776" s="64"/>
      <c r="R1776" s="65" t="str">
        <f>IF($A1776="","",IFERROR(MINIFS(Candidates!$K$2:$K$2000,Candidates!$A$2:$A$2000,$A1776),""))</f>
        <v/>
      </c>
      <c r="S1776" s="65" t="str">
        <f>IF($A1776="","",IFERROR(MAXIFS(Candidates!$AA$2:$AA$2000,Candidates!$A$2:$A$2000,$A1776),""))</f>
        <v/>
      </c>
      <c r="T1776" s="64" t="str">
        <f>IFERROR(__xludf.DUMMYFUNCTION("IF($A1776="""","""",IFERROR(TEXTJOIN("", "",TRUE,UNIQUE(FILTER(Candidates!$B$2:$B$2000,Candidates!$A$2:$A$2000=$A1776))),""""))"),"")</f>
        <v/>
      </c>
      <c r="U1776" s="66" t="str">
        <f>IF($A1776="","",COUNTIF(Candidates!$A$2:$A$2000,$A1776))</f>
        <v/>
      </c>
      <c r="V1776" s="64" t="str">
        <f>IFERROR(__xludf.DUMMYFUNCTION("IF($A1776="""","""",IFERROR(INDEX(FILTER(Candidates!$S$2:$S$2000,Candidates!$A$2:$A$2000=$A1776),COUNTIF(Candidates!$A$2:$A$2000,$A1776)),""""))"),"")</f>
        <v/>
      </c>
      <c r="W1776" s="64" t="str">
        <f>IFERROR(__xludf.DUMMYFUNCTION("IF($A1776="""","""",IFERROR(INDEX(FILTER(Candidates!$T$2:$T$2000,Candidates!$A$2:$A$2000=$A1776),COUNTIF(Candidates!$A$2:$A$2000,$A1776)),""""))"),"")</f>
        <v/>
      </c>
      <c r="X1776" s="64"/>
      <c r="Y1776" s="64"/>
      <c r="Z1776" s="65"/>
      <c r="AA1776" s="65"/>
      <c r="AB1776" s="65"/>
      <c r="AC1776" s="65"/>
    </row>
    <row r="1777">
      <c r="A1777" s="64"/>
      <c r="B1777" s="64"/>
      <c r="C1777" s="64"/>
      <c r="D1777" s="64"/>
      <c r="E1777" s="64"/>
      <c r="F1777" s="64"/>
      <c r="G1777" s="64"/>
      <c r="H1777" s="63"/>
      <c r="I1777" s="64"/>
      <c r="J1777" s="64"/>
      <c r="K1777" s="64"/>
      <c r="L1777" s="64"/>
      <c r="M1777" s="64"/>
      <c r="N1777" s="64"/>
      <c r="O1777" s="64"/>
      <c r="P1777" s="64"/>
      <c r="Q1777" s="64"/>
      <c r="R1777" s="65" t="str">
        <f>IF($A1777="","",IFERROR(MINIFS(Candidates!$K$2:$K$2000,Candidates!$A$2:$A$2000,$A1777),""))</f>
        <v/>
      </c>
      <c r="S1777" s="65" t="str">
        <f>IF($A1777="","",IFERROR(MAXIFS(Candidates!$AA$2:$AA$2000,Candidates!$A$2:$A$2000,$A1777),""))</f>
        <v/>
      </c>
      <c r="T1777" s="64" t="str">
        <f>IFERROR(__xludf.DUMMYFUNCTION("IF($A1777="""","""",IFERROR(TEXTJOIN("", "",TRUE,UNIQUE(FILTER(Candidates!$B$2:$B$2000,Candidates!$A$2:$A$2000=$A1777))),""""))"),"")</f>
        <v/>
      </c>
      <c r="U1777" s="66" t="str">
        <f>IF($A1777="","",COUNTIF(Candidates!$A$2:$A$2000,$A1777))</f>
        <v/>
      </c>
      <c r="V1777" s="64" t="str">
        <f>IFERROR(__xludf.DUMMYFUNCTION("IF($A1777="""","""",IFERROR(INDEX(FILTER(Candidates!$S$2:$S$2000,Candidates!$A$2:$A$2000=$A1777),COUNTIF(Candidates!$A$2:$A$2000,$A1777)),""""))"),"")</f>
        <v/>
      </c>
      <c r="W1777" s="64" t="str">
        <f>IFERROR(__xludf.DUMMYFUNCTION("IF($A1777="""","""",IFERROR(INDEX(FILTER(Candidates!$T$2:$T$2000,Candidates!$A$2:$A$2000=$A1777),COUNTIF(Candidates!$A$2:$A$2000,$A1777)),""""))"),"")</f>
        <v/>
      </c>
      <c r="X1777" s="64"/>
      <c r="Y1777" s="64"/>
      <c r="Z1777" s="65"/>
      <c r="AA1777" s="65"/>
      <c r="AB1777" s="65"/>
      <c r="AC1777" s="65"/>
    </row>
    <row r="1778">
      <c r="A1778" s="64"/>
      <c r="B1778" s="64"/>
      <c r="C1778" s="64"/>
      <c r="D1778" s="64"/>
      <c r="E1778" s="64"/>
      <c r="F1778" s="64"/>
      <c r="G1778" s="64"/>
      <c r="H1778" s="63"/>
      <c r="I1778" s="64"/>
      <c r="J1778" s="64"/>
      <c r="K1778" s="64"/>
      <c r="L1778" s="64"/>
      <c r="M1778" s="64"/>
      <c r="N1778" s="64"/>
      <c r="O1778" s="64"/>
      <c r="P1778" s="64"/>
      <c r="Q1778" s="64"/>
      <c r="R1778" s="65" t="str">
        <f>IF($A1778="","",IFERROR(MINIFS(Candidates!$K$2:$K$2000,Candidates!$A$2:$A$2000,$A1778),""))</f>
        <v/>
      </c>
      <c r="S1778" s="65" t="str">
        <f>IF($A1778="","",IFERROR(MAXIFS(Candidates!$AA$2:$AA$2000,Candidates!$A$2:$A$2000,$A1778),""))</f>
        <v/>
      </c>
      <c r="T1778" s="64" t="str">
        <f>IFERROR(__xludf.DUMMYFUNCTION("IF($A1778="""","""",IFERROR(TEXTJOIN("", "",TRUE,UNIQUE(FILTER(Candidates!$B$2:$B$2000,Candidates!$A$2:$A$2000=$A1778))),""""))"),"")</f>
        <v/>
      </c>
      <c r="U1778" s="66" t="str">
        <f>IF($A1778="","",COUNTIF(Candidates!$A$2:$A$2000,$A1778))</f>
        <v/>
      </c>
      <c r="V1778" s="64" t="str">
        <f>IFERROR(__xludf.DUMMYFUNCTION("IF($A1778="""","""",IFERROR(INDEX(FILTER(Candidates!$S$2:$S$2000,Candidates!$A$2:$A$2000=$A1778),COUNTIF(Candidates!$A$2:$A$2000,$A1778)),""""))"),"")</f>
        <v/>
      </c>
      <c r="W1778" s="64" t="str">
        <f>IFERROR(__xludf.DUMMYFUNCTION("IF($A1778="""","""",IFERROR(INDEX(FILTER(Candidates!$T$2:$T$2000,Candidates!$A$2:$A$2000=$A1778),COUNTIF(Candidates!$A$2:$A$2000,$A1778)),""""))"),"")</f>
        <v/>
      </c>
      <c r="X1778" s="64"/>
      <c r="Y1778" s="64"/>
      <c r="Z1778" s="65"/>
      <c r="AA1778" s="65"/>
      <c r="AB1778" s="65"/>
      <c r="AC1778" s="65"/>
    </row>
    <row r="1779">
      <c r="A1779" s="64"/>
      <c r="B1779" s="64"/>
      <c r="C1779" s="64"/>
      <c r="D1779" s="64"/>
      <c r="E1779" s="64"/>
      <c r="F1779" s="64"/>
      <c r="G1779" s="64"/>
      <c r="H1779" s="63"/>
      <c r="I1779" s="64"/>
      <c r="J1779" s="64"/>
      <c r="K1779" s="64"/>
      <c r="L1779" s="64"/>
      <c r="M1779" s="64"/>
      <c r="N1779" s="64"/>
      <c r="O1779" s="64"/>
      <c r="P1779" s="64"/>
      <c r="Q1779" s="64"/>
      <c r="R1779" s="65" t="str">
        <f>IF($A1779="","",IFERROR(MINIFS(Candidates!$K$2:$K$2000,Candidates!$A$2:$A$2000,$A1779),""))</f>
        <v/>
      </c>
      <c r="S1779" s="65" t="str">
        <f>IF($A1779="","",IFERROR(MAXIFS(Candidates!$AA$2:$AA$2000,Candidates!$A$2:$A$2000,$A1779),""))</f>
        <v/>
      </c>
      <c r="T1779" s="64" t="str">
        <f>IFERROR(__xludf.DUMMYFUNCTION("IF($A1779="""","""",IFERROR(TEXTJOIN("", "",TRUE,UNIQUE(FILTER(Candidates!$B$2:$B$2000,Candidates!$A$2:$A$2000=$A1779))),""""))"),"")</f>
        <v/>
      </c>
      <c r="U1779" s="66" t="str">
        <f>IF($A1779="","",COUNTIF(Candidates!$A$2:$A$2000,$A1779))</f>
        <v/>
      </c>
      <c r="V1779" s="64" t="str">
        <f>IFERROR(__xludf.DUMMYFUNCTION("IF($A1779="""","""",IFERROR(INDEX(FILTER(Candidates!$S$2:$S$2000,Candidates!$A$2:$A$2000=$A1779),COUNTIF(Candidates!$A$2:$A$2000,$A1779)),""""))"),"")</f>
        <v/>
      </c>
      <c r="W1779" s="64" t="str">
        <f>IFERROR(__xludf.DUMMYFUNCTION("IF($A1779="""","""",IFERROR(INDEX(FILTER(Candidates!$T$2:$T$2000,Candidates!$A$2:$A$2000=$A1779),COUNTIF(Candidates!$A$2:$A$2000,$A1779)),""""))"),"")</f>
        <v/>
      </c>
      <c r="X1779" s="64"/>
      <c r="Y1779" s="64"/>
      <c r="Z1779" s="65"/>
      <c r="AA1779" s="65"/>
      <c r="AB1779" s="65"/>
      <c r="AC1779" s="65"/>
    </row>
    <row r="1780">
      <c r="A1780" s="64"/>
      <c r="B1780" s="64"/>
      <c r="C1780" s="64"/>
      <c r="D1780" s="64"/>
      <c r="E1780" s="64"/>
      <c r="F1780" s="64"/>
      <c r="G1780" s="64"/>
      <c r="H1780" s="63"/>
      <c r="I1780" s="64"/>
      <c r="J1780" s="64"/>
      <c r="K1780" s="64"/>
      <c r="L1780" s="64"/>
      <c r="M1780" s="64"/>
      <c r="N1780" s="64"/>
      <c r="O1780" s="64"/>
      <c r="P1780" s="64"/>
      <c r="Q1780" s="64"/>
      <c r="R1780" s="65" t="str">
        <f>IF($A1780="","",IFERROR(MINIFS(Candidates!$K$2:$K$2000,Candidates!$A$2:$A$2000,$A1780),""))</f>
        <v/>
      </c>
      <c r="S1780" s="65" t="str">
        <f>IF($A1780="","",IFERROR(MAXIFS(Candidates!$AA$2:$AA$2000,Candidates!$A$2:$A$2000,$A1780),""))</f>
        <v/>
      </c>
      <c r="T1780" s="64" t="str">
        <f>IFERROR(__xludf.DUMMYFUNCTION("IF($A1780="""","""",IFERROR(TEXTJOIN("", "",TRUE,UNIQUE(FILTER(Candidates!$B$2:$B$2000,Candidates!$A$2:$A$2000=$A1780))),""""))"),"")</f>
        <v/>
      </c>
      <c r="U1780" s="66" t="str">
        <f>IF($A1780="","",COUNTIF(Candidates!$A$2:$A$2000,$A1780))</f>
        <v/>
      </c>
      <c r="V1780" s="64" t="str">
        <f>IFERROR(__xludf.DUMMYFUNCTION("IF($A1780="""","""",IFERROR(INDEX(FILTER(Candidates!$S$2:$S$2000,Candidates!$A$2:$A$2000=$A1780),COUNTIF(Candidates!$A$2:$A$2000,$A1780)),""""))"),"")</f>
        <v/>
      </c>
      <c r="W1780" s="64" t="str">
        <f>IFERROR(__xludf.DUMMYFUNCTION("IF($A1780="""","""",IFERROR(INDEX(FILTER(Candidates!$T$2:$T$2000,Candidates!$A$2:$A$2000=$A1780),COUNTIF(Candidates!$A$2:$A$2000,$A1780)),""""))"),"")</f>
        <v/>
      </c>
      <c r="X1780" s="64"/>
      <c r="Y1780" s="64"/>
      <c r="Z1780" s="65"/>
      <c r="AA1780" s="65"/>
      <c r="AB1780" s="65"/>
      <c r="AC1780" s="65"/>
    </row>
    <row r="1781">
      <c r="A1781" s="64"/>
      <c r="B1781" s="64"/>
      <c r="C1781" s="64"/>
      <c r="D1781" s="64"/>
      <c r="E1781" s="64"/>
      <c r="F1781" s="64"/>
      <c r="G1781" s="64"/>
      <c r="H1781" s="63"/>
      <c r="I1781" s="64"/>
      <c r="J1781" s="64"/>
      <c r="K1781" s="64"/>
      <c r="L1781" s="64"/>
      <c r="M1781" s="64"/>
      <c r="N1781" s="64"/>
      <c r="O1781" s="64"/>
      <c r="P1781" s="64"/>
      <c r="Q1781" s="64"/>
      <c r="R1781" s="65" t="str">
        <f>IF($A1781="","",IFERROR(MINIFS(Candidates!$K$2:$K$2000,Candidates!$A$2:$A$2000,$A1781),""))</f>
        <v/>
      </c>
      <c r="S1781" s="65" t="str">
        <f>IF($A1781="","",IFERROR(MAXIFS(Candidates!$AA$2:$AA$2000,Candidates!$A$2:$A$2000,$A1781),""))</f>
        <v/>
      </c>
      <c r="T1781" s="64" t="str">
        <f>IFERROR(__xludf.DUMMYFUNCTION("IF($A1781="""","""",IFERROR(TEXTJOIN("", "",TRUE,UNIQUE(FILTER(Candidates!$B$2:$B$2000,Candidates!$A$2:$A$2000=$A1781))),""""))"),"")</f>
        <v/>
      </c>
      <c r="U1781" s="66" t="str">
        <f>IF($A1781="","",COUNTIF(Candidates!$A$2:$A$2000,$A1781))</f>
        <v/>
      </c>
      <c r="V1781" s="64" t="str">
        <f>IFERROR(__xludf.DUMMYFUNCTION("IF($A1781="""","""",IFERROR(INDEX(FILTER(Candidates!$S$2:$S$2000,Candidates!$A$2:$A$2000=$A1781),COUNTIF(Candidates!$A$2:$A$2000,$A1781)),""""))"),"")</f>
        <v/>
      </c>
      <c r="W1781" s="64" t="str">
        <f>IFERROR(__xludf.DUMMYFUNCTION("IF($A1781="""","""",IFERROR(INDEX(FILTER(Candidates!$T$2:$T$2000,Candidates!$A$2:$A$2000=$A1781),COUNTIF(Candidates!$A$2:$A$2000,$A1781)),""""))"),"")</f>
        <v/>
      </c>
      <c r="X1781" s="64"/>
      <c r="Y1781" s="64"/>
      <c r="Z1781" s="65"/>
      <c r="AA1781" s="65"/>
      <c r="AB1781" s="65"/>
      <c r="AC1781" s="65"/>
    </row>
    <row r="1782">
      <c r="A1782" s="64"/>
      <c r="B1782" s="64"/>
      <c r="C1782" s="64"/>
      <c r="D1782" s="64"/>
      <c r="E1782" s="64"/>
      <c r="F1782" s="64"/>
      <c r="G1782" s="64"/>
      <c r="H1782" s="63"/>
      <c r="I1782" s="64"/>
      <c r="J1782" s="64"/>
      <c r="K1782" s="64"/>
      <c r="L1782" s="64"/>
      <c r="M1782" s="64"/>
      <c r="N1782" s="64"/>
      <c r="O1782" s="64"/>
      <c r="P1782" s="64"/>
      <c r="Q1782" s="64"/>
      <c r="R1782" s="65" t="str">
        <f>IF($A1782="","",IFERROR(MINIFS(Candidates!$K$2:$K$2000,Candidates!$A$2:$A$2000,$A1782),""))</f>
        <v/>
      </c>
      <c r="S1782" s="65" t="str">
        <f>IF($A1782="","",IFERROR(MAXIFS(Candidates!$AA$2:$AA$2000,Candidates!$A$2:$A$2000,$A1782),""))</f>
        <v/>
      </c>
      <c r="T1782" s="64" t="str">
        <f>IFERROR(__xludf.DUMMYFUNCTION("IF($A1782="""","""",IFERROR(TEXTJOIN("", "",TRUE,UNIQUE(FILTER(Candidates!$B$2:$B$2000,Candidates!$A$2:$A$2000=$A1782))),""""))"),"")</f>
        <v/>
      </c>
      <c r="U1782" s="66" t="str">
        <f>IF($A1782="","",COUNTIF(Candidates!$A$2:$A$2000,$A1782))</f>
        <v/>
      </c>
      <c r="V1782" s="64" t="str">
        <f>IFERROR(__xludf.DUMMYFUNCTION("IF($A1782="""","""",IFERROR(INDEX(FILTER(Candidates!$S$2:$S$2000,Candidates!$A$2:$A$2000=$A1782),COUNTIF(Candidates!$A$2:$A$2000,$A1782)),""""))"),"")</f>
        <v/>
      </c>
      <c r="W1782" s="64" t="str">
        <f>IFERROR(__xludf.DUMMYFUNCTION("IF($A1782="""","""",IFERROR(INDEX(FILTER(Candidates!$T$2:$T$2000,Candidates!$A$2:$A$2000=$A1782),COUNTIF(Candidates!$A$2:$A$2000,$A1782)),""""))"),"")</f>
        <v/>
      </c>
      <c r="X1782" s="64"/>
      <c r="Y1782" s="64"/>
      <c r="Z1782" s="65"/>
      <c r="AA1782" s="65"/>
      <c r="AB1782" s="65"/>
      <c r="AC1782" s="65"/>
    </row>
    <row r="1783">
      <c r="A1783" s="64"/>
      <c r="B1783" s="64"/>
      <c r="C1783" s="64"/>
      <c r="D1783" s="64"/>
      <c r="E1783" s="64"/>
      <c r="F1783" s="64"/>
      <c r="G1783" s="64"/>
      <c r="H1783" s="63"/>
      <c r="I1783" s="64"/>
      <c r="J1783" s="64"/>
      <c r="K1783" s="64"/>
      <c r="L1783" s="64"/>
      <c r="M1783" s="64"/>
      <c r="N1783" s="64"/>
      <c r="O1783" s="64"/>
      <c r="P1783" s="64"/>
      <c r="Q1783" s="64"/>
      <c r="R1783" s="65" t="str">
        <f>IF($A1783="","",IFERROR(MINIFS(Candidates!$K$2:$K$2000,Candidates!$A$2:$A$2000,$A1783),""))</f>
        <v/>
      </c>
      <c r="S1783" s="65" t="str">
        <f>IF($A1783="","",IFERROR(MAXIFS(Candidates!$AA$2:$AA$2000,Candidates!$A$2:$A$2000,$A1783),""))</f>
        <v/>
      </c>
      <c r="T1783" s="64" t="str">
        <f>IFERROR(__xludf.DUMMYFUNCTION("IF($A1783="""","""",IFERROR(TEXTJOIN("", "",TRUE,UNIQUE(FILTER(Candidates!$B$2:$B$2000,Candidates!$A$2:$A$2000=$A1783))),""""))"),"")</f>
        <v/>
      </c>
      <c r="U1783" s="66" t="str">
        <f>IF($A1783="","",COUNTIF(Candidates!$A$2:$A$2000,$A1783))</f>
        <v/>
      </c>
      <c r="V1783" s="64" t="str">
        <f>IFERROR(__xludf.DUMMYFUNCTION("IF($A1783="""","""",IFERROR(INDEX(FILTER(Candidates!$S$2:$S$2000,Candidates!$A$2:$A$2000=$A1783),COUNTIF(Candidates!$A$2:$A$2000,$A1783)),""""))"),"")</f>
        <v/>
      </c>
      <c r="W1783" s="64" t="str">
        <f>IFERROR(__xludf.DUMMYFUNCTION("IF($A1783="""","""",IFERROR(INDEX(FILTER(Candidates!$T$2:$T$2000,Candidates!$A$2:$A$2000=$A1783),COUNTIF(Candidates!$A$2:$A$2000,$A1783)),""""))"),"")</f>
        <v/>
      </c>
      <c r="X1783" s="64"/>
      <c r="Y1783" s="64"/>
      <c r="Z1783" s="65"/>
      <c r="AA1783" s="65"/>
      <c r="AB1783" s="65"/>
      <c r="AC1783" s="65"/>
    </row>
    <row r="1784">
      <c r="A1784" s="64"/>
      <c r="B1784" s="64"/>
      <c r="C1784" s="64"/>
      <c r="D1784" s="64"/>
      <c r="E1784" s="64"/>
      <c r="F1784" s="64"/>
      <c r="G1784" s="64"/>
      <c r="H1784" s="63"/>
      <c r="I1784" s="64"/>
      <c r="J1784" s="64"/>
      <c r="K1784" s="64"/>
      <c r="L1784" s="64"/>
      <c r="M1784" s="64"/>
      <c r="N1784" s="64"/>
      <c r="O1784" s="64"/>
      <c r="P1784" s="64"/>
      <c r="Q1784" s="64"/>
      <c r="R1784" s="65" t="str">
        <f>IF($A1784="","",IFERROR(MINIFS(Candidates!$K$2:$K$2000,Candidates!$A$2:$A$2000,$A1784),""))</f>
        <v/>
      </c>
      <c r="S1784" s="65" t="str">
        <f>IF($A1784="","",IFERROR(MAXIFS(Candidates!$AA$2:$AA$2000,Candidates!$A$2:$A$2000,$A1784),""))</f>
        <v/>
      </c>
      <c r="T1784" s="64" t="str">
        <f>IFERROR(__xludf.DUMMYFUNCTION("IF($A1784="""","""",IFERROR(TEXTJOIN("", "",TRUE,UNIQUE(FILTER(Candidates!$B$2:$B$2000,Candidates!$A$2:$A$2000=$A1784))),""""))"),"")</f>
        <v/>
      </c>
      <c r="U1784" s="66" t="str">
        <f>IF($A1784="","",COUNTIF(Candidates!$A$2:$A$2000,$A1784))</f>
        <v/>
      </c>
      <c r="V1784" s="64" t="str">
        <f>IFERROR(__xludf.DUMMYFUNCTION("IF($A1784="""","""",IFERROR(INDEX(FILTER(Candidates!$S$2:$S$2000,Candidates!$A$2:$A$2000=$A1784),COUNTIF(Candidates!$A$2:$A$2000,$A1784)),""""))"),"")</f>
        <v/>
      </c>
      <c r="W1784" s="64" t="str">
        <f>IFERROR(__xludf.DUMMYFUNCTION("IF($A1784="""","""",IFERROR(INDEX(FILTER(Candidates!$T$2:$T$2000,Candidates!$A$2:$A$2000=$A1784),COUNTIF(Candidates!$A$2:$A$2000,$A1784)),""""))"),"")</f>
        <v/>
      </c>
      <c r="X1784" s="64"/>
      <c r="Y1784" s="64"/>
      <c r="Z1784" s="65"/>
      <c r="AA1784" s="65"/>
      <c r="AB1784" s="65"/>
      <c r="AC1784" s="65"/>
    </row>
    <row r="1785">
      <c r="A1785" s="64"/>
      <c r="B1785" s="64"/>
      <c r="C1785" s="64"/>
      <c r="D1785" s="64"/>
      <c r="E1785" s="64"/>
      <c r="F1785" s="64"/>
      <c r="G1785" s="64"/>
      <c r="H1785" s="63"/>
      <c r="I1785" s="64"/>
      <c r="J1785" s="64"/>
      <c r="K1785" s="64"/>
      <c r="L1785" s="64"/>
      <c r="M1785" s="64"/>
      <c r="N1785" s="64"/>
      <c r="O1785" s="64"/>
      <c r="P1785" s="64"/>
      <c r="Q1785" s="64"/>
      <c r="R1785" s="65" t="str">
        <f>IF($A1785="","",IFERROR(MINIFS(Candidates!$K$2:$K$2000,Candidates!$A$2:$A$2000,$A1785),""))</f>
        <v/>
      </c>
      <c r="S1785" s="65" t="str">
        <f>IF($A1785="","",IFERROR(MAXIFS(Candidates!$AA$2:$AA$2000,Candidates!$A$2:$A$2000,$A1785),""))</f>
        <v/>
      </c>
      <c r="T1785" s="64" t="str">
        <f>IFERROR(__xludf.DUMMYFUNCTION("IF($A1785="""","""",IFERROR(TEXTJOIN("", "",TRUE,UNIQUE(FILTER(Candidates!$B$2:$B$2000,Candidates!$A$2:$A$2000=$A1785))),""""))"),"")</f>
        <v/>
      </c>
      <c r="U1785" s="66" t="str">
        <f>IF($A1785="","",COUNTIF(Candidates!$A$2:$A$2000,$A1785))</f>
        <v/>
      </c>
      <c r="V1785" s="64" t="str">
        <f>IFERROR(__xludf.DUMMYFUNCTION("IF($A1785="""","""",IFERROR(INDEX(FILTER(Candidates!$S$2:$S$2000,Candidates!$A$2:$A$2000=$A1785),COUNTIF(Candidates!$A$2:$A$2000,$A1785)),""""))"),"")</f>
        <v/>
      </c>
      <c r="W1785" s="64" t="str">
        <f>IFERROR(__xludf.DUMMYFUNCTION("IF($A1785="""","""",IFERROR(INDEX(FILTER(Candidates!$T$2:$T$2000,Candidates!$A$2:$A$2000=$A1785),COUNTIF(Candidates!$A$2:$A$2000,$A1785)),""""))"),"")</f>
        <v/>
      </c>
      <c r="X1785" s="64"/>
      <c r="Y1785" s="64"/>
      <c r="Z1785" s="65"/>
      <c r="AA1785" s="65"/>
      <c r="AB1785" s="65"/>
      <c r="AC1785" s="65"/>
    </row>
    <row r="1786">
      <c r="A1786" s="64"/>
      <c r="B1786" s="64"/>
      <c r="C1786" s="64"/>
      <c r="D1786" s="64"/>
      <c r="E1786" s="64"/>
      <c r="F1786" s="64"/>
      <c r="G1786" s="64"/>
      <c r="H1786" s="63"/>
      <c r="I1786" s="64"/>
      <c r="J1786" s="64"/>
      <c r="K1786" s="64"/>
      <c r="L1786" s="64"/>
      <c r="M1786" s="64"/>
      <c r="N1786" s="64"/>
      <c r="O1786" s="64"/>
      <c r="P1786" s="64"/>
      <c r="Q1786" s="64"/>
      <c r="R1786" s="65" t="str">
        <f>IF($A1786="","",IFERROR(MINIFS(Candidates!$K$2:$K$2000,Candidates!$A$2:$A$2000,$A1786),""))</f>
        <v/>
      </c>
      <c r="S1786" s="65" t="str">
        <f>IF($A1786="","",IFERROR(MAXIFS(Candidates!$AA$2:$AA$2000,Candidates!$A$2:$A$2000,$A1786),""))</f>
        <v/>
      </c>
      <c r="T1786" s="64" t="str">
        <f>IFERROR(__xludf.DUMMYFUNCTION("IF($A1786="""","""",IFERROR(TEXTJOIN("", "",TRUE,UNIQUE(FILTER(Candidates!$B$2:$B$2000,Candidates!$A$2:$A$2000=$A1786))),""""))"),"")</f>
        <v/>
      </c>
      <c r="U1786" s="66" t="str">
        <f>IF($A1786="","",COUNTIF(Candidates!$A$2:$A$2000,$A1786))</f>
        <v/>
      </c>
      <c r="V1786" s="64" t="str">
        <f>IFERROR(__xludf.DUMMYFUNCTION("IF($A1786="""","""",IFERROR(INDEX(FILTER(Candidates!$S$2:$S$2000,Candidates!$A$2:$A$2000=$A1786),COUNTIF(Candidates!$A$2:$A$2000,$A1786)),""""))"),"")</f>
        <v/>
      </c>
      <c r="W1786" s="64" t="str">
        <f>IFERROR(__xludf.DUMMYFUNCTION("IF($A1786="""","""",IFERROR(INDEX(FILTER(Candidates!$T$2:$T$2000,Candidates!$A$2:$A$2000=$A1786),COUNTIF(Candidates!$A$2:$A$2000,$A1786)),""""))"),"")</f>
        <v/>
      </c>
      <c r="X1786" s="64"/>
      <c r="Y1786" s="64"/>
      <c r="Z1786" s="65"/>
      <c r="AA1786" s="65"/>
      <c r="AB1786" s="65"/>
      <c r="AC1786" s="65"/>
    </row>
    <row r="1787">
      <c r="A1787" s="64"/>
      <c r="B1787" s="64"/>
      <c r="C1787" s="64"/>
      <c r="D1787" s="64"/>
      <c r="E1787" s="64"/>
      <c r="F1787" s="64"/>
      <c r="G1787" s="64"/>
      <c r="H1787" s="63"/>
      <c r="I1787" s="64"/>
      <c r="J1787" s="64"/>
      <c r="K1787" s="64"/>
      <c r="L1787" s="64"/>
      <c r="M1787" s="64"/>
      <c r="N1787" s="64"/>
      <c r="O1787" s="64"/>
      <c r="P1787" s="64"/>
      <c r="Q1787" s="64"/>
      <c r="R1787" s="65" t="str">
        <f>IF($A1787="","",IFERROR(MINIFS(Candidates!$K$2:$K$2000,Candidates!$A$2:$A$2000,$A1787),""))</f>
        <v/>
      </c>
      <c r="S1787" s="65" t="str">
        <f>IF($A1787="","",IFERROR(MAXIFS(Candidates!$AA$2:$AA$2000,Candidates!$A$2:$A$2000,$A1787),""))</f>
        <v/>
      </c>
      <c r="T1787" s="64" t="str">
        <f>IFERROR(__xludf.DUMMYFUNCTION("IF($A1787="""","""",IFERROR(TEXTJOIN("", "",TRUE,UNIQUE(FILTER(Candidates!$B$2:$B$2000,Candidates!$A$2:$A$2000=$A1787))),""""))"),"")</f>
        <v/>
      </c>
      <c r="U1787" s="66" t="str">
        <f>IF($A1787="","",COUNTIF(Candidates!$A$2:$A$2000,$A1787))</f>
        <v/>
      </c>
      <c r="V1787" s="64" t="str">
        <f>IFERROR(__xludf.DUMMYFUNCTION("IF($A1787="""","""",IFERROR(INDEX(FILTER(Candidates!$S$2:$S$2000,Candidates!$A$2:$A$2000=$A1787),COUNTIF(Candidates!$A$2:$A$2000,$A1787)),""""))"),"")</f>
        <v/>
      </c>
      <c r="W1787" s="64" t="str">
        <f>IFERROR(__xludf.DUMMYFUNCTION("IF($A1787="""","""",IFERROR(INDEX(FILTER(Candidates!$T$2:$T$2000,Candidates!$A$2:$A$2000=$A1787),COUNTIF(Candidates!$A$2:$A$2000,$A1787)),""""))"),"")</f>
        <v/>
      </c>
      <c r="X1787" s="64"/>
      <c r="Y1787" s="64"/>
      <c r="Z1787" s="65"/>
      <c r="AA1787" s="65"/>
      <c r="AB1787" s="65"/>
      <c r="AC1787" s="65"/>
    </row>
    <row r="1788">
      <c r="A1788" s="64"/>
      <c r="B1788" s="64"/>
      <c r="C1788" s="64"/>
      <c r="D1788" s="64"/>
      <c r="E1788" s="64"/>
      <c r="F1788" s="64"/>
      <c r="G1788" s="64"/>
      <c r="H1788" s="63"/>
      <c r="I1788" s="64"/>
      <c r="J1788" s="64"/>
      <c r="K1788" s="64"/>
      <c r="L1788" s="64"/>
      <c r="M1788" s="64"/>
      <c r="N1788" s="64"/>
      <c r="O1788" s="64"/>
      <c r="P1788" s="64"/>
      <c r="Q1788" s="64"/>
      <c r="R1788" s="65" t="str">
        <f>IF($A1788="","",IFERROR(MINIFS(Candidates!$K$2:$K$2000,Candidates!$A$2:$A$2000,$A1788),""))</f>
        <v/>
      </c>
      <c r="S1788" s="65" t="str">
        <f>IF($A1788="","",IFERROR(MAXIFS(Candidates!$AA$2:$AA$2000,Candidates!$A$2:$A$2000,$A1788),""))</f>
        <v/>
      </c>
      <c r="T1788" s="64" t="str">
        <f>IFERROR(__xludf.DUMMYFUNCTION("IF($A1788="""","""",IFERROR(TEXTJOIN("", "",TRUE,UNIQUE(FILTER(Candidates!$B$2:$B$2000,Candidates!$A$2:$A$2000=$A1788))),""""))"),"")</f>
        <v/>
      </c>
      <c r="U1788" s="66" t="str">
        <f>IF($A1788="","",COUNTIF(Candidates!$A$2:$A$2000,$A1788))</f>
        <v/>
      </c>
      <c r="V1788" s="64" t="str">
        <f>IFERROR(__xludf.DUMMYFUNCTION("IF($A1788="""","""",IFERROR(INDEX(FILTER(Candidates!$S$2:$S$2000,Candidates!$A$2:$A$2000=$A1788),COUNTIF(Candidates!$A$2:$A$2000,$A1788)),""""))"),"")</f>
        <v/>
      </c>
      <c r="W1788" s="64" t="str">
        <f>IFERROR(__xludf.DUMMYFUNCTION("IF($A1788="""","""",IFERROR(INDEX(FILTER(Candidates!$T$2:$T$2000,Candidates!$A$2:$A$2000=$A1788),COUNTIF(Candidates!$A$2:$A$2000,$A1788)),""""))"),"")</f>
        <v/>
      </c>
      <c r="X1788" s="64"/>
      <c r="Y1788" s="64"/>
      <c r="Z1788" s="65"/>
      <c r="AA1788" s="65"/>
      <c r="AB1788" s="65"/>
      <c r="AC1788" s="65"/>
    </row>
    <row r="1789">
      <c r="A1789" s="64"/>
      <c r="B1789" s="64"/>
      <c r="C1789" s="64"/>
      <c r="D1789" s="64"/>
      <c r="E1789" s="64"/>
      <c r="F1789" s="64"/>
      <c r="G1789" s="64"/>
      <c r="H1789" s="63"/>
      <c r="I1789" s="64"/>
      <c r="J1789" s="64"/>
      <c r="K1789" s="64"/>
      <c r="L1789" s="64"/>
      <c r="M1789" s="64"/>
      <c r="N1789" s="64"/>
      <c r="O1789" s="64"/>
      <c r="P1789" s="64"/>
      <c r="Q1789" s="64"/>
      <c r="R1789" s="65" t="str">
        <f>IF($A1789="","",IFERROR(MINIFS(Candidates!$K$2:$K$2000,Candidates!$A$2:$A$2000,$A1789),""))</f>
        <v/>
      </c>
      <c r="S1789" s="65" t="str">
        <f>IF($A1789="","",IFERROR(MAXIFS(Candidates!$AA$2:$AA$2000,Candidates!$A$2:$A$2000,$A1789),""))</f>
        <v/>
      </c>
      <c r="T1789" s="64" t="str">
        <f>IFERROR(__xludf.DUMMYFUNCTION("IF($A1789="""","""",IFERROR(TEXTJOIN("", "",TRUE,UNIQUE(FILTER(Candidates!$B$2:$B$2000,Candidates!$A$2:$A$2000=$A1789))),""""))"),"")</f>
        <v/>
      </c>
      <c r="U1789" s="66" t="str">
        <f>IF($A1789="","",COUNTIF(Candidates!$A$2:$A$2000,$A1789))</f>
        <v/>
      </c>
      <c r="V1789" s="64" t="str">
        <f>IFERROR(__xludf.DUMMYFUNCTION("IF($A1789="""","""",IFERROR(INDEX(FILTER(Candidates!$S$2:$S$2000,Candidates!$A$2:$A$2000=$A1789),COUNTIF(Candidates!$A$2:$A$2000,$A1789)),""""))"),"")</f>
        <v/>
      </c>
      <c r="W1789" s="64" t="str">
        <f>IFERROR(__xludf.DUMMYFUNCTION("IF($A1789="""","""",IFERROR(INDEX(FILTER(Candidates!$T$2:$T$2000,Candidates!$A$2:$A$2000=$A1789),COUNTIF(Candidates!$A$2:$A$2000,$A1789)),""""))"),"")</f>
        <v/>
      </c>
      <c r="X1789" s="64"/>
      <c r="Y1789" s="64"/>
      <c r="Z1789" s="65"/>
      <c r="AA1789" s="65"/>
      <c r="AB1789" s="65"/>
      <c r="AC1789" s="65"/>
    </row>
    <row r="1790">
      <c r="A1790" s="64"/>
      <c r="B1790" s="64"/>
      <c r="C1790" s="64"/>
      <c r="D1790" s="64"/>
      <c r="E1790" s="64"/>
      <c r="F1790" s="64"/>
      <c r="G1790" s="64"/>
      <c r="H1790" s="63"/>
      <c r="I1790" s="64"/>
      <c r="J1790" s="64"/>
      <c r="K1790" s="64"/>
      <c r="L1790" s="64"/>
      <c r="M1790" s="64"/>
      <c r="N1790" s="64"/>
      <c r="O1790" s="64"/>
      <c r="P1790" s="64"/>
      <c r="Q1790" s="64"/>
      <c r="R1790" s="65" t="str">
        <f>IF($A1790="","",IFERROR(MINIFS(Candidates!$K$2:$K$2000,Candidates!$A$2:$A$2000,$A1790),""))</f>
        <v/>
      </c>
      <c r="S1790" s="65" t="str">
        <f>IF($A1790="","",IFERROR(MAXIFS(Candidates!$AA$2:$AA$2000,Candidates!$A$2:$A$2000,$A1790),""))</f>
        <v/>
      </c>
      <c r="T1790" s="64" t="str">
        <f>IFERROR(__xludf.DUMMYFUNCTION("IF($A1790="""","""",IFERROR(TEXTJOIN("", "",TRUE,UNIQUE(FILTER(Candidates!$B$2:$B$2000,Candidates!$A$2:$A$2000=$A1790))),""""))"),"")</f>
        <v/>
      </c>
      <c r="U1790" s="66" t="str">
        <f>IF($A1790="","",COUNTIF(Candidates!$A$2:$A$2000,$A1790))</f>
        <v/>
      </c>
      <c r="V1790" s="64" t="str">
        <f>IFERROR(__xludf.DUMMYFUNCTION("IF($A1790="""","""",IFERROR(INDEX(FILTER(Candidates!$S$2:$S$2000,Candidates!$A$2:$A$2000=$A1790),COUNTIF(Candidates!$A$2:$A$2000,$A1790)),""""))"),"")</f>
        <v/>
      </c>
      <c r="W1790" s="64" t="str">
        <f>IFERROR(__xludf.DUMMYFUNCTION("IF($A1790="""","""",IFERROR(INDEX(FILTER(Candidates!$T$2:$T$2000,Candidates!$A$2:$A$2000=$A1790),COUNTIF(Candidates!$A$2:$A$2000,$A1790)),""""))"),"")</f>
        <v/>
      </c>
      <c r="X1790" s="64"/>
      <c r="Y1790" s="64"/>
      <c r="Z1790" s="65"/>
      <c r="AA1790" s="65"/>
      <c r="AB1790" s="65"/>
      <c r="AC1790" s="65"/>
    </row>
    <row r="1791">
      <c r="A1791" s="64"/>
      <c r="B1791" s="64"/>
      <c r="C1791" s="64"/>
      <c r="D1791" s="64"/>
      <c r="E1791" s="64"/>
      <c r="F1791" s="64"/>
      <c r="G1791" s="64"/>
      <c r="H1791" s="63"/>
      <c r="I1791" s="64"/>
      <c r="J1791" s="64"/>
      <c r="K1791" s="64"/>
      <c r="L1791" s="64"/>
      <c r="M1791" s="64"/>
      <c r="N1791" s="64"/>
      <c r="O1791" s="64"/>
      <c r="P1791" s="64"/>
      <c r="Q1791" s="64"/>
      <c r="R1791" s="65" t="str">
        <f>IF($A1791="","",IFERROR(MINIFS(Candidates!$K$2:$K$2000,Candidates!$A$2:$A$2000,$A1791),""))</f>
        <v/>
      </c>
      <c r="S1791" s="65" t="str">
        <f>IF($A1791="","",IFERROR(MAXIFS(Candidates!$AA$2:$AA$2000,Candidates!$A$2:$A$2000,$A1791),""))</f>
        <v/>
      </c>
      <c r="T1791" s="64" t="str">
        <f>IFERROR(__xludf.DUMMYFUNCTION("IF($A1791="""","""",IFERROR(TEXTJOIN("", "",TRUE,UNIQUE(FILTER(Candidates!$B$2:$B$2000,Candidates!$A$2:$A$2000=$A1791))),""""))"),"")</f>
        <v/>
      </c>
      <c r="U1791" s="66" t="str">
        <f>IF($A1791="","",COUNTIF(Candidates!$A$2:$A$2000,$A1791))</f>
        <v/>
      </c>
      <c r="V1791" s="64" t="str">
        <f>IFERROR(__xludf.DUMMYFUNCTION("IF($A1791="""","""",IFERROR(INDEX(FILTER(Candidates!$S$2:$S$2000,Candidates!$A$2:$A$2000=$A1791),COUNTIF(Candidates!$A$2:$A$2000,$A1791)),""""))"),"")</f>
        <v/>
      </c>
      <c r="W1791" s="64" t="str">
        <f>IFERROR(__xludf.DUMMYFUNCTION("IF($A1791="""","""",IFERROR(INDEX(FILTER(Candidates!$T$2:$T$2000,Candidates!$A$2:$A$2000=$A1791),COUNTIF(Candidates!$A$2:$A$2000,$A1791)),""""))"),"")</f>
        <v/>
      </c>
      <c r="X1791" s="64"/>
      <c r="Y1791" s="64"/>
      <c r="Z1791" s="65"/>
      <c r="AA1791" s="65"/>
      <c r="AB1791" s="65"/>
      <c r="AC1791" s="65"/>
    </row>
    <row r="1792">
      <c r="A1792" s="64"/>
      <c r="B1792" s="64"/>
      <c r="C1792" s="64"/>
      <c r="D1792" s="64"/>
      <c r="E1792" s="64"/>
      <c r="F1792" s="64"/>
      <c r="G1792" s="64"/>
      <c r="H1792" s="63"/>
      <c r="I1792" s="64"/>
      <c r="J1792" s="64"/>
      <c r="K1792" s="64"/>
      <c r="L1792" s="64"/>
      <c r="M1792" s="64"/>
      <c r="N1792" s="64"/>
      <c r="O1792" s="64"/>
      <c r="P1792" s="64"/>
      <c r="Q1792" s="64"/>
      <c r="R1792" s="65" t="str">
        <f>IF($A1792="","",IFERROR(MINIFS(Candidates!$K$2:$K$2000,Candidates!$A$2:$A$2000,$A1792),""))</f>
        <v/>
      </c>
      <c r="S1792" s="65" t="str">
        <f>IF($A1792="","",IFERROR(MAXIFS(Candidates!$AA$2:$AA$2000,Candidates!$A$2:$A$2000,$A1792),""))</f>
        <v/>
      </c>
      <c r="T1792" s="64" t="str">
        <f>IFERROR(__xludf.DUMMYFUNCTION("IF($A1792="""","""",IFERROR(TEXTJOIN("", "",TRUE,UNIQUE(FILTER(Candidates!$B$2:$B$2000,Candidates!$A$2:$A$2000=$A1792))),""""))"),"")</f>
        <v/>
      </c>
      <c r="U1792" s="66" t="str">
        <f>IF($A1792="","",COUNTIF(Candidates!$A$2:$A$2000,$A1792))</f>
        <v/>
      </c>
      <c r="V1792" s="64" t="str">
        <f>IFERROR(__xludf.DUMMYFUNCTION("IF($A1792="""","""",IFERROR(INDEX(FILTER(Candidates!$S$2:$S$2000,Candidates!$A$2:$A$2000=$A1792),COUNTIF(Candidates!$A$2:$A$2000,$A1792)),""""))"),"")</f>
        <v/>
      </c>
      <c r="W1792" s="64" t="str">
        <f>IFERROR(__xludf.DUMMYFUNCTION("IF($A1792="""","""",IFERROR(INDEX(FILTER(Candidates!$T$2:$T$2000,Candidates!$A$2:$A$2000=$A1792),COUNTIF(Candidates!$A$2:$A$2000,$A1792)),""""))"),"")</f>
        <v/>
      </c>
      <c r="X1792" s="64"/>
      <c r="Y1792" s="64"/>
      <c r="Z1792" s="65"/>
      <c r="AA1792" s="65"/>
      <c r="AB1792" s="65"/>
      <c r="AC1792" s="65"/>
    </row>
    <row r="1793">
      <c r="A1793" s="64"/>
      <c r="B1793" s="64"/>
      <c r="C1793" s="64"/>
      <c r="D1793" s="64"/>
      <c r="E1793" s="64"/>
      <c r="F1793" s="64"/>
      <c r="G1793" s="64"/>
      <c r="H1793" s="63"/>
      <c r="I1793" s="64"/>
      <c r="J1793" s="64"/>
      <c r="K1793" s="64"/>
      <c r="L1793" s="64"/>
      <c r="M1793" s="64"/>
      <c r="N1793" s="64"/>
      <c r="O1793" s="64"/>
      <c r="P1793" s="64"/>
      <c r="Q1793" s="64"/>
      <c r="R1793" s="65" t="str">
        <f>IF($A1793="","",IFERROR(MINIFS(Candidates!$K$2:$K$2000,Candidates!$A$2:$A$2000,$A1793),""))</f>
        <v/>
      </c>
      <c r="S1793" s="65" t="str">
        <f>IF($A1793="","",IFERROR(MAXIFS(Candidates!$AA$2:$AA$2000,Candidates!$A$2:$A$2000,$A1793),""))</f>
        <v/>
      </c>
      <c r="T1793" s="64" t="str">
        <f>IFERROR(__xludf.DUMMYFUNCTION("IF($A1793="""","""",IFERROR(TEXTJOIN("", "",TRUE,UNIQUE(FILTER(Candidates!$B$2:$B$2000,Candidates!$A$2:$A$2000=$A1793))),""""))"),"")</f>
        <v/>
      </c>
      <c r="U1793" s="66" t="str">
        <f>IF($A1793="","",COUNTIF(Candidates!$A$2:$A$2000,$A1793))</f>
        <v/>
      </c>
      <c r="V1793" s="64" t="str">
        <f>IFERROR(__xludf.DUMMYFUNCTION("IF($A1793="""","""",IFERROR(INDEX(FILTER(Candidates!$S$2:$S$2000,Candidates!$A$2:$A$2000=$A1793),COUNTIF(Candidates!$A$2:$A$2000,$A1793)),""""))"),"")</f>
        <v/>
      </c>
      <c r="W1793" s="64" t="str">
        <f>IFERROR(__xludf.DUMMYFUNCTION("IF($A1793="""","""",IFERROR(INDEX(FILTER(Candidates!$T$2:$T$2000,Candidates!$A$2:$A$2000=$A1793),COUNTIF(Candidates!$A$2:$A$2000,$A1793)),""""))"),"")</f>
        <v/>
      </c>
      <c r="X1793" s="64"/>
      <c r="Y1793" s="64"/>
      <c r="Z1793" s="65"/>
      <c r="AA1793" s="65"/>
      <c r="AB1793" s="65"/>
      <c r="AC1793" s="65"/>
    </row>
    <row r="1794">
      <c r="A1794" s="64"/>
      <c r="B1794" s="64"/>
      <c r="C1794" s="64"/>
      <c r="D1794" s="64"/>
      <c r="E1794" s="64"/>
      <c r="F1794" s="64"/>
      <c r="G1794" s="64"/>
      <c r="H1794" s="63"/>
      <c r="I1794" s="64"/>
      <c r="J1794" s="64"/>
      <c r="K1794" s="64"/>
      <c r="L1794" s="64"/>
      <c r="M1794" s="64"/>
      <c r="N1794" s="64"/>
      <c r="O1794" s="64"/>
      <c r="P1794" s="64"/>
      <c r="Q1794" s="64"/>
      <c r="R1794" s="65" t="str">
        <f>IF($A1794="","",IFERROR(MINIFS(Candidates!$K$2:$K$2000,Candidates!$A$2:$A$2000,$A1794),""))</f>
        <v/>
      </c>
      <c r="S1794" s="65" t="str">
        <f>IF($A1794="","",IFERROR(MAXIFS(Candidates!$AA$2:$AA$2000,Candidates!$A$2:$A$2000,$A1794),""))</f>
        <v/>
      </c>
      <c r="T1794" s="64" t="str">
        <f>IFERROR(__xludf.DUMMYFUNCTION("IF($A1794="""","""",IFERROR(TEXTJOIN("", "",TRUE,UNIQUE(FILTER(Candidates!$B$2:$B$2000,Candidates!$A$2:$A$2000=$A1794))),""""))"),"")</f>
        <v/>
      </c>
      <c r="U1794" s="66" t="str">
        <f>IF($A1794="","",COUNTIF(Candidates!$A$2:$A$2000,$A1794))</f>
        <v/>
      </c>
      <c r="V1794" s="64" t="str">
        <f>IFERROR(__xludf.DUMMYFUNCTION("IF($A1794="""","""",IFERROR(INDEX(FILTER(Candidates!$S$2:$S$2000,Candidates!$A$2:$A$2000=$A1794),COUNTIF(Candidates!$A$2:$A$2000,$A1794)),""""))"),"")</f>
        <v/>
      </c>
      <c r="W1794" s="64" t="str">
        <f>IFERROR(__xludf.DUMMYFUNCTION("IF($A1794="""","""",IFERROR(INDEX(FILTER(Candidates!$T$2:$T$2000,Candidates!$A$2:$A$2000=$A1794),COUNTIF(Candidates!$A$2:$A$2000,$A1794)),""""))"),"")</f>
        <v/>
      </c>
      <c r="X1794" s="64"/>
      <c r="Y1794" s="64"/>
      <c r="Z1794" s="65"/>
      <c r="AA1794" s="65"/>
      <c r="AB1794" s="65"/>
      <c r="AC1794" s="65"/>
    </row>
    <row r="1795">
      <c r="A1795" s="64"/>
      <c r="B1795" s="64"/>
      <c r="C1795" s="64"/>
      <c r="D1795" s="64"/>
      <c r="E1795" s="64"/>
      <c r="F1795" s="64"/>
      <c r="G1795" s="64"/>
      <c r="H1795" s="63"/>
      <c r="I1795" s="64"/>
      <c r="J1795" s="64"/>
      <c r="K1795" s="64"/>
      <c r="L1795" s="64"/>
      <c r="M1795" s="64"/>
      <c r="N1795" s="64"/>
      <c r="O1795" s="64"/>
      <c r="P1795" s="64"/>
      <c r="Q1795" s="64"/>
      <c r="R1795" s="65" t="str">
        <f>IF($A1795="","",IFERROR(MINIFS(Candidates!$K$2:$K$2000,Candidates!$A$2:$A$2000,$A1795),""))</f>
        <v/>
      </c>
      <c r="S1795" s="65" t="str">
        <f>IF($A1795="","",IFERROR(MAXIFS(Candidates!$AA$2:$AA$2000,Candidates!$A$2:$A$2000,$A1795),""))</f>
        <v/>
      </c>
      <c r="T1795" s="64" t="str">
        <f>IFERROR(__xludf.DUMMYFUNCTION("IF($A1795="""","""",IFERROR(TEXTJOIN("", "",TRUE,UNIQUE(FILTER(Candidates!$B$2:$B$2000,Candidates!$A$2:$A$2000=$A1795))),""""))"),"")</f>
        <v/>
      </c>
      <c r="U1795" s="66" t="str">
        <f>IF($A1795="","",COUNTIF(Candidates!$A$2:$A$2000,$A1795))</f>
        <v/>
      </c>
      <c r="V1795" s="64" t="str">
        <f>IFERROR(__xludf.DUMMYFUNCTION("IF($A1795="""","""",IFERROR(INDEX(FILTER(Candidates!$S$2:$S$2000,Candidates!$A$2:$A$2000=$A1795),COUNTIF(Candidates!$A$2:$A$2000,$A1795)),""""))"),"")</f>
        <v/>
      </c>
      <c r="W1795" s="64" t="str">
        <f>IFERROR(__xludf.DUMMYFUNCTION("IF($A1795="""","""",IFERROR(INDEX(FILTER(Candidates!$T$2:$T$2000,Candidates!$A$2:$A$2000=$A1795),COUNTIF(Candidates!$A$2:$A$2000,$A1795)),""""))"),"")</f>
        <v/>
      </c>
      <c r="X1795" s="64"/>
      <c r="Y1795" s="64"/>
      <c r="Z1795" s="65"/>
      <c r="AA1795" s="65"/>
      <c r="AB1795" s="65"/>
      <c r="AC1795" s="65"/>
    </row>
    <row r="1796">
      <c r="A1796" s="64"/>
      <c r="B1796" s="64"/>
      <c r="C1796" s="64"/>
      <c r="D1796" s="64"/>
      <c r="E1796" s="64"/>
      <c r="F1796" s="64"/>
      <c r="G1796" s="64"/>
      <c r="H1796" s="63"/>
      <c r="I1796" s="64"/>
      <c r="J1796" s="64"/>
      <c r="K1796" s="64"/>
      <c r="L1796" s="64"/>
      <c r="M1796" s="64"/>
      <c r="N1796" s="64"/>
      <c r="O1796" s="64"/>
      <c r="P1796" s="64"/>
      <c r="Q1796" s="64"/>
      <c r="R1796" s="65" t="str">
        <f>IF($A1796="","",IFERROR(MINIFS(Candidates!$K$2:$K$2000,Candidates!$A$2:$A$2000,$A1796),""))</f>
        <v/>
      </c>
      <c r="S1796" s="65" t="str">
        <f>IF($A1796="","",IFERROR(MAXIFS(Candidates!$AA$2:$AA$2000,Candidates!$A$2:$A$2000,$A1796),""))</f>
        <v/>
      </c>
      <c r="T1796" s="64" t="str">
        <f>IFERROR(__xludf.DUMMYFUNCTION("IF($A1796="""","""",IFERROR(TEXTJOIN("", "",TRUE,UNIQUE(FILTER(Candidates!$B$2:$B$2000,Candidates!$A$2:$A$2000=$A1796))),""""))"),"")</f>
        <v/>
      </c>
      <c r="U1796" s="66" t="str">
        <f>IF($A1796="","",COUNTIF(Candidates!$A$2:$A$2000,$A1796))</f>
        <v/>
      </c>
      <c r="V1796" s="64" t="str">
        <f>IFERROR(__xludf.DUMMYFUNCTION("IF($A1796="""","""",IFERROR(INDEX(FILTER(Candidates!$S$2:$S$2000,Candidates!$A$2:$A$2000=$A1796),COUNTIF(Candidates!$A$2:$A$2000,$A1796)),""""))"),"")</f>
        <v/>
      </c>
      <c r="W1796" s="64" t="str">
        <f>IFERROR(__xludf.DUMMYFUNCTION("IF($A1796="""","""",IFERROR(INDEX(FILTER(Candidates!$T$2:$T$2000,Candidates!$A$2:$A$2000=$A1796),COUNTIF(Candidates!$A$2:$A$2000,$A1796)),""""))"),"")</f>
        <v/>
      </c>
      <c r="X1796" s="64"/>
      <c r="Y1796" s="64"/>
      <c r="Z1796" s="65"/>
      <c r="AA1796" s="65"/>
      <c r="AB1796" s="65"/>
      <c r="AC1796" s="65"/>
    </row>
    <row r="1797">
      <c r="A1797" s="64"/>
      <c r="B1797" s="64"/>
      <c r="C1797" s="64"/>
      <c r="D1797" s="64"/>
      <c r="E1797" s="64"/>
      <c r="F1797" s="64"/>
      <c r="G1797" s="64"/>
      <c r="H1797" s="63"/>
      <c r="I1797" s="64"/>
      <c r="J1797" s="64"/>
      <c r="K1797" s="64"/>
      <c r="L1797" s="64"/>
      <c r="M1797" s="64"/>
      <c r="N1797" s="64"/>
      <c r="O1797" s="64"/>
      <c r="P1797" s="64"/>
      <c r="Q1797" s="64"/>
      <c r="R1797" s="65" t="str">
        <f>IF($A1797="","",IFERROR(MINIFS(Candidates!$K$2:$K$2000,Candidates!$A$2:$A$2000,$A1797),""))</f>
        <v/>
      </c>
      <c r="S1797" s="65" t="str">
        <f>IF($A1797="","",IFERROR(MAXIFS(Candidates!$AA$2:$AA$2000,Candidates!$A$2:$A$2000,$A1797),""))</f>
        <v/>
      </c>
      <c r="T1797" s="64" t="str">
        <f>IFERROR(__xludf.DUMMYFUNCTION("IF($A1797="""","""",IFERROR(TEXTJOIN("", "",TRUE,UNIQUE(FILTER(Candidates!$B$2:$B$2000,Candidates!$A$2:$A$2000=$A1797))),""""))"),"")</f>
        <v/>
      </c>
      <c r="U1797" s="66" t="str">
        <f>IF($A1797="","",COUNTIF(Candidates!$A$2:$A$2000,$A1797))</f>
        <v/>
      </c>
      <c r="V1797" s="64" t="str">
        <f>IFERROR(__xludf.DUMMYFUNCTION("IF($A1797="""","""",IFERROR(INDEX(FILTER(Candidates!$S$2:$S$2000,Candidates!$A$2:$A$2000=$A1797),COUNTIF(Candidates!$A$2:$A$2000,$A1797)),""""))"),"")</f>
        <v/>
      </c>
      <c r="W1797" s="64" t="str">
        <f>IFERROR(__xludf.DUMMYFUNCTION("IF($A1797="""","""",IFERROR(INDEX(FILTER(Candidates!$T$2:$T$2000,Candidates!$A$2:$A$2000=$A1797),COUNTIF(Candidates!$A$2:$A$2000,$A1797)),""""))"),"")</f>
        <v/>
      </c>
      <c r="X1797" s="64"/>
      <c r="Y1797" s="64"/>
      <c r="Z1797" s="65"/>
      <c r="AA1797" s="65"/>
      <c r="AB1797" s="65"/>
      <c r="AC1797" s="65"/>
    </row>
    <row r="1798">
      <c r="A1798" s="64"/>
      <c r="B1798" s="64"/>
      <c r="C1798" s="64"/>
      <c r="D1798" s="64"/>
      <c r="E1798" s="64"/>
      <c r="F1798" s="64"/>
      <c r="G1798" s="64"/>
      <c r="H1798" s="63"/>
      <c r="I1798" s="64"/>
      <c r="J1798" s="64"/>
      <c r="K1798" s="64"/>
      <c r="L1798" s="64"/>
      <c r="M1798" s="64"/>
      <c r="N1798" s="64"/>
      <c r="O1798" s="64"/>
      <c r="P1798" s="64"/>
      <c r="Q1798" s="64"/>
      <c r="R1798" s="65" t="str">
        <f>IF($A1798="","",IFERROR(MINIFS(Candidates!$K$2:$K$2000,Candidates!$A$2:$A$2000,$A1798),""))</f>
        <v/>
      </c>
      <c r="S1798" s="65" t="str">
        <f>IF($A1798="","",IFERROR(MAXIFS(Candidates!$AA$2:$AA$2000,Candidates!$A$2:$A$2000,$A1798),""))</f>
        <v/>
      </c>
      <c r="T1798" s="64" t="str">
        <f>IFERROR(__xludf.DUMMYFUNCTION("IF($A1798="""","""",IFERROR(TEXTJOIN("", "",TRUE,UNIQUE(FILTER(Candidates!$B$2:$B$2000,Candidates!$A$2:$A$2000=$A1798))),""""))"),"")</f>
        <v/>
      </c>
      <c r="U1798" s="66" t="str">
        <f>IF($A1798="","",COUNTIF(Candidates!$A$2:$A$2000,$A1798))</f>
        <v/>
      </c>
      <c r="V1798" s="64" t="str">
        <f>IFERROR(__xludf.DUMMYFUNCTION("IF($A1798="""","""",IFERROR(INDEX(FILTER(Candidates!$S$2:$S$2000,Candidates!$A$2:$A$2000=$A1798),COUNTIF(Candidates!$A$2:$A$2000,$A1798)),""""))"),"")</f>
        <v/>
      </c>
      <c r="W1798" s="64" t="str">
        <f>IFERROR(__xludf.DUMMYFUNCTION("IF($A1798="""","""",IFERROR(INDEX(FILTER(Candidates!$T$2:$T$2000,Candidates!$A$2:$A$2000=$A1798),COUNTIF(Candidates!$A$2:$A$2000,$A1798)),""""))"),"")</f>
        <v/>
      </c>
      <c r="X1798" s="64"/>
      <c r="Y1798" s="64"/>
      <c r="Z1798" s="65"/>
      <c r="AA1798" s="65"/>
      <c r="AB1798" s="65"/>
      <c r="AC1798" s="65"/>
    </row>
    <row r="1799">
      <c r="A1799" s="64"/>
      <c r="B1799" s="64"/>
      <c r="C1799" s="64"/>
      <c r="D1799" s="64"/>
      <c r="E1799" s="64"/>
      <c r="F1799" s="64"/>
      <c r="G1799" s="64"/>
      <c r="H1799" s="63"/>
      <c r="I1799" s="64"/>
      <c r="J1799" s="64"/>
      <c r="K1799" s="64"/>
      <c r="L1799" s="64"/>
      <c r="M1799" s="64"/>
      <c r="N1799" s="64"/>
      <c r="O1799" s="64"/>
      <c r="P1799" s="64"/>
      <c r="Q1799" s="64"/>
      <c r="R1799" s="65" t="str">
        <f>IF($A1799="","",IFERROR(MINIFS(Candidates!$K$2:$K$2000,Candidates!$A$2:$A$2000,$A1799),""))</f>
        <v/>
      </c>
      <c r="S1799" s="65" t="str">
        <f>IF($A1799="","",IFERROR(MAXIFS(Candidates!$AA$2:$AA$2000,Candidates!$A$2:$A$2000,$A1799),""))</f>
        <v/>
      </c>
      <c r="T1799" s="64" t="str">
        <f>IFERROR(__xludf.DUMMYFUNCTION("IF($A1799="""","""",IFERROR(TEXTJOIN("", "",TRUE,UNIQUE(FILTER(Candidates!$B$2:$B$2000,Candidates!$A$2:$A$2000=$A1799))),""""))"),"")</f>
        <v/>
      </c>
      <c r="U1799" s="66" t="str">
        <f>IF($A1799="","",COUNTIF(Candidates!$A$2:$A$2000,$A1799))</f>
        <v/>
      </c>
      <c r="V1799" s="64" t="str">
        <f>IFERROR(__xludf.DUMMYFUNCTION("IF($A1799="""","""",IFERROR(INDEX(FILTER(Candidates!$S$2:$S$2000,Candidates!$A$2:$A$2000=$A1799),COUNTIF(Candidates!$A$2:$A$2000,$A1799)),""""))"),"")</f>
        <v/>
      </c>
      <c r="W1799" s="64" t="str">
        <f>IFERROR(__xludf.DUMMYFUNCTION("IF($A1799="""","""",IFERROR(INDEX(FILTER(Candidates!$T$2:$T$2000,Candidates!$A$2:$A$2000=$A1799),COUNTIF(Candidates!$A$2:$A$2000,$A1799)),""""))"),"")</f>
        <v/>
      </c>
      <c r="X1799" s="64"/>
      <c r="Y1799" s="64"/>
      <c r="Z1799" s="65"/>
      <c r="AA1799" s="65"/>
      <c r="AB1799" s="65"/>
      <c r="AC1799" s="65"/>
    </row>
    <row r="1800">
      <c r="A1800" s="64"/>
      <c r="B1800" s="64"/>
      <c r="C1800" s="64"/>
      <c r="D1800" s="64"/>
      <c r="E1800" s="64"/>
      <c r="F1800" s="64"/>
      <c r="G1800" s="64"/>
      <c r="H1800" s="63"/>
      <c r="I1800" s="64"/>
      <c r="J1800" s="64"/>
      <c r="K1800" s="64"/>
      <c r="L1800" s="64"/>
      <c r="M1800" s="64"/>
      <c r="N1800" s="64"/>
      <c r="O1800" s="64"/>
      <c r="P1800" s="64"/>
      <c r="Q1800" s="64"/>
      <c r="R1800" s="65" t="str">
        <f>IF($A1800="","",IFERROR(MINIFS(Candidates!$K$2:$K$2000,Candidates!$A$2:$A$2000,$A1800),""))</f>
        <v/>
      </c>
      <c r="S1800" s="65" t="str">
        <f>IF($A1800="","",IFERROR(MAXIFS(Candidates!$AA$2:$AA$2000,Candidates!$A$2:$A$2000,$A1800),""))</f>
        <v/>
      </c>
      <c r="T1800" s="64" t="str">
        <f>IFERROR(__xludf.DUMMYFUNCTION("IF($A1800="""","""",IFERROR(TEXTJOIN("", "",TRUE,UNIQUE(FILTER(Candidates!$B$2:$B$2000,Candidates!$A$2:$A$2000=$A1800))),""""))"),"")</f>
        <v/>
      </c>
      <c r="U1800" s="66" t="str">
        <f>IF($A1800="","",COUNTIF(Candidates!$A$2:$A$2000,$A1800))</f>
        <v/>
      </c>
      <c r="V1800" s="64" t="str">
        <f>IFERROR(__xludf.DUMMYFUNCTION("IF($A1800="""","""",IFERROR(INDEX(FILTER(Candidates!$S$2:$S$2000,Candidates!$A$2:$A$2000=$A1800),COUNTIF(Candidates!$A$2:$A$2000,$A1800)),""""))"),"")</f>
        <v/>
      </c>
      <c r="W1800" s="64" t="str">
        <f>IFERROR(__xludf.DUMMYFUNCTION("IF($A1800="""","""",IFERROR(INDEX(FILTER(Candidates!$T$2:$T$2000,Candidates!$A$2:$A$2000=$A1800),COUNTIF(Candidates!$A$2:$A$2000,$A1800)),""""))"),"")</f>
        <v/>
      </c>
      <c r="X1800" s="64"/>
      <c r="Y1800" s="64"/>
      <c r="Z1800" s="65"/>
      <c r="AA1800" s="65"/>
      <c r="AB1800" s="65"/>
      <c r="AC1800" s="65"/>
    </row>
    <row r="1801">
      <c r="A1801" s="64"/>
      <c r="B1801" s="64"/>
      <c r="C1801" s="64"/>
      <c r="D1801" s="64"/>
      <c r="E1801" s="64"/>
      <c r="F1801" s="64"/>
      <c r="G1801" s="64"/>
      <c r="H1801" s="63"/>
      <c r="I1801" s="64"/>
      <c r="J1801" s="64"/>
      <c r="K1801" s="64"/>
      <c r="L1801" s="64"/>
      <c r="M1801" s="64"/>
      <c r="N1801" s="64"/>
      <c r="O1801" s="64"/>
      <c r="P1801" s="64"/>
      <c r="Q1801" s="64"/>
      <c r="R1801" s="65" t="str">
        <f>IF($A1801="","",IFERROR(MINIFS(Candidates!$K$2:$K$2000,Candidates!$A$2:$A$2000,$A1801),""))</f>
        <v/>
      </c>
      <c r="S1801" s="65" t="str">
        <f>IF($A1801="","",IFERROR(MAXIFS(Candidates!$AA$2:$AA$2000,Candidates!$A$2:$A$2000,$A1801),""))</f>
        <v/>
      </c>
      <c r="T1801" s="64" t="str">
        <f>IFERROR(__xludf.DUMMYFUNCTION("IF($A1801="""","""",IFERROR(TEXTJOIN("", "",TRUE,UNIQUE(FILTER(Candidates!$B$2:$B$2000,Candidates!$A$2:$A$2000=$A1801))),""""))"),"")</f>
        <v/>
      </c>
      <c r="U1801" s="66" t="str">
        <f>IF($A1801="","",COUNTIF(Candidates!$A$2:$A$2000,$A1801))</f>
        <v/>
      </c>
      <c r="V1801" s="64" t="str">
        <f>IFERROR(__xludf.DUMMYFUNCTION("IF($A1801="""","""",IFERROR(INDEX(FILTER(Candidates!$S$2:$S$2000,Candidates!$A$2:$A$2000=$A1801),COUNTIF(Candidates!$A$2:$A$2000,$A1801)),""""))"),"")</f>
        <v/>
      </c>
      <c r="W1801" s="64" t="str">
        <f>IFERROR(__xludf.DUMMYFUNCTION("IF($A1801="""","""",IFERROR(INDEX(FILTER(Candidates!$T$2:$T$2000,Candidates!$A$2:$A$2000=$A1801),COUNTIF(Candidates!$A$2:$A$2000,$A1801)),""""))"),"")</f>
        <v/>
      </c>
      <c r="X1801" s="64"/>
      <c r="Y1801" s="64"/>
      <c r="Z1801" s="65"/>
      <c r="AA1801" s="65"/>
      <c r="AB1801" s="65"/>
      <c r="AC1801" s="65"/>
    </row>
    <row r="1802">
      <c r="A1802" s="64"/>
      <c r="B1802" s="64"/>
      <c r="C1802" s="64"/>
      <c r="D1802" s="64"/>
      <c r="E1802" s="64"/>
      <c r="F1802" s="64"/>
      <c r="G1802" s="64"/>
      <c r="H1802" s="63"/>
      <c r="I1802" s="64"/>
      <c r="J1802" s="64"/>
      <c r="K1802" s="64"/>
      <c r="L1802" s="64"/>
      <c r="M1802" s="64"/>
      <c r="N1802" s="64"/>
      <c r="O1802" s="64"/>
      <c r="P1802" s="64"/>
      <c r="Q1802" s="64"/>
      <c r="R1802" s="65" t="str">
        <f>IF($A1802="","",IFERROR(MINIFS(Candidates!$K$2:$K$2000,Candidates!$A$2:$A$2000,$A1802),""))</f>
        <v/>
      </c>
      <c r="S1802" s="65" t="str">
        <f>IF($A1802="","",IFERROR(MAXIFS(Candidates!$AA$2:$AA$2000,Candidates!$A$2:$A$2000,$A1802),""))</f>
        <v/>
      </c>
      <c r="T1802" s="64" t="str">
        <f>IFERROR(__xludf.DUMMYFUNCTION("IF($A1802="""","""",IFERROR(TEXTJOIN("", "",TRUE,UNIQUE(FILTER(Candidates!$B$2:$B$2000,Candidates!$A$2:$A$2000=$A1802))),""""))"),"")</f>
        <v/>
      </c>
      <c r="U1802" s="66" t="str">
        <f>IF($A1802="","",COUNTIF(Candidates!$A$2:$A$2000,$A1802))</f>
        <v/>
      </c>
      <c r="V1802" s="64" t="str">
        <f>IFERROR(__xludf.DUMMYFUNCTION("IF($A1802="""","""",IFERROR(INDEX(FILTER(Candidates!$S$2:$S$2000,Candidates!$A$2:$A$2000=$A1802),COUNTIF(Candidates!$A$2:$A$2000,$A1802)),""""))"),"")</f>
        <v/>
      </c>
      <c r="W1802" s="64" t="str">
        <f>IFERROR(__xludf.DUMMYFUNCTION("IF($A1802="""","""",IFERROR(INDEX(FILTER(Candidates!$T$2:$T$2000,Candidates!$A$2:$A$2000=$A1802),COUNTIF(Candidates!$A$2:$A$2000,$A1802)),""""))"),"")</f>
        <v/>
      </c>
      <c r="X1802" s="64"/>
      <c r="Y1802" s="64"/>
      <c r="Z1802" s="65"/>
      <c r="AA1802" s="65"/>
      <c r="AB1802" s="65"/>
      <c r="AC1802" s="65"/>
    </row>
    <row r="1803">
      <c r="A1803" s="64"/>
      <c r="B1803" s="64"/>
      <c r="C1803" s="64"/>
      <c r="D1803" s="64"/>
      <c r="E1803" s="64"/>
      <c r="F1803" s="64"/>
      <c r="G1803" s="64"/>
      <c r="H1803" s="63"/>
      <c r="I1803" s="64"/>
      <c r="J1803" s="64"/>
      <c r="K1803" s="64"/>
      <c r="L1803" s="64"/>
      <c r="M1803" s="64"/>
      <c r="N1803" s="64"/>
      <c r="O1803" s="64"/>
      <c r="P1803" s="64"/>
      <c r="Q1803" s="64"/>
      <c r="R1803" s="65" t="str">
        <f>IF($A1803="","",IFERROR(MINIFS(Candidates!$K$2:$K$2000,Candidates!$A$2:$A$2000,$A1803),""))</f>
        <v/>
      </c>
      <c r="S1803" s="65" t="str">
        <f>IF($A1803="","",IFERROR(MAXIFS(Candidates!$AA$2:$AA$2000,Candidates!$A$2:$A$2000,$A1803),""))</f>
        <v/>
      </c>
      <c r="T1803" s="64" t="str">
        <f>IFERROR(__xludf.DUMMYFUNCTION("IF($A1803="""","""",IFERROR(TEXTJOIN("", "",TRUE,UNIQUE(FILTER(Candidates!$B$2:$B$2000,Candidates!$A$2:$A$2000=$A1803))),""""))"),"")</f>
        <v/>
      </c>
      <c r="U1803" s="66" t="str">
        <f>IF($A1803="","",COUNTIF(Candidates!$A$2:$A$2000,$A1803))</f>
        <v/>
      </c>
      <c r="V1803" s="64" t="str">
        <f>IFERROR(__xludf.DUMMYFUNCTION("IF($A1803="""","""",IFERROR(INDEX(FILTER(Candidates!$S$2:$S$2000,Candidates!$A$2:$A$2000=$A1803),COUNTIF(Candidates!$A$2:$A$2000,$A1803)),""""))"),"")</f>
        <v/>
      </c>
      <c r="W1803" s="64" t="str">
        <f>IFERROR(__xludf.DUMMYFUNCTION("IF($A1803="""","""",IFERROR(INDEX(FILTER(Candidates!$T$2:$T$2000,Candidates!$A$2:$A$2000=$A1803),COUNTIF(Candidates!$A$2:$A$2000,$A1803)),""""))"),"")</f>
        <v/>
      </c>
      <c r="X1803" s="64"/>
      <c r="Y1803" s="64"/>
      <c r="Z1803" s="65"/>
      <c r="AA1803" s="65"/>
      <c r="AB1803" s="65"/>
      <c r="AC1803" s="65"/>
    </row>
    <row r="1804">
      <c r="A1804" s="64"/>
      <c r="B1804" s="64"/>
      <c r="C1804" s="64"/>
      <c r="D1804" s="64"/>
      <c r="E1804" s="64"/>
      <c r="F1804" s="64"/>
      <c r="G1804" s="64"/>
      <c r="H1804" s="63"/>
      <c r="I1804" s="64"/>
      <c r="J1804" s="64"/>
      <c r="K1804" s="64"/>
      <c r="L1804" s="64"/>
      <c r="M1804" s="64"/>
      <c r="N1804" s="64"/>
      <c r="O1804" s="64"/>
      <c r="P1804" s="64"/>
      <c r="Q1804" s="64"/>
      <c r="R1804" s="65" t="str">
        <f>IF($A1804="","",IFERROR(MINIFS(Candidates!$K$2:$K$2000,Candidates!$A$2:$A$2000,$A1804),""))</f>
        <v/>
      </c>
      <c r="S1804" s="65" t="str">
        <f>IF($A1804="","",IFERROR(MAXIFS(Candidates!$AA$2:$AA$2000,Candidates!$A$2:$A$2000,$A1804),""))</f>
        <v/>
      </c>
      <c r="T1804" s="64" t="str">
        <f>IFERROR(__xludf.DUMMYFUNCTION("IF($A1804="""","""",IFERROR(TEXTJOIN("", "",TRUE,UNIQUE(FILTER(Candidates!$B$2:$B$2000,Candidates!$A$2:$A$2000=$A1804))),""""))"),"")</f>
        <v/>
      </c>
      <c r="U1804" s="66" t="str">
        <f>IF($A1804="","",COUNTIF(Candidates!$A$2:$A$2000,$A1804))</f>
        <v/>
      </c>
      <c r="V1804" s="64" t="str">
        <f>IFERROR(__xludf.DUMMYFUNCTION("IF($A1804="""","""",IFERROR(INDEX(FILTER(Candidates!$S$2:$S$2000,Candidates!$A$2:$A$2000=$A1804),COUNTIF(Candidates!$A$2:$A$2000,$A1804)),""""))"),"")</f>
        <v/>
      </c>
      <c r="W1804" s="64" t="str">
        <f>IFERROR(__xludf.DUMMYFUNCTION("IF($A1804="""","""",IFERROR(INDEX(FILTER(Candidates!$T$2:$T$2000,Candidates!$A$2:$A$2000=$A1804),COUNTIF(Candidates!$A$2:$A$2000,$A1804)),""""))"),"")</f>
        <v/>
      </c>
      <c r="X1804" s="64"/>
      <c r="Y1804" s="64"/>
      <c r="Z1804" s="65"/>
      <c r="AA1804" s="65"/>
      <c r="AB1804" s="65"/>
      <c r="AC1804" s="65"/>
    </row>
    <row r="1805">
      <c r="A1805" s="64"/>
      <c r="B1805" s="64"/>
      <c r="C1805" s="64"/>
      <c r="D1805" s="64"/>
      <c r="E1805" s="64"/>
      <c r="F1805" s="64"/>
      <c r="G1805" s="64"/>
      <c r="H1805" s="63"/>
      <c r="I1805" s="64"/>
      <c r="J1805" s="64"/>
      <c r="K1805" s="64"/>
      <c r="L1805" s="64"/>
      <c r="M1805" s="64"/>
      <c r="N1805" s="64"/>
      <c r="O1805" s="64"/>
      <c r="P1805" s="64"/>
      <c r="Q1805" s="64"/>
      <c r="R1805" s="65" t="str">
        <f>IF($A1805="","",IFERROR(MINIFS(Candidates!$K$2:$K$2000,Candidates!$A$2:$A$2000,$A1805),""))</f>
        <v/>
      </c>
      <c r="S1805" s="65" t="str">
        <f>IF($A1805="","",IFERROR(MAXIFS(Candidates!$AA$2:$AA$2000,Candidates!$A$2:$A$2000,$A1805),""))</f>
        <v/>
      </c>
      <c r="T1805" s="64" t="str">
        <f>IFERROR(__xludf.DUMMYFUNCTION("IF($A1805="""","""",IFERROR(TEXTJOIN("", "",TRUE,UNIQUE(FILTER(Candidates!$B$2:$B$2000,Candidates!$A$2:$A$2000=$A1805))),""""))"),"")</f>
        <v/>
      </c>
      <c r="U1805" s="66" t="str">
        <f>IF($A1805="","",COUNTIF(Candidates!$A$2:$A$2000,$A1805))</f>
        <v/>
      </c>
      <c r="V1805" s="64" t="str">
        <f>IFERROR(__xludf.DUMMYFUNCTION("IF($A1805="""","""",IFERROR(INDEX(FILTER(Candidates!$S$2:$S$2000,Candidates!$A$2:$A$2000=$A1805),COUNTIF(Candidates!$A$2:$A$2000,$A1805)),""""))"),"")</f>
        <v/>
      </c>
      <c r="W1805" s="64" t="str">
        <f>IFERROR(__xludf.DUMMYFUNCTION("IF($A1805="""","""",IFERROR(INDEX(FILTER(Candidates!$T$2:$T$2000,Candidates!$A$2:$A$2000=$A1805),COUNTIF(Candidates!$A$2:$A$2000,$A1805)),""""))"),"")</f>
        <v/>
      </c>
      <c r="X1805" s="64"/>
      <c r="Y1805" s="64"/>
      <c r="Z1805" s="65"/>
      <c r="AA1805" s="65"/>
      <c r="AB1805" s="65"/>
      <c r="AC1805" s="65"/>
    </row>
    <row r="1806">
      <c r="A1806" s="64"/>
      <c r="B1806" s="64"/>
      <c r="C1806" s="64"/>
      <c r="D1806" s="64"/>
      <c r="E1806" s="64"/>
      <c r="F1806" s="64"/>
      <c r="G1806" s="64"/>
      <c r="H1806" s="63"/>
      <c r="I1806" s="64"/>
      <c r="J1806" s="64"/>
      <c r="K1806" s="64"/>
      <c r="L1806" s="64"/>
      <c r="M1806" s="64"/>
      <c r="N1806" s="64"/>
      <c r="O1806" s="64"/>
      <c r="P1806" s="64"/>
      <c r="Q1806" s="64"/>
      <c r="R1806" s="65" t="str">
        <f>IF($A1806="","",IFERROR(MINIFS(Candidates!$K$2:$K$2000,Candidates!$A$2:$A$2000,$A1806),""))</f>
        <v/>
      </c>
      <c r="S1806" s="65" t="str">
        <f>IF($A1806="","",IFERROR(MAXIFS(Candidates!$AA$2:$AA$2000,Candidates!$A$2:$A$2000,$A1806),""))</f>
        <v/>
      </c>
      <c r="T1806" s="64" t="str">
        <f>IFERROR(__xludf.DUMMYFUNCTION("IF($A1806="""","""",IFERROR(TEXTJOIN("", "",TRUE,UNIQUE(FILTER(Candidates!$B$2:$B$2000,Candidates!$A$2:$A$2000=$A1806))),""""))"),"")</f>
        <v/>
      </c>
      <c r="U1806" s="66" t="str">
        <f>IF($A1806="","",COUNTIF(Candidates!$A$2:$A$2000,$A1806))</f>
        <v/>
      </c>
      <c r="V1806" s="64" t="str">
        <f>IFERROR(__xludf.DUMMYFUNCTION("IF($A1806="""","""",IFERROR(INDEX(FILTER(Candidates!$S$2:$S$2000,Candidates!$A$2:$A$2000=$A1806),COUNTIF(Candidates!$A$2:$A$2000,$A1806)),""""))"),"")</f>
        <v/>
      </c>
      <c r="W1806" s="64" t="str">
        <f>IFERROR(__xludf.DUMMYFUNCTION("IF($A1806="""","""",IFERROR(INDEX(FILTER(Candidates!$T$2:$T$2000,Candidates!$A$2:$A$2000=$A1806),COUNTIF(Candidates!$A$2:$A$2000,$A1806)),""""))"),"")</f>
        <v/>
      </c>
      <c r="X1806" s="64"/>
      <c r="Y1806" s="64"/>
      <c r="Z1806" s="65"/>
      <c r="AA1806" s="65"/>
      <c r="AB1806" s="65"/>
      <c r="AC1806" s="65"/>
    </row>
    <row r="1807">
      <c r="A1807" s="64"/>
      <c r="B1807" s="64"/>
      <c r="C1807" s="64"/>
      <c r="D1807" s="64"/>
      <c r="E1807" s="64"/>
      <c r="F1807" s="64"/>
      <c r="G1807" s="64"/>
      <c r="H1807" s="63"/>
      <c r="I1807" s="64"/>
      <c r="J1807" s="64"/>
      <c r="K1807" s="64"/>
      <c r="L1807" s="64"/>
      <c r="M1807" s="64"/>
      <c r="N1807" s="64"/>
      <c r="O1807" s="64"/>
      <c r="P1807" s="64"/>
      <c r="Q1807" s="64"/>
      <c r="R1807" s="65" t="str">
        <f>IF($A1807="","",IFERROR(MINIFS(Candidates!$K$2:$K$2000,Candidates!$A$2:$A$2000,$A1807),""))</f>
        <v/>
      </c>
      <c r="S1807" s="65" t="str">
        <f>IF($A1807="","",IFERROR(MAXIFS(Candidates!$AA$2:$AA$2000,Candidates!$A$2:$A$2000,$A1807),""))</f>
        <v/>
      </c>
      <c r="T1807" s="64" t="str">
        <f>IFERROR(__xludf.DUMMYFUNCTION("IF($A1807="""","""",IFERROR(TEXTJOIN("", "",TRUE,UNIQUE(FILTER(Candidates!$B$2:$B$2000,Candidates!$A$2:$A$2000=$A1807))),""""))"),"")</f>
        <v/>
      </c>
      <c r="U1807" s="66" t="str">
        <f>IF($A1807="","",COUNTIF(Candidates!$A$2:$A$2000,$A1807))</f>
        <v/>
      </c>
      <c r="V1807" s="64" t="str">
        <f>IFERROR(__xludf.DUMMYFUNCTION("IF($A1807="""","""",IFERROR(INDEX(FILTER(Candidates!$S$2:$S$2000,Candidates!$A$2:$A$2000=$A1807),COUNTIF(Candidates!$A$2:$A$2000,$A1807)),""""))"),"")</f>
        <v/>
      </c>
      <c r="W1807" s="64" t="str">
        <f>IFERROR(__xludf.DUMMYFUNCTION("IF($A1807="""","""",IFERROR(INDEX(FILTER(Candidates!$T$2:$T$2000,Candidates!$A$2:$A$2000=$A1807),COUNTIF(Candidates!$A$2:$A$2000,$A1807)),""""))"),"")</f>
        <v/>
      </c>
      <c r="X1807" s="64"/>
      <c r="Y1807" s="64"/>
      <c r="Z1807" s="65"/>
      <c r="AA1807" s="65"/>
      <c r="AB1807" s="65"/>
      <c r="AC1807" s="65"/>
    </row>
    <row r="1808">
      <c r="A1808" s="64"/>
      <c r="B1808" s="64"/>
      <c r="C1808" s="64"/>
      <c r="D1808" s="64"/>
      <c r="E1808" s="64"/>
      <c r="F1808" s="64"/>
      <c r="G1808" s="64"/>
      <c r="H1808" s="63"/>
      <c r="I1808" s="64"/>
      <c r="J1808" s="64"/>
      <c r="K1808" s="64"/>
      <c r="L1808" s="64"/>
      <c r="M1808" s="64"/>
      <c r="N1808" s="64"/>
      <c r="O1808" s="64"/>
      <c r="P1808" s="64"/>
      <c r="Q1808" s="64"/>
      <c r="R1808" s="65" t="str">
        <f>IF($A1808="","",IFERROR(MINIFS(Candidates!$K$2:$K$2000,Candidates!$A$2:$A$2000,$A1808),""))</f>
        <v/>
      </c>
      <c r="S1808" s="65" t="str">
        <f>IF($A1808="","",IFERROR(MAXIFS(Candidates!$AA$2:$AA$2000,Candidates!$A$2:$A$2000,$A1808),""))</f>
        <v/>
      </c>
      <c r="T1808" s="64" t="str">
        <f>IFERROR(__xludf.DUMMYFUNCTION("IF($A1808="""","""",IFERROR(TEXTJOIN("", "",TRUE,UNIQUE(FILTER(Candidates!$B$2:$B$2000,Candidates!$A$2:$A$2000=$A1808))),""""))"),"")</f>
        <v/>
      </c>
      <c r="U1808" s="66" t="str">
        <f>IF($A1808="","",COUNTIF(Candidates!$A$2:$A$2000,$A1808))</f>
        <v/>
      </c>
      <c r="V1808" s="64" t="str">
        <f>IFERROR(__xludf.DUMMYFUNCTION("IF($A1808="""","""",IFERROR(INDEX(FILTER(Candidates!$S$2:$S$2000,Candidates!$A$2:$A$2000=$A1808),COUNTIF(Candidates!$A$2:$A$2000,$A1808)),""""))"),"")</f>
        <v/>
      </c>
      <c r="W1808" s="64" t="str">
        <f>IFERROR(__xludf.DUMMYFUNCTION("IF($A1808="""","""",IFERROR(INDEX(FILTER(Candidates!$T$2:$T$2000,Candidates!$A$2:$A$2000=$A1808),COUNTIF(Candidates!$A$2:$A$2000,$A1808)),""""))"),"")</f>
        <v/>
      </c>
      <c r="X1808" s="64"/>
      <c r="Y1808" s="64"/>
      <c r="Z1808" s="65"/>
      <c r="AA1808" s="65"/>
      <c r="AB1808" s="65"/>
      <c r="AC1808" s="65"/>
    </row>
    <row r="1809">
      <c r="A1809" s="64"/>
      <c r="B1809" s="64"/>
      <c r="C1809" s="64"/>
      <c r="D1809" s="64"/>
      <c r="E1809" s="64"/>
      <c r="F1809" s="64"/>
      <c r="G1809" s="64"/>
      <c r="H1809" s="63"/>
      <c r="I1809" s="64"/>
      <c r="J1809" s="64"/>
      <c r="K1809" s="64"/>
      <c r="L1809" s="64"/>
      <c r="M1809" s="64"/>
      <c r="N1809" s="64"/>
      <c r="O1809" s="64"/>
      <c r="P1809" s="64"/>
      <c r="Q1809" s="64"/>
      <c r="R1809" s="65" t="str">
        <f>IF($A1809="","",IFERROR(MINIFS(Candidates!$K$2:$K$2000,Candidates!$A$2:$A$2000,$A1809),""))</f>
        <v/>
      </c>
      <c r="S1809" s="65" t="str">
        <f>IF($A1809="","",IFERROR(MAXIFS(Candidates!$AA$2:$AA$2000,Candidates!$A$2:$A$2000,$A1809),""))</f>
        <v/>
      </c>
      <c r="T1809" s="64" t="str">
        <f>IFERROR(__xludf.DUMMYFUNCTION("IF($A1809="""","""",IFERROR(TEXTJOIN("", "",TRUE,UNIQUE(FILTER(Candidates!$B$2:$B$2000,Candidates!$A$2:$A$2000=$A1809))),""""))"),"")</f>
        <v/>
      </c>
      <c r="U1809" s="66" t="str">
        <f>IF($A1809="","",COUNTIF(Candidates!$A$2:$A$2000,$A1809))</f>
        <v/>
      </c>
      <c r="V1809" s="64" t="str">
        <f>IFERROR(__xludf.DUMMYFUNCTION("IF($A1809="""","""",IFERROR(INDEX(FILTER(Candidates!$S$2:$S$2000,Candidates!$A$2:$A$2000=$A1809),COUNTIF(Candidates!$A$2:$A$2000,$A1809)),""""))"),"")</f>
        <v/>
      </c>
      <c r="W1809" s="64" t="str">
        <f>IFERROR(__xludf.DUMMYFUNCTION("IF($A1809="""","""",IFERROR(INDEX(FILTER(Candidates!$T$2:$T$2000,Candidates!$A$2:$A$2000=$A1809),COUNTIF(Candidates!$A$2:$A$2000,$A1809)),""""))"),"")</f>
        <v/>
      </c>
      <c r="X1809" s="64"/>
      <c r="Y1809" s="64"/>
      <c r="Z1809" s="65"/>
      <c r="AA1809" s="65"/>
      <c r="AB1809" s="65"/>
      <c r="AC1809" s="65"/>
    </row>
    <row r="1810">
      <c r="A1810" s="64"/>
      <c r="B1810" s="64"/>
      <c r="C1810" s="64"/>
      <c r="D1810" s="64"/>
      <c r="E1810" s="64"/>
      <c r="F1810" s="64"/>
      <c r="G1810" s="64"/>
      <c r="H1810" s="63"/>
      <c r="I1810" s="64"/>
      <c r="J1810" s="64"/>
      <c r="K1810" s="64"/>
      <c r="L1810" s="64"/>
      <c r="M1810" s="64"/>
      <c r="N1810" s="64"/>
      <c r="O1810" s="64"/>
      <c r="P1810" s="64"/>
      <c r="Q1810" s="64"/>
      <c r="R1810" s="65" t="str">
        <f>IF($A1810="","",IFERROR(MINIFS(Candidates!$K$2:$K$2000,Candidates!$A$2:$A$2000,$A1810),""))</f>
        <v/>
      </c>
      <c r="S1810" s="65" t="str">
        <f>IF($A1810="","",IFERROR(MAXIFS(Candidates!$AA$2:$AA$2000,Candidates!$A$2:$A$2000,$A1810),""))</f>
        <v/>
      </c>
      <c r="T1810" s="64" t="str">
        <f>IFERROR(__xludf.DUMMYFUNCTION("IF($A1810="""","""",IFERROR(TEXTJOIN("", "",TRUE,UNIQUE(FILTER(Candidates!$B$2:$B$2000,Candidates!$A$2:$A$2000=$A1810))),""""))"),"")</f>
        <v/>
      </c>
      <c r="U1810" s="66" t="str">
        <f>IF($A1810="","",COUNTIF(Candidates!$A$2:$A$2000,$A1810))</f>
        <v/>
      </c>
      <c r="V1810" s="64" t="str">
        <f>IFERROR(__xludf.DUMMYFUNCTION("IF($A1810="""","""",IFERROR(INDEX(FILTER(Candidates!$S$2:$S$2000,Candidates!$A$2:$A$2000=$A1810),COUNTIF(Candidates!$A$2:$A$2000,$A1810)),""""))"),"")</f>
        <v/>
      </c>
      <c r="W1810" s="64" t="str">
        <f>IFERROR(__xludf.DUMMYFUNCTION("IF($A1810="""","""",IFERROR(INDEX(FILTER(Candidates!$T$2:$T$2000,Candidates!$A$2:$A$2000=$A1810),COUNTIF(Candidates!$A$2:$A$2000,$A1810)),""""))"),"")</f>
        <v/>
      </c>
      <c r="X1810" s="64"/>
      <c r="Y1810" s="64"/>
      <c r="Z1810" s="65"/>
      <c r="AA1810" s="65"/>
      <c r="AB1810" s="65"/>
      <c r="AC1810" s="65"/>
    </row>
    <row r="1811">
      <c r="A1811" s="64"/>
      <c r="B1811" s="64"/>
      <c r="C1811" s="64"/>
      <c r="D1811" s="64"/>
      <c r="E1811" s="64"/>
      <c r="F1811" s="64"/>
      <c r="G1811" s="64"/>
      <c r="H1811" s="63"/>
      <c r="I1811" s="64"/>
      <c r="J1811" s="64"/>
      <c r="K1811" s="64"/>
      <c r="L1811" s="64"/>
      <c r="M1811" s="64"/>
      <c r="N1811" s="64"/>
      <c r="O1811" s="64"/>
      <c r="P1811" s="64"/>
      <c r="Q1811" s="64"/>
      <c r="R1811" s="65" t="str">
        <f>IF($A1811="","",IFERROR(MINIFS(Candidates!$K$2:$K$2000,Candidates!$A$2:$A$2000,$A1811),""))</f>
        <v/>
      </c>
      <c r="S1811" s="65" t="str">
        <f>IF($A1811="","",IFERROR(MAXIFS(Candidates!$AA$2:$AA$2000,Candidates!$A$2:$A$2000,$A1811),""))</f>
        <v/>
      </c>
      <c r="T1811" s="64" t="str">
        <f>IFERROR(__xludf.DUMMYFUNCTION("IF($A1811="""","""",IFERROR(TEXTJOIN("", "",TRUE,UNIQUE(FILTER(Candidates!$B$2:$B$2000,Candidates!$A$2:$A$2000=$A1811))),""""))"),"")</f>
        <v/>
      </c>
      <c r="U1811" s="66" t="str">
        <f>IF($A1811="","",COUNTIF(Candidates!$A$2:$A$2000,$A1811))</f>
        <v/>
      </c>
      <c r="V1811" s="64" t="str">
        <f>IFERROR(__xludf.DUMMYFUNCTION("IF($A1811="""","""",IFERROR(INDEX(FILTER(Candidates!$S$2:$S$2000,Candidates!$A$2:$A$2000=$A1811),COUNTIF(Candidates!$A$2:$A$2000,$A1811)),""""))"),"")</f>
        <v/>
      </c>
      <c r="W1811" s="64" t="str">
        <f>IFERROR(__xludf.DUMMYFUNCTION("IF($A1811="""","""",IFERROR(INDEX(FILTER(Candidates!$T$2:$T$2000,Candidates!$A$2:$A$2000=$A1811),COUNTIF(Candidates!$A$2:$A$2000,$A1811)),""""))"),"")</f>
        <v/>
      </c>
      <c r="X1811" s="64"/>
      <c r="Y1811" s="64"/>
      <c r="Z1811" s="65"/>
      <c r="AA1811" s="65"/>
      <c r="AB1811" s="65"/>
      <c r="AC1811" s="65"/>
    </row>
    <row r="1812">
      <c r="A1812" s="64"/>
      <c r="B1812" s="64"/>
      <c r="C1812" s="64"/>
      <c r="D1812" s="64"/>
      <c r="E1812" s="64"/>
      <c r="F1812" s="64"/>
      <c r="G1812" s="64"/>
      <c r="H1812" s="63"/>
      <c r="I1812" s="64"/>
      <c r="J1812" s="64"/>
      <c r="K1812" s="64"/>
      <c r="L1812" s="64"/>
      <c r="M1812" s="64"/>
      <c r="N1812" s="64"/>
      <c r="O1812" s="64"/>
      <c r="P1812" s="64"/>
      <c r="Q1812" s="64"/>
      <c r="R1812" s="65" t="str">
        <f>IF($A1812="","",IFERROR(MINIFS(Candidates!$K$2:$K$2000,Candidates!$A$2:$A$2000,$A1812),""))</f>
        <v/>
      </c>
      <c r="S1812" s="65" t="str">
        <f>IF($A1812="","",IFERROR(MAXIFS(Candidates!$AA$2:$AA$2000,Candidates!$A$2:$A$2000,$A1812),""))</f>
        <v/>
      </c>
      <c r="T1812" s="64" t="str">
        <f>IFERROR(__xludf.DUMMYFUNCTION("IF($A1812="""","""",IFERROR(TEXTJOIN("", "",TRUE,UNIQUE(FILTER(Candidates!$B$2:$B$2000,Candidates!$A$2:$A$2000=$A1812))),""""))"),"")</f>
        <v/>
      </c>
      <c r="U1812" s="66" t="str">
        <f>IF($A1812="","",COUNTIF(Candidates!$A$2:$A$2000,$A1812))</f>
        <v/>
      </c>
      <c r="V1812" s="64" t="str">
        <f>IFERROR(__xludf.DUMMYFUNCTION("IF($A1812="""","""",IFERROR(INDEX(FILTER(Candidates!$S$2:$S$2000,Candidates!$A$2:$A$2000=$A1812),COUNTIF(Candidates!$A$2:$A$2000,$A1812)),""""))"),"")</f>
        <v/>
      </c>
      <c r="W1812" s="64" t="str">
        <f>IFERROR(__xludf.DUMMYFUNCTION("IF($A1812="""","""",IFERROR(INDEX(FILTER(Candidates!$T$2:$T$2000,Candidates!$A$2:$A$2000=$A1812),COUNTIF(Candidates!$A$2:$A$2000,$A1812)),""""))"),"")</f>
        <v/>
      </c>
      <c r="X1812" s="64"/>
      <c r="Y1812" s="64"/>
      <c r="Z1812" s="65"/>
      <c r="AA1812" s="65"/>
      <c r="AB1812" s="65"/>
      <c r="AC1812" s="65"/>
    </row>
    <row r="1813">
      <c r="A1813" s="64"/>
      <c r="B1813" s="64"/>
      <c r="C1813" s="64"/>
      <c r="D1813" s="64"/>
      <c r="E1813" s="64"/>
      <c r="F1813" s="64"/>
      <c r="G1813" s="64"/>
      <c r="H1813" s="63"/>
      <c r="I1813" s="64"/>
      <c r="J1813" s="64"/>
      <c r="K1813" s="64"/>
      <c r="L1813" s="64"/>
      <c r="M1813" s="64"/>
      <c r="N1813" s="64"/>
      <c r="O1813" s="64"/>
      <c r="P1813" s="64"/>
      <c r="Q1813" s="64"/>
      <c r="R1813" s="65" t="str">
        <f>IF($A1813="","",IFERROR(MINIFS(Candidates!$K$2:$K$2000,Candidates!$A$2:$A$2000,$A1813),""))</f>
        <v/>
      </c>
      <c r="S1813" s="65" t="str">
        <f>IF($A1813="","",IFERROR(MAXIFS(Candidates!$AA$2:$AA$2000,Candidates!$A$2:$A$2000,$A1813),""))</f>
        <v/>
      </c>
      <c r="T1813" s="64" t="str">
        <f>IFERROR(__xludf.DUMMYFUNCTION("IF($A1813="""","""",IFERROR(TEXTJOIN("", "",TRUE,UNIQUE(FILTER(Candidates!$B$2:$B$2000,Candidates!$A$2:$A$2000=$A1813))),""""))"),"")</f>
        <v/>
      </c>
      <c r="U1813" s="66" t="str">
        <f>IF($A1813="","",COUNTIF(Candidates!$A$2:$A$2000,$A1813))</f>
        <v/>
      </c>
      <c r="V1813" s="64" t="str">
        <f>IFERROR(__xludf.DUMMYFUNCTION("IF($A1813="""","""",IFERROR(INDEX(FILTER(Candidates!$S$2:$S$2000,Candidates!$A$2:$A$2000=$A1813),COUNTIF(Candidates!$A$2:$A$2000,$A1813)),""""))"),"")</f>
        <v/>
      </c>
      <c r="W1813" s="64" t="str">
        <f>IFERROR(__xludf.DUMMYFUNCTION("IF($A1813="""","""",IFERROR(INDEX(FILTER(Candidates!$T$2:$T$2000,Candidates!$A$2:$A$2000=$A1813),COUNTIF(Candidates!$A$2:$A$2000,$A1813)),""""))"),"")</f>
        <v/>
      </c>
      <c r="X1813" s="64"/>
      <c r="Y1813" s="64"/>
      <c r="Z1813" s="65"/>
      <c r="AA1813" s="65"/>
      <c r="AB1813" s="65"/>
      <c r="AC1813" s="65"/>
    </row>
    <row r="1814">
      <c r="A1814" s="64"/>
      <c r="B1814" s="64"/>
      <c r="C1814" s="64"/>
      <c r="D1814" s="64"/>
      <c r="E1814" s="64"/>
      <c r="F1814" s="64"/>
      <c r="G1814" s="64"/>
      <c r="H1814" s="63"/>
      <c r="I1814" s="64"/>
      <c r="J1814" s="64"/>
      <c r="K1814" s="64"/>
      <c r="L1814" s="64"/>
      <c r="M1814" s="64"/>
      <c r="N1814" s="64"/>
      <c r="O1814" s="64"/>
      <c r="P1814" s="64"/>
      <c r="Q1814" s="64"/>
      <c r="R1814" s="65" t="str">
        <f>IF($A1814="","",IFERROR(MINIFS(Candidates!$K$2:$K$2000,Candidates!$A$2:$A$2000,$A1814),""))</f>
        <v/>
      </c>
      <c r="S1814" s="65" t="str">
        <f>IF($A1814="","",IFERROR(MAXIFS(Candidates!$AA$2:$AA$2000,Candidates!$A$2:$A$2000,$A1814),""))</f>
        <v/>
      </c>
      <c r="T1814" s="64" t="str">
        <f>IFERROR(__xludf.DUMMYFUNCTION("IF($A1814="""","""",IFERROR(TEXTJOIN("", "",TRUE,UNIQUE(FILTER(Candidates!$B$2:$B$2000,Candidates!$A$2:$A$2000=$A1814))),""""))"),"")</f>
        <v/>
      </c>
      <c r="U1814" s="66" t="str">
        <f>IF($A1814="","",COUNTIF(Candidates!$A$2:$A$2000,$A1814))</f>
        <v/>
      </c>
      <c r="V1814" s="64" t="str">
        <f>IFERROR(__xludf.DUMMYFUNCTION("IF($A1814="""","""",IFERROR(INDEX(FILTER(Candidates!$S$2:$S$2000,Candidates!$A$2:$A$2000=$A1814),COUNTIF(Candidates!$A$2:$A$2000,$A1814)),""""))"),"")</f>
        <v/>
      </c>
      <c r="W1814" s="64" t="str">
        <f>IFERROR(__xludf.DUMMYFUNCTION("IF($A1814="""","""",IFERROR(INDEX(FILTER(Candidates!$T$2:$T$2000,Candidates!$A$2:$A$2000=$A1814),COUNTIF(Candidates!$A$2:$A$2000,$A1814)),""""))"),"")</f>
        <v/>
      </c>
      <c r="X1814" s="64"/>
      <c r="Y1814" s="64"/>
      <c r="Z1814" s="65"/>
      <c r="AA1814" s="65"/>
      <c r="AB1814" s="65"/>
      <c r="AC1814" s="65"/>
    </row>
    <row r="1815">
      <c r="A1815" s="64"/>
      <c r="B1815" s="64"/>
      <c r="C1815" s="64"/>
      <c r="D1815" s="64"/>
      <c r="E1815" s="64"/>
      <c r="F1815" s="64"/>
      <c r="G1815" s="64"/>
      <c r="H1815" s="63"/>
      <c r="I1815" s="64"/>
      <c r="J1815" s="64"/>
      <c r="K1815" s="64"/>
      <c r="L1815" s="64"/>
      <c r="M1815" s="64"/>
      <c r="N1815" s="64"/>
      <c r="O1815" s="64"/>
      <c r="P1815" s="64"/>
      <c r="Q1815" s="64"/>
      <c r="R1815" s="65" t="str">
        <f>IF($A1815="","",IFERROR(MINIFS(Candidates!$K$2:$K$2000,Candidates!$A$2:$A$2000,$A1815),""))</f>
        <v/>
      </c>
      <c r="S1815" s="65" t="str">
        <f>IF($A1815="","",IFERROR(MAXIFS(Candidates!$AA$2:$AA$2000,Candidates!$A$2:$A$2000,$A1815),""))</f>
        <v/>
      </c>
      <c r="T1815" s="64" t="str">
        <f>IFERROR(__xludf.DUMMYFUNCTION("IF($A1815="""","""",IFERROR(TEXTJOIN("", "",TRUE,UNIQUE(FILTER(Candidates!$B$2:$B$2000,Candidates!$A$2:$A$2000=$A1815))),""""))"),"")</f>
        <v/>
      </c>
      <c r="U1815" s="66" t="str">
        <f>IF($A1815="","",COUNTIF(Candidates!$A$2:$A$2000,$A1815))</f>
        <v/>
      </c>
      <c r="V1815" s="64" t="str">
        <f>IFERROR(__xludf.DUMMYFUNCTION("IF($A1815="""","""",IFERROR(INDEX(FILTER(Candidates!$S$2:$S$2000,Candidates!$A$2:$A$2000=$A1815),COUNTIF(Candidates!$A$2:$A$2000,$A1815)),""""))"),"")</f>
        <v/>
      </c>
      <c r="W1815" s="64" t="str">
        <f>IFERROR(__xludf.DUMMYFUNCTION("IF($A1815="""","""",IFERROR(INDEX(FILTER(Candidates!$T$2:$T$2000,Candidates!$A$2:$A$2000=$A1815),COUNTIF(Candidates!$A$2:$A$2000,$A1815)),""""))"),"")</f>
        <v/>
      </c>
      <c r="X1815" s="64"/>
      <c r="Y1815" s="64"/>
      <c r="Z1815" s="65"/>
      <c r="AA1815" s="65"/>
      <c r="AB1815" s="65"/>
      <c r="AC1815" s="65"/>
    </row>
    <row r="1816">
      <c r="A1816" s="64"/>
      <c r="B1816" s="64"/>
      <c r="C1816" s="64"/>
      <c r="D1816" s="64"/>
      <c r="E1816" s="64"/>
      <c r="F1816" s="64"/>
      <c r="G1816" s="64"/>
      <c r="H1816" s="63"/>
      <c r="I1816" s="64"/>
      <c r="J1816" s="64"/>
      <c r="K1816" s="64"/>
      <c r="L1816" s="64"/>
      <c r="M1816" s="64"/>
      <c r="N1816" s="64"/>
      <c r="O1816" s="64"/>
      <c r="P1816" s="64"/>
      <c r="Q1816" s="64"/>
      <c r="R1816" s="65" t="str">
        <f>IF($A1816="","",IFERROR(MINIFS(Candidates!$K$2:$K$2000,Candidates!$A$2:$A$2000,$A1816),""))</f>
        <v/>
      </c>
      <c r="S1816" s="65" t="str">
        <f>IF($A1816="","",IFERROR(MAXIFS(Candidates!$AA$2:$AA$2000,Candidates!$A$2:$A$2000,$A1816),""))</f>
        <v/>
      </c>
      <c r="T1816" s="64" t="str">
        <f>IFERROR(__xludf.DUMMYFUNCTION("IF($A1816="""","""",IFERROR(TEXTJOIN("", "",TRUE,UNIQUE(FILTER(Candidates!$B$2:$B$2000,Candidates!$A$2:$A$2000=$A1816))),""""))"),"")</f>
        <v/>
      </c>
      <c r="U1816" s="66" t="str">
        <f>IF($A1816="","",COUNTIF(Candidates!$A$2:$A$2000,$A1816))</f>
        <v/>
      </c>
      <c r="V1816" s="64" t="str">
        <f>IFERROR(__xludf.DUMMYFUNCTION("IF($A1816="""","""",IFERROR(INDEX(FILTER(Candidates!$S$2:$S$2000,Candidates!$A$2:$A$2000=$A1816),COUNTIF(Candidates!$A$2:$A$2000,$A1816)),""""))"),"")</f>
        <v/>
      </c>
      <c r="W1816" s="64" t="str">
        <f>IFERROR(__xludf.DUMMYFUNCTION("IF($A1816="""","""",IFERROR(INDEX(FILTER(Candidates!$T$2:$T$2000,Candidates!$A$2:$A$2000=$A1816),COUNTIF(Candidates!$A$2:$A$2000,$A1816)),""""))"),"")</f>
        <v/>
      </c>
      <c r="X1816" s="64"/>
      <c r="Y1816" s="64"/>
      <c r="Z1816" s="65"/>
      <c r="AA1816" s="65"/>
      <c r="AB1816" s="65"/>
      <c r="AC1816" s="65"/>
    </row>
    <row r="1817">
      <c r="A1817" s="64"/>
      <c r="B1817" s="64"/>
      <c r="C1817" s="64"/>
      <c r="D1817" s="64"/>
      <c r="E1817" s="64"/>
      <c r="F1817" s="64"/>
      <c r="G1817" s="64"/>
      <c r="H1817" s="63"/>
      <c r="I1817" s="64"/>
      <c r="J1817" s="64"/>
      <c r="K1817" s="64"/>
      <c r="L1817" s="64"/>
      <c r="M1817" s="64"/>
      <c r="N1817" s="64"/>
      <c r="O1817" s="64"/>
      <c r="P1817" s="64"/>
      <c r="Q1817" s="64"/>
      <c r="R1817" s="65" t="str">
        <f>IF($A1817="","",IFERROR(MINIFS(Candidates!$K$2:$K$2000,Candidates!$A$2:$A$2000,$A1817),""))</f>
        <v/>
      </c>
      <c r="S1817" s="65" t="str">
        <f>IF($A1817="","",IFERROR(MAXIFS(Candidates!$AA$2:$AA$2000,Candidates!$A$2:$A$2000,$A1817),""))</f>
        <v/>
      </c>
      <c r="T1817" s="64" t="str">
        <f>IFERROR(__xludf.DUMMYFUNCTION("IF($A1817="""","""",IFERROR(TEXTJOIN("", "",TRUE,UNIQUE(FILTER(Candidates!$B$2:$B$2000,Candidates!$A$2:$A$2000=$A1817))),""""))"),"")</f>
        <v/>
      </c>
      <c r="U1817" s="66" t="str">
        <f>IF($A1817="","",COUNTIF(Candidates!$A$2:$A$2000,$A1817))</f>
        <v/>
      </c>
      <c r="V1817" s="64" t="str">
        <f>IFERROR(__xludf.DUMMYFUNCTION("IF($A1817="""","""",IFERROR(INDEX(FILTER(Candidates!$S$2:$S$2000,Candidates!$A$2:$A$2000=$A1817),COUNTIF(Candidates!$A$2:$A$2000,$A1817)),""""))"),"")</f>
        <v/>
      </c>
      <c r="W1817" s="64" t="str">
        <f>IFERROR(__xludf.DUMMYFUNCTION("IF($A1817="""","""",IFERROR(INDEX(FILTER(Candidates!$T$2:$T$2000,Candidates!$A$2:$A$2000=$A1817),COUNTIF(Candidates!$A$2:$A$2000,$A1817)),""""))"),"")</f>
        <v/>
      </c>
      <c r="X1817" s="64"/>
      <c r="Y1817" s="64"/>
      <c r="Z1817" s="65"/>
      <c r="AA1817" s="65"/>
      <c r="AB1817" s="65"/>
      <c r="AC1817" s="65"/>
    </row>
    <row r="1818">
      <c r="A1818" s="64"/>
      <c r="B1818" s="64"/>
      <c r="C1818" s="64"/>
      <c r="D1818" s="64"/>
      <c r="E1818" s="64"/>
      <c r="F1818" s="64"/>
      <c r="G1818" s="64"/>
      <c r="H1818" s="63"/>
      <c r="I1818" s="64"/>
      <c r="J1818" s="64"/>
      <c r="K1818" s="64"/>
      <c r="L1818" s="64"/>
      <c r="M1818" s="64"/>
      <c r="N1818" s="64"/>
      <c r="O1818" s="64"/>
      <c r="P1818" s="64"/>
      <c r="Q1818" s="64"/>
      <c r="R1818" s="65" t="str">
        <f>IF($A1818="","",IFERROR(MINIFS(Candidates!$K$2:$K$2000,Candidates!$A$2:$A$2000,$A1818),""))</f>
        <v/>
      </c>
      <c r="S1818" s="65" t="str">
        <f>IF($A1818="","",IFERROR(MAXIFS(Candidates!$AA$2:$AA$2000,Candidates!$A$2:$A$2000,$A1818),""))</f>
        <v/>
      </c>
      <c r="T1818" s="64" t="str">
        <f>IFERROR(__xludf.DUMMYFUNCTION("IF($A1818="""","""",IFERROR(TEXTJOIN("", "",TRUE,UNIQUE(FILTER(Candidates!$B$2:$B$2000,Candidates!$A$2:$A$2000=$A1818))),""""))"),"")</f>
        <v/>
      </c>
      <c r="U1818" s="66" t="str">
        <f>IF($A1818="","",COUNTIF(Candidates!$A$2:$A$2000,$A1818))</f>
        <v/>
      </c>
      <c r="V1818" s="64" t="str">
        <f>IFERROR(__xludf.DUMMYFUNCTION("IF($A1818="""","""",IFERROR(INDEX(FILTER(Candidates!$S$2:$S$2000,Candidates!$A$2:$A$2000=$A1818),COUNTIF(Candidates!$A$2:$A$2000,$A1818)),""""))"),"")</f>
        <v/>
      </c>
      <c r="W1818" s="64" t="str">
        <f>IFERROR(__xludf.DUMMYFUNCTION("IF($A1818="""","""",IFERROR(INDEX(FILTER(Candidates!$T$2:$T$2000,Candidates!$A$2:$A$2000=$A1818),COUNTIF(Candidates!$A$2:$A$2000,$A1818)),""""))"),"")</f>
        <v/>
      </c>
      <c r="X1818" s="64"/>
      <c r="Y1818" s="64"/>
      <c r="Z1818" s="65"/>
      <c r="AA1818" s="65"/>
      <c r="AB1818" s="65"/>
      <c r="AC1818" s="65"/>
    </row>
    <row r="1819">
      <c r="A1819" s="64"/>
      <c r="B1819" s="64"/>
      <c r="C1819" s="64"/>
      <c r="D1819" s="64"/>
      <c r="E1819" s="64"/>
      <c r="F1819" s="64"/>
      <c r="G1819" s="64"/>
      <c r="H1819" s="63"/>
      <c r="I1819" s="64"/>
      <c r="J1819" s="64"/>
      <c r="K1819" s="64"/>
      <c r="L1819" s="64"/>
      <c r="M1819" s="64"/>
      <c r="N1819" s="64"/>
      <c r="O1819" s="64"/>
      <c r="P1819" s="64"/>
      <c r="Q1819" s="64"/>
      <c r="R1819" s="65" t="str">
        <f>IF($A1819="","",IFERROR(MINIFS(Candidates!$K$2:$K$2000,Candidates!$A$2:$A$2000,$A1819),""))</f>
        <v/>
      </c>
      <c r="S1819" s="65" t="str">
        <f>IF($A1819="","",IFERROR(MAXIFS(Candidates!$AA$2:$AA$2000,Candidates!$A$2:$A$2000,$A1819),""))</f>
        <v/>
      </c>
      <c r="T1819" s="64" t="str">
        <f>IFERROR(__xludf.DUMMYFUNCTION("IF($A1819="""","""",IFERROR(TEXTJOIN("", "",TRUE,UNIQUE(FILTER(Candidates!$B$2:$B$2000,Candidates!$A$2:$A$2000=$A1819))),""""))"),"")</f>
        <v/>
      </c>
      <c r="U1819" s="66" t="str">
        <f>IF($A1819="","",COUNTIF(Candidates!$A$2:$A$2000,$A1819))</f>
        <v/>
      </c>
      <c r="V1819" s="64" t="str">
        <f>IFERROR(__xludf.DUMMYFUNCTION("IF($A1819="""","""",IFERROR(INDEX(FILTER(Candidates!$S$2:$S$2000,Candidates!$A$2:$A$2000=$A1819),COUNTIF(Candidates!$A$2:$A$2000,$A1819)),""""))"),"")</f>
        <v/>
      </c>
      <c r="W1819" s="64" t="str">
        <f>IFERROR(__xludf.DUMMYFUNCTION("IF($A1819="""","""",IFERROR(INDEX(FILTER(Candidates!$T$2:$T$2000,Candidates!$A$2:$A$2000=$A1819),COUNTIF(Candidates!$A$2:$A$2000,$A1819)),""""))"),"")</f>
        <v/>
      </c>
      <c r="X1819" s="64"/>
      <c r="Y1819" s="64"/>
      <c r="Z1819" s="65"/>
      <c r="AA1819" s="65"/>
      <c r="AB1819" s="65"/>
      <c r="AC1819" s="65"/>
    </row>
    <row r="1820">
      <c r="A1820" s="64"/>
      <c r="B1820" s="64"/>
      <c r="C1820" s="64"/>
      <c r="D1820" s="64"/>
      <c r="E1820" s="64"/>
      <c r="F1820" s="64"/>
      <c r="G1820" s="64"/>
      <c r="H1820" s="63"/>
      <c r="I1820" s="64"/>
      <c r="J1820" s="64"/>
      <c r="K1820" s="64"/>
      <c r="L1820" s="64"/>
      <c r="M1820" s="64"/>
      <c r="N1820" s="64"/>
      <c r="O1820" s="64"/>
      <c r="P1820" s="64"/>
      <c r="Q1820" s="64"/>
      <c r="R1820" s="65" t="str">
        <f>IF($A1820="","",IFERROR(MINIFS(Candidates!$K$2:$K$2000,Candidates!$A$2:$A$2000,$A1820),""))</f>
        <v/>
      </c>
      <c r="S1820" s="65" t="str">
        <f>IF($A1820="","",IFERROR(MAXIFS(Candidates!$AA$2:$AA$2000,Candidates!$A$2:$A$2000,$A1820),""))</f>
        <v/>
      </c>
      <c r="T1820" s="64" t="str">
        <f>IFERROR(__xludf.DUMMYFUNCTION("IF($A1820="""","""",IFERROR(TEXTJOIN("", "",TRUE,UNIQUE(FILTER(Candidates!$B$2:$B$2000,Candidates!$A$2:$A$2000=$A1820))),""""))"),"")</f>
        <v/>
      </c>
      <c r="U1820" s="66" t="str">
        <f>IF($A1820="","",COUNTIF(Candidates!$A$2:$A$2000,$A1820))</f>
        <v/>
      </c>
      <c r="V1820" s="64" t="str">
        <f>IFERROR(__xludf.DUMMYFUNCTION("IF($A1820="""","""",IFERROR(INDEX(FILTER(Candidates!$S$2:$S$2000,Candidates!$A$2:$A$2000=$A1820),COUNTIF(Candidates!$A$2:$A$2000,$A1820)),""""))"),"")</f>
        <v/>
      </c>
      <c r="W1820" s="64" t="str">
        <f>IFERROR(__xludf.DUMMYFUNCTION("IF($A1820="""","""",IFERROR(INDEX(FILTER(Candidates!$T$2:$T$2000,Candidates!$A$2:$A$2000=$A1820),COUNTIF(Candidates!$A$2:$A$2000,$A1820)),""""))"),"")</f>
        <v/>
      </c>
      <c r="X1820" s="64"/>
      <c r="Y1820" s="64"/>
      <c r="Z1820" s="65"/>
      <c r="AA1820" s="65"/>
      <c r="AB1820" s="65"/>
      <c r="AC1820" s="65"/>
    </row>
    <row r="1821">
      <c r="A1821" s="64"/>
      <c r="B1821" s="64"/>
      <c r="C1821" s="64"/>
      <c r="D1821" s="64"/>
      <c r="E1821" s="64"/>
      <c r="F1821" s="64"/>
      <c r="G1821" s="64"/>
      <c r="H1821" s="63"/>
      <c r="I1821" s="64"/>
      <c r="J1821" s="64"/>
      <c r="K1821" s="64"/>
      <c r="L1821" s="64"/>
      <c r="M1821" s="64"/>
      <c r="N1821" s="64"/>
      <c r="O1821" s="64"/>
      <c r="P1821" s="64"/>
      <c r="Q1821" s="64"/>
      <c r="R1821" s="65" t="str">
        <f>IF($A1821="","",IFERROR(MINIFS(Candidates!$K$2:$K$2000,Candidates!$A$2:$A$2000,$A1821),""))</f>
        <v/>
      </c>
      <c r="S1821" s="65" t="str">
        <f>IF($A1821="","",IFERROR(MAXIFS(Candidates!$AA$2:$AA$2000,Candidates!$A$2:$A$2000,$A1821),""))</f>
        <v/>
      </c>
      <c r="T1821" s="64" t="str">
        <f>IFERROR(__xludf.DUMMYFUNCTION("IF($A1821="""","""",IFERROR(TEXTJOIN("", "",TRUE,UNIQUE(FILTER(Candidates!$B$2:$B$2000,Candidates!$A$2:$A$2000=$A1821))),""""))"),"")</f>
        <v/>
      </c>
      <c r="U1821" s="66" t="str">
        <f>IF($A1821="","",COUNTIF(Candidates!$A$2:$A$2000,$A1821))</f>
        <v/>
      </c>
      <c r="V1821" s="64" t="str">
        <f>IFERROR(__xludf.DUMMYFUNCTION("IF($A1821="""","""",IFERROR(INDEX(FILTER(Candidates!$S$2:$S$2000,Candidates!$A$2:$A$2000=$A1821),COUNTIF(Candidates!$A$2:$A$2000,$A1821)),""""))"),"")</f>
        <v/>
      </c>
      <c r="W1821" s="64" t="str">
        <f>IFERROR(__xludf.DUMMYFUNCTION("IF($A1821="""","""",IFERROR(INDEX(FILTER(Candidates!$T$2:$T$2000,Candidates!$A$2:$A$2000=$A1821),COUNTIF(Candidates!$A$2:$A$2000,$A1821)),""""))"),"")</f>
        <v/>
      </c>
      <c r="X1821" s="64"/>
      <c r="Y1821" s="64"/>
      <c r="Z1821" s="65"/>
      <c r="AA1821" s="65"/>
      <c r="AB1821" s="65"/>
      <c r="AC1821" s="65"/>
    </row>
    <row r="1822">
      <c r="A1822" s="64"/>
      <c r="B1822" s="64"/>
      <c r="C1822" s="64"/>
      <c r="D1822" s="64"/>
      <c r="E1822" s="64"/>
      <c r="F1822" s="64"/>
      <c r="G1822" s="64"/>
      <c r="H1822" s="63"/>
      <c r="I1822" s="64"/>
      <c r="J1822" s="64"/>
      <c r="K1822" s="64"/>
      <c r="L1822" s="64"/>
      <c r="M1822" s="64"/>
      <c r="N1822" s="64"/>
      <c r="O1822" s="64"/>
      <c r="P1822" s="64"/>
      <c r="Q1822" s="64"/>
      <c r="R1822" s="65" t="str">
        <f>IF($A1822="","",IFERROR(MINIFS(Candidates!$K$2:$K$2000,Candidates!$A$2:$A$2000,$A1822),""))</f>
        <v/>
      </c>
      <c r="S1822" s="65" t="str">
        <f>IF($A1822="","",IFERROR(MAXIFS(Candidates!$AA$2:$AA$2000,Candidates!$A$2:$A$2000,$A1822),""))</f>
        <v/>
      </c>
      <c r="T1822" s="64" t="str">
        <f>IFERROR(__xludf.DUMMYFUNCTION("IF($A1822="""","""",IFERROR(TEXTJOIN("", "",TRUE,UNIQUE(FILTER(Candidates!$B$2:$B$2000,Candidates!$A$2:$A$2000=$A1822))),""""))"),"")</f>
        <v/>
      </c>
      <c r="U1822" s="66" t="str">
        <f>IF($A1822="","",COUNTIF(Candidates!$A$2:$A$2000,$A1822))</f>
        <v/>
      </c>
      <c r="V1822" s="64" t="str">
        <f>IFERROR(__xludf.DUMMYFUNCTION("IF($A1822="""","""",IFERROR(INDEX(FILTER(Candidates!$S$2:$S$2000,Candidates!$A$2:$A$2000=$A1822),COUNTIF(Candidates!$A$2:$A$2000,$A1822)),""""))"),"")</f>
        <v/>
      </c>
      <c r="W1822" s="64" t="str">
        <f>IFERROR(__xludf.DUMMYFUNCTION("IF($A1822="""","""",IFERROR(INDEX(FILTER(Candidates!$T$2:$T$2000,Candidates!$A$2:$A$2000=$A1822),COUNTIF(Candidates!$A$2:$A$2000,$A1822)),""""))"),"")</f>
        <v/>
      </c>
      <c r="X1822" s="64"/>
      <c r="Y1822" s="64"/>
      <c r="Z1822" s="65"/>
      <c r="AA1822" s="65"/>
      <c r="AB1822" s="65"/>
      <c r="AC1822" s="65"/>
    </row>
    <row r="1823">
      <c r="A1823" s="64"/>
      <c r="B1823" s="64"/>
      <c r="C1823" s="64"/>
      <c r="D1823" s="64"/>
      <c r="E1823" s="64"/>
      <c r="F1823" s="64"/>
      <c r="G1823" s="64"/>
      <c r="H1823" s="63"/>
      <c r="I1823" s="64"/>
      <c r="J1823" s="64"/>
      <c r="K1823" s="64"/>
      <c r="L1823" s="64"/>
      <c r="M1823" s="64"/>
      <c r="N1823" s="64"/>
      <c r="O1823" s="64"/>
      <c r="P1823" s="64"/>
      <c r="Q1823" s="64"/>
      <c r="R1823" s="65" t="str">
        <f>IF($A1823="","",IFERROR(MINIFS(Candidates!$K$2:$K$2000,Candidates!$A$2:$A$2000,$A1823),""))</f>
        <v/>
      </c>
      <c r="S1823" s="65" t="str">
        <f>IF($A1823="","",IFERROR(MAXIFS(Candidates!$AA$2:$AA$2000,Candidates!$A$2:$A$2000,$A1823),""))</f>
        <v/>
      </c>
      <c r="T1823" s="64" t="str">
        <f>IFERROR(__xludf.DUMMYFUNCTION("IF($A1823="""","""",IFERROR(TEXTJOIN("", "",TRUE,UNIQUE(FILTER(Candidates!$B$2:$B$2000,Candidates!$A$2:$A$2000=$A1823))),""""))"),"")</f>
        <v/>
      </c>
      <c r="U1823" s="66" t="str">
        <f>IF($A1823="","",COUNTIF(Candidates!$A$2:$A$2000,$A1823))</f>
        <v/>
      </c>
      <c r="V1823" s="64" t="str">
        <f>IFERROR(__xludf.DUMMYFUNCTION("IF($A1823="""","""",IFERROR(INDEX(FILTER(Candidates!$S$2:$S$2000,Candidates!$A$2:$A$2000=$A1823),COUNTIF(Candidates!$A$2:$A$2000,$A1823)),""""))"),"")</f>
        <v/>
      </c>
      <c r="W1823" s="64" t="str">
        <f>IFERROR(__xludf.DUMMYFUNCTION("IF($A1823="""","""",IFERROR(INDEX(FILTER(Candidates!$T$2:$T$2000,Candidates!$A$2:$A$2000=$A1823),COUNTIF(Candidates!$A$2:$A$2000,$A1823)),""""))"),"")</f>
        <v/>
      </c>
      <c r="X1823" s="64"/>
      <c r="Y1823" s="64"/>
      <c r="Z1823" s="65"/>
      <c r="AA1823" s="65"/>
      <c r="AB1823" s="65"/>
      <c r="AC1823" s="65"/>
    </row>
    <row r="1824">
      <c r="A1824" s="64"/>
      <c r="B1824" s="64"/>
      <c r="C1824" s="64"/>
      <c r="D1824" s="64"/>
      <c r="E1824" s="64"/>
      <c r="F1824" s="64"/>
      <c r="G1824" s="64"/>
      <c r="H1824" s="63"/>
      <c r="I1824" s="64"/>
      <c r="J1824" s="64"/>
      <c r="K1824" s="64"/>
      <c r="L1824" s="64"/>
      <c r="M1824" s="64"/>
      <c r="N1824" s="64"/>
      <c r="O1824" s="64"/>
      <c r="P1824" s="64"/>
      <c r="Q1824" s="64"/>
      <c r="R1824" s="65" t="str">
        <f>IF($A1824="","",IFERROR(MINIFS(Candidates!$K$2:$K$2000,Candidates!$A$2:$A$2000,$A1824),""))</f>
        <v/>
      </c>
      <c r="S1824" s="65" t="str">
        <f>IF($A1824="","",IFERROR(MAXIFS(Candidates!$AA$2:$AA$2000,Candidates!$A$2:$A$2000,$A1824),""))</f>
        <v/>
      </c>
      <c r="T1824" s="64" t="str">
        <f>IFERROR(__xludf.DUMMYFUNCTION("IF($A1824="""","""",IFERROR(TEXTJOIN("", "",TRUE,UNIQUE(FILTER(Candidates!$B$2:$B$2000,Candidates!$A$2:$A$2000=$A1824))),""""))"),"")</f>
        <v/>
      </c>
      <c r="U1824" s="66" t="str">
        <f>IF($A1824="","",COUNTIF(Candidates!$A$2:$A$2000,$A1824))</f>
        <v/>
      </c>
      <c r="V1824" s="64" t="str">
        <f>IFERROR(__xludf.DUMMYFUNCTION("IF($A1824="""","""",IFERROR(INDEX(FILTER(Candidates!$S$2:$S$2000,Candidates!$A$2:$A$2000=$A1824),COUNTIF(Candidates!$A$2:$A$2000,$A1824)),""""))"),"")</f>
        <v/>
      </c>
      <c r="W1824" s="64" t="str">
        <f>IFERROR(__xludf.DUMMYFUNCTION("IF($A1824="""","""",IFERROR(INDEX(FILTER(Candidates!$T$2:$T$2000,Candidates!$A$2:$A$2000=$A1824),COUNTIF(Candidates!$A$2:$A$2000,$A1824)),""""))"),"")</f>
        <v/>
      </c>
      <c r="X1824" s="64"/>
      <c r="Y1824" s="64"/>
      <c r="Z1824" s="65"/>
      <c r="AA1824" s="65"/>
      <c r="AB1824" s="65"/>
      <c r="AC1824" s="65"/>
    </row>
    <row r="1825">
      <c r="A1825" s="64"/>
      <c r="B1825" s="64"/>
      <c r="C1825" s="64"/>
      <c r="D1825" s="64"/>
      <c r="E1825" s="64"/>
      <c r="F1825" s="64"/>
      <c r="G1825" s="64"/>
      <c r="H1825" s="63"/>
      <c r="I1825" s="64"/>
      <c r="J1825" s="64"/>
      <c r="K1825" s="64"/>
      <c r="L1825" s="64"/>
      <c r="M1825" s="64"/>
      <c r="N1825" s="64"/>
      <c r="O1825" s="64"/>
      <c r="P1825" s="64"/>
      <c r="Q1825" s="64"/>
      <c r="R1825" s="65" t="str">
        <f>IF($A1825="","",IFERROR(MINIFS(Candidates!$K$2:$K$2000,Candidates!$A$2:$A$2000,$A1825),""))</f>
        <v/>
      </c>
      <c r="S1825" s="65" t="str">
        <f>IF($A1825="","",IFERROR(MAXIFS(Candidates!$AA$2:$AA$2000,Candidates!$A$2:$A$2000,$A1825),""))</f>
        <v/>
      </c>
      <c r="T1825" s="64" t="str">
        <f>IFERROR(__xludf.DUMMYFUNCTION("IF($A1825="""","""",IFERROR(TEXTJOIN("", "",TRUE,UNIQUE(FILTER(Candidates!$B$2:$B$2000,Candidates!$A$2:$A$2000=$A1825))),""""))"),"")</f>
        <v/>
      </c>
      <c r="U1825" s="66" t="str">
        <f>IF($A1825="","",COUNTIF(Candidates!$A$2:$A$2000,$A1825))</f>
        <v/>
      </c>
      <c r="V1825" s="64" t="str">
        <f>IFERROR(__xludf.DUMMYFUNCTION("IF($A1825="""","""",IFERROR(INDEX(FILTER(Candidates!$S$2:$S$2000,Candidates!$A$2:$A$2000=$A1825),COUNTIF(Candidates!$A$2:$A$2000,$A1825)),""""))"),"")</f>
        <v/>
      </c>
      <c r="W1825" s="64" t="str">
        <f>IFERROR(__xludf.DUMMYFUNCTION("IF($A1825="""","""",IFERROR(INDEX(FILTER(Candidates!$T$2:$T$2000,Candidates!$A$2:$A$2000=$A1825),COUNTIF(Candidates!$A$2:$A$2000,$A1825)),""""))"),"")</f>
        <v/>
      </c>
      <c r="X1825" s="64"/>
      <c r="Y1825" s="64"/>
      <c r="Z1825" s="65"/>
      <c r="AA1825" s="65"/>
      <c r="AB1825" s="65"/>
      <c r="AC1825" s="65"/>
    </row>
    <row r="1826">
      <c r="A1826" s="64"/>
      <c r="B1826" s="64"/>
      <c r="C1826" s="64"/>
      <c r="D1826" s="64"/>
      <c r="E1826" s="64"/>
      <c r="F1826" s="64"/>
      <c r="G1826" s="64"/>
      <c r="H1826" s="63"/>
      <c r="I1826" s="64"/>
      <c r="J1826" s="64"/>
      <c r="K1826" s="64"/>
      <c r="L1826" s="64"/>
      <c r="M1826" s="64"/>
      <c r="N1826" s="64"/>
      <c r="O1826" s="64"/>
      <c r="P1826" s="64"/>
      <c r="Q1826" s="64"/>
      <c r="R1826" s="65" t="str">
        <f>IF($A1826="","",IFERROR(MINIFS(Candidates!$K$2:$K$2000,Candidates!$A$2:$A$2000,$A1826),""))</f>
        <v/>
      </c>
      <c r="S1826" s="65" t="str">
        <f>IF($A1826="","",IFERROR(MAXIFS(Candidates!$AA$2:$AA$2000,Candidates!$A$2:$A$2000,$A1826),""))</f>
        <v/>
      </c>
      <c r="T1826" s="64" t="str">
        <f>IFERROR(__xludf.DUMMYFUNCTION("IF($A1826="""","""",IFERROR(TEXTJOIN("", "",TRUE,UNIQUE(FILTER(Candidates!$B$2:$B$2000,Candidates!$A$2:$A$2000=$A1826))),""""))"),"")</f>
        <v/>
      </c>
      <c r="U1826" s="66" t="str">
        <f>IF($A1826="","",COUNTIF(Candidates!$A$2:$A$2000,$A1826))</f>
        <v/>
      </c>
      <c r="V1826" s="64" t="str">
        <f>IFERROR(__xludf.DUMMYFUNCTION("IF($A1826="""","""",IFERROR(INDEX(FILTER(Candidates!$S$2:$S$2000,Candidates!$A$2:$A$2000=$A1826),COUNTIF(Candidates!$A$2:$A$2000,$A1826)),""""))"),"")</f>
        <v/>
      </c>
      <c r="W1826" s="64" t="str">
        <f>IFERROR(__xludf.DUMMYFUNCTION("IF($A1826="""","""",IFERROR(INDEX(FILTER(Candidates!$T$2:$T$2000,Candidates!$A$2:$A$2000=$A1826),COUNTIF(Candidates!$A$2:$A$2000,$A1826)),""""))"),"")</f>
        <v/>
      </c>
      <c r="X1826" s="64"/>
      <c r="Y1826" s="64"/>
      <c r="Z1826" s="65"/>
      <c r="AA1826" s="65"/>
      <c r="AB1826" s="65"/>
      <c r="AC1826" s="65"/>
    </row>
    <row r="1827">
      <c r="A1827" s="64"/>
      <c r="B1827" s="64"/>
      <c r="C1827" s="64"/>
      <c r="D1827" s="64"/>
      <c r="E1827" s="64"/>
      <c r="F1827" s="64"/>
      <c r="G1827" s="64"/>
      <c r="H1827" s="63"/>
      <c r="I1827" s="64"/>
      <c r="J1827" s="64"/>
      <c r="K1827" s="64"/>
      <c r="L1827" s="64"/>
      <c r="M1827" s="64"/>
      <c r="N1827" s="64"/>
      <c r="O1827" s="64"/>
      <c r="P1827" s="64"/>
      <c r="Q1827" s="64"/>
      <c r="R1827" s="65" t="str">
        <f>IF($A1827="","",IFERROR(MINIFS(Candidates!$K$2:$K$2000,Candidates!$A$2:$A$2000,$A1827),""))</f>
        <v/>
      </c>
      <c r="S1827" s="65" t="str">
        <f>IF($A1827="","",IFERROR(MAXIFS(Candidates!$AA$2:$AA$2000,Candidates!$A$2:$A$2000,$A1827),""))</f>
        <v/>
      </c>
      <c r="T1827" s="64" t="str">
        <f>IFERROR(__xludf.DUMMYFUNCTION("IF($A1827="""","""",IFERROR(TEXTJOIN("", "",TRUE,UNIQUE(FILTER(Candidates!$B$2:$B$2000,Candidates!$A$2:$A$2000=$A1827))),""""))"),"")</f>
        <v/>
      </c>
      <c r="U1827" s="66" t="str">
        <f>IF($A1827="","",COUNTIF(Candidates!$A$2:$A$2000,$A1827))</f>
        <v/>
      </c>
      <c r="V1827" s="64" t="str">
        <f>IFERROR(__xludf.DUMMYFUNCTION("IF($A1827="""","""",IFERROR(INDEX(FILTER(Candidates!$S$2:$S$2000,Candidates!$A$2:$A$2000=$A1827),COUNTIF(Candidates!$A$2:$A$2000,$A1827)),""""))"),"")</f>
        <v/>
      </c>
      <c r="W1827" s="64" t="str">
        <f>IFERROR(__xludf.DUMMYFUNCTION("IF($A1827="""","""",IFERROR(INDEX(FILTER(Candidates!$T$2:$T$2000,Candidates!$A$2:$A$2000=$A1827),COUNTIF(Candidates!$A$2:$A$2000,$A1827)),""""))"),"")</f>
        <v/>
      </c>
      <c r="X1827" s="64"/>
      <c r="Y1827" s="64"/>
      <c r="Z1827" s="65"/>
      <c r="AA1827" s="65"/>
      <c r="AB1827" s="65"/>
      <c r="AC1827" s="65"/>
    </row>
    <row r="1828">
      <c r="A1828" s="64"/>
      <c r="B1828" s="64"/>
      <c r="C1828" s="64"/>
      <c r="D1828" s="64"/>
      <c r="E1828" s="64"/>
      <c r="F1828" s="64"/>
      <c r="G1828" s="64"/>
      <c r="H1828" s="63"/>
      <c r="I1828" s="64"/>
      <c r="J1828" s="64"/>
      <c r="K1828" s="64"/>
      <c r="L1828" s="64"/>
      <c r="M1828" s="64"/>
      <c r="N1828" s="64"/>
      <c r="O1828" s="64"/>
      <c r="P1828" s="64"/>
      <c r="Q1828" s="64"/>
      <c r="R1828" s="65" t="str">
        <f>IF($A1828="","",IFERROR(MINIFS(Candidates!$K$2:$K$2000,Candidates!$A$2:$A$2000,$A1828),""))</f>
        <v/>
      </c>
      <c r="S1828" s="65" t="str">
        <f>IF($A1828="","",IFERROR(MAXIFS(Candidates!$AA$2:$AA$2000,Candidates!$A$2:$A$2000,$A1828),""))</f>
        <v/>
      </c>
      <c r="T1828" s="64" t="str">
        <f>IFERROR(__xludf.DUMMYFUNCTION("IF($A1828="""","""",IFERROR(TEXTJOIN("", "",TRUE,UNIQUE(FILTER(Candidates!$B$2:$B$2000,Candidates!$A$2:$A$2000=$A1828))),""""))"),"")</f>
        <v/>
      </c>
      <c r="U1828" s="66" t="str">
        <f>IF($A1828="","",COUNTIF(Candidates!$A$2:$A$2000,$A1828))</f>
        <v/>
      </c>
      <c r="V1828" s="64" t="str">
        <f>IFERROR(__xludf.DUMMYFUNCTION("IF($A1828="""","""",IFERROR(INDEX(FILTER(Candidates!$S$2:$S$2000,Candidates!$A$2:$A$2000=$A1828),COUNTIF(Candidates!$A$2:$A$2000,$A1828)),""""))"),"")</f>
        <v/>
      </c>
      <c r="W1828" s="64" t="str">
        <f>IFERROR(__xludf.DUMMYFUNCTION("IF($A1828="""","""",IFERROR(INDEX(FILTER(Candidates!$T$2:$T$2000,Candidates!$A$2:$A$2000=$A1828),COUNTIF(Candidates!$A$2:$A$2000,$A1828)),""""))"),"")</f>
        <v/>
      </c>
      <c r="X1828" s="64"/>
      <c r="Y1828" s="64"/>
      <c r="Z1828" s="65"/>
      <c r="AA1828" s="65"/>
      <c r="AB1828" s="65"/>
      <c r="AC1828" s="65"/>
    </row>
    <row r="1829">
      <c r="A1829" s="64"/>
      <c r="B1829" s="64"/>
      <c r="C1829" s="64"/>
      <c r="D1829" s="64"/>
      <c r="E1829" s="64"/>
      <c r="F1829" s="64"/>
      <c r="G1829" s="64"/>
      <c r="H1829" s="63"/>
      <c r="I1829" s="64"/>
      <c r="J1829" s="64"/>
      <c r="K1829" s="64"/>
      <c r="L1829" s="64"/>
      <c r="M1829" s="64"/>
      <c r="N1829" s="64"/>
      <c r="O1829" s="64"/>
      <c r="P1829" s="64"/>
      <c r="Q1829" s="64"/>
      <c r="R1829" s="65" t="str">
        <f>IF($A1829="","",IFERROR(MINIFS(Candidates!$K$2:$K$2000,Candidates!$A$2:$A$2000,$A1829),""))</f>
        <v/>
      </c>
      <c r="S1829" s="65" t="str">
        <f>IF($A1829="","",IFERROR(MAXIFS(Candidates!$AA$2:$AA$2000,Candidates!$A$2:$A$2000,$A1829),""))</f>
        <v/>
      </c>
      <c r="T1829" s="64" t="str">
        <f>IFERROR(__xludf.DUMMYFUNCTION("IF($A1829="""","""",IFERROR(TEXTJOIN("", "",TRUE,UNIQUE(FILTER(Candidates!$B$2:$B$2000,Candidates!$A$2:$A$2000=$A1829))),""""))"),"")</f>
        <v/>
      </c>
      <c r="U1829" s="66" t="str">
        <f>IF($A1829="","",COUNTIF(Candidates!$A$2:$A$2000,$A1829))</f>
        <v/>
      </c>
      <c r="V1829" s="64" t="str">
        <f>IFERROR(__xludf.DUMMYFUNCTION("IF($A1829="""","""",IFERROR(INDEX(FILTER(Candidates!$S$2:$S$2000,Candidates!$A$2:$A$2000=$A1829),COUNTIF(Candidates!$A$2:$A$2000,$A1829)),""""))"),"")</f>
        <v/>
      </c>
      <c r="W1829" s="64" t="str">
        <f>IFERROR(__xludf.DUMMYFUNCTION("IF($A1829="""","""",IFERROR(INDEX(FILTER(Candidates!$T$2:$T$2000,Candidates!$A$2:$A$2000=$A1829),COUNTIF(Candidates!$A$2:$A$2000,$A1829)),""""))"),"")</f>
        <v/>
      </c>
      <c r="X1829" s="64"/>
      <c r="Y1829" s="64"/>
      <c r="Z1829" s="65"/>
      <c r="AA1829" s="65"/>
      <c r="AB1829" s="65"/>
      <c r="AC1829" s="65"/>
    </row>
    <row r="1830">
      <c r="A1830" s="64"/>
      <c r="B1830" s="64"/>
      <c r="C1830" s="64"/>
      <c r="D1830" s="64"/>
      <c r="E1830" s="64"/>
      <c r="F1830" s="64"/>
      <c r="G1830" s="64"/>
      <c r="H1830" s="63"/>
      <c r="I1830" s="64"/>
      <c r="J1830" s="64"/>
      <c r="K1830" s="64"/>
      <c r="L1830" s="64"/>
      <c r="M1830" s="64"/>
      <c r="N1830" s="64"/>
      <c r="O1830" s="64"/>
      <c r="P1830" s="64"/>
      <c r="Q1830" s="64"/>
      <c r="R1830" s="65" t="str">
        <f>IF($A1830="","",IFERROR(MINIFS(Candidates!$K$2:$K$2000,Candidates!$A$2:$A$2000,$A1830),""))</f>
        <v/>
      </c>
      <c r="S1830" s="65" t="str">
        <f>IF($A1830="","",IFERROR(MAXIFS(Candidates!$AA$2:$AA$2000,Candidates!$A$2:$A$2000,$A1830),""))</f>
        <v/>
      </c>
      <c r="T1830" s="64" t="str">
        <f>IFERROR(__xludf.DUMMYFUNCTION("IF($A1830="""","""",IFERROR(TEXTJOIN("", "",TRUE,UNIQUE(FILTER(Candidates!$B$2:$B$2000,Candidates!$A$2:$A$2000=$A1830))),""""))"),"")</f>
        <v/>
      </c>
      <c r="U1830" s="66" t="str">
        <f>IF($A1830="","",COUNTIF(Candidates!$A$2:$A$2000,$A1830))</f>
        <v/>
      </c>
      <c r="V1830" s="64" t="str">
        <f>IFERROR(__xludf.DUMMYFUNCTION("IF($A1830="""","""",IFERROR(INDEX(FILTER(Candidates!$S$2:$S$2000,Candidates!$A$2:$A$2000=$A1830),COUNTIF(Candidates!$A$2:$A$2000,$A1830)),""""))"),"")</f>
        <v/>
      </c>
      <c r="W1830" s="64" t="str">
        <f>IFERROR(__xludf.DUMMYFUNCTION("IF($A1830="""","""",IFERROR(INDEX(FILTER(Candidates!$T$2:$T$2000,Candidates!$A$2:$A$2000=$A1830),COUNTIF(Candidates!$A$2:$A$2000,$A1830)),""""))"),"")</f>
        <v/>
      </c>
      <c r="X1830" s="64"/>
      <c r="Y1830" s="64"/>
      <c r="Z1830" s="65"/>
      <c r="AA1830" s="65"/>
      <c r="AB1830" s="65"/>
      <c r="AC1830" s="65"/>
    </row>
    <row r="1831">
      <c r="A1831" s="64"/>
      <c r="B1831" s="64"/>
      <c r="C1831" s="64"/>
      <c r="D1831" s="64"/>
      <c r="E1831" s="64"/>
      <c r="F1831" s="64"/>
      <c r="G1831" s="64"/>
      <c r="H1831" s="63"/>
      <c r="I1831" s="64"/>
      <c r="J1831" s="64"/>
      <c r="K1831" s="64"/>
      <c r="L1831" s="64"/>
      <c r="M1831" s="64"/>
      <c r="N1831" s="64"/>
      <c r="O1831" s="64"/>
      <c r="P1831" s="64"/>
      <c r="Q1831" s="64"/>
      <c r="R1831" s="65" t="str">
        <f>IF($A1831="","",IFERROR(MINIFS(Candidates!$K$2:$K$2000,Candidates!$A$2:$A$2000,$A1831),""))</f>
        <v/>
      </c>
      <c r="S1831" s="65" t="str">
        <f>IF($A1831="","",IFERROR(MAXIFS(Candidates!$AA$2:$AA$2000,Candidates!$A$2:$A$2000,$A1831),""))</f>
        <v/>
      </c>
      <c r="T1831" s="64" t="str">
        <f>IFERROR(__xludf.DUMMYFUNCTION("IF($A1831="""","""",IFERROR(TEXTJOIN("", "",TRUE,UNIQUE(FILTER(Candidates!$B$2:$B$2000,Candidates!$A$2:$A$2000=$A1831))),""""))"),"")</f>
        <v/>
      </c>
      <c r="U1831" s="66" t="str">
        <f>IF($A1831="","",COUNTIF(Candidates!$A$2:$A$2000,$A1831))</f>
        <v/>
      </c>
      <c r="V1831" s="64" t="str">
        <f>IFERROR(__xludf.DUMMYFUNCTION("IF($A1831="""","""",IFERROR(INDEX(FILTER(Candidates!$S$2:$S$2000,Candidates!$A$2:$A$2000=$A1831),COUNTIF(Candidates!$A$2:$A$2000,$A1831)),""""))"),"")</f>
        <v/>
      </c>
      <c r="W1831" s="64" t="str">
        <f>IFERROR(__xludf.DUMMYFUNCTION("IF($A1831="""","""",IFERROR(INDEX(FILTER(Candidates!$T$2:$T$2000,Candidates!$A$2:$A$2000=$A1831),COUNTIF(Candidates!$A$2:$A$2000,$A1831)),""""))"),"")</f>
        <v/>
      </c>
      <c r="X1831" s="64"/>
      <c r="Y1831" s="64"/>
      <c r="Z1831" s="65"/>
      <c r="AA1831" s="65"/>
      <c r="AB1831" s="65"/>
      <c r="AC1831" s="65"/>
    </row>
    <row r="1832">
      <c r="A1832" s="64"/>
      <c r="B1832" s="64"/>
      <c r="C1832" s="64"/>
      <c r="D1832" s="64"/>
      <c r="E1832" s="64"/>
      <c r="F1832" s="64"/>
      <c r="G1832" s="64"/>
      <c r="H1832" s="63"/>
      <c r="I1832" s="64"/>
      <c r="J1832" s="64"/>
      <c r="K1832" s="64"/>
      <c r="L1832" s="64"/>
      <c r="M1832" s="64"/>
      <c r="N1832" s="64"/>
      <c r="O1832" s="64"/>
      <c r="P1832" s="64"/>
      <c r="Q1832" s="64"/>
      <c r="R1832" s="65" t="str">
        <f>IF($A1832="","",IFERROR(MINIFS(Candidates!$K$2:$K$2000,Candidates!$A$2:$A$2000,$A1832),""))</f>
        <v/>
      </c>
      <c r="S1832" s="65" t="str">
        <f>IF($A1832="","",IFERROR(MAXIFS(Candidates!$AA$2:$AA$2000,Candidates!$A$2:$A$2000,$A1832),""))</f>
        <v/>
      </c>
      <c r="T1832" s="64" t="str">
        <f>IFERROR(__xludf.DUMMYFUNCTION("IF($A1832="""","""",IFERROR(TEXTJOIN("", "",TRUE,UNIQUE(FILTER(Candidates!$B$2:$B$2000,Candidates!$A$2:$A$2000=$A1832))),""""))"),"")</f>
        <v/>
      </c>
      <c r="U1832" s="66" t="str">
        <f>IF($A1832="","",COUNTIF(Candidates!$A$2:$A$2000,$A1832))</f>
        <v/>
      </c>
      <c r="V1832" s="64" t="str">
        <f>IFERROR(__xludf.DUMMYFUNCTION("IF($A1832="""","""",IFERROR(INDEX(FILTER(Candidates!$S$2:$S$2000,Candidates!$A$2:$A$2000=$A1832),COUNTIF(Candidates!$A$2:$A$2000,$A1832)),""""))"),"")</f>
        <v/>
      </c>
      <c r="W1832" s="64" t="str">
        <f>IFERROR(__xludf.DUMMYFUNCTION("IF($A1832="""","""",IFERROR(INDEX(FILTER(Candidates!$T$2:$T$2000,Candidates!$A$2:$A$2000=$A1832),COUNTIF(Candidates!$A$2:$A$2000,$A1832)),""""))"),"")</f>
        <v/>
      </c>
      <c r="X1832" s="64"/>
      <c r="Y1832" s="64"/>
      <c r="Z1832" s="65"/>
      <c r="AA1832" s="65"/>
      <c r="AB1832" s="65"/>
      <c r="AC1832" s="65"/>
    </row>
    <row r="1833">
      <c r="A1833" s="64"/>
      <c r="B1833" s="64"/>
      <c r="C1833" s="64"/>
      <c r="D1833" s="64"/>
      <c r="E1833" s="64"/>
      <c r="F1833" s="64"/>
      <c r="G1833" s="64"/>
      <c r="H1833" s="63"/>
      <c r="I1833" s="64"/>
      <c r="J1833" s="64"/>
      <c r="K1833" s="64"/>
      <c r="L1833" s="64"/>
      <c r="M1833" s="64"/>
      <c r="N1833" s="64"/>
      <c r="O1833" s="64"/>
      <c r="P1833" s="64"/>
      <c r="Q1833" s="64"/>
      <c r="R1833" s="65" t="str">
        <f>IF($A1833="","",IFERROR(MINIFS(Candidates!$K$2:$K$2000,Candidates!$A$2:$A$2000,$A1833),""))</f>
        <v/>
      </c>
      <c r="S1833" s="65" t="str">
        <f>IF($A1833="","",IFERROR(MAXIFS(Candidates!$AA$2:$AA$2000,Candidates!$A$2:$A$2000,$A1833),""))</f>
        <v/>
      </c>
      <c r="T1833" s="64" t="str">
        <f>IFERROR(__xludf.DUMMYFUNCTION("IF($A1833="""","""",IFERROR(TEXTJOIN("", "",TRUE,UNIQUE(FILTER(Candidates!$B$2:$B$2000,Candidates!$A$2:$A$2000=$A1833))),""""))"),"")</f>
        <v/>
      </c>
      <c r="U1833" s="66" t="str">
        <f>IF($A1833="","",COUNTIF(Candidates!$A$2:$A$2000,$A1833))</f>
        <v/>
      </c>
      <c r="V1833" s="64" t="str">
        <f>IFERROR(__xludf.DUMMYFUNCTION("IF($A1833="""","""",IFERROR(INDEX(FILTER(Candidates!$S$2:$S$2000,Candidates!$A$2:$A$2000=$A1833),COUNTIF(Candidates!$A$2:$A$2000,$A1833)),""""))"),"")</f>
        <v/>
      </c>
      <c r="W1833" s="64" t="str">
        <f>IFERROR(__xludf.DUMMYFUNCTION("IF($A1833="""","""",IFERROR(INDEX(FILTER(Candidates!$T$2:$T$2000,Candidates!$A$2:$A$2000=$A1833),COUNTIF(Candidates!$A$2:$A$2000,$A1833)),""""))"),"")</f>
        <v/>
      </c>
      <c r="X1833" s="64"/>
      <c r="Y1833" s="64"/>
      <c r="Z1833" s="65"/>
      <c r="AA1833" s="65"/>
      <c r="AB1833" s="65"/>
      <c r="AC1833" s="65"/>
    </row>
    <row r="1834">
      <c r="A1834" s="64"/>
      <c r="B1834" s="64"/>
      <c r="C1834" s="64"/>
      <c r="D1834" s="64"/>
      <c r="E1834" s="64"/>
      <c r="F1834" s="64"/>
      <c r="G1834" s="64"/>
      <c r="H1834" s="63"/>
      <c r="I1834" s="64"/>
      <c r="J1834" s="64"/>
      <c r="K1834" s="64"/>
      <c r="L1834" s="64"/>
      <c r="M1834" s="64"/>
      <c r="N1834" s="64"/>
      <c r="O1834" s="64"/>
      <c r="P1834" s="64"/>
      <c r="Q1834" s="64"/>
      <c r="R1834" s="65" t="str">
        <f>IF($A1834="","",IFERROR(MINIFS(Candidates!$K$2:$K$2000,Candidates!$A$2:$A$2000,$A1834),""))</f>
        <v/>
      </c>
      <c r="S1834" s="65" t="str">
        <f>IF($A1834="","",IFERROR(MAXIFS(Candidates!$AA$2:$AA$2000,Candidates!$A$2:$A$2000,$A1834),""))</f>
        <v/>
      </c>
      <c r="T1834" s="64" t="str">
        <f>IFERROR(__xludf.DUMMYFUNCTION("IF($A1834="""","""",IFERROR(TEXTJOIN("", "",TRUE,UNIQUE(FILTER(Candidates!$B$2:$B$2000,Candidates!$A$2:$A$2000=$A1834))),""""))"),"")</f>
        <v/>
      </c>
      <c r="U1834" s="66" t="str">
        <f>IF($A1834="","",COUNTIF(Candidates!$A$2:$A$2000,$A1834))</f>
        <v/>
      </c>
      <c r="V1834" s="64" t="str">
        <f>IFERROR(__xludf.DUMMYFUNCTION("IF($A1834="""","""",IFERROR(INDEX(FILTER(Candidates!$S$2:$S$2000,Candidates!$A$2:$A$2000=$A1834),COUNTIF(Candidates!$A$2:$A$2000,$A1834)),""""))"),"")</f>
        <v/>
      </c>
      <c r="W1834" s="64" t="str">
        <f>IFERROR(__xludf.DUMMYFUNCTION("IF($A1834="""","""",IFERROR(INDEX(FILTER(Candidates!$T$2:$T$2000,Candidates!$A$2:$A$2000=$A1834),COUNTIF(Candidates!$A$2:$A$2000,$A1834)),""""))"),"")</f>
        <v/>
      </c>
      <c r="X1834" s="64"/>
      <c r="Y1834" s="64"/>
      <c r="Z1834" s="65"/>
      <c r="AA1834" s="65"/>
      <c r="AB1834" s="65"/>
      <c r="AC1834" s="65"/>
    </row>
    <row r="1835">
      <c r="A1835" s="64"/>
      <c r="B1835" s="64"/>
      <c r="C1835" s="64"/>
      <c r="D1835" s="64"/>
      <c r="E1835" s="64"/>
      <c r="F1835" s="64"/>
      <c r="G1835" s="64"/>
      <c r="H1835" s="63"/>
      <c r="I1835" s="64"/>
      <c r="J1835" s="64"/>
      <c r="K1835" s="64"/>
      <c r="L1835" s="64"/>
      <c r="M1835" s="64"/>
      <c r="N1835" s="64"/>
      <c r="O1835" s="64"/>
      <c r="P1835" s="64"/>
      <c r="Q1835" s="64"/>
      <c r="R1835" s="65" t="str">
        <f>IF($A1835="","",IFERROR(MINIFS(Candidates!$K$2:$K$2000,Candidates!$A$2:$A$2000,$A1835),""))</f>
        <v/>
      </c>
      <c r="S1835" s="65" t="str">
        <f>IF($A1835="","",IFERROR(MAXIFS(Candidates!$AA$2:$AA$2000,Candidates!$A$2:$A$2000,$A1835),""))</f>
        <v/>
      </c>
      <c r="T1835" s="64" t="str">
        <f>IFERROR(__xludf.DUMMYFUNCTION("IF($A1835="""","""",IFERROR(TEXTJOIN("", "",TRUE,UNIQUE(FILTER(Candidates!$B$2:$B$2000,Candidates!$A$2:$A$2000=$A1835))),""""))"),"")</f>
        <v/>
      </c>
      <c r="U1835" s="66" t="str">
        <f>IF($A1835="","",COUNTIF(Candidates!$A$2:$A$2000,$A1835))</f>
        <v/>
      </c>
      <c r="V1835" s="64" t="str">
        <f>IFERROR(__xludf.DUMMYFUNCTION("IF($A1835="""","""",IFERROR(INDEX(FILTER(Candidates!$S$2:$S$2000,Candidates!$A$2:$A$2000=$A1835),COUNTIF(Candidates!$A$2:$A$2000,$A1835)),""""))"),"")</f>
        <v/>
      </c>
      <c r="W1835" s="64" t="str">
        <f>IFERROR(__xludf.DUMMYFUNCTION("IF($A1835="""","""",IFERROR(INDEX(FILTER(Candidates!$T$2:$T$2000,Candidates!$A$2:$A$2000=$A1835),COUNTIF(Candidates!$A$2:$A$2000,$A1835)),""""))"),"")</f>
        <v/>
      </c>
      <c r="X1835" s="64"/>
      <c r="Y1835" s="64"/>
      <c r="Z1835" s="65"/>
      <c r="AA1835" s="65"/>
      <c r="AB1835" s="65"/>
      <c r="AC1835" s="65"/>
    </row>
    <row r="1836">
      <c r="A1836" s="64"/>
      <c r="B1836" s="64"/>
      <c r="C1836" s="64"/>
      <c r="D1836" s="64"/>
      <c r="E1836" s="64"/>
      <c r="F1836" s="64"/>
      <c r="G1836" s="64"/>
      <c r="H1836" s="63"/>
      <c r="I1836" s="64"/>
      <c r="J1836" s="64"/>
      <c r="K1836" s="64"/>
      <c r="L1836" s="64"/>
      <c r="M1836" s="64"/>
      <c r="N1836" s="64"/>
      <c r="O1836" s="64"/>
      <c r="P1836" s="64"/>
      <c r="Q1836" s="64"/>
      <c r="R1836" s="65" t="str">
        <f>IF($A1836="","",IFERROR(MINIFS(Candidates!$K$2:$K$2000,Candidates!$A$2:$A$2000,$A1836),""))</f>
        <v/>
      </c>
      <c r="S1836" s="65" t="str">
        <f>IF($A1836="","",IFERROR(MAXIFS(Candidates!$AA$2:$AA$2000,Candidates!$A$2:$A$2000,$A1836),""))</f>
        <v/>
      </c>
      <c r="T1836" s="64" t="str">
        <f>IFERROR(__xludf.DUMMYFUNCTION("IF($A1836="""","""",IFERROR(TEXTJOIN("", "",TRUE,UNIQUE(FILTER(Candidates!$B$2:$B$2000,Candidates!$A$2:$A$2000=$A1836))),""""))"),"")</f>
        <v/>
      </c>
      <c r="U1836" s="66" t="str">
        <f>IF($A1836="","",COUNTIF(Candidates!$A$2:$A$2000,$A1836))</f>
        <v/>
      </c>
      <c r="V1836" s="64" t="str">
        <f>IFERROR(__xludf.DUMMYFUNCTION("IF($A1836="""","""",IFERROR(INDEX(FILTER(Candidates!$S$2:$S$2000,Candidates!$A$2:$A$2000=$A1836),COUNTIF(Candidates!$A$2:$A$2000,$A1836)),""""))"),"")</f>
        <v/>
      </c>
      <c r="W1836" s="64" t="str">
        <f>IFERROR(__xludf.DUMMYFUNCTION("IF($A1836="""","""",IFERROR(INDEX(FILTER(Candidates!$T$2:$T$2000,Candidates!$A$2:$A$2000=$A1836),COUNTIF(Candidates!$A$2:$A$2000,$A1836)),""""))"),"")</f>
        <v/>
      </c>
      <c r="X1836" s="64"/>
      <c r="Y1836" s="64"/>
      <c r="Z1836" s="65"/>
      <c r="AA1836" s="65"/>
      <c r="AB1836" s="65"/>
      <c r="AC1836" s="65"/>
    </row>
    <row r="1837">
      <c r="A1837" s="64"/>
      <c r="B1837" s="64"/>
      <c r="C1837" s="64"/>
      <c r="D1837" s="64"/>
      <c r="E1837" s="64"/>
      <c r="F1837" s="64"/>
      <c r="G1837" s="64"/>
      <c r="H1837" s="63"/>
      <c r="I1837" s="64"/>
      <c r="J1837" s="64"/>
      <c r="K1837" s="64"/>
      <c r="L1837" s="64"/>
      <c r="M1837" s="64"/>
      <c r="N1837" s="64"/>
      <c r="O1837" s="64"/>
      <c r="P1837" s="64"/>
      <c r="Q1837" s="64"/>
      <c r="R1837" s="65" t="str">
        <f>IF($A1837="","",IFERROR(MINIFS(Candidates!$K$2:$K$2000,Candidates!$A$2:$A$2000,$A1837),""))</f>
        <v/>
      </c>
      <c r="S1837" s="65" t="str">
        <f>IF($A1837="","",IFERROR(MAXIFS(Candidates!$AA$2:$AA$2000,Candidates!$A$2:$A$2000,$A1837),""))</f>
        <v/>
      </c>
      <c r="T1837" s="64" t="str">
        <f>IFERROR(__xludf.DUMMYFUNCTION("IF($A1837="""","""",IFERROR(TEXTJOIN("", "",TRUE,UNIQUE(FILTER(Candidates!$B$2:$B$2000,Candidates!$A$2:$A$2000=$A1837))),""""))"),"")</f>
        <v/>
      </c>
      <c r="U1837" s="66" t="str">
        <f>IF($A1837="","",COUNTIF(Candidates!$A$2:$A$2000,$A1837))</f>
        <v/>
      </c>
      <c r="V1837" s="64" t="str">
        <f>IFERROR(__xludf.DUMMYFUNCTION("IF($A1837="""","""",IFERROR(INDEX(FILTER(Candidates!$S$2:$S$2000,Candidates!$A$2:$A$2000=$A1837),COUNTIF(Candidates!$A$2:$A$2000,$A1837)),""""))"),"")</f>
        <v/>
      </c>
      <c r="W1837" s="64" t="str">
        <f>IFERROR(__xludf.DUMMYFUNCTION("IF($A1837="""","""",IFERROR(INDEX(FILTER(Candidates!$T$2:$T$2000,Candidates!$A$2:$A$2000=$A1837),COUNTIF(Candidates!$A$2:$A$2000,$A1837)),""""))"),"")</f>
        <v/>
      </c>
      <c r="X1837" s="64"/>
      <c r="Y1837" s="64"/>
      <c r="Z1837" s="65"/>
      <c r="AA1837" s="65"/>
      <c r="AB1837" s="65"/>
      <c r="AC1837" s="65"/>
    </row>
    <row r="1838">
      <c r="A1838" s="64"/>
      <c r="B1838" s="64"/>
      <c r="C1838" s="64"/>
      <c r="D1838" s="64"/>
      <c r="E1838" s="64"/>
      <c r="F1838" s="64"/>
      <c r="G1838" s="64"/>
      <c r="H1838" s="63"/>
      <c r="I1838" s="64"/>
      <c r="J1838" s="64"/>
      <c r="K1838" s="64"/>
      <c r="L1838" s="64"/>
      <c r="M1838" s="64"/>
      <c r="N1838" s="64"/>
      <c r="O1838" s="64"/>
      <c r="P1838" s="64"/>
      <c r="Q1838" s="64"/>
      <c r="R1838" s="65" t="str">
        <f>IF($A1838="","",IFERROR(MINIFS(Candidates!$K$2:$K$2000,Candidates!$A$2:$A$2000,$A1838),""))</f>
        <v/>
      </c>
      <c r="S1838" s="65" t="str">
        <f>IF($A1838="","",IFERROR(MAXIFS(Candidates!$AA$2:$AA$2000,Candidates!$A$2:$A$2000,$A1838),""))</f>
        <v/>
      </c>
      <c r="T1838" s="64" t="str">
        <f>IFERROR(__xludf.DUMMYFUNCTION("IF($A1838="""","""",IFERROR(TEXTJOIN("", "",TRUE,UNIQUE(FILTER(Candidates!$B$2:$B$2000,Candidates!$A$2:$A$2000=$A1838))),""""))"),"")</f>
        <v/>
      </c>
      <c r="U1838" s="66" t="str">
        <f>IF($A1838="","",COUNTIF(Candidates!$A$2:$A$2000,$A1838))</f>
        <v/>
      </c>
      <c r="V1838" s="64" t="str">
        <f>IFERROR(__xludf.DUMMYFUNCTION("IF($A1838="""","""",IFERROR(INDEX(FILTER(Candidates!$S$2:$S$2000,Candidates!$A$2:$A$2000=$A1838),COUNTIF(Candidates!$A$2:$A$2000,$A1838)),""""))"),"")</f>
        <v/>
      </c>
      <c r="W1838" s="64" t="str">
        <f>IFERROR(__xludf.DUMMYFUNCTION("IF($A1838="""","""",IFERROR(INDEX(FILTER(Candidates!$T$2:$T$2000,Candidates!$A$2:$A$2000=$A1838),COUNTIF(Candidates!$A$2:$A$2000,$A1838)),""""))"),"")</f>
        <v/>
      </c>
      <c r="X1838" s="64"/>
      <c r="Y1838" s="64"/>
      <c r="Z1838" s="65"/>
      <c r="AA1838" s="65"/>
      <c r="AB1838" s="65"/>
      <c r="AC1838" s="65"/>
    </row>
    <row r="1839">
      <c r="A1839" s="64"/>
      <c r="B1839" s="64"/>
      <c r="C1839" s="64"/>
      <c r="D1839" s="64"/>
      <c r="E1839" s="64"/>
      <c r="F1839" s="64"/>
      <c r="G1839" s="64"/>
      <c r="H1839" s="63"/>
      <c r="I1839" s="64"/>
      <c r="J1839" s="64"/>
      <c r="K1839" s="64"/>
      <c r="L1839" s="64"/>
      <c r="M1839" s="64"/>
      <c r="N1839" s="64"/>
      <c r="O1839" s="64"/>
      <c r="P1839" s="64"/>
      <c r="Q1839" s="64"/>
      <c r="R1839" s="65" t="str">
        <f>IF($A1839="","",IFERROR(MINIFS(Candidates!$K$2:$K$2000,Candidates!$A$2:$A$2000,$A1839),""))</f>
        <v/>
      </c>
      <c r="S1839" s="65" t="str">
        <f>IF($A1839="","",IFERROR(MAXIFS(Candidates!$AA$2:$AA$2000,Candidates!$A$2:$A$2000,$A1839),""))</f>
        <v/>
      </c>
      <c r="T1839" s="64" t="str">
        <f>IFERROR(__xludf.DUMMYFUNCTION("IF($A1839="""","""",IFERROR(TEXTJOIN("", "",TRUE,UNIQUE(FILTER(Candidates!$B$2:$B$2000,Candidates!$A$2:$A$2000=$A1839))),""""))"),"")</f>
        <v/>
      </c>
      <c r="U1839" s="66" t="str">
        <f>IF($A1839="","",COUNTIF(Candidates!$A$2:$A$2000,$A1839))</f>
        <v/>
      </c>
      <c r="V1839" s="64" t="str">
        <f>IFERROR(__xludf.DUMMYFUNCTION("IF($A1839="""","""",IFERROR(INDEX(FILTER(Candidates!$S$2:$S$2000,Candidates!$A$2:$A$2000=$A1839),COUNTIF(Candidates!$A$2:$A$2000,$A1839)),""""))"),"")</f>
        <v/>
      </c>
      <c r="W1839" s="64" t="str">
        <f>IFERROR(__xludf.DUMMYFUNCTION("IF($A1839="""","""",IFERROR(INDEX(FILTER(Candidates!$T$2:$T$2000,Candidates!$A$2:$A$2000=$A1839),COUNTIF(Candidates!$A$2:$A$2000,$A1839)),""""))"),"")</f>
        <v/>
      </c>
      <c r="X1839" s="64"/>
      <c r="Y1839" s="64"/>
      <c r="Z1839" s="65"/>
      <c r="AA1839" s="65"/>
      <c r="AB1839" s="65"/>
      <c r="AC1839" s="65"/>
    </row>
    <row r="1840">
      <c r="A1840" s="64"/>
      <c r="B1840" s="64"/>
      <c r="C1840" s="64"/>
      <c r="D1840" s="64"/>
      <c r="E1840" s="64"/>
      <c r="F1840" s="64"/>
      <c r="G1840" s="64"/>
      <c r="H1840" s="63"/>
      <c r="I1840" s="64"/>
      <c r="J1840" s="64"/>
      <c r="K1840" s="64"/>
      <c r="L1840" s="64"/>
      <c r="M1840" s="64"/>
      <c r="N1840" s="64"/>
      <c r="O1840" s="64"/>
      <c r="P1840" s="64"/>
      <c r="Q1840" s="64"/>
      <c r="R1840" s="65" t="str">
        <f>IF($A1840="","",IFERROR(MINIFS(Candidates!$K$2:$K$2000,Candidates!$A$2:$A$2000,$A1840),""))</f>
        <v/>
      </c>
      <c r="S1840" s="65" t="str">
        <f>IF($A1840="","",IFERROR(MAXIFS(Candidates!$AA$2:$AA$2000,Candidates!$A$2:$A$2000,$A1840),""))</f>
        <v/>
      </c>
      <c r="T1840" s="64" t="str">
        <f>IFERROR(__xludf.DUMMYFUNCTION("IF($A1840="""","""",IFERROR(TEXTJOIN("", "",TRUE,UNIQUE(FILTER(Candidates!$B$2:$B$2000,Candidates!$A$2:$A$2000=$A1840))),""""))"),"")</f>
        <v/>
      </c>
      <c r="U1840" s="66" t="str">
        <f>IF($A1840="","",COUNTIF(Candidates!$A$2:$A$2000,$A1840))</f>
        <v/>
      </c>
      <c r="V1840" s="64" t="str">
        <f>IFERROR(__xludf.DUMMYFUNCTION("IF($A1840="""","""",IFERROR(INDEX(FILTER(Candidates!$S$2:$S$2000,Candidates!$A$2:$A$2000=$A1840),COUNTIF(Candidates!$A$2:$A$2000,$A1840)),""""))"),"")</f>
        <v/>
      </c>
      <c r="W1840" s="64" t="str">
        <f>IFERROR(__xludf.DUMMYFUNCTION("IF($A1840="""","""",IFERROR(INDEX(FILTER(Candidates!$T$2:$T$2000,Candidates!$A$2:$A$2000=$A1840),COUNTIF(Candidates!$A$2:$A$2000,$A1840)),""""))"),"")</f>
        <v/>
      </c>
      <c r="X1840" s="64"/>
      <c r="Y1840" s="64"/>
      <c r="Z1840" s="65"/>
      <c r="AA1840" s="65"/>
      <c r="AB1840" s="65"/>
      <c r="AC1840" s="65"/>
    </row>
    <row r="1841">
      <c r="A1841" s="64"/>
      <c r="B1841" s="64"/>
      <c r="C1841" s="64"/>
      <c r="D1841" s="64"/>
      <c r="E1841" s="64"/>
      <c r="F1841" s="64"/>
      <c r="G1841" s="64"/>
      <c r="H1841" s="63"/>
      <c r="I1841" s="64"/>
      <c r="J1841" s="64"/>
      <c r="K1841" s="64"/>
      <c r="L1841" s="64"/>
      <c r="M1841" s="64"/>
      <c r="N1841" s="64"/>
      <c r="O1841" s="64"/>
      <c r="P1841" s="64"/>
      <c r="Q1841" s="64"/>
      <c r="R1841" s="65" t="str">
        <f>IF($A1841="","",IFERROR(MINIFS(Candidates!$K$2:$K$2000,Candidates!$A$2:$A$2000,$A1841),""))</f>
        <v/>
      </c>
      <c r="S1841" s="65" t="str">
        <f>IF($A1841="","",IFERROR(MAXIFS(Candidates!$AA$2:$AA$2000,Candidates!$A$2:$A$2000,$A1841),""))</f>
        <v/>
      </c>
      <c r="T1841" s="64" t="str">
        <f>IFERROR(__xludf.DUMMYFUNCTION("IF($A1841="""","""",IFERROR(TEXTJOIN("", "",TRUE,UNIQUE(FILTER(Candidates!$B$2:$B$2000,Candidates!$A$2:$A$2000=$A1841))),""""))"),"")</f>
        <v/>
      </c>
      <c r="U1841" s="66" t="str">
        <f>IF($A1841="","",COUNTIF(Candidates!$A$2:$A$2000,$A1841))</f>
        <v/>
      </c>
      <c r="V1841" s="64" t="str">
        <f>IFERROR(__xludf.DUMMYFUNCTION("IF($A1841="""","""",IFERROR(INDEX(FILTER(Candidates!$S$2:$S$2000,Candidates!$A$2:$A$2000=$A1841),COUNTIF(Candidates!$A$2:$A$2000,$A1841)),""""))"),"")</f>
        <v/>
      </c>
      <c r="W1841" s="64" t="str">
        <f>IFERROR(__xludf.DUMMYFUNCTION("IF($A1841="""","""",IFERROR(INDEX(FILTER(Candidates!$T$2:$T$2000,Candidates!$A$2:$A$2000=$A1841),COUNTIF(Candidates!$A$2:$A$2000,$A1841)),""""))"),"")</f>
        <v/>
      </c>
      <c r="X1841" s="64"/>
      <c r="Y1841" s="64"/>
      <c r="Z1841" s="65"/>
      <c r="AA1841" s="65"/>
      <c r="AB1841" s="65"/>
      <c r="AC1841" s="65"/>
    </row>
    <row r="1842">
      <c r="A1842" s="64"/>
      <c r="B1842" s="64"/>
      <c r="C1842" s="64"/>
      <c r="D1842" s="64"/>
      <c r="E1842" s="64"/>
      <c r="F1842" s="64"/>
      <c r="G1842" s="64"/>
      <c r="H1842" s="63"/>
      <c r="I1842" s="64"/>
      <c r="J1842" s="64"/>
      <c r="K1842" s="64"/>
      <c r="L1842" s="64"/>
      <c r="M1842" s="64"/>
      <c r="N1842" s="64"/>
      <c r="O1842" s="64"/>
      <c r="P1842" s="64"/>
      <c r="Q1842" s="64"/>
      <c r="R1842" s="65" t="str">
        <f>IF($A1842="","",IFERROR(MINIFS(Candidates!$K$2:$K$2000,Candidates!$A$2:$A$2000,$A1842),""))</f>
        <v/>
      </c>
      <c r="S1842" s="65" t="str">
        <f>IF($A1842="","",IFERROR(MAXIFS(Candidates!$AA$2:$AA$2000,Candidates!$A$2:$A$2000,$A1842),""))</f>
        <v/>
      </c>
      <c r="T1842" s="64" t="str">
        <f>IFERROR(__xludf.DUMMYFUNCTION("IF($A1842="""","""",IFERROR(TEXTJOIN("", "",TRUE,UNIQUE(FILTER(Candidates!$B$2:$B$2000,Candidates!$A$2:$A$2000=$A1842))),""""))"),"")</f>
        <v/>
      </c>
      <c r="U1842" s="66" t="str">
        <f>IF($A1842="","",COUNTIF(Candidates!$A$2:$A$2000,$A1842))</f>
        <v/>
      </c>
      <c r="V1842" s="64" t="str">
        <f>IFERROR(__xludf.DUMMYFUNCTION("IF($A1842="""","""",IFERROR(INDEX(FILTER(Candidates!$S$2:$S$2000,Candidates!$A$2:$A$2000=$A1842),COUNTIF(Candidates!$A$2:$A$2000,$A1842)),""""))"),"")</f>
        <v/>
      </c>
      <c r="W1842" s="64" t="str">
        <f>IFERROR(__xludf.DUMMYFUNCTION("IF($A1842="""","""",IFERROR(INDEX(FILTER(Candidates!$T$2:$T$2000,Candidates!$A$2:$A$2000=$A1842),COUNTIF(Candidates!$A$2:$A$2000,$A1842)),""""))"),"")</f>
        <v/>
      </c>
      <c r="X1842" s="64"/>
      <c r="Y1842" s="64"/>
      <c r="Z1842" s="65"/>
      <c r="AA1842" s="65"/>
      <c r="AB1842" s="65"/>
      <c r="AC1842" s="65"/>
    </row>
    <row r="1843">
      <c r="A1843" s="64"/>
      <c r="B1843" s="64"/>
      <c r="C1843" s="64"/>
      <c r="D1843" s="64"/>
      <c r="E1843" s="64"/>
      <c r="F1843" s="64"/>
      <c r="G1843" s="64"/>
      <c r="H1843" s="63"/>
      <c r="I1843" s="64"/>
      <c r="J1843" s="64"/>
      <c r="K1843" s="64"/>
      <c r="L1843" s="64"/>
      <c r="M1843" s="64"/>
      <c r="N1843" s="64"/>
      <c r="O1843" s="64"/>
      <c r="P1843" s="64"/>
      <c r="Q1843" s="64"/>
      <c r="R1843" s="65" t="str">
        <f>IF($A1843="","",IFERROR(MINIFS(Candidates!$K$2:$K$2000,Candidates!$A$2:$A$2000,$A1843),""))</f>
        <v/>
      </c>
      <c r="S1843" s="65" t="str">
        <f>IF($A1843="","",IFERROR(MAXIFS(Candidates!$AA$2:$AA$2000,Candidates!$A$2:$A$2000,$A1843),""))</f>
        <v/>
      </c>
      <c r="T1843" s="64" t="str">
        <f>IFERROR(__xludf.DUMMYFUNCTION("IF($A1843="""","""",IFERROR(TEXTJOIN("", "",TRUE,UNIQUE(FILTER(Candidates!$B$2:$B$2000,Candidates!$A$2:$A$2000=$A1843))),""""))"),"")</f>
        <v/>
      </c>
      <c r="U1843" s="66" t="str">
        <f>IF($A1843="","",COUNTIF(Candidates!$A$2:$A$2000,$A1843))</f>
        <v/>
      </c>
      <c r="V1843" s="64" t="str">
        <f>IFERROR(__xludf.DUMMYFUNCTION("IF($A1843="""","""",IFERROR(INDEX(FILTER(Candidates!$S$2:$S$2000,Candidates!$A$2:$A$2000=$A1843),COUNTIF(Candidates!$A$2:$A$2000,$A1843)),""""))"),"")</f>
        <v/>
      </c>
      <c r="W1843" s="64" t="str">
        <f>IFERROR(__xludf.DUMMYFUNCTION("IF($A1843="""","""",IFERROR(INDEX(FILTER(Candidates!$T$2:$T$2000,Candidates!$A$2:$A$2000=$A1843),COUNTIF(Candidates!$A$2:$A$2000,$A1843)),""""))"),"")</f>
        <v/>
      </c>
      <c r="X1843" s="64"/>
      <c r="Y1843" s="64"/>
      <c r="Z1843" s="65"/>
      <c r="AA1843" s="65"/>
      <c r="AB1843" s="65"/>
      <c r="AC1843" s="65"/>
    </row>
    <row r="1844">
      <c r="A1844" s="64"/>
      <c r="B1844" s="64"/>
      <c r="C1844" s="64"/>
      <c r="D1844" s="64"/>
      <c r="E1844" s="64"/>
      <c r="F1844" s="64"/>
      <c r="G1844" s="64"/>
      <c r="H1844" s="63"/>
      <c r="I1844" s="64"/>
      <c r="J1844" s="64"/>
      <c r="K1844" s="64"/>
      <c r="L1844" s="64"/>
      <c r="M1844" s="64"/>
      <c r="N1844" s="64"/>
      <c r="O1844" s="64"/>
      <c r="P1844" s="64"/>
      <c r="Q1844" s="64"/>
      <c r="R1844" s="65" t="str">
        <f>IF($A1844="","",IFERROR(MINIFS(Candidates!$K$2:$K$2000,Candidates!$A$2:$A$2000,$A1844),""))</f>
        <v/>
      </c>
      <c r="S1844" s="65" t="str">
        <f>IF($A1844="","",IFERROR(MAXIFS(Candidates!$AA$2:$AA$2000,Candidates!$A$2:$A$2000,$A1844),""))</f>
        <v/>
      </c>
      <c r="T1844" s="64" t="str">
        <f>IFERROR(__xludf.DUMMYFUNCTION("IF($A1844="""","""",IFERROR(TEXTJOIN("", "",TRUE,UNIQUE(FILTER(Candidates!$B$2:$B$2000,Candidates!$A$2:$A$2000=$A1844))),""""))"),"")</f>
        <v/>
      </c>
      <c r="U1844" s="66" t="str">
        <f>IF($A1844="","",COUNTIF(Candidates!$A$2:$A$2000,$A1844))</f>
        <v/>
      </c>
      <c r="V1844" s="64" t="str">
        <f>IFERROR(__xludf.DUMMYFUNCTION("IF($A1844="""","""",IFERROR(INDEX(FILTER(Candidates!$S$2:$S$2000,Candidates!$A$2:$A$2000=$A1844),COUNTIF(Candidates!$A$2:$A$2000,$A1844)),""""))"),"")</f>
        <v/>
      </c>
      <c r="W1844" s="64" t="str">
        <f>IFERROR(__xludf.DUMMYFUNCTION("IF($A1844="""","""",IFERROR(INDEX(FILTER(Candidates!$T$2:$T$2000,Candidates!$A$2:$A$2000=$A1844),COUNTIF(Candidates!$A$2:$A$2000,$A1844)),""""))"),"")</f>
        <v/>
      </c>
      <c r="X1844" s="64"/>
      <c r="Y1844" s="64"/>
      <c r="Z1844" s="65"/>
      <c r="AA1844" s="65"/>
      <c r="AB1844" s="65"/>
      <c r="AC1844" s="65"/>
    </row>
    <row r="1845">
      <c r="A1845" s="64"/>
      <c r="B1845" s="64"/>
      <c r="C1845" s="64"/>
      <c r="D1845" s="64"/>
      <c r="E1845" s="64"/>
      <c r="F1845" s="64"/>
      <c r="G1845" s="64"/>
      <c r="H1845" s="63"/>
      <c r="I1845" s="64"/>
      <c r="J1845" s="64"/>
      <c r="K1845" s="64"/>
      <c r="L1845" s="64"/>
      <c r="M1845" s="64"/>
      <c r="N1845" s="64"/>
      <c r="O1845" s="64"/>
      <c r="P1845" s="64"/>
      <c r="Q1845" s="64"/>
      <c r="R1845" s="65" t="str">
        <f>IF($A1845="","",IFERROR(MINIFS(Candidates!$K$2:$K$2000,Candidates!$A$2:$A$2000,$A1845),""))</f>
        <v/>
      </c>
      <c r="S1845" s="65" t="str">
        <f>IF($A1845="","",IFERROR(MAXIFS(Candidates!$AA$2:$AA$2000,Candidates!$A$2:$A$2000,$A1845),""))</f>
        <v/>
      </c>
      <c r="T1845" s="64" t="str">
        <f>IFERROR(__xludf.DUMMYFUNCTION("IF($A1845="""","""",IFERROR(TEXTJOIN("", "",TRUE,UNIQUE(FILTER(Candidates!$B$2:$B$2000,Candidates!$A$2:$A$2000=$A1845))),""""))"),"")</f>
        <v/>
      </c>
      <c r="U1845" s="66" t="str">
        <f>IF($A1845="","",COUNTIF(Candidates!$A$2:$A$2000,$A1845))</f>
        <v/>
      </c>
      <c r="V1845" s="64" t="str">
        <f>IFERROR(__xludf.DUMMYFUNCTION("IF($A1845="""","""",IFERROR(INDEX(FILTER(Candidates!$S$2:$S$2000,Candidates!$A$2:$A$2000=$A1845),COUNTIF(Candidates!$A$2:$A$2000,$A1845)),""""))"),"")</f>
        <v/>
      </c>
      <c r="W1845" s="64" t="str">
        <f>IFERROR(__xludf.DUMMYFUNCTION("IF($A1845="""","""",IFERROR(INDEX(FILTER(Candidates!$T$2:$T$2000,Candidates!$A$2:$A$2000=$A1845),COUNTIF(Candidates!$A$2:$A$2000,$A1845)),""""))"),"")</f>
        <v/>
      </c>
      <c r="X1845" s="64"/>
      <c r="Y1845" s="64"/>
      <c r="Z1845" s="65"/>
      <c r="AA1845" s="65"/>
      <c r="AB1845" s="65"/>
      <c r="AC1845" s="65"/>
    </row>
    <row r="1846">
      <c r="A1846" s="64"/>
      <c r="B1846" s="64"/>
      <c r="C1846" s="64"/>
      <c r="D1846" s="64"/>
      <c r="E1846" s="64"/>
      <c r="F1846" s="64"/>
      <c r="G1846" s="64"/>
      <c r="H1846" s="63"/>
      <c r="I1846" s="64"/>
      <c r="J1846" s="64"/>
      <c r="K1846" s="64"/>
      <c r="L1846" s="64"/>
      <c r="M1846" s="64"/>
      <c r="N1846" s="64"/>
      <c r="O1846" s="64"/>
      <c r="P1846" s="64"/>
      <c r="Q1846" s="64"/>
      <c r="R1846" s="65" t="str">
        <f>IF($A1846="","",IFERROR(MINIFS(Candidates!$K$2:$K$2000,Candidates!$A$2:$A$2000,$A1846),""))</f>
        <v/>
      </c>
      <c r="S1846" s="65" t="str">
        <f>IF($A1846="","",IFERROR(MAXIFS(Candidates!$AA$2:$AA$2000,Candidates!$A$2:$A$2000,$A1846),""))</f>
        <v/>
      </c>
      <c r="T1846" s="64" t="str">
        <f>IFERROR(__xludf.DUMMYFUNCTION("IF($A1846="""","""",IFERROR(TEXTJOIN("", "",TRUE,UNIQUE(FILTER(Candidates!$B$2:$B$2000,Candidates!$A$2:$A$2000=$A1846))),""""))"),"")</f>
        <v/>
      </c>
      <c r="U1846" s="66" t="str">
        <f>IF($A1846="","",COUNTIF(Candidates!$A$2:$A$2000,$A1846))</f>
        <v/>
      </c>
      <c r="V1846" s="64" t="str">
        <f>IFERROR(__xludf.DUMMYFUNCTION("IF($A1846="""","""",IFERROR(INDEX(FILTER(Candidates!$S$2:$S$2000,Candidates!$A$2:$A$2000=$A1846),COUNTIF(Candidates!$A$2:$A$2000,$A1846)),""""))"),"")</f>
        <v/>
      </c>
      <c r="W1846" s="64" t="str">
        <f>IFERROR(__xludf.DUMMYFUNCTION("IF($A1846="""","""",IFERROR(INDEX(FILTER(Candidates!$T$2:$T$2000,Candidates!$A$2:$A$2000=$A1846),COUNTIF(Candidates!$A$2:$A$2000,$A1846)),""""))"),"")</f>
        <v/>
      </c>
      <c r="X1846" s="64"/>
      <c r="Y1846" s="64"/>
      <c r="Z1846" s="65"/>
      <c r="AA1846" s="65"/>
      <c r="AB1846" s="65"/>
      <c r="AC1846" s="65"/>
    </row>
    <row r="1847">
      <c r="A1847" s="64"/>
      <c r="B1847" s="64"/>
      <c r="C1847" s="64"/>
      <c r="D1847" s="64"/>
      <c r="E1847" s="64"/>
      <c r="F1847" s="64"/>
      <c r="G1847" s="64"/>
      <c r="H1847" s="63"/>
      <c r="I1847" s="64"/>
      <c r="J1847" s="64"/>
      <c r="K1847" s="64"/>
      <c r="L1847" s="64"/>
      <c r="M1847" s="64"/>
      <c r="N1847" s="64"/>
      <c r="O1847" s="64"/>
      <c r="P1847" s="64"/>
      <c r="Q1847" s="64"/>
      <c r="R1847" s="65" t="str">
        <f>IF($A1847="","",IFERROR(MINIFS(Candidates!$K$2:$K$2000,Candidates!$A$2:$A$2000,$A1847),""))</f>
        <v/>
      </c>
      <c r="S1847" s="65" t="str">
        <f>IF($A1847="","",IFERROR(MAXIFS(Candidates!$AA$2:$AA$2000,Candidates!$A$2:$A$2000,$A1847),""))</f>
        <v/>
      </c>
      <c r="T1847" s="64" t="str">
        <f>IFERROR(__xludf.DUMMYFUNCTION("IF($A1847="""","""",IFERROR(TEXTJOIN("", "",TRUE,UNIQUE(FILTER(Candidates!$B$2:$B$2000,Candidates!$A$2:$A$2000=$A1847))),""""))"),"")</f>
        <v/>
      </c>
      <c r="U1847" s="66" t="str">
        <f>IF($A1847="","",COUNTIF(Candidates!$A$2:$A$2000,$A1847))</f>
        <v/>
      </c>
      <c r="V1847" s="64" t="str">
        <f>IFERROR(__xludf.DUMMYFUNCTION("IF($A1847="""","""",IFERROR(INDEX(FILTER(Candidates!$S$2:$S$2000,Candidates!$A$2:$A$2000=$A1847),COUNTIF(Candidates!$A$2:$A$2000,$A1847)),""""))"),"")</f>
        <v/>
      </c>
      <c r="W1847" s="64" t="str">
        <f>IFERROR(__xludf.DUMMYFUNCTION("IF($A1847="""","""",IFERROR(INDEX(FILTER(Candidates!$T$2:$T$2000,Candidates!$A$2:$A$2000=$A1847),COUNTIF(Candidates!$A$2:$A$2000,$A1847)),""""))"),"")</f>
        <v/>
      </c>
      <c r="X1847" s="64"/>
      <c r="Y1847" s="64"/>
      <c r="Z1847" s="65"/>
      <c r="AA1847" s="65"/>
      <c r="AB1847" s="65"/>
      <c r="AC1847" s="65"/>
    </row>
    <row r="1848">
      <c r="A1848" s="64"/>
      <c r="B1848" s="64"/>
      <c r="C1848" s="64"/>
      <c r="D1848" s="64"/>
      <c r="E1848" s="64"/>
      <c r="F1848" s="64"/>
      <c r="G1848" s="64"/>
      <c r="H1848" s="63"/>
      <c r="I1848" s="64"/>
      <c r="J1848" s="64"/>
      <c r="K1848" s="64"/>
      <c r="L1848" s="64"/>
      <c r="M1848" s="64"/>
      <c r="N1848" s="64"/>
      <c r="O1848" s="64"/>
      <c r="P1848" s="64"/>
      <c r="Q1848" s="64"/>
      <c r="R1848" s="65" t="str">
        <f>IF($A1848="","",IFERROR(MINIFS(Candidates!$K$2:$K$2000,Candidates!$A$2:$A$2000,$A1848),""))</f>
        <v/>
      </c>
      <c r="S1848" s="65" t="str">
        <f>IF($A1848="","",IFERROR(MAXIFS(Candidates!$AA$2:$AA$2000,Candidates!$A$2:$A$2000,$A1848),""))</f>
        <v/>
      </c>
      <c r="T1848" s="64" t="str">
        <f>IFERROR(__xludf.DUMMYFUNCTION("IF($A1848="""","""",IFERROR(TEXTJOIN("", "",TRUE,UNIQUE(FILTER(Candidates!$B$2:$B$2000,Candidates!$A$2:$A$2000=$A1848))),""""))"),"")</f>
        <v/>
      </c>
      <c r="U1848" s="66" t="str">
        <f>IF($A1848="","",COUNTIF(Candidates!$A$2:$A$2000,$A1848))</f>
        <v/>
      </c>
      <c r="V1848" s="64" t="str">
        <f>IFERROR(__xludf.DUMMYFUNCTION("IF($A1848="""","""",IFERROR(INDEX(FILTER(Candidates!$S$2:$S$2000,Candidates!$A$2:$A$2000=$A1848),COUNTIF(Candidates!$A$2:$A$2000,$A1848)),""""))"),"")</f>
        <v/>
      </c>
      <c r="W1848" s="64" t="str">
        <f>IFERROR(__xludf.DUMMYFUNCTION("IF($A1848="""","""",IFERROR(INDEX(FILTER(Candidates!$T$2:$T$2000,Candidates!$A$2:$A$2000=$A1848),COUNTIF(Candidates!$A$2:$A$2000,$A1848)),""""))"),"")</f>
        <v/>
      </c>
      <c r="X1848" s="64"/>
      <c r="Y1848" s="64"/>
      <c r="Z1848" s="65"/>
      <c r="AA1848" s="65"/>
      <c r="AB1848" s="65"/>
      <c r="AC1848" s="65"/>
    </row>
    <row r="1849">
      <c r="A1849" s="64"/>
      <c r="B1849" s="64"/>
      <c r="C1849" s="64"/>
      <c r="D1849" s="64"/>
      <c r="E1849" s="64"/>
      <c r="F1849" s="64"/>
      <c r="G1849" s="64"/>
      <c r="H1849" s="63"/>
      <c r="I1849" s="64"/>
      <c r="J1849" s="64"/>
      <c r="K1849" s="64"/>
      <c r="L1849" s="64"/>
      <c r="M1849" s="64"/>
      <c r="N1849" s="64"/>
      <c r="O1849" s="64"/>
      <c r="P1849" s="64"/>
      <c r="Q1849" s="64"/>
      <c r="R1849" s="65" t="str">
        <f>IF($A1849="","",IFERROR(MINIFS(Candidates!$K$2:$K$2000,Candidates!$A$2:$A$2000,$A1849),""))</f>
        <v/>
      </c>
      <c r="S1849" s="65" t="str">
        <f>IF($A1849="","",IFERROR(MAXIFS(Candidates!$AA$2:$AA$2000,Candidates!$A$2:$A$2000,$A1849),""))</f>
        <v/>
      </c>
      <c r="T1849" s="64" t="str">
        <f>IFERROR(__xludf.DUMMYFUNCTION("IF($A1849="""","""",IFERROR(TEXTJOIN("", "",TRUE,UNIQUE(FILTER(Candidates!$B$2:$B$2000,Candidates!$A$2:$A$2000=$A1849))),""""))"),"")</f>
        <v/>
      </c>
      <c r="U1849" s="66" t="str">
        <f>IF($A1849="","",COUNTIF(Candidates!$A$2:$A$2000,$A1849))</f>
        <v/>
      </c>
      <c r="V1849" s="64" t="str">
        <f>IFERROR(__xludf.DUMMYFUNCTION("IF($A1849="""","""",IFERROR(INDEX(FILTER(Candidates!$S$2:$S$2000,Candidates!$A$2:$A$2000=$A1849),COUNTIF(Candidates!$A$2:$A$2000,$A1849)),""""))"),"")</f>
        <v/>
      </c>
      <c r="W1849" s="64" t="str">
        <f>IFERROR(__xludf.DUMMYFUNCTION("IF($A1849="""","""",IFERROR(INDEX(FILTER(Candidates!$T$2:$T$2000,Candidates!$A$2:$A$2000=$A1849),COUNTIF(Candidates!$A$2:$A$2000,$A1849)),""""))"),"")</f>
        <v/>
      </c>
      <c r="X1849" s="64"/>
      <c r="Y1849" s="64"/>
      <c r="Z1849" s="65"/>
      <c r="AA1849" s="65"/>
      <c r="AB1849" s="65"/>
      <c r="AC1849" s="65"/>
    </row>
    <row r="1850">
      <c r="A1850" s="64"/>
      <c r="B1850" s="64"/>
      <c r="C1850" s="64"/>
      <c r="D1850" s="64"/>
      <c r="E1850" s="64"/>
      <c r="F1850" s="64"/>
      <c r="G1850" s="64"/>
      <c r="H1850" s="63"/>
      <c r="I1850" s="64"/>
      <c r="J1850" s="64"/>
      <c r="K1850" s="64"/>
      <c r="L1850" s="64"/>
      <c r="M1850" s="64"/>
      <c r="N1850" s="64"/>
      <c r="O1850" s="64"/>
      <c r="P1850" s="64"/>
      <c r="Q1850" s="64"/>
      <c r="R1850" s="65" t="str">
        <f>IF($A1850="","",IFERROR(MINIFS(Candidates!$K$2:$K$2000,Candidates!$A$2:$A$2000,$A1850),""))</f>
        <v/>
      </c>
      <c r="S1850" s="65" t="str">
        <f>IF($A1850="","",IFERROR(MAXIFS(Candidates!$AA$2:$AA$2000,Candidates!$A$2:$A$2000,$A1850),""))</f>
        <v/>
      </c>
      <c r="T1850" s="64" t="str">
        <f>IFERROR(__xludf.DUMMYFUNCTION("IF($A1850="""","""",IFERROR(TEXTJOIN("", "",TRUE,UNIQUE(FILTER(Candidates!$B$2:$B$2000,Candidates!$A$2:$A$2000=$A1850))),""""))"),"")</f>
        <v/>
      </c>
      <c r="U1850" s="66" t="str">
        <f>IF($A1850="","",COUNTIF(Candidates!$A$2:$A$2000,$A1850))</f>
        <v/>
      </c>
      <c r="V1850" s="64" t="str">
        <f>IFERROR(__xludf.DUMMYFUNCTION("IF($A1850="""","""",IFERROR(INDEX(FILTER(Candidates!$S$2:$S$2000,Candidates!$A$2:$A$2000=$A1850),COUNTIF(Candidates!$A$2:$A$2000,$A1850)),""""))"),"")</f>
        <v/>
      </c>
      <c r="W1850" s="64" t="str">
        <f>IFERROR(__xludf.DUMMYFUNCTION("IF($A1850="""","""",IFERROR(INDEX(FILTER(Candidates!$T$2:$T$2000,Candidates!$A$2:$A$2000=$A1850),COUNTIF(Candidates!$A$2:$A$2000,$A1850)),""""))"),"")</f>
        <v/>
      </c>
      <c r="X1850" s="64"/>
      <c r="Y1850" s="64"/>
      <c r="Z1850" s="65"/>
      <c r="AA1850" s="65"/>
      <c r="AB1850" s="65"/>
      <c r="AC1850" s="65"/>
    </row>
    <row r="1851">
      <c r="A1851" s="64"/>
      <c r="B1851" s="64"/>
      <c r="C1851" s="64"/>
      <c r="D1851" s="64"/>
      <c r="E1851" s="64"/>
      <c r="F1851" s="64"/>
      <c r="G1851" s="64"/>
      <c r="H1851" s="63"/>
      <c r="I1851" s="64"/>
      <c r="J1851" s="64"/>
      <c r="K1851" s="64"/>
      <c r="L1851" s="64"/>
      <c r="M1851" s="64"/>
      <c r="N1851" s="64"/>
      <c r="O1851" s="64"/>
      <c r="P1851" s="64"/>
      <c r="Q1851" s="64"/>
      <c r="R1851" s="65" t="str">
        <f>IF($A1851="","",IFERROR(MINIFS(Candidates!$K$2:$K$2000,Candidates!$A$2:$A$2000,$A1851),""))</f>
        <v/>
      </c>
      <c r="S1851" s="65" t="str">
        <f>IF($A1851="","",IFERROR(MAXIFS(Candidates!$AA$2:$AA$2000,Candidates!$A$2:$A$2000,$A1851),""))</f>
        <v/>
      </c>
      <c r="T1851" s="64" t="str">
        <f>IFERROR(__xludf.DUMMYFUNCTION("IF($A1851="""","""",IFERROR(TEXTJOIN("", "",TRUE,UNIQUE(FILTER(Candidates!$B$2:$B$2000,Candidates!$A$2:$A$2000=$A1851))),""""))"),"")</f>
        <v/>
      </c>
      <c r="U1851" s="66" t="str">
        <f>IF($A1851="","",COUNTIF(Candidates!$A$2:$A$2000,$A1851))</f>
        <v/>
      </c>
      <c r="V1851" s="64" t="str">
        <f>IFERROR(__xludf.DUMMYFUNCTION("IF($A1851="""","""",IFERROR(INDEX(FILTER(Candidates!$S$2:$S$2000,Candidates!$A$2:$A$2000=$A1851),COUNTIF(Candidates!$A$2:$A$2000,$A1851)),""""))"),"")</f>
        <v/>
      </c>
      <c r="W1851" s="64" t="str">
        <f>IFERROR(__xludf.DUMMYFUNCTION("IF($A1851="""","""",IFERROR(INDEX(FILTER(Candidates!$T$2:$T$2000,Candidates!$A$2:$A$2000=$A1851),COUNTIF(Candidates!$A$2:$A$2000,$A1851)),""""))"),"")</f>
        <v/>
      </c>
      <c r="X1851" s="64"/>
      <c r="Y1851" s="64"/>
      <c r="Z1851" s="65"/>
      <c r="AA1851" s="65"/>
      <c r="AB1851" s="65"/>
      <c r="AC1851" s="65"/>
    </row>
    <row r="1852">
      <c r="A1852" s="64"/>
      <c r="B1852" s="64"/>
      <c r="C1852" s="64"/>
      <c r="D1852" s="64"/>
      <c r="E1852" s="64"/>
      <c r="F1852" s="64"/>
      <c r="G1852" s="64"/>
      <c r="H1852" s="63"/>
      <c r="I1852" s="64"/>
      <c r="J1852" s="64"/>
      <c r="K1852" s="64"/>
      <c r="L1852" s="64"/>
      <c r="M1852" s="64"/>
      <c r="N1852" s="64"/>
      <c r="O1852" s="64"/>
      <c r="P1852" s="64"/>
      <c r="Q1852" s="64"/>
      <c r="R1852" s="65" t="str">
        <f>IF($A1852="","",IFERROR(MINIFS(Candidates!$K$2:$K$2000,Candidates!$A$2:$A$2000,$A1852),""))</f>
        <v/>
      </c>
      <c r="S1852" s="65" t="str">
        <f>IF($A1852="","",IFERROR(MAXIFS(Candidates!$AA$2:$AA$2000,Candidates!$A$2:$A$2000,$A1852),""))</f>
        <v/>
      </c>
      <c r="T1852" s="64" t="str">
        <f>IFERROR(__xludf.DUMMYFUNCTION("IF($A1852="""","""",IFERROR(TEXTJOIN("", "",TRUE,UNIQUE(FILTER(Candidates!$B$2:$B$2000,Candidates!$A$2:$A$2000=$A1852))),""""))"),"")</f>
        <v/>
      </c>
      <c r="U1852" s="66" t="str">
        <f>IF($A1852="","",COUNTIF(Candidates!$A$2:$A$2000,$A1852))</f>
        <v/>
      </c>
      <c r="V1852" s="64" t="str">
        <f>IFERROR(__xludf.DUMMYFUNCTION("IF($A1852="""","""",IFERROR(INDEX(FILTER(Candidates!$S$2:$S$2000,Candidates!$A$2:$A$2000=$A1852),COUNTIF(Candidates!$A$2:$A$2000,$A1852)),""""))"),"")</f>
        <v/>
      </c>
      <c r="W1852" s="64" t="str">
        <f>IFERROR(__xludf.DUMMYFUNCTION("IF($A1852="""","""",IFERROR(INDEX(FILTER(Candidates!$T$2:$T$2000,Candidates!$A$2:$A$2000=$A1852),COUNTIF(Candidates!$A$2:$A$2000,$A1852)),""""))"),"")</f>
        <v/>
      </c>
      <c r="X1852" s="64"/>
      <c r="Y1852" s="64"/>
      <c r="Z1852" s="65"/>
      <c r="AA1852" s="65"/>
      <c r="AB1852" s="65"/>
      <c r="AC1852" s="65"/>
    </row>
    <row r="1853">
      <c r="A1853" s="64"/>
      <c r="B1853" s="64"/>
      <c r="C1853" s="64"/>
      <c r="D1853" s="64"/>
      <c r="E1853" s="64"/>
      <c r="F1853" s="64"/>
      <c r="G1853" s="64"/>
      <c r="H1853" s="63"/>
      <c r="I1853" s="64"/>
      <c r="J1853" s="64"/>
      <c r="K1853" s="64"/>
      <c r="L1853" s="64"/>
      <c r="M1853" s="64"/>
      <c r="N1853" s="64"/>
      <c r="O1853" s="64"/>
      <c r="P1853" s="64"/>
      <c r="Q1853" s="64"/>
      <c r="R1853" s="65" t="str">
        <f>IF($A1853="","",IFERROR(MINIFS(Candidates!$K$2:$K$2000,Candidates!$A$2:$A$2000,$A1853),""))</f>
        <v/>
      </c>
      <c r="S1853" s="65" t="str">
        <f>IF($A1853="","",IFERROR(MAXIFS(Candidates!$AA$2:$AA$2000,Candidates!$A$2:$A$2000,$A1853),""))</f>
        <v/>
      </c>
      <c r="T1853" s="64" t="str">
        <f>IFERROR(__xludf.DUMMYFUNCTION("IF($A1853="""","""",IFERROR(TEXTJOIN("", "",TRUE,UNIQUE(FILTER(Candidates!$B$2:$B$2000,Candidates!$A$2:$A$2000=$A1853))),""""))"),"")</f>
        <v/>
      </c>
      <c r="U1853" s="66" t="str">
        <f>IF($A1853="","",COUNTIF(Candidates!$A$2:$A$2000,$A1853))</f>
        <v/>
      </c>
      <c r="V1853" s="64" t="str">
        <f>IFERROR(__xludf.DUMMYFUNCTION("IF($A1853="""","""",IFERROR(INDEX(FILTER(Candidates!$S$2:$S$2000,Candidates!$A$2:$A$2000=$A1853),COUNTIF(Candidates!$A$2:$A$2000,$A1853)),""""))"),"")</f>
        <v/>
      </c>
      <c r="W1853" s="64" t="str">
        <f>IFERROR(__xludf.DUMMYFUNCTION("IF($A1853="""","""",IFERROR(INDEX(FILTER(Candidates!$T$2:$T$2000,Candidates!$A$2:$A$2000=$A1853),COUNTIF(Candidates!$A$2:$A$2000,$A1853)),""""))"),"")</f>
        <v/>
      </c>
      <c r="X1853" s="64"/>
      <c r="Y1853" s="64"/>
      <c r="Z1853" s="65"/>
      <c r="AA1853" s="65"/>
      <c r="AB1853" s="65"/>
      <c r="AC1853" s="65"/>
    </row>
    <row r="1854">
      <c r="A1854" s="64"/>
      <c r="B1854" s="64"/>
      <c r="C1854" s="64"/>
      <c r="D1854" s="64"/>
      <c r="E1854" s="64"/>
      <c r="F1854" s="64"/>
      <c r="G1854" s="64"/>
      <c r="H1854" s="63"/>
      <c r="I1854" s="64"/>
      <c r="J1854" s="64"/>
      <c r="K1854" s="64"/>
      <c r="L1854" s="64"/>
      <c r="M1854" s="64"/>
      <c r="N1854" s="64"/>
      <c r="O1854" s="64"/>
      <c r="P1854" s="64"/>
      <c r="Q1854" s="64"/>
      <c r="R1854" s="65" t="str">
        <f>IF($A1854="","",IFERROR(MINIFS(Candidates!$K$2:$K$2000,Candidates!$A$2:$A$2000,$A1854),""))</f>
        <v/>
      </c>
      <c r="S1854" s="65" t="str">
        <f>IF($A1854="","",IFERROR(MAXIFS(Candidates!$AA$2:$AA$2000,Candidates!$A$2:$A$2000,$A1854),""))</f>
        <v/>
      </c>
      <c r="T1854" s="64" t="str">
        <f>IFERROR(__xludf.DUMMYFUNCTION("IF($A1854="""","""",IFERROR(TEXTJOIN("", "",TRUE,UNIQUE(FILTER(Candidates!$B$2:$B$2000,Candidates!$A$2:$A$2000=$A1854))),""""))"),"")</f>
        <v/>
      </c>
      <c r="U1854" s="66" t="str">
        <f>IF($A1854="","",COUNTIF(Candidates!$A$2:$A$2000,$A1854))</f>
        <v/>
      </c>
      <c r="V1854" s="64" t="str">
        <f>IFERROR(__xludf.DUMMYFUNCTION("IF($A1854="""","""",IFERROR(INDEX(FILTER(Candidates!$S$2:$S$2000,Candidates!$A$2:$A$2000=$A1854),COUNTIF(Candidates!$A$2:$A$2000,$A1854)),""""))"),"")</f>
        <v/>
      </c>
      <c r="W1854" s="64" t="str">
        <f>IFERROR(__xludf.DUMMYFUNCTION("IF($A1854="""","""",IFERROR(INDEX(FILTER(Candidates!$T$2:$T$2000,Candidates!$A$2:$A$2000=$A1854),COUNTIF(Candidates!$A$2:$A$2000,$A1854)),""""))"),"")</f>
        <v/>
      </c>
      <c r="X1854" s="64"/>
      <c r="Y1854" s="64"/>
      <c r="Z1854" s="65"/>
      <c r="AA1854" s="65"/>
      <c r="AB1854" s="65"/>
      <c r="AC1854" s="65"/>
    </row>
    <row r="1855">
      <c r="A1855" s="64"/>
      <c r="B1855" s="64"/>
      <c r="C1855" s="64"/>
      <c r="D1855" s="64"/>
      <c r="E1855" s="64"/>
      <c r="F1855" s="64"/>
      <c r="G1855" s="64"/>
      <c r="H1855" s="63"/>
      <c r="I1855" s="64"/>
      <c r="J1855" s="64"/>
      <c r="K1855" s="64"/>
      <c r="L1855" s="64"/>
      <c r="M1855" s="64"/>
      <c r="N1855" s="64"/>
      <c r="O1855" s="64"/>
      <c r="P1855" s="64"/>
      <c r="Q1855" s="64"/>
      <c r="R1855" s="65" t="str">
        <f>IF($A1855="","",IFERROR(MINIFS(Candidates!$K$2:$K$2000,Candidates!$A$2:$A$2000,$A1855),""))</f>
        <v/>
      </c>
      <c r="S1855" s="65" t="str">
        <f>IF($A1855="","",IFERROR(MAXIFS(Candidates!$AA$2:$AA$2000,Candidates!$A$2:$A$2000,$A1855),""))</f>
        <v/>
      </c>
      <c r="T1855" s="64" t="str">
        <f>IFERROR(__xludf.DUMMYFUNCTION("IF($A1855="""","""",IFERROR(TEXTJOIN("", "",TRUE,UNIQUE(FILTER(Candidates!$B$2:$B$2000,Candidates!$A$2:$A$2000=$A1855))),""""))"),"")</f>
        <v/>
      </c>
      <c r="U1855" s="66" t="str">
        <f>IF($A1855="","",COUNTIF(Candidates!$A$2:$A$2000,$A1855))</f>
        <v/>
      </c>
      <c r="V1855" s="64" t="str">
        <f>IFERROR(__xludf.DUMMYFUNCTION("IF($A1855="""","""",IFERROR(INDEX(FILTER(Candidates!$S$2:$S$2000,Candidates!$A$2:$A$2000=$A1855),COUNTIF(Candidates!$A$2:$A$2000,$A1855)),""""))"),"")</f>
        <v/>
      </c>
      <c r="W1855" s="64" t="str">
        <f>IFERROR(__xludf.DUMMYFUNCTION("IF($A1855="""","""",IFERROR(INDEX(FILTER(Candidates!$T$2:$T$2000,Candidates!$A$2:$A$2000=$A1855),COUNTIF(Candidates!$A$2:$A$2000,$A1855)),""""))"),"")</f>
        <v/>
      </c>
      <c r="X1855" s="64"/>
      <c r="Y1855" s="64"/>
      <c r="Z1855" s="65"/>
      <c r="AA1855" s="65"/>
      <c r="AB1855" s="65"/>
      <c r="AC1855" s="65"/>
    </row>
    <row r="1856">
      <c r="A1856" s="64"/>
      <c r="B1856" s="64"/>
      <c r="C1856" s="64"/>
      <c r="D1856" s="64"/>
      <c r="E1856" s="64"/>
      <c r="F1856" s="64"/>
      <c r="G1856" s="64"/>
      <c r="H1856" s="63"/>
      <c r="I1856" s="64"/>
      <c r="J1856" s="64"/>
      <c r="K1856" s="64"/>
      <c r="L1856" s="64"/>
      <c r="M1856" s="64"/>
      <c r="N1856" s="64"/>
      <c r="O1856" s="64"/>
      <c r="P1856" s="64"/>
      <c r="Q1856" s="64"/>
      <c r="R1856" s="65" t="str">
        <f>IF($A1856="","",IFERROR(MINIFS(Candidates!$K$2:$K$2000,Candidates!$A$2:$A$2000,$A1856),""))</f>
        <v/>
      </c>
      <c r="S1856" s="65" t="str">
        <f>IF($A1856="","",IFERROR(MAXIFS(Candidates!$AA$2:$AA$2000,Candidates!$A$2:$A$2000,$A1856),""))</f>
        <v/>
      </c>
      <c r="T1856" s="64" t="str">
        <f>IFERROR(__xludf.DUMMYFUNCTION("IF($A1856="""","""",IFERROR(TEXTJOIN("", "",TRUE,UNIQUE(FILTER(Candidates!$B$2:$B$2000,Candidates!$A$2:$A$2000=$A1856))),""""))"),"")</f>
        <v/>
      </c>
      <c r="U1856" s="66" t="str">
        <f>IF($A1856="","",COUNTIF(Candidates!$A$2:$A$2000,$A1856))</f>
        <v/>
      </c>
      <c r="V1856" s="64" t="str">
        <f>IFERROR(__xludf.DUMMYFUNCTION("IF($A1856="""","""",IFERROR(INDEX(FILTER(Candidates!$S$2:$S$2000,Candidates!$A$2:$A$2000=$A1856),COUNTIF(Candidates!$A$2:$A$2000,$A1856)),""""))"),"")</f>
        <v/>
      </c>
      <c r="W1856" s="64" t="str">
        <f>IFERROR(__xludf.DUMMYFUNCTION("IF($A1856="""","""",IFERROR(INDEX(FILTER(Candidates!$T$2:$T$2000,Candidates!$A$2:$A$2000=$A1856),COUNTIF(Candidates!$A$2:$A$2000,$A1856)),""""))"),"")</f>
        <v/>
      </c>
      <c r="X1856" s="64"/>
      <c r="Y1856" s="64"/>
      <c r="Z1856" s="65"/>
      <c r="AA1856" s="65"/>
      <c r="AB1856" s="65"/>
      <c r="AC1856" s="65"/>
    </row>
    <row r="1857">
      <c r="A1857" s="64"/>
      <c r="B1857" s="64"/>
      <c r="C1857" s="64"/>
      <c r="D1857" s="64"/>
      <c r="E1857" s="64"/>
      <c r="F1857" s="64"/>
      <c r="G1857" s="64"/>
      <c r="H1857" s="63"/>
      <c r="I1857" s="64"/>
      <c r="J1857" s="64"/>
      <c r="K1857" s="64"/>
      <c r="L1857" s="64"/>
      <c r="M1857" s="64"/>
      <c r="N1857" s="64"/>
      <c r="O1857" s="64"/>
      <c r="P1857" s="64"/>
      <c r="Q1857" s="64"/>
      <c r="R1857" s="65" t="str">
        <f>IF($A1857="","",IFERROR(MINIFS(Candidates!$K$2:$K$2000,Candidates!$A$2:$A$2000,$A1857),""))</f>
        <v/>
      </c>
      <c r="S1857" s="65" t="str">
        <f>IF($A1857="","",IFERROR(MAXIFS(Candidates!$AA$2:$AA$2000,Candidates!$A$2:$A$2000,$A1857),""))</f>
        <v/>
      </c>
      <c r="T1857" s="64" t="str">
        <f>IFERROR(__xludf.DUMMYFUNCTION("IF($A1857="""","""",IFERROR(TEXTJOIN("", "",TRUE,UNIQUE(FILTER(Candidates!$B$2:$B$2000,Candidates!$A$2:$A$2000=$A1857))),""""))"),"")</f>
        <v/>
      </c>
      <c r="U1857" s="66" t="str">
        <f>IF($A1857="","",COUNTIF(Candidates!$A$2:$A$2000,$A1857))</f>
        <v/>
      </c>
      <c r="V1857" s="64" t="str">
        <f>IFERROR(__xludf.DUMMYFUNCTION("IF($A1857="""","""",IFERROR(INDEX(FILTER(Candidates!$S$2:$S$2000,Candidates!$A$2:$A$2000=$A1857),COUNTIF(Candidates!$A$2:$A$2000,$A1857)),""""))"),"")</f>
        <v/>
      </c>
      <c r="W1857" s="64" t="str">
        <f>IFERROR(__xludf.DUMMYFUNCTION("IF($A1857="""","""",IFERROR(INDEX(FILTER(Candidates!$T$2:$T$2000,Candidates!$A$2:$A$2000=$A1857),COUNTIF(Candidates!$A$2:$A$2000,$A1857)),""""))"),"")</f>
        <v/>
      </c>
      <c r="X1857" s="64"/>
      <c r="Y1857" s="64"/>
      <c r="Z1857" s="65"/>
      <c r="AA1857" s="65"/>
      <c r="AB1857" s="65"/>
      <c r="AC1857" s="65"/>
    </row>
    <row r="1858">
      <c r="A1858" s="64"/>
      <c r="B1858" s="64"/>
      <c r="C1858" s="64"/>
      <c r="D1858" s="64"/>
      <c r="E1858" s="64"/>
      <c r="F1858" s="64"/>
      <c r="G1858" s="64"/>
      <c r="H1858" s="63"/>
      <c r="I1858" s="64"/>
      <c r="J1858" s="64"/>
      <c r="K1858" s="64"/>
      <c r="L1858" s="64"/>
      <c r="M1858" s="64"/>
      <c r="N1858" s="64"/>
      <c r="O1858" s="64"/>
      <c r="P1858" s="64"/>
      <c r="Q1858" s="64"/>
      <c r="R1858" s="65" t="str">
        <f>IF($A1858="","",IFERROR(MINIFS(Candidates!$K$2:$K$2000,Candidates!$A$2:$A$2000,$A1858),""))</f>
        <v/>
      </c>
      <c r="S1858" s="65" t="str">
        <f>IF($A1858="","",IFERROR(MAXIFS(Candidates!$AA$2:$AA$2000,Candidates!$A$2:$A$2000,$A1858),""))</f>
        <v/>
      </c>
      <c r="T1858" s="64" t="str">
        <f>IFERROR(__xludf.DUMMYFUNCTION("IF($A1858="""","""",IFERROR(TEXTJOIN("", "",TRUE,UNIQUE(FILTER(Candidates!$B$2:$B$2000,Candidates!$A$2:$A$2000=$A1858))),""""))"),"")</f>
        <v/>
      </c>
      <c r="U1858" s="66" t="str">
        <f>IF($A1858="","",COUNTIF(Candidates!$A$2:$A$2000,$A1858))</f>
        <v/>
      </c>
      <c r="V1858" s="64" t="str">
        <f>IFERROR(__xludf.DUMMYFUNCTION("IF($A1858="""","""",IFERROR(INDEX(FILTER(Candidates!$S$2:$S$2000,Candidates!$A$2:$A$2000=$A1858),COUNTIF(Candidates!$A$2:$A$2000,$A1858)),""""))"),"")</f>
        <v/>
      </c>
      <c r="W1858" s="64" t="str">
        <f>IFERROR(__xludf.DUMMYFUNCTION("IF($A1858="""","""",IFERROR(INDEX(FILTER(Candidates!$T$2:$T$2000,Candidates!$A$2:$A$2000=$A1858),COUNTIF(Candidates!$A$2:$A$2000,$A1858)),""""))"),"")</f>
        <v/>
      </c>
      <c r="X1858" s="64"/>
      <c r="Y1858" s="64"/>
      <c r="Z1858" s="65"/>
      <c r="AA1858" s="65"/>
      <c r="AB1858" s="65"/>
      <c r="AC1858" s="65"/>
    </row>
    <row r="1859">
      <c r="A1859" s="64"/>
      <c r="B1859" s="64"/>
      <c r="C1859" s="64"/>
      <c r="D1859" s="64"/>
      <c r="E1859" s="64"/>
      <c r="F1859" s="64"/>
      <c r="G1859" s="64"/>
      <c r="H1859" s="63"/>
      <c r="I1859" s="64"/>
      <c r="J1859" s="64"/>
      <c r="K1859" s="64"/>
      <c r="L1859" s="64"/>
      <c r="M1859" s="64"/>
      <c r="N1859" s="64"/>
      <c r="O1859" s="64"/>
      <c r="P1859" s="64"/>
      <c r="Q1859" s="64"/>
      <c r="R1859" s="65" t="str">
        <f>IF($A1859="","",IFERROR(MINIFS(Candidates!$K$2:$K$2000,Candidates!$A$2:$A$2000,$A1859),""))</f>
        <v/>
      </c>
      <c r="S1859" s="65" t="str">
        <f>IF($A1859="","",IFERROR(MAXIFS(Candidates!$AA$2:$AA$2000,Candidates!$A$2:$A$2000,$A1859),""))</f>
        <v/>
      </c>
      <c r="T1859" s="64" t="str">
        <f>IFERROR(__xludf.DUMMYFUNCTION("IF($A1859="""","""",IFERROR(TEXTJOIN("", "",TRUE,UNIQUE(FILTER(Candidates!$B$2:$B$2000,Candidates!$A$2:$A$2000=$A1859))),""""))"),"")</f>
        <v/>
      </c>
      <c r="U1859" s="66" t="str">
        <f>IF($A1859="","",COUNTIF(Candidates!$A$2:$A$2000,$A1859))</f>
        <v/>
      </c>
      <c r="V1859" s="64" t="str">
        <f>IFERROR(__xludf.DUMMYFUNCTION("IF($A1859="""","""",IFERROR(INDEX(FILTER(Candidates!$S$2:$S$2000,Candidates!$A$2:$A$2000=$A1859),COUNTIF(Candidates!$A$2:$A$2000,$A1859)),""""))"),"")</f>
        <v/>
      </c>
      <c r="W1859" s="64" t="str">
        <f>IFERROR(__xludf.DUMMYFUNCTION("IF($A1859="""","""",IFERROR(INDEX(FILTER(Candidates!$T$2:$T$2000,Candidates!$A$2:$A$2000=$A1859),COUNTIF(Candidates!$A$2:$A$2000,$A1859)),""""))"),"")</f>
        <v/>
      </c>
      <c r="X1859" s="64"/>
      <c r="Y1859" s="64"/>
      <c r="Z1859" s="65"/>
      <c r="AA1859" s="65"/>
      <c r="AB1859" s="65"/>
      <c r="AC1859" s="65"/>
    </row>
    <row r="1860">
      <c r="A1860" s="64"/>
      <c r="B1860" s="64"/>
      <c r="C1860" s="64"/>
      <c r="D1860" s="64"/>
      <c r="E1860" s="64"/>
      <c r="F1860" s="64"/>
      <c r="G1860" s="64"/>
      <c r="H1860" s="63"/>
      <c r="I1860" s="64"/>
      <c r="J1860" s="64"/>
      <c r="K1860" s="64"/>
      <c r="L1860" s="64"/>
      <c r="M1860" s="64"/>
      <c r="N1860" s="64"/>
      <c r="O1860" s="64"/>
      <c r="P1860" s="64"/>
      <c r="Q1860" s="64"/>
      <c r="R1860" s="65" t="str">
        <f>IF($A1860="","",IFERROR(MINIFS(Candidates!$K$2:$K$2000,Candidates!$A$2:$A$2000,$A1860),""))</f>
        <v/>
      </c>
      <c r="S1860" s="65" t="str">
        <f>IF($A1860="","",IFERROR(MAXIFS(Candidates!$AA$2:$AA$2000,Candidates!$A$2:$A$2000,$A1860),""))</f>
        <v/>
      </c>
      <c r="T1860" s="64" t="str">
        <f>IFERROR(__xludf.DUMMYFUNCTION("IF($A1860="""","""",IFERROR(TEXTJOIN("", "",TRUE,UNIQUE(FILTER(Candidates!$B$2:$B$2000,Candidates!$A$2:$A$2000=$A1860))),""""))"),"")</f>
        <v/>
      </c>
      <c r="U1860" s="66" t="str">
        <f>IF($A1860="","",COUNTIF(Candidates!$A$2:$A$2000,$A1860))</f>
        <v/>
      </c>
      <c r="V1860" s="64" t="str">
        <f>IFERROR(__xludf.DUMMYFUNCTION("IF($A1860="""","""",IFERROR(INDEX(FILTER(Candidates!$S$2:$S$2000,Candidates!$A$2:$A$2000=$A1860),COUNTIF(Candidates!$A$2:$A$2000,$A1860)),""""))"),"")</f>
        <v/>
      </c>
      <c r="W1860" s="64" t="str">
        <f>IFERROR(__xludf.DUMMYFUNCTION("IF($A1860="""","""",IFERROR(INDEX(FILTER(Candidates!$T$2:$T$2000,Candidates!$A$2:$A$2000=$A1860),COUNTIF(Candidates!$A$2:$A$2000,$A1860)),""""))"),"")</f>
        <v/>
      </c>
      <c r="X1860" s="64"/>
      <c r="Y1860" s="64"/>
      <c r="Z1860" s="65"/>
      <c r="AA1860" s="65"/>
      <c r="AB1860" s="65"/>
      <c r="AC1860" s="65"/>
    </row>
    <row r="1861">
      <c r="A1861" s="64"/>
      <c r="B1861" s="64"/>
      <c r="C1861" s="64"/>
      <c r="D1861" s="64"/>
      <c r="E1861" s="64"/>
      <c r="F1861" s="64"/>
      <c r="G1861" s="64"/>
      <c r="H1861" s="63"/>
      <c r="I1861" s="64"/>
      <c r="J1861" s="64"/>
      <c r="K1861" s="64"/>
      <c r="L1861" s="64"/>
      <c r="M1861" s="64"/>
      <c r="N1861" s="64"/>
      <c r="O1861" s="64"/>
      <c r="P1861" s="64"/>
      <c r="Q1861" s="64"/>
      <c r="R1861" s="65" t="str">
        <f>IF($A1861="","",IFERROR(MINIFS(Candidates!$K$2:$K$2000,Candidates!$A$2:$A$2000,$A1861),""))</f>
        <v/>
      </c>
      <c r="S1861" s="65" t="str">
        <f>IF($A1861="","",IFERROR(MAXIFS(Candidates!$AA$2:$AA$2000,Candidates!$A$2:$A$2000,$A1861),""))</f>
        <v/>
      </c>
      <c r="T1861" s="64" t="str">
        <f>IFERROR(__xludf.DUMMYFUNCTION("IF($A1861="""","""",IFERROR(TEXTJOIN("", "",TRUE,UNIQUE(FILTER(Candidates!$B$2:$B$2000,Candidates!$A$2:$A$2000=$A1861))),""""))"),"")</f>
        <v/>
      </c>
      <c r="U1861" s="66" t="str">
        <f>IF($A1861="","",COUNTIF(Candidates!$A$2:$A$2000,$A1861))</f>
        <v/>
      </c>
      <c r="V1861" s="64" t="str">
        <f>IFERROR(__xludf.DUMMYFUNCTION("IF($A1861="""","""",IFERROR(INDEX(FILTER(Candidates!$S$2:$S$2000,Candidates!$A$2:$A$2000=$A1861),COUNTIF(Candidates!$A$2:$A$2000,$A1861)),""""))"),"")</f>
        <v/>
      </c>
      <c r="W1861" s="64" t="str">
        <f>IFERROR(__xludf.DUMMYFUNCTION("IF($A1861="""","""",IFERROR(INDEX(FILTER(Candidates!$T$2:$T$2000,Candidates!$A$2:$A$2000=$A1861),COUNTIF(Candidates!$A$2:$A$2000,$A1861)),""""))"),"")</f>
        <v/>
      </c>
      <c r="X1861" s="64"/>
      <c r="Y1861" s="64"/>
      <c r="Z1861" s="65"/>
      <c r="AA1861" s="65"/>
      <c r="AB1861" s="65"/>
      <c r="AC1861" s="65"/>
    </row>
    <row r="1862">
      <c r="A1862" s="64"/>
      <c r="B1862" s="64"/>
      <c r="C1862" s="64"/>
      <c r="D1862" s="64"/>
      <c r="E1862" s="64"/>
      <c r="F1862" s="64"/>
      <c r="G1862" s="64"/>
      <c r="H1862" s="63"/>
      <c r="I1862" s="64"/>
      <c r="J1862" s="64"/>
      <c r="K1862" s="64"/>
      <c r="L1862" s="64"/>
      <c r="M1862" s="64"/>
      <c r="N1862" s="64"/>
      <c r="O1862" s="64"/>
      <c r="P1862" s="64"/>
      <c r="Q1862" s="64"/>
      <c r="R1862" s="65" t="str">
        <f>IF($A1862="","",IFERROR(MINIFS(Candidates!$K$2:$K$2000,Candidates!$A$2:$A$2000,$A1862),""))</f>
        <v/>
      </c>
      <c r="S1862" s="65" t="str">
        <f>IF($A1862="","",IFERROR(MAXIFS(Candidates!$AA$2:$AA$2000,Candidates!$A$2:$A$2000,$A1862),""))</f>
        <v/>
      </c>
      <c r="T1862" s="64" t="str">
        <f>IFERROR(__xludf.DUMMYFUNCTION("IF($A1862="""","""",IFERROR(TEXTJOIN("", "",TRUE,UNIQUE(FILTER(Candidates!$B$2:$B$2000,Candidates!$A$2:$A$2000=$A1862))),""""))"),"")</f>
        <v/>
      </c>
      <c r="U1862" s="66" t="str">
        <f>IF($A1862="","",COUNTIF(Candidates!$A$2:$A$2000,$A1862))</f>
        <v/>
      </c>
      <c r="V1862" s="64" t="str">
        <f>IFERROR(__xludf.DUMMYFUNCTION("IF($A1862="""","""",IFERROR(INDEX(FILTER(Candidates!$S$2:$S$2000,Candidates!$A$2:$A$2000=$A1862),COUNTIF(Candidates!$A$2:$A$2000,$A1862)),""""))"),"")</f>
        <v/>
      </c>
      <c r="W1862" s="64" t="str">
        <f>IFERROR(__xludf.DUMMYFUNCTION("IF($A1862="""","""",IFERROR(INDEX(FILTER(Candidates!$T$2:$T$2000,Candidates!$A$2:$A$2000=$A1862),COUNTIF(Candidates!$A$2:$A$2000,$A1862)),""""))"),"")</f>
        <v/>
      </c>
      <c r="X1862" s="64"/>
      <c r="Y1862" s="64"/>
      <c r="Z1862" s="65"/>
      <c r="AA1862" s="65"/>
      <c r="AB1862" s="65"/>
      <c r="AC1862" s="65"/>
    </row>
    <row r="1863">
      <c r="A1863" s="64"/>
      <c r="B1863" s="64"/>
      <c r="C1863" s="64"/>
      <c r="D1863" s="64"/>
      <c r="E1863" s="64"/>
      <c r="F1863" s="64"/>
      <c r="G1863" s="64"/>
      <c r="H1863" s="63"/>
      <c r="I1863" s="64"/>
      <c r="J1863" s="64"/>
      <c r="K1863" s="64"/>
      <c r="L1863" s="64"/>
      <c r="M1863" s="64"/>
      <c r="N1863" s="64"/>
      <c r="O1863" s="64"/>
      <c r="P1863" s="64"/>
      <c r="Q1863" s="64"/>
      <c r="R1863" s="65" t="str">
        <f>IF($A1863="","",IFERROR(MINIFS(Candidates!$K$2:$K$2000,Candidates!$A$2:$A$2000,$A1863),""))</f>
        <v/>
      </c>
      <c r="S1863" s="65" t="str">
        <f>IF($A1863="","",IFERROR(MAXIFS(Candidates!$AA$2:$AA$2000,Candidates!$A$2:$A$2000,$A1863),""))</f>
        <v/>
      </c>
      <c r="T1863" s="64" t="str">
        <f>IFERROR(__xludf.DUMMYFUNCTION("IF($A1863="""","""",IFERROR(TEXTJOIN("", "",TRUE,UNIQUE(FILTER(Candidates!$B$2:$B$2000,Candidates!$A$2:$A$2000=$A1863))),""""))"),"")</f>
        <v/>
      </c>
      <c r="U1863" s="66" t="str">
        <f>IF($A1863="","",COUNTIF(Candidates!$A$2:$A$2000,$A1863))</f>
        <v/>
      </c>
      <c r="V1863" s="64" t="str">
        <f>IFERROR(__xludf.DUMMYFUNCTION("IF($A1863="""","""",IFERROR(INDEX(FILTER(Candidates!$S$2:$S$2000,Candidates!$A$2:$A$2000=$A1863),COUNTIF(Candidates!$A$2:$A$2000,$A1863)),""""))"),"")</f>
        <v/>
      </c>
      <c r="W1863" s="64" t="str">
        <f>IFERROR(__xludf.DUMMYFUNCTION("IF($A1863="""","""",IFERROR(INDEX(FILTER(Candidates!$T$2:$T$2000,Candidates!$A$2:$A$2000=$A1863),COUNTIF(Candidates!$A$2:$A$2000,$A1863)),""""))"),"")</f>
        <v/>
      </c>
      <c r="X1863" s="64"/>
      <c r="Y1863" s="64"/>
      <c r="Z1863" s="65"/>
      <c r="AA1863" s="65"/>
      <c r="AB1863" s="65"/>
      <c r="AC1863" s="65"/>
    </row>
    <row r="1864">
      <c r="A1864" s="64"/>
      <c r="B1864" s="64"/>
      <c r="C1864" s="64"/>
      <c r="D1864" s="64"/>
      <c r="E1864" s="64"/>
      <c r="F1864" s="64"/>
      <c r="G1864" s="64"/>
      <c r="H1864" s="63"/>
      <c r="I1864" s="64"/>
      <c r="J1864" s="64"/>
      <c r="K1864" s="64"/>
      <c r="L1864" s="64"/>
      <c r="M1864" s="64"/>
      <c r="N1864" s="64"/>
      <c r="O1864" s="64"/>
      <c r="P1864" s="64"/>
      <c r="Q1864" s="64"/>
      <c r="R1864" s="65" t="str">
        <f>IF($A1864="","",IFERROR(MINIFS(Candidates!$K$2:$K$2000,Candidates!$A$2:$A$2000,$A1864),""))</f>
        <v/>
      </c>
      <c r="S1864" s="65" t="str">
        <f>IF($A1864="","",IFERROR(MAXIFS(Candidates!$AA$2:$AA$2000,Candidates!$A$2:$A$2000,$A1864),""))</f>
        <v/>
      </c>
      <c r="T1864" s="64" t="str">
        <f>IFERROR(__xludf.DUMMYFUNCTION("IF($A1864="""","""",IFERROR(TEXTJOIN("", "",TRUE,UNIQUE(FILTER(Candidates!$B$2:$B$2000,Candidates!$A$2:$A$2000=$A1864))),""""))"),"")</f>
        <v/>
      </c>
      <c r="U1864" s="66" t="str">
        <f>IF($A1864="","",COUNTIF(Candidates!$A$2:$A$2000,$A1864))</f>
        <v/>
      </c>
      <c r="V1864" s="64" t="str">
        <f>IFERROR(__xludf.DUMMYFUNCTION("IF($A1864="""","""",IFERROR(INDEX(FILTER(Candidates!$S$2:$S$2000,Candidates!$A$2:$A$2000=$A1864),COUNTIF(Candidates!$A$2:$A$2000,$A1864)),""""))"),"")</f>
        <v/>
      </c>
      <c r="W1864" s="64" t="str">
        <f>IFERROR(__xludf.DUMMYFUNCTION("IF($A1864="""","""",IFERROR(INDEX(FILTER(Candidates!$T$2:$T$2000,Candidates!$A$2:$A$2000=$A1864),COUNTIF(Candidates!$A$2:$A$2000,$A1864)),""""))"),"")</f>
        <v/>
      </c>
      <c r="X1864" s="64"/>
      <c r="Y1864" s="64"/>
      <c r="Z1864" s="65"/>
      <c r="AA1864" s="65"/>
      <c r="AB1864" s="65"/>
      <c r="AC1864" s="65"/>
    </row>
    <row r="1865">
      <c r="A1865" s="64"/>
      <c r="B1865" s="64"/>
      <c r="C1865" s="64"/>
      <c r="D1865" s="64"/>
      <c r="E1865" s="64"/>
      <c r="F1865" s="64"/>
      <c r="G1865" s="64"/>
      <c r="H1865" s="63"/>
      <c r="I1865" s="64"/>
      <c r="J1865" s="64"/>
      <c r="K1865" s="64"/>
      <c r="L1865" s="64"/>
      <c r="M1865" s="64"/>
      <c r="N1865" s="64"/>
      <c r="O1865" s="64"/>
      <c r="P1865" s="64"/>
      <c r="Q1865" s="64"/>
      <c r="R1865" s="65" t="str">
        <f>IF($A1865="","",IFERROR(MINIFS(Candidates!$K$2:$K$2000,Candidates!$A$2:$A$2000,$A1865),""))</f>
        <v/>
      </c>
      <c r="S1865" s="65" t="str">
        <f>IF($A1865="","",IFERROR(MAXIFS(Candidates!$AA$2:$AA$2000,Candidates!$A$2:$A$2000,$A1865),""))</f>
        <v/>
      </c>
      <c r="T1865" s="64" t="str">
        <f>IFERROR(__xludf.DUMMYFUNCTION("IF($A1865="""","""",IFERROR(TEXTJOIN("", "",TRUE,UNIQUE(FILTER(Candidates!$B$2:$B$2000,Candidates!$A$2:$A$2000=$A1865))),""""))"),"")</f>
        <v/>
      </c>
      <c r="U1865" s="66" t="str">
        <f>IF($A1865="","",COUNTIF(Candidates!$A$2:$A$2000,$A1865))</f>
        <v/>
      </c>
      <c r="V1865" s="64" t="str">
        <f>IFERROR(__xludf.DUMMYFUNCTION("IF($A1865="""","""",IFERROR(INDEX(FILTER(Candidates!$S$2:$S$2000,Candidates!$A$2:$A$2000=$A1865),COUNTIF(Candidates!$A$2:$A$2000,$A1865)),""""))"),"")</f>
        <v/>
      </c>
      <c r="W1865" s="64" t="str">
        <f>IFERROR(__xludf.DUMMYFUNCTION("IF($A1865="""","""",IFERROR(INDEX(FILTER(Candidates!$T$2:$T$2000,Candidates!$A$2:$A$2000=$A1865),COUNTIF(Candidates!$A$2:$A$2000,$A1865)),""""))"),"")</f>
        <v/>
      </c>
      <c r="X1865" s="64"/>
      <c r="Y1865" s="64"/>
      <c r="Z1865" s="65"/>
      <c r="AA1865" s="65"/>
      <c r="AB1865" s="65"/>
      <c r="AC1865" s="65"/>
    </row>
    <row r="1866">
      <c r="A1866" s="64"/>
      <c r="B1866" s="64"/>
      <c r="C1866" s="64"/>
      <c r="D1866" s="64"/>
      <c r="E1866" s="64"/>
      <c r="F1866" s="64"/>
      <c r="G1866" s="64"/>
      <c r="H1866" s="63"/>
      <c r="I1866" s="64"/>
      <c r="J1866" s="64"/>
      <c r="K1866" s="64"/>
      <c r="L1866" s="64"/>
      <c r="M1866" s="64"/>
      <c r="N1866" s="64"/>
      <c r="O1866" s="64"/>
      <c r="P1866" s="64"/>
      <c r="Q1866" s="64"/>
      <c r="R1866" s="65" t="str">
        <f>IF($A1866="","",IFERROR(MINIFS(Candidates!$K$2:$K$2000,Candidates!$A$2:$A$2000,$A1866),""))</f>
        <v/>
      </c>
      <c r="S1866" s="65" t="str">
        <f>IF($A1866="","",IFERROR(MAXIFS(Candidates!$AA$2:$AA$2000,Candidates!$A$2:$A$2000,$A1866),""))</f>
        <v/>
      </c>
      <c r="T1866" s="64" t="str">
        <f>IFERROR(__xludf.DUMMYFUNCTION("IF($A1866="""","""",IFERROR(TEXTJOIN("", "",TRUE,UNIQUE(FILTER(Candidates!$B$2:$B$2000,Candidates!$A$2:$A$2000=$A1866))),""""))"),"")</f>
        <v/>
      </c>
      <c r="U1866" s="66" t="str">
        <f>IF($A1866="","",COUNTIF(Candidates!$A$2:$A$2000,$A1866))</f>
        <v/>
      </c>
      <c r="V1866" s="64" t="str">
        <f>IFERROR(__xludf.DUMMYFUNCTION("IF($A1866="""","""",IFERROR(INDEX(FILTER(Candidates!$S$2:$S$2000,Candidates!$A$2:$A$2000=$A1866),COUNTIF(Candidates!$A$2:$A$2000,$A1866)),""""))"),"")</f>
        <v/>
      </c>
      <c r="W1866" s="64" t="str">
        <f>IFERROR(__xludf.DUMMYFUNCTION("IF($A1866="""","""",IFERROR(INDEX(FILTER(Candidates!$T$2:$T$2000,Candidates!$A$2:$A$2000=$A1866),COUNTIF(Candidates!$A$2:$A$2000,$A1866)),""""))"),"")</f>
        <v/>
      </c>
      <c r="X1866" s="64"/>
      <c r="Y1866" s="64"/>
      <c r="Z1866" s="65"/>
      <c r="AA1866" s="65"/>
      <c r="AB1866" s="65"/>
      <c r="AC1866" s="65"/>
    </row>
    <row r="1867">
      <c r="A1867" s="64"/>
      <c r="B1867" s="64"/>
      <c r="C1867" s="64"/>
      <c r="D1867" s="64"/>
      <c r="E1867" s="64"/>
      <c r="F1867" s="64"/>
      <c r="G1867" s="64"/>
      <c r="H1867" s="63"/>
      <c r="I1867" s="64"/>
      <c r="J1867" s="64"/>
      <c r="K1867" s="64"/>
      <c r="L1867" s="64"/>
      <c r="M1867" s="64"/>
      <c r="N1867" s="64"/>
      <c r="O1867" s="64"/>
      <c r="P1867" s="64"/>
      <c r="Q1867" s="64"/>
      <c r="R1867" s="65" t="str">
        <f>IF($A1867="","",IFERROR(MINIFS(Candidates!$K$2:$K$2000,Candidates!$A$2:$A$2000,$A1867),""))</f>
        <v/>
      </c>
      <c r="S1867" s="65" t="str">
        <f>IF($A1867="","",IFERROR(MAXIFS(Candidates!$AA$2:$AA$2000,Candidates!$A$2:$A$2000,$A1867),""))</f>
        <v/>
      </c>
      <c r="T1867" s="64" t="str">
        <f>IFERROR(__xludf.DUMMYFUNCTION("IF($A1867="""","""",IFERROR(TEXTJOIN("", "",TRUE,UNIQUE(FILTER(Candidates!$B$2:$B$2000,Candidates!$A$2:$A$2000=$A1867))),""""))"),"")</f>
        <v/>
      </c>
      <c r="U1867" s="66" t="str">
        <f>IF($A1867="","",COUNTIF(Candidates!$A$2:$A$2000,$A1867))</f>
        <v/>
      </c>
      <c r="V1867" s="64" t="str">
        <f>IFERROR(__xludf.DUMMYFUNCTION("IF($A1867="""","""",IFERROR(INDEX(FILTER(Candidates!$S$2:$S$2000,Candidates!$A$2:$A$2000=$A1867),COUNTIF(Candidates!$A$2:$A$2000,$A1867)),""""))"),"")</f>
        <v/>
      </c>
      <c r="W1867" s="64" t="str">
        <f>IFERROR(__xludf.DUMMYFUNCTION("IF($A1867="""","""",IFERROR(INDEX(FILTER(Candidates!$T$2:$T$2000,Candidates!$A$2:$A$2000=$A1867),COUNTIF(Candidates!$A$2:$A$2000,$A1867)),""""))"),"")</f>
        <v/>
      </c>
      <c r="X1867" s="64"/>
      <c r="Y1867" s="64"/>
      <c r="Z1867" s="65"/>
      <c r="AA1867" s="65"/>
      <c r="AB1867" s="65"/>
      <c r="AC1867" s="65"/>
    </row>
    <row r="1868">
      <c r="A1868" s="64"/>
      <c r="B1868" s="64"/>
      <c r="C1868" s="64"/>
      <c r="D1868" s="64"/>
      <c r="E1868" s="64"/>
      <c r="F1868" s="64"/>
      <c r="G1868" s="64"/>
      <c r="H1868" s="63"/>
      <c r="I1868" s="64"/>
      <c r="J1868" s="64"/>
      <c r="K1868" s="64"/>
      <c r="L1868" s="64"/>
      <c r="M1868" s="64"/>
      <c r="N1868" s="64"/>
      <c r="O1868" s="64"/>
      <c r="P1868" s="64"/>
      <c r="Q1868" s="64"/>
      <c r="R1868" s="65" t="str">
        <f>IF($A1868="","",IFERROR(MINIFS(Candidates!$K$2:$K$2000,Candidates!$A$2:$A$2000,$A1868),""))</f>
        <v/>
      </c>
      <c r="S1868" s="65" t="str">
        <f>IF($A1868="","",IFERROR(MAXIFS(Candidates!$AA$2:$AA$2000,Candidates!$A$2:$A$2000,$A1868),""))</f>
        <v/>
      </c>
      <c r="T1868" s="64" t="str">
        <f>IFERROR(__xludf.DUMMYFUNCTION("IF($A1868="""","""",IFERROR(TEXTJOIN("", "",TRUE,UNIQUE(FILTER(Candidates!$B$2:$B$2000,Candidates!$A$2:$A$2000=$A1868))),""""))"),"")</f>
        <v/>
      </c>
      <c r="U1868" s="66" t="str">
        <f>IF($A1868="","",COUNTIF(Candidates!$A$2:$A$2000,$A1868))</f>
        <v/>
      </c>
      <c r="V1868" s="64" t="str">
        <f>IFERROR(__xludf.DUMMYFUNCTION("IF($A1868="""","""",IFERROR(INDEX(FILTER(Candidates!$S$2:$S$2000,Candidates!$A$2:$A$2000=$A1868),COUNTIF(Candidates!$A$2:$A$2000,$A1868)),""""))"),"")</f>
        <v/>
      </c>
      <c r="W1868" s="64" t="str">
        <f>IFERROR(__xludf.DUMMYFUNCTION("IF($A1868="""","""",IFERROR(INDEX(FILTER(Candidates!$T$2:$T$2000,Candidates!$A$2:$A$2000=$A1868),COUNTIF(Candidates!$A$2:$A$2000,$A1868)),""""))"),"")</f>
        <v/>
      </c>
      <c r="X1868" s="64"/>
      <c r="Y1868" s="64"/>
      <c r="Z1868" s="65"/>
      <c r="AA1868" s="65"/>
      <c r="AB1868" s="65"/>
      <c r="AC1868" s="65"/>
    </row>
    <row r="1869">
      <c r="A1869" s="64"/>
      <c r="B1869" s="64"/>
      <c r="C1869" s="64"/>
      <c r="D1869" s="64"/>
      <c r="E1869" s="64"/>
      <c r="F1869" s="64"/>
      <c r="G1869" s="64"/>
      <c r="H1869" s="63"/>
      <c r="I1869" s="64"/>
      <c r="J1869" s="64"/>
      <c r="K1869" s="64"/>
      <c r="L1869" s="64"/>
      <c r="M1869" s="64"/>
      <c r="N1869" s="64"/>
      <c r="O1869" s="64"/>
      <c r="P1869" s="64"/>
      <c r="Q1869" s="64"/>
      <c r="R1869" s="65" t="str">
        <f>IF($A1869="","",IFERROR(MINIFS(Candidates!$K$2:$K$2000,Candidates!$A$2:$A$2000,$A1869),""))</f>
        <v/>
      </c>
      <c r="S1869" s="65" t="str">
        <f>IF($A1869="","",IFERROR(MAXIFS(Candidates!$AA$2:$AA$2000,Candidates!$A$2:$A$2000,$A1869),""))</f>
        <v/>
      </c>
      <c r="T1869" s="64" t="str">
        <f>IFERROR(__xludf.DUMMYFUNCTION("IF($A1869="""","""",IFERROR(TEXTJOIN("", "",TRUE,UNIQUE(FILTER(Candidates!$B$2:$B$2000,Candidates!$A$2:$A$2000=$A1869))),""""))"),"")</f>
        <v/>
      </c>
      <c r="U1869" s="66" t="str">
        <f>IF($A1869="","",COUNTIF(Candidates!$A$2:$A$2000,$A1869))</f>
        <v/>
      </c>
      <c r="V1869" s="64" t="str">
        <f>IFERROR(__xludf.DUMMYFUNCTION("IF($A1869="""","""",IFERROR(INDEX(FILTER(Candidates!$S$2:$S$2000,Candidates!$A$2:$A$2000=$A1869),COUNTIF(Candidates!$A$2:$A$2000,$A1869)),""""))"),"")</f>
        <v/>
      </c>
      <c r="W1869" s="64" t="str">
        <f>IFERROR(__xludf.DUMMYFUNCTION("IF($A1869="""","""",IFERROR(INDEX(FILTER(Candidates!$T$2:$T$2000,Candidates!$A$2:$A$2000=$A1869),COUNTIF(Candidates!$A$2:$A$2000,$A1869)),""""))"),"")</f>
        <v/>
      </c>
      <c r="X1869" s="64"/>
      <c r="Y1869" s="64"/>
      <c r="Z1869" s="65"/>
      <c r="AA1869" s="65"/>
      <c r="AB1869" s="65"/>
      <c r="AC1869" s="65"/>
    </row>
    <row r="1870">
      <c r="A1870" s="64"/>
      <c r="B1870" s="64"/>
      <c r="C1870" s="64"/>
      <c r="D1870" s="64"/>
      <c r="E1870" s="64"/>
      <c r="F1870" s="64"/>
      <c r="G1870" s="64"/>
      <c r="H1870" s="63"/>
      <c r="I1870" s="64"/>
      <c r="J1870" s="64"/>
      <c r="K1870" s="64"/>
      <c r="L1870" s="64"/>
      <c r="M1870" s="64"/>
      <c r="N1870" s="64"/>
      <c r="O1870" s="64"/>
      <c r="P1870" s="64"/>
      <c r="Q1870" s="64"/>
      <c r="R1870" s="65" t="str">
        <f>IF($A1870="","",IFERROR(MINIFS(Candidates!$K$2:$K$2000,Candidates!$A$2:$A$2000,$A1870),""))</f>
        <v/>
      </c>
      <c r="S1870" s="65" t="str">
        <f>IF($A1870="","",IFERROR(MAXIFS(Candidates!$AA$2:$AA$2000,Candidates!$A$2:$A$2000,$A1870),""))</f>
        <v/>
      </c>
      <c r="T1870" s="64" t="str">
        <f>IFERROR(__xludf.DUMMYFUNCTION("IF($A1870="""","""",IFERROR(TEXTJOIN("", "",TRUE,UNIQUE(FILTER(Candidates!$B$2:$B$2000,Candidates!$A$2:$A$2000=$A1870))),""""))"),"")</f>
        <v/>
      </c>
      <c r="U1870" s="66" t="str">
        <f>IF($A1870="","",COUNTIF(Candidates!$A$2:$A$2000,$A1870))</f>
        <v/>
      </c>
      <c r="V1870" s="64" t="str">
        <f>IFERROR(__xludf.DUMMYFUNCTION("IF($A1870="""","""",IFERROR(INDEX(FILTER(Candidates!$S$2:$S$2000,Candidates!$A$2:$A$2000=$A1870),COUNTIF(Candidates!$A$2:$A$2000,$A1870)),""""))"),"")</f>
        <v/>
      </c>
      <c r="W1870" s="64" t="str">
        <f>IFERROR(__xludf.DUMMYFUNCTION("IF($A1870="""","""",IFERROR(INDEX(FILTER(Candidates!$T$2:$T$2000,Candidates!$A$2:$A$2000=$A1870),COUNTIF(Candidates!$A$2:$A$2000,$A1870)),""""))"),"")</f>
        <v/>
      </c>
      <c r="X1870" s="64"/>
      <c r="Y1870" s="64"/>
      <c r="Z1870" s="65"/>
      <c r="AA1870" s="65"/>
      <c r="AB1870" s="65"/>
      <c r="AC1870" s="65"/>
    </row>
    <row r="1871">
      <c r="A1871" s="64"/>
      <c r="B1871" s="64"/>
      <c r="C1871" s="64"/>
      <c r="D1871" s="64"/>
      <c r="E1871" s="64"/>
      <c r="F1871" s="64"/>
      <c r="G1871" s="64"/>
      <c r="H1871" s="63"/>
      <c r="I1871" s="64"/>
      <c r="J1871" s="64"/>
      <c r="K1871" s="64"/>
      <c r="L1871" s="64"/>
      <c r="M1871" s="64"/>
      <c r="N1871" s="64"/>
      <c r="O1871" s="64"/>
      <c r="P1871" s="64"/>
      <c r="Q1871" s="64"/>
      <c r="R1871" s="65" t="str">
        <f>IF($A1871="","",IFERROR(MINIFS(Candidates!$K$2:$K$2000,Candidates!$A$2:$A$2000,$A1871),""))</f>
        <v/>
      </c>
      <c r="S1871" s="65" t="str">
        <f>IF($A1871="","",IFERROR(MAXIFS(Candidates!$AA$2:$AA$2000,Candidates!$A$2:$A$2000,$A1871),""))</f>
        <v/>
      </c>
      <c r="T1871" s="64" t="str">
        <f>IFERROR(__xludf.DUMMYFUNCTION("IF($A1871="""","""",IFERROR(TEXTJOIN("", "",TRUE,UNIQUE(FILTER(Candidates!$B$2:$B$2000,Candidates!$A$2:$A$2000=$A1871))),""""))"),"")</f>
        <v/>
      </c>
      <c r="U1871" s="66" t="str">
        <f>IF($A1871="","",COUNTIF(Candidates!$A$2:$A$2000,$A1871))</f>
        <v/>
      </c>
      <c r="V1871" s="64" t="str">
        <f>IFERROR(__xludf.DUMMYFUNCTION("IF($A1871="""","""",IFERROR(INDEX(FILTER(Candidates!$S$2:$S$2000,Candidates!$A$2:$A$2000=$A1871),COUNTIF(Candidates!$A$2:$A$2000,$A1871)),""""))"),"")</f>
        <v/>
      </c>
      <c r="W1871" s="64" t="str">
        <f>IFERROR(__xludf.DUMMYFUNCTION("IF($A1871="""","""",IFERROR(INDEX(FILTER(Candidates!$T$2:$T$2000,Candidates!$A$2:$A$2000=$A1871),COUNTIF(Candidates!$A$2:$A$2000,$A1871)),""""))"),"")</f>
        <v/>
      </c>
      <c r="X1871" s="64"/>
      <c r="Y1871" s="64"/>
      <c r="Z1871" s="65"/>
      <c r="AA1871" s="65"/>
      <c r="AB1871" s="65"/>
      <c r="AC1871" s="65"/>
    </row>
    <row r="1872">
      <c r="A1872" s="64"/>
      <c r="B1872" s="64"/>
      <c r="C1872" s="64"/>
      <c r="D1872" s="64"/>
      <c r="E1872" s="64"/>
      <c r="F1872" s="64"/>
      <c r="G1872" s="64"/>
      <c r="H1872" s="63"/>
      <c r="I1872" s="64"/>
      <c r="J1872" s="64"/>
      <c r="K1872" s="64"/>
      <c r="L1872" s="64"/>
      <c r="M1872" s="64"/>
      <c r="N1872" s="64"/>
      <c r="O1872" s="64"/>
      <c r="P1872" s="64"/>
      <c r="Q1872" s="64"/>
      <c r="R1872" s="65" t="str">
        <f>IF($A1872="","",IFERROR(MINIFS(Candidates!$K$2:$K$2000,Candidates!$A$2:$A$2000,$A1872),""))</f>
        <v/>
      </c>
      <c r="S1872" s="65" t="str">
        <f>IF($A1872="","",IFERROR(MAXIFS(Candidates!$AA$2:$AA$2000,Candidates!$A$2:$A$2000,$A1872),""))</f>
        <v/>
      </c>
      <c r="T1872" s="64" t="str">
        <f>IFERROR(__xludf.DUMMYFUNCTION("IF($A1872="""","""",IFERROR(TEXTJOIN("", "",TRUE,UNIQUE(FILTER(Candidates!$B$2:$B$2000,Candidates!$A$2:$A$2000=$A1872))),""""))"),"")</f>
        <v/>
      </c>
      <c r="U1872" s="66" t="str">
        <f>IF($A1872="","",COUNTIF(Candidates!$A$2:$A$2000,$A1872))</f>
        <v/>
      </c>
      <c r="V1872" s="64" t="str">
        <f>IFERROR(__xludf.DUMMYFUNCTION("IF($A1872="""","""",IFERROR(INDEX(FILTER(Candidates!$S$2:$S$2000,Candidates!$A$2:$A$2000=$A1872),COUNTIF(Candidates!$A$2:$A$2000,$A1872)),""""))"),"")</f>
        <v/>
      </c>
      <c r="W1872" s="64" t="str">
        <f>IFERROR(__xludf.DUMMYFUNCTION("IF($A1872="""","""",IFERROR(INDEX(FILTER(Candidates!$T$2:$T$2000,Candidates!$A$2:$A$2000=$A1872),COUNTIF(Candidates!$A$2:$A$2000,$A1872)),""""))"),"")</f>
        <v/>
      </c>
      <c r="X1872" s="64"/>
      <c r="Y1872" s="64"/>
      <c r="Z1872" s="65"/>
      <c r="AA1872" s="65"/>
      <c r="AB1872" s="65"/>
      <c r="AC1872" s="65"/>
    </row>
    <row r="1873">
      <c r="A1873" s="64"/>
      <c r="B1873" s="64"/>
      <c r="C1873" s="64"/>
      <c r="D1873" s="64"/>
      <c r="E1873" s="64"/>
      <c r="F1873" s="64"/>
      <c r="G1873" s="64"/>
      <c r="H1873" s="63"/>
      <c r="I1873" s="64"/>
      <c r="J1873" s="64"/>
      <c r="K1873" s="64"/>
      <c r="L1873" s="64"/>
      <c r="M1873" s="64"/>
      <c r="N1873" s="64"/>
      <c r="O1873" s="64"/>
      <c r="P1873" s="64"/>
      <c r="Q1873" s="64"/>
      <c r="R1873" s="65" t="str">
        <f>IF($A1873="","",IFERROR(MINIFS(Candidates!$K$2:$K$2000,Candidates!$A$2:$A$2000,$A1873),""))</f>
        <v/>
      </c>
      <c r="S1873" s="65" t="str">
        <f>IF($A1873="","",IFERROR(MAXIFS(Candidates!$AA$2:$AA$2000,Candidates!$A$2:$A$2000,$A1873),""))</f>
        <v/>
      </c>
      <c r="T1873" s="64" t="str">
        <f>IFERROR(__xludf.DUMMYFUNCTION("IF($A1873="""","""",IFERROR(TEXTJOIN("", "",TRUE,UNIQUE(FILTER(Candidates!$B$2:$B$2000,Candidates!$A$2:$A$2000=$A1873))),""""))"),"")</f>
        <v/>
      </c>
      <c r="U1873" s="66" t="str">
        <f>IF($A1873="","",COUNTIF(Candidates!$A$2:$A$2000,$A1873))</f>
        <v/>
      </c>
      <c r="V1873" s="64" t="str">
        <f>IFERROR(__xludf.DUMMYFUNCTION("IF($A1873="""","""",IFERROR(INDEX(FILTER(Candidates!$S$2:$S$2000,Candidates!$A$2:$A$2000=$A1873),COUNTIF(Candidates!$A$2:$A$2000,$A1873)),""""))"),"")</f>
        <v/>
      </c>
      <c r="W1873" s="64" t="str">
        <f>IFERROR(__xludf.DUMMYFUNCTION("IF($A1873="""","""",IFERROR(INDEX(FILTER(Candidates!$T$2:$T$2000,Candidates!$A$2:$A$2000=$A1873),COUNTIF(Candidates!$A$2:$A$2000,$A1873)),""""))"),"")</f>
        <v/>
      </c>
      <c r="X1873" s="64"/>
      <c r="Y1873" s="64"/>
      <c r="Z1873" s="65"/>
      <c r="AA1873" s="65"/>
      <c r="AB1873" s="65"/>
      <c r="AC1873" s="65"/>
    </row>
    <row r="1874">
      <c r="A1874" s="64"/>
      <c r="B1874" s="64"/>
      <c r="C1874" s="64"/>
      <c r="D1874" s="64"/>
      <c r="E1874" s="64"/>
      <c r="F1874" s="64"/>
      <c r="G1874" s="64"/>
      <c r="H1874" s="63"/>
      <c r="I1874" s="64"/>
      <c r="J1874" s="64"/>
      <c r="K1874" s="64"/>
      <c r="L1874" s="64"/>
      <c r="M1874" s="64"/>
      <c r="N1874" s="64"/>
      <c r="O1874" s="64"/>
      <c r="P1874" s="64"/>
      <c r="Q1874" s="64"/>
      <c r="R1874" s="65" t="str">
        <f>IF($A1874="","",IFERROR(MINIFS(Candidates!$K$2:$K$2000,Candidates!$A$2:$A$2000,$A1874),""))</f>
        <v/>
      </c>
      <c r="S1874" s="65" t="str">
        <f>IF($A1874="","",IFERROR(MAXIFS(Candidates!$AA$2:$AA$2000,Candidates!$A$2:$A$2000,$A1874),""))</f>
        <v/>
      </c>
      <c r="T1874" s="64" t="str">
        <f>IFERROR(__xludf.DUMMYFUNCTION("IF($A1874="""","""",IFERROR(TEXTJOIN("", "",TRUE,UNIQUE(FILTER(Candidates!$B$2:$B$2000,Candidates!$A$2:$A$2000=$A1874))),""""))"),"")</f>
        <v/>
      </c>
      <c r="U1874" s="66" t="str">
        <f>IF($A1874="","",COUNTIF(Candidates!$A$2:$A$2000,$A1874))</f>
        <v/>
      </c>
      <c r="V1874" s="64" t="str">
        <f>IFERROR(__xludf.DUMMYFUNCTION("IF($A1874="""","""",IFERROR(INDEX(FILTER(Candidates!$S$2:$S$2000,Candidates!$A$2:$A$2000=$A1874),COUNTIF(Candidates!$A$2:$A$2000,$A1874)),""""))"),"")</f>
        <v/>
      </c>
      <c r="W1874" s="64" t="str">
        <f>IFERROR(__xludf.DUMMYFUNCTION("IF($A1874="""","""",IFERROR(INDEX(FILTER(Candidates!$T$2:$T$2000,Candidates!$A$2:$A$2000=$A1874),COUNTIF(Candidates!$A$2:$A$2000,$A1874)),""""))"),"")</f>
        <v/>
      </c>
      <c r="X1874" s="64"/>
      <c r="Y1874" s="64"/>
      <c r="Z1874" s="65"/>
      <c r="AA1874" s="65"/>
      <c r="AB1874" s="65"/>
      <c r="AC1874" s="65"/>
    </row>
    <row r="1875">
      <c r="A1875" s="64"/>
      <c r="B1875" s="64"/>
      <c r="C1875" s="64"/>
      <c r="D1875" s="64"/>
      <c r="E1875" s="64"/>
      <c r="F1875" s="64"/>
      <c r="G1875" s="64"/>
      <c r="H1875" s="63"/>
      <c r="I1875" s="64"/>
      <c r="J1875" s="64"/>
      <c r="K1875" s="64"/>
      <c r="L1875" s="64"/>
      <c r="M1875" s="64"/>
      <c r="N1875" s="64"/>
      <c r="O1875" s="64"/>
      <c r="P1875" s="64"/>
      <c r="Q1875" s="64"/>
      <c r="R1875" s="65" t="str">
        <f>IF($A1875="","",IFERROR(MINIFS(Candidates!$K$2:$K$2000,Candidates!$A$2:$A$2000,$A1875),""))</f>
        <v/>
      </c>
      <c r="S1875" s="65" t="str">
        <f>IF($A1875="","",IFERROR(MAXIFS(Candidates!$AA$2:$AA$2000,Candidates!$A$2:$A$2000,$A1875),""))</f>
        <v/>
      </c>
      <c r="T1875" s="64" t="str">
        <f>IFERROR(__xludf.DUMMYFUNCTION("IF($A1875="""","""",IFERROR(TEXTJOIN("", "",TRUE,UNIQUE(FILTER(Candidates!$B$2:$B$2000,Candidates!$A$2:$A$2000=$A1875))),""""))"),"")</f>
        <v/>
      </c>
      <c r="U1875" s="66" t="str">
        <f>IF($A1875="","",COUNTIF(Candidates!$A$2:$A$2000,$A1875))</f>
        <v/>
      </c>
      <c r="V1875" s="64" t="str">
        <f>IFERROR(__xludf.DUMMYFUNCTION("IF($A1875="""","""",IFERROR(INDEX(FILTER(Candidates!$S$2:$S$2000,Candidates!$A$2:$A$2000=$A1875),COUNTIF(Candidates!$A$2:$A$2000,$A1875)),""""))"),"")</f>
        <v/>
      </c>
      <c r="W1875" s="64" t="str">
        <f>IFERROR(__xludf.DUMMYFUNCTION("IF($A1875="""","""",IFERROR(INDEX(FILTER(Candidates!$T$2:$T$2000,Candidates!$A$2:$A$2000=$A1875),COUNTIF(Candidates!$A$2:$A$2000,$A1875)),""""))"),"")</f>
        <v/>
      </c>
      <c r="X1875" s="64"/>
      <c r="Y1875" s="64"/>
      <c r="Z1875" s="65"/>
      <c r="AA1875" s="65"/>
      <c r="AB1875" s="65"/>
      <c r="AC1875" s="65"/>
    </row>
    <row r="1876">
      <c r="A1876" s="64"/>
      <c r="B1876" s="64"/>
      <c r="C1876" s="64"/>
      <c r="D1876" s="64"/>
      <c r="E1876" s="64"/>
      <c r="F1876" s="64"/>
      <c r="G1876" s="64"/>
      <c r="H1876" s="63"/>
      <c r="I1876" s="64"/>
      <c r="J1876" s="64"/>
      <c r="K1876" s="64"/>
      <c r="L1876" s="64"/>
      <c r="M1876" s="64"/>
      <c r="N1876" s="64"/>
      <c r="O1876" s="64"/>
      <c r="P1876" s="64"/>
      <c r="Q1876" s="64"/>
      <c r="R1876" s="65" t="str">
        <f>IF($A1876="","",IFERROR(MINIFS(Candidates!$K$2:$K$2000,Candidates!$A$2:$A$2000,$A1876),""))</f>
        <v/>
      </c>
      <c r="S1876" s="65" t="str">
        <f>IF($A1876="","",IFERROR(MAXIFS(Candidates!$AA$2:$AA$2000,Candidates!$A$2:$A$2000,$A1876),""))</f>
        <v/>
      </c>
      <c r="T1876" s="64" t="str">
        <f>IFERROR(__xludf.DUMMYFUNCTION("IF($A1876="""","""",IFERROR(TEXTJOIN("", "",TRUE,UNIQUE(FILTER(Candidates!$B$2:$B$2000,Candidates!$A$2:$A$2000=$A1876))),""""))"),"")</f>
        <v/>
      </c>
      <c r="U1876" s="66" t="str">
        <f>IF($A1876="","",COUNTIF(Candidates!$A$2:$A$2000,$A1876))</f>
        <v/>
      </c>
      <c r="V1876" s="64" t="str">
        <f>IFERROR(__xludf.DUMMYFUNCTION("IF($A1876="""","""",IFERROR(INDEX(FILTER(Candidates!$S$2:$S$2000,Candidates!$A$2:$A$2000=$A1876),COUNTIF(Candidates!$A$2:$A$2000,$A1876)),""""))"),"")</f>
        <v/>
      </c>
      <c r="W1876" s="64" t="str">
        <f>IFERROR(__xludf.DUMMYFUNCTION("IF($A1876="""","""",IFERROR(INDEX(FILTER(Candidates!$T$2:$T$2000,Candidates!$A$2:$A$2000=$A1876),COUNTIF(Candidates!$A$2:$A$2000,$A1876)),""""))"),"")</f>
        <v/>
      </c>
      <c r="X1876" s="64"/>
      <c r="Y1876" s="64"/>
      <c r="Z1876" s="65"/>
      <c r="AA1876" s="65"/>
      <c r="AB1876" s="65"/>
      <c r="AC1876" s="65"/>
    </row>
    <row r="1877">
      <c r="A1877" s="64"/>
      <c r="B1877" s="64"/>
      <c r="C1877" s="64"/>
      <c r="D1877" s="64"/>
      <c r="E1877" s="64"/>
      <c r="F1877" s="64"/>
      <c r="G1877" s="64"/>
      <c r="H1877" s="63"/>
      <c r="I1877" s="64"/>
      <c r="J1877" s="64"/>
      <c r="K1877" s="64"/>
      <c r="L1877" s="64"/>
      <c r="M1877" s="64"/>
      <c r="N1877" s="64"/>
      <c r="O1877" s="64"/>
      <c r="P1877" s="64"/>
      <c r="Q1877" s="64"/>
      <c r="R1877" s="65" t="str">
        <f>IF($A1877="","",IFERROR(MINIFS(Candidates!$K$2:$K$2000,Candidates!$A$2:$A$2000,$A1877),""))</f>
        <v/>
      </c>
      <c r="S1877" s="65" t="str">
        <f>IF($A1877="","",IFERROR(MAXIFS(Candidates!$AA$2:$AA$2000,Candidates!$A$2:$A$2000,$A1877),""))</f>
        <v/>
      </c>
      <c r="T1877" s="64" t="str">
        <f>IFERROR(__xludf.DUMMYFUNCTION("IF($A1877="""","""",IFERROR(TEXTJOIN("", "",TRUE,UNIQUE(FILTER(Candidates!$B$2:$B$2000,Candidates!$A$2:$A$2000=$A1877))),""""))"),"")</f>
        <v/>
      </c>
      <c r="U1877" s="66" t="str">
        <f>IF($A1877="","",COUNTIF(Candidates!$A$2:$A$2000,$A1877))</f>
        <v/>
      </c>
      <c r="V1877" s="64" t="str">
        <f>IFERROR(__xludf.DUMMYFUNCTION("IF($A1877="""","""",IFERROR(INDEX(FILTER(Candidates!$S$2:$S$2000,Candidates!$A$2:$A$2000=$A1877),COUNTIF(Candidates!$A$2:$A$2000,$A1877)),""""))"),"")</f>
        <v/>
      </c>
      <c r="W1877" s="64" t="str">
        <f>IFERROR(__xludf.DUMMYFUNCTION("IF($A1877="""","""",IFERROR(INDEX(FILTER(Candidates!$T$2:$T$2000,Candidates!$A$2:$A$2000=$A1877),COUNTIF(Candidates!$A$2:$A$2000,$A1877)),""""))"),"")</f>
        <v/>
      </c>
      <c r="X1877" s="64"/>
      <c r="Y1877" s="64"/>
      <c r="Z1877" s="65"/>
      <c r="AA1877" s="65"/>
      <c r="AB1877" s="65"/>
      <c r="AC1877" s="65"/>
    </row>
    <row r="1878">
      <c r="A1878" s="64"/>
      <c r="B1878" s="64"/>
      <c r="C1878" s="64"/>
      <c r="D1878" s="64"/>
      <c r="E1878" s="64"/>
      <c r="F1878" s="64"/>
      <c r="G1878" s="64"/>
      <c r="H1878" s="63"/>
      <c r="I1878" s="64"/>
      <c r="J1878" s="64"/>
      <c r="K1878" s="64"/>
      <c r="L1878" s="64"/>
      <c r="M1878" s="64"/>
      <c r="N1878" s="64"/>
      <c r="O1878" s="64"/>
      <c r="P1878" s="64"/>
      <c r="Q1878" s="64"/>
      <c r="R1878" s="65" t="str">
        <f>IF($A1878="","",IFERROR(MINIFS(Candidates!$K$2:$K$2000,Candidates!$A$2:$A$2000,$A1878),""))</f>
        <v/>
      </c>
      <c r="S1878" s="65" t="str">
        <f>IF($A1878="","",IFERROR(MAXIFS(Candidates!$AA$2:$AA$2000,Candidates!$A$2:$A$2000,$A1878),""))</f>
        <v/>
      </c>
      <c r="T1878" s="64" t="str">
        <f>IFERROR(__xludf.DUMMYFUNCTION("IF($A1878="""","""",IFERROR(TEXTJOIN("", "",TRUE,UNIQUE(FILTER(Candidates!$B$2:$B$2000,Candidates!$A$2:$A$2000=$A1878))),""""))"),"")</f>
        <v/>
      </c>
      <c r="U1878" s="66" t="str">
        <f>IF($A1878="","",COUNTIF(Candidates!$A$2:$A$2000,$A1878))</f>
        <v/>
      </c>
      <c r="V1878" s="64" t="str">
        <f>IFERROR(__xludf.DUMMYFUNCTION("IF($A1878="""","""",IFERROR(INDEX(FILTER(Candidates!$S$2:$S$2000,Candidates!$A$2:$A$2000=$A1878),COUNTIF(Candidates!$A$2:$A$2000,$A1878)),""""))"),"")</f>
        <v/>
      </c>
      <c r="W1878" s="64" t="str">
        <f>IFERROR(__xludf.DUMMYFUNCTION("IF($A1878="""","""",IFERROR(INDEX(FILTER(Candidates!$T$2:$T$2000,Candidates!$A$2:$A$2000=$A1878),COUNTIF(Candidates!$A$2:$A$2000,$A1878)),""""))"),"")</f>
        <v/>
      </c>
      <c r="X1878" s="64"/>
      <c r="Y1878" s="64"/>
      <c r="Z1878" s="65"/>
      <c r="AA1878" s="65"/>
      <c r="AB1878" s="65"/>
      <c r="AC1878" s="65"/>
    </row>
    <row r="1879">
      <c r="A1879" s="64"/>
      <c r="B1879" s="64"/>
      <c r="C1879" s="64"/>
      <c r="D1879" s="64"/>
      <c r="E1879" s="64"/>
      <c r="F1879" s="64"/>
      <c r="G1879" s="64"/>
      <c r="H1879" s="63"/>
      <c r="I1879" s="64"/>
      <c r="J1879" s="64"/>
      <c r="K1879" s="64"/>
      <c r="L1879" s="64"/>
      <c r="M1879" s="64"/>
      <c r="N1879" s="64"/>
      <c r="O1879" s="64"/>
      <c r="P1879" s="64"/>
      <c r="Q1879" s="64"/>
      <c r="R1879" s="65" t="str">
        <f>IF($A1879="","",IFERROR(MINIFS(Candidates!$K$2:$K$2000,Candidates!$A$2:$A$2000,$A1879),""))</f>
        <v/>
      </c>
      <c r="S1879" s="65" t="str">
        <f>IF($A1879="","",IFERROR(MAXIFS(Candidates!$AA$2:$AA$2000,Candidates!$A$2:$A$2000,$A1879),""))</f>
        <v/>
      </c>
      <c r="T1879" s="64" t="str">
        <f>IFERROR(__xludf.DUMMYFUNCTION("IF($A1879="""","""",IFERROR(TEXTJOIN("", "",TRUE,UNIQUE(FILTER(Candidates!$B$2:$B$2000,Candidates!$A$2:$A$2000=$A1879))),""""))"),"")</f>
        <v/>
      </c>
      <c r="U1879" s="66" t="str">
        <f>IF($A1879="","",COUNTIF(Candidates!$A$2:$A$2000,$A1879))</f>
        <v/>
      </c>
      <c r="V1879" s="64" t="str">
        <f>IFERROR(__xludf.DUMMYFUNCTION("IF($A1879="""","""",IFERROR(INDEX(FILTER(Candidates!$S$2:$S$2000,Candidates!$A$2:$A$2000=$A1879),COUNTIF(Candidates!$A$2:$A$2000,$A1879)),""""))"),"")</f>
        <v/>
      </c>
      <c r="W1879" s="64" t="str">
        <f>IFERROR(__xludf.DUMMYFUNCTION("IF($A1879="""","""",IFERROR(INDEX(FILTER(Candidates!$T$2:$T$2000,Candidates!$A$2:$A$2000=$A1879),COUNTIF(Candidates!$A$2:$A$2000,$A1879)),""""))"),"")</f>
        <v/>
      </c>
      <c r="X1879" s="64"/>
      <c r="Y1879" s="64"/>
      <c r="Z1879" s="65"/>
      <c r="AA1879" s="65"/>
      <c r="AB1879" s="65"/>
      <c r="AC1879" s="65"/>
    </row>
    <row r="1880">
      <c r="A1880" s="64"/>
      <c r="B1880" s="64"/>
      <c r="C1880" s="64"/>
      <c r="D1880" s="64"/>
      <c r="E1880" s="64"/>
      <c r="F1880" s="64"/>
      <c r="G1880" s="64"/>
      <c r="H1880" s="63"/>
      <c r="I1880" s="64"/>
      <c r="J1880" s="64"/>
      <c r="K1880" s="64"/>
      <c r="L1880" s="64"/>
      <c r="M1880" s="64"/>
      <c r="N1880" s="64"/>
      <c r="O1880" s="64"/>
      <c r="P1880" s="64"/>
      <c r="Q1880" s="64"/>
      <c r="R1880" s="65" t="str">
        <f>IF($A1880="","",IFERROR(MINIFS(Candidates!$K$2:$K$2000,Candidates!$A$2:$A$2000,$A1880),""))</f>
        <v/>
      </c>
      <c r="S1880" s="65" t="str">
        <f>IF($A1880="","",IFERROR(MAXIFS(Candidates!$AA$2:$AA$2000,Candidates!$A$2:$A$2000,$A1880),""))</f>
        <v/>
      </c>
      <c r="T1880" s="64" t="str">
        <f>IFERROR(__xludf.DUMMYFUNCTION("IF($A1880="""","""",IFERROR(TEXTJOIN("", "",TRUE,UNIQUE(FILTER(Candidates!$B$2:$B$2000,Candidates!$A$2:$A$2000=$A1880))),""""))"),"")</f>
        <v/>
      </c>
      <c r="U1880" s="66" t="str">
        <f>IF($A1880="","",COUNTIF(Candidates!$A$2:$A$2000,$A1880))</f>
        <v/>
      </c>
      <c r="V1880" s="64" t="str">
        <f>IFERROR(__xludf.DUMMYFUNCTION("IF($A1880="""","""",IFERROR(INDEX(FILTER(Candidates!$S$2:$S$2000,Candidates!$A$2:$A$2000=$A1880),COUNTIF(Candidates!$A$2:$A$2000,$A1880)),""""))"),"")</f>
        <v/>
      </c>
      <c r="W1880" s="64" t="str">
        <f>IFERROR(__xludf.DUMMYFUNCTION("IF($A1880="""","""",IFERROR(INDEX(FILTER(Candidates!$T$2:$T$2000,Candidates!$A$2:$A$2000=$A1880),COUNTIF(Candidates!$A$2:$A$2000,$A1880)),""""))"),"")</f>
        <v/>
      </c>
      <c r="X1880" s="64"/>
      <c r="Y1880" s="64"/>
      <c r="Z1880" s="65"/>
      <c r="AA1880" s="65"/>
      <c r="AB1880" s="65"/>
      <c r="AC1880" s="65"/>
    </row>
    <row r="1881">
      <c r="A1881" s="64"/>
      <c r="B1881" s="64"/>
      <c r="C1881" s="64"/>
      <c r="D1881" s="64"/>
      <c r="E1881" s="64"/>
      <c r="F1881" s="64"/>
      <c r="G1881" s="64"/>
      <c r="H1881" s="63"/>
      <c r="I1881" s="64"/>
      <c r="J1881" s="64"/>
      <c r="K1881" s="64"/>
      <c r="L1881" s="64"/>
      <c r="M1881" s="64"/>
      <c r="N1881" s="64"/>
      <c r="O1881" s="64"/>
      <c r="P1881" s="64"/>
      <c r="Q1881" s="64"/>
      <c r="R1881" s="65" t="str">
        <f>IF($A1881="","",IFERROR(MINIFS(Candidates!$K$2:$K$2000,Candidates!$A$2:$A$2000,$A1881),""))</f>
        <v/>
      </c>
      <c r="S1881" s="65" t="str">
        <f>IF($A1881="","",IFERROR(MAXIFS(Candidates!$AA$2:$AA$2000,Candidates!$A$2:$A$2000,$A1881),""))</f>
        <v/>
      </c>
      <c r="T1881" s="64" t="str">
        <f>IFERROR(__xludf.DUMMYFUNCTION("IF($A1881="""","""",IFERROR(TEXTJOIN("", "",TRUE,UNIQUE(FILTER(Candidates!$B$2:$B$2000,Candidates!$A$2:$A$2000=$A1881))),""""))"),"")</f>
        <v/>
      </c>
      <c r="U1881" s="66" t="str">
        <f>IF($A1881="","",COUNTIF(Candidates!$A$2:$A$2000,$A1881))</f>
        <v/>
      </c>
      <c r="V1881" s="64" t="str">
        <f>IFERROR(__xludf.DUMMYFUNCTION("IF($A1881="""","""",IFERROR(INDEX(FILTER(Candidates!$S$2:$S$2000,Candidates!$A$2:$A$2000=$A1881),COUNTIF(Candidates!$A$2:$A$2000,$A1881)),""""))"),"")</f>
        <v/>
      </c>
      <c r="W1881" s="64" t="str">
        <f>IFERROR(__xludf.DUMMYFUNCTION("IF($A1881="""","""",IFERROR(INDEX(FILTER(Candidates!$T$2:$T$2000,Candidates!$A$2:$A$2000=$A1881),COUNTIF(Candidates!$A$2:$A$2000,$A1881)),""""))"),"")</f>
        <v/>
      </c>
      <c r="X1881" s="64"/>
      <c r="Y1881" s="64"/>
      <c r="Z1881" s="65"/>
      <c r="AA1881" s="65"/>
      <c r="AB1881" s="65"/>
      <c r="AC1881" s="65"/>
    </row>
    <row r="1882">
      <c r="A1882" s="64"/>
      <c r="B1882" s="64"/>
      <c r="C1882" s="64"/>
      <c r="D1882" s="64"/>
      <c r="E1882" s="64"/>
      <c r="F1882" s="64"/>
      <c r="G1882" s="64"/>
      <c r="H1882" s="63"/>
      <c r="I1882" s="64"/>
      <c r="J1882" s="64"/>
      <c r="K1882" s="64"/>
      <c r="L1882" s="64"/>
      <c r="M1882" s="64"/>
      <c r="N1882" s="64"/>
      <c r="O1882" s="64"/>
      <c r="P1882" s="64"/>
      <c r="Q1882" s="64"/>
      <c r="R1882" s="65" t="str">
        <f>IF($A1882="","",IFERROR(MINIFS(Candidates!$K$2:$K$2000,Candidates!$A$2:$A$2000,$A1882),""))</f>
        <v/>
      </c>
      <c r="S1882" s="65" t="str">
        <f>IF($A1882="","",IFERROR(MAXIFS(Candidates!$AA$2:$AA$2000,Candidates!$A$2:$A$2000,$A1882),""))</f>
        <v/>
      </c>
      <c r="T1882" s="64" t="str">
        <f>IFERROR(__xludf.DUMMYFUNCTION("IF($A1882="""","""",IFERROR(TEXTJOIN("", "",TRUE,UNIQUE(FILTER(Candidates!$B$2:$B$2000,Candidates!$A$2:$A$2000=$A1882))),""""))"),"")</f>
        <v/>
      </c>
      <c r="U1882" s="66" t="str">
        <f>IF($A1882="","",COUNTIF(Candidates!$A$2:$A$2000,$A1882))</f>
        <v/>
      </c>
      <c r="V1882" s="64" t="str">
        <f>IFERROR(__xludf.DUMMYFUNCTION("IF($A1882="""","""",IFERROR(INDEX(FILTER(Candidates!$S$2:$S$2000,Candidates!$A$2:$A$2000=$A1882),COUNTIF(Candidates!$A$2:$A$2000,$A1882)),""""))"),"")</f>
        <v/>
      </c>
      <c r="W1882" s="64" t="str">
        <f>IFERROR(__xludf.DUMMYFUNCTION("IF($A1882="""","""",IFERROR(INDEX(FILTER(Candidates!$T$2:$T$2000,Candidates!$A$2:$A$2000=$A1882),COUNTIF(Candidates!$A$2:$A$2000,$A1882)),""""))"),"")</f>
        <v/>
      </c>
      <c r="X1882" s="64"/>
      <c r="Y1882" s="64"/>
      <c r="Z1882" s="65"/>
      <c r="AA1882" s="65"/>
      <c r="AB1882" s="65"/>
      <c r="AC1882" s="65"/>
    </row>
    <row r="1883">
      <c r="A1883" s="64"/>
      <c r="B1883" s="64"/>
      <c r="C1883" s="64"/>
      <c r="D1883" s="64"/>
      <c r="E1883" s="64"/>
      <c r="F1883" s="64"/>
      <c r="G1883" s="64"/>
      <c r="H1883" s="63"/>
      <c r="I1883" s="64"/>
      <c r="J1883" s="64"/>
      <c r="K1883" s="64"/>
      <c r="L1883" s="64"/>
      <c r="M1883" s="64"/>
      <c r="N1883" s="64"/>
      <c r="O1883" s="64"/>
      <c r="P1883" s="64"/>
      <c r="Q1883" s="64"/>
      <c r="R1883" s="65" t="str">
        <f>IF($A1883="","",IFERROR(MINIFS(Candidates!$K$2:$K$2000,Candidates!$A$2:$A$2000,$A1883),""))</f>
        <v/>
      </c>
      <c r="S1883" s="65" t="str">
        <f>IF($A1883="","",IFERROR(MAXIFS(Candidates!$AA$2:$AA$2000,Candidates!$A$2:$A$2000,$A1883),""))</f>
        <v/>
      </c>
      <c r="T1883" s="64" t="str">
        <f>IFERROR(__xludf.DUMMYFUNCTION("IF($A1883="""","""",IFERROR(TEXTJOIN("", "",TRUE,UNIQUE(FILTER(Candidates!$B$2:$B$2000,Candidates!$A$2:$A$2000=$A1883))),""""))"),"")</f>
        <v/>
      </c>
      <c r="U1883" s="66" t="str">
        <f>IF($A1883="","",COUNTIF(Candidates!$A$2:$A$2000,$A1883))</f>
        <v/>
      </c>
      <c r="V1883" s="64" t="str">
        <f>IFERROR(__xludf.DUMMYFUNCTION("IF($A1883="""","""",IFERROR(INDEX(FILTER(Candidates!$S$2:$S$2000,Candidates!$A$2:$A$2000=$A1883),COUNTIF(Candidates!$A$2:$A$2000,$A1883)),""""))"),"")</f>
        <v/>
      </c>
      <c r="W1883" s="64" t="str">
        <f>IFERROR(__xludf.DUMMYFUNCTION("IF($A1883="""","""",IFERROR(INDEX(FILTER(Candidates!$T$2:$T$2000,Candidates!$A$2:$A$2000=$A1883),COUNTIF(Candidates!$A$2:$A$2000,$A1883)),""""))"),"")</f>
        <v/>
      </c>
      <c r="X1883" s="64"/>
      <c r="Y1883" s="64"/>
      <c r="Z1883" s="65"/>
      <c r="AA1883" s="65"/>
      <c r="AB1883" s="65"/>
      <c r="AC1883" s="65"/>
    </row>
    <row r="1884">
      <c r="A1884" s="64"/>
      <c r="B1884" s="64"/>
      <c r="C1884" s="64"/>
      <c r="D1884" s="64"/>
      <c r="E1884" s="64"/>
      <c r="F1884" s="64"/>
      <c r="G1884" s="64"/>
      <c r="H1884" s="63"/>
      <c r="I1884" s="64"/>
      <c r="J1884" s="64"/>
      <c r="K1884" s="64"/>
      <c r="L1884" s="64"/>
      <c r="M1884" s="64"/>
      <c r="N1884" s="64"/>
      <c r="O1884" s="64"/>
      <c r="P1884" s="64"/>
      <c r="Q1884" s="64"/>
      <c r="R1884" s="65" t="str">
        <f>IF($A1884="","",IFERROR(MINIFS(Candidates!$K$2:$K$2000,Candidates!$A$2:$A$2000,$A1884),""))</f>
        <v/>
      </c>
      <c r="S1884" s="65" t="str">
        <f>IF($A1884="","",IFERROR(MAXIFS(Candidates!$AA$2:$AA$2000,Candidates!$A$2:$A$2000,$A1884),""))</f>
        <v/>
      </c>
      <c r="T1884" s="64" t="str">
        <f>IFERROR(__xludf.DUMMYFUNCTION("IF($A1884="""","""",IFERROR(TEXTJOIN("", "",TRUE,UNIQUE(FILTER(Candidates!$B$2:$B$2000,Candidates!$A$2:$A$2000=$A1884))),""""))"),"")</f>
        <v/>
      </c>
      <c r="U1884" s="66" t="str">
        <f>IF($A1884="","",COUNTIF(Candidates!$A$2:$A$2000,$A1884))</f>
        <v/>
      </c>
      <c r="V1884" s="64" t="str">
        <f>IFERROR(__xludf.DUMMYFUNCTION("IF($A1884="""","""",IFERROR(INDEX(FILTER(Candidates!$S$2:$S$2000,Candidates!$A$2:$A$2000=$A1884),COUNTIF(Candidates!$A$2:$A$2000,$A1884)),""""))"),"")</f>
        <v/>
      </c>
      <c r="W1884" s="64" t="str">
        <f>IFERROR(__xludf.DUMMYFUNCTION("IF($A1884="""","""",IFERROR(INDEX(FILTER(Candidates!$T$2:$T$2000,Candidates!$A$2:$A$2000=$A1884),COUNTIF(Candidates!$A$2:$A$2000,$A1884)),""""))"),"")</f>
        <v/>
      </c>
      <c r="X1884" s="64"/>
      <c r="Y1884" s="64"/>
      <c r="Z1884" s="65"/>
      <c r="AA1884" s="65"/>
      <c r="AB1884" s="65"/>
      <c r="AC1884" s="65"/>
    </row>
    <row r="1885">
      <c r="A1885" s="64"/>
      <c r="B1885" s="64"/>
      <c r="C1885" s="64"/>
      <c r="D1885" s="64"/>
      <c r="E1885" s="64"/>
      <c r="F1885" s="64"/>
      <c r="G1885" s="64"/>
      <c r="H1885" s="63"/>
      <c r="I1885" s="64"/>
      <c r="J1885" s="64"/>
      <c r="K1885" s="64"/>
      <c r="L1885" s="64"/>
      <c r="M1885" s="64"/>
      <c r="N1885" s="64"/>
      <c r="O1885" s="64"/>
      <c r="P1885" s="64"/>
      <c r="Q1885" s="64"/>
      <c r="R1885" s="65" t="str">
        <f>IF($A1885="","",IFERROR(MINIFS(Candidates!$K$2:$K$2000,Candidates!$A$2:$A$2000,$A1885),""))</f>
        <v/>
      </c>
      <c r="S1885" s="65" t="str">
        <f>IF($A1885="","",IFERROR(MAXIFS(Candidates!$AA$2:$AA$2000,Candidates!$A$2:$A$2000,$A1885),""))</f>
        <v/>
      </c>
      <c r="T1885" s="64" t="str">
        <f>IFERROR(__xludf.DUMMYFUNCTION("IF($A1885="""","""",IFERROR(TEXTJOIN("", "",TRUE,UNIQUE(FILTER(Candidates!$B$2:$B$2000,Candidates!$A$2:$A$2000=$A1885))),""""))"),"")</f>
        <v/>
      </c>
      <c r="U1885" s="66" t="str">
        <f>IF($A1885="","",COUNTIF(Candidates!$A$2:$A$2000,$A1885))</f>
        <v/>
      </c>
      <c r="V1885" s="64" t="str">
        <f>IFERROR(__xludf.DUMMYFUNCTION("IF($A1885="""","""",IFERROR(INDEX(FILTER(Candidates!$S$2:$S$2000,Candidates!$A$2:$A$2000=$A1885),COUNTIF(Candidates!$A$2:$A$2000,$A1885)),""""))"),"")</f>
        <v/>
      </c>
      <c r="W1885" s="64" t="str">
        <f>IFERROR(__xludf.DUMMYFUNCTION("IF($A1885="""","""",IFERROR(INDEX(FILTER(Candidates!$T$2:$T$2000,Candidates!$A$2:$A$2000=$A1885),COUNTIF(Candidates!$A$2:$A$2000,$A1885)),""""))"),"")</f>
        <v/>
      </c>
      <c r="X1885" s="64"/>
      <c r="Y1885" s="64"/>
      <c r="Z1885" s="65"/>
      <c r="AA1885" s="65"/>
      <c r="AB1885" s="65"/>
      <c r="AC1885" s="65"/>
    </row>
    <row r="1886">
      <c r="A1886" s="64"/>
      <c r="B1886" s="64"/>
      <c r="C1886" s="64"/>
      <c r="D1886" s="64"/>
      <c r="E1886" s="64"/>
      <c r="F1886" s="64"/>
      <c r="G1886" s="64"/>
      <c r="H1886" s="63"/>
      <c r="I1886" s="64"/>
      <c r="J1886" s="64"/>
      <c r="K1886" s="64"/>
      <c r="L1886" s="64"/>
      <c r="M1886" s="64"/>
      <c r="N1886" s="64"/>
      <c r="O1886" s="64"/>
      <c r="P1886" s="64"/>
      <c r="Q1886" s="64"/>
      <c r="R1886" s="65" t="str">
        <f>IF($A1886="","",IFERROR(MINIFS(Candidates!$K$2:$K$2000,Candidates!$A$2:$A$2000,$A1886),""))</f>
        <v/>
      </c>
      <c r="S1886" s="65" t="str">
        <f>IF($A1886="","",IFERROR(MAXIFS(Candidates!$AA$2:$AA$2000,Candidates!$A$2:$A$2000,$A1886),""))</f>
        <v/>
      </c>
      <c r="T1886" s="64" t="str">
        <f>IFERROR(__xludf.DUMMYFUNCTION("IF($A1886="""","""",IFERROR(TEXTJOIN("", "",TRUE,UNIQUE(FILTER(Candidates!$B$2:$B$2000,Candidates!$A$2:$A$2000=$A1886))),""""))"),"")</f>
        <v/>
      </c>
      <c r="U1886" s="66" t="str">
        <f>IF($A1886="","",COUNTIF(Candidates!$A$2:$A$2000,$A1886))</f>
        <v/>
      </c>
      <c r="V1886" s="64" t="str">
        <f>IFERROR(__xludf.DUMMYFUNCTION("IF($A1886="""","""",IFERROR(INDEX(FILTER(Candidates!$S$2:$S$2000,Candidates!$A$2:$A$2000=$A1886),COUNTIF(Candidates!$A$2:$A$2000,$A1886)),""""))"),"")</f>
        <v/>
      </c>
      <c r="W1886" s="64" t="str">
        <f>IFERROR(__xludf.DUMMYFUNCTION("IF($A1886="""","""",IFERROR(INDEX(FILTER(Candidates!$T$2:$T$2000,Candidates!$A$2:$A$2000=$A1886),COUNTIF(Candidates!$A$2:$A$2000,$A1886)),""""))"),"")</f>
        <v/>
      </c>
      <c r="X1886" s="64"/>
      <c r="Y1886" s="64"/>
      <c r="Z1886" s="65"/>
      <c r="AA1886" s="65"/>
      <c r="AB1886" s="65"/>
      <c r="AC1886" s="65"/>
    </row>
    <row r="1887">
      <c r="A1887" s="64"/>
      <c r="B1887" s="64"/>
      <c r="C1887" s="64"/>
      <c r="D1887" s="64"/>
      <c r="E1887" s="64"/>
      <c r="F1887" s="64"/>
      <c r="G1887" s="64"/>
      <c r="H1887" s="63"/>
      <c r="I1887" s="64"/>
      <c r="J1887" s="64"/>
      <c r="K1887" s="64"/>
      <c r="L1887" s="64"/>
      <c r="M1887" s="64"/>
      <c r="N1887" s="64"/>
      <c r="O1887" s="64"/>
      <c r="P1887" s="64"/>
      <c r="Q1887" s="64"/>
      <c r="R1887" s="65" t="str">
        <f>IF($A1887="","",IFERROR(MINIFS(Candidates!$K$2:$K$2000,Candidates!$A$2:$A$2000,$A1887),""))</f>
        <v/>
      </c>
      <c r="S1887" s="65" t="str">
        <f>IF($A1887="","",IFERROR(MAXIFS(Candidates!$AA$2:$AA$2000,Candidates!$A$2:$A$2000,$A1887),""))</f>
        <v/>
      </c>
      <c r="T1887" s="64" t="str">
        <f>IFERROR(__xludf.DUMMYFUNCTION("IF($A1887="""","""",IFERROR(TEXTJOIN("", "",TRUE,UNIQUE(FILTER(Candidates!$B$2:$B$2000,Candidates!$A$2:$A$2000=$A1887))),""""))"),"")</f>
        <v/>
      </c>
      <c r="U1887" s="66" t="str">
        <f>IF($A1887="","",COUNTIF(Candidates!$A$2:$A$2000,$A1887))</f>
        <v/>
      </c>
      <c r="V1887" s="64" t="str">
        <f>IFERROR(__xludf.DUMMYFUNCTION("IF($A1887="""","""",IFERROR(INDEX(FILTER(Candidates!$S$2:$S$2000,Candidates!$A$2:$A$2000=$A1887),COUNTIF(Candidates!$A$2:$A$2000,$A1887)),""""))"),"")</f>
        <v/>
      </c>
      <c r="W1887" s="64" t="str">
        <f>IFERROR(__xludf.DUMMYFUNCTION("IF($A1887="""","""",IFERROR(INDEX(FILTER(Candidates!$T$2:$T$2000,Candidates!$A$2:$A$2000=$A1887),COUNTIF(Candidates!$A$2:$A$2000,$A1887)),""""))"),"")</f>
        <v/>
      </c>
      <c r="X1887" s="64"/>
      <c r="Y1887" s="64"/>
      <c r="Z1887" s="65"/>
      <c r="AA1887" s="65"/>
      <c r="AB1887" s="65"/>
      <c r="AC1887" s="65"/>
    </row>
    <row r="1888">
      <c r="A1888" s="64"/>
      <c r="B1888" s="64"/>
      <c r="C1888" s="64"/>
      <c r="D1888" s="64"/>
      <c r="E1888" s="64"/>
      <c r="F1888" s="64"/>
      <c r="G1888" s="64"/>
      <c r="H1888" s="63"/>
      <c r="I1888" s="64"/>
      <c r="J1888" s="64"/>
      <c r="K1888" s="64"/>
      <c r="L1888" s="64"/>
      <c r="M1888" s="64"/>
      <c r="N1888" s="64"/>
      <c r="O1888" s="64"/>
      <c r="P1888" s="64"/>
      <c r="Q1888" s="64"/>
      <c r="R1888" s="65" t="str">
        <f>IF($A1888="","",IFERROR(MINIFS(Candidates!$K$2:$K$2000,Candidates!$A$2:$A$2000,$A1888),""))</f>
        <v/>
      </c>
      <c r="S1888" s="65" t="str">
        <f>IF($A1888="","",IFERROR(MAXIFS(Candidates!$AA$2:$AA$2000,Candidates!$A$2:$A$2000,$A1888),""))</f>
        <v/>
      </c>
      <c r="T1888" s="64" t="str">
        <f>IFERROR(__xludf.DUMMYFUNCTION("IF($A1888="""","""",IFERROR(TEXTJOIN("", "",TRUE,UNIQUE(FILTER(Candidates!$B$2:$B$2000,Candidates!$A$2:$A$2000=$A1888))),""""))"),"")</f>
        <v/>
      </c>
      <c r="U1888" s="66" t="str">
        <f>IF($A1888="","",COUNTIF(Candidates!$A$2:$A$2000,$A1888))</f>
        <v/>
      </c>
      <c r="V1888" s="64" t="str">
        <f>IFERROR(__xludf.DUMMYFUNCTION("IF($A1888="""","""",IFERROR(INDEX(FILTER(Candidates!$S$2:$S$2000,Candidates!$A$2:$A$2000=$A1888),COUNTIF(Candidates!$A$2:$A$2000,$A1888)),""""))"),"")</f>
        <v/>
      </c>
      <c r="W1888" s="64" t="str">
        <f>IFERROR(__xludf.DUMMYFUNCTION("IF($A1888="""","""",IFERROR(INDEX(FILTER(Candidates!$T$2:$T$2000,Candidates!$A$2:$A$2000=$A1888),COUNTIF(Candidates!$A$2:$A$2000,$A1888)),""""))"),"")</f>
        <v/>
      </c>
      <c r="X1888" s="64"/>
      <c r="Y1888" s="64"/>
      <c r="Z1888" s="65"/>
      <c r="AA1888" s="65"/>
      <c r="AB1888" s="65"/>
      <c r="AC1888" s="65"/>
    </row>
    <row r="1889">
      <c r="A1889" s="64"/>
      <c r="B1889" s="64"/>
      <c r="C1889" s="64"/>
      <c r="D1889" s="64"/>
      <c r="E1889" s="64"/>
      <c r="F1889" s="64"/>
      <c r="G1889" s="64"/>
      <c r="H1889" s="63"/>
      <c r="I1889" s="64"/>
      <c r="J1889" s="64"/>
      <c r="K1889" s="64"/>
      <c r="L1889" s="64"/>
      <c r="M1889" s="64"/>
      <c r="N1889" s="64"/>
      <c r="O1889" s="64"/>
      <c r="P1889" s="64"/>
      <c r="Q1889" s="64"/>
      <c r="R1889" s="65" t="str">
        <f>IF($A1889="","",IFERROR(MINIFS(Candidates!$K$2:$K$2000,Candidates!$A$2:$A$2000,$A1889),""))</f>
        <v/>
      </c>
      <c r="S1889" s="65" t="str">
        <f>IF($A1889="","",IFERROR(MAXIFS(Candidates!$AA$2:$AA$2000,Candidates!$A$2:$A$2000,$A1889),""))</f>
        <v/>
      </c>
      <c r="T1889" s="64" t="str">
        <f>IFERROR(__xludf.DUMMYFUNCTION("IF($A1889="""","""",IFERROR(TEXTJOIN("", "",TRUE,UNIQUE(FILTER(Candidates!$B$2:$B$2000,Candidates!$A$2:$A$2000=$A1889))),""""))"),"")</f>
        <v/>
      </c>
      <c r="U1889" s="66" t="str">
        <f>IF($A1889="","",COUNTIF(Candidates!$A$2:$A$2000,$A1889))</f>
        <v/>
      </c>
      <c r="V1889" s="64" t="str">
        <f>IFERROR(__xludf.DUMMYFUNCTION("IF($A1889="""","""",IFERROR(INDEX(FILTER(Candidates!$S$2:$S$2000,Candidates!$A$2:$A$2000=$A1889),COUNTIF(Candidates!$A$2:$A$2000,$A1889)),""""))"),"")</f>
        <v/>
      </c>
      <c r="W1889" s="64" t="str">
        <f>IFERROR(__xludf.DUMMYFUNCTION("IF($A1889="""","""",IFERROR(INDEX(FILTER(Candidates!$T$2:$T$2000,Candidates!$A$2:$A$2000=$A1889),COUNTIF(Candidates!$A$2:$A$2000,$A1889)),""""))"),"")</f>
        <v/>
      </c>
      <c r="X1889" s="64"/>
      <c r="Y1889" s="64"/>
      <c r="Z1889" s="65"/>
      <c r="AA1889" s="65"/>
      <c r="AB1889" s="65"/>
      <c r="AC1889" s="65"/>
    </row>
    <row r="1890">
      <c r="A1890" s="64"/>
      <c r="B1890" s="64"/>
      <c r="C1890" s="64"/>
      <c r="D1890" s="64"/>
      <c r="E1890" s="64"/>
      <c r="F1890" s="64"/>
      <c r="G1890" s="64"/>
      <c r="H1890" s="63"/>
      <c r="I1890" s="64"/>
      <c r="J1890" s="64"/>
      <c r="K1890" s="64"/>
      <c r="L1890" s="64"/>
      <c r="M1890" s="64"/>
      <c r="N1890" s="64"/>
      <c r="O1890" s="64"/>
      <c r="P1890" s="64"/>
      <c r="Q1890" s="64"/>
      <c r="R1890" s="65" t="str">
        <f>IF($A1890="","",IFERROR(MINIFS(Candidates!$K$2:$K$2000,Candidates!$A$2:$A$2000,$A1890),""))</f>
        <v/>
      </c>
      <c r="S1890" s="65" t="str">
        <f>IF($A1890="","",IFERROR(MAXIFS(Candidates!$AA$2:$AA$2000,Candidates!$A$2:$A$2000,$A1890),""))</f>
        <v/>
      </c>
      <c r="T1890" s="64" t="str">
        <f>IFERROR(__xludf.DUMMYFUNCTION("IF($A1890="""","""",IFERROR(TEXTJOIN("", "",TRUE,UNIQUE(FILTER(Candidates!$B$2:$B$2000,Candidates!$A$2:$A$2000=$A1890))),""""))"),"")</f>
        <v/>
      </c>
      <c r="U1890" s="66" t="str">
        <f>IF($A1890="","",COUNTIF(Candidates!$A$2:$A$2000,$A1890))</f>
        <v/>
      </c>
      <c r="V1890" s="64" t="str">
        <f>IFERROR(__xludf.DUMMYFUNCTION("IF($A1890="""","""",IFERROR(INDEX(FILTER(Candidates!$S$2:$S$2000,Candidates!$A$2:$A$2000=$A1890),COUNTIF(Candidates!$A$2:$A$2000,$A1890)),""""))"),"")</f>
        <v/>
      </c>
      <c r="W1890" s="64" t="str">
        <f>IFERROR(__xludf.DUMMYFUNCTION("IF($A1890="""","""",IFERROR(INDEX(FILTER(Candidates!$T$2:$T$2000,Candidates!$A$2:$A$2000=$A1890),COUNTIF(Candidates!$A$2:$A$2000,$A1890)),""""))"),"")</f>
        <v/>
      </c>
      <c r="X1890" s="64"/>
      <c r="Y1890" s="64"/>
      <c r="Z1890" s="65"/>
      <c r="AA1890" s="65"/>
      <c r="AB1890" s="65"/>
      <c r="AC1890" s="65"/>
    </row>
    <row r="1891">
      <c r="A1891" s="64"/>
      <c r="B1891" s="64"/>
      <c r="C1891" s="64"/>
      <c r="D1891" s="64"/>
      <c r="E1891" s="64"/>
      <c r="F1891" s="64"/>
      <c r="G1891" s="64"/>
      <c r="H1891" s="63"/>
      <c r="I1891" s="64"/>
      <c r="J1891" s="64"/>
      <c r="K1891" s="64"/>
      <c r="L1891" s="64"/>
      <c r="M1891" s="64"/>
      <c r="N1891" s="64"/>
      <c r="O1891" s="64"/>
      <c r="P1891" s="64"/>
      <c r="Q1891" s="64"/>
      <c r="R1891" s="65" t="str">
        <f>IF($A1891="","",IFERROR(MINIFS(Candidates!$K$2:$K$2000,Candidates!$A$2:$A$2000,$A1891),""))</f>
        <v/>
      </c>
      <c r="S1891" s="65" t="str">
        <f>IF($A1891="","",IFERROR(MAXIFS(Candidates!$AA$2:$AA$2000,Candidates!$A$2:$A$2000,$A1891),""))</f>
        <v/>
      </c>
      <c r="T1891" s="64" t="str">
        <f>IFERROR(__xludf.DUMMYFUNCTION("IF($A1891="""","""",IFERROR(TEXTJOIN("", "",TRUE,UNIQUE(FILTER(Candidates!$B$2:$B$2000,Candidates!$A$2:$A$2000=$A1891))),""""))"),"")</f>
        <v/>
      </c>
      <c r="U1891" s="66" t="str">
        <f>IF($A1891="","",COUNTIF(Candidates!$A$2:$A$2000,$A1891))</f>
        <v/>
      </c>
      <c r="V1891" s="64" t="str">
        <f>IFERROR(__xludf.DUMMYFUNCTION("IF($A1891="""","""",IFERROR(INDEX(FILTER(Candidates!$S$2:$S$2000,Candidates!$A$2:$A$2000=$A1891),COUNTIF(Candidates!$A$2:$A$2000,$A1891)),""""))"),"")</f>
        <v/>
      </c>
      <c r="W1891" s="64" t="str">
        <f>IFERROR(__xludf.DUMMYFUNCTION("IF($A1891="""","""",IFERROR(INDEX(FILTER(Candidates!$T$2:$T$2000,Candidates!$A$2:$A$2000=$A1891),COUNTIF(Candidates!$A$2:$A$2000,$A1891)),""""))"),"")</f>
        <v/>
      </c>
      <c r="X1891" s="64"/>
      <c r="Y1891" s="64"/>
      <c r="Z1891" s="65"/>
      <c r="AA1891" s="65"/>
      <c r="AB1891" s="65"/>
      <c r="AC1891" s="65"/>
    </row>
    <row r="1892">
      <c r="A1892" s="64"/>
      <c r="B1892" s="64"/>
      <c r="C1892" s="64"/>
      <c r="D1892" s="64"/>
      <c r="E1892" s="64"/>
      <c r="F1892" s="64"/>
      <c r="G1892" s="64"/>
      <c r="H1892" s="63"/>
      <c r="I1892" s="64"/>
      <c r="J1892" s="64"/>
      <c r="K1892" s="64"/>
      <c r="L1892" s="64"/>
      <c r="M1892" s="64"/>
      <c r="N1892" s="64"/>
      <c r="O1892" s="64"/>
      <c r="P1892" s="64"/>
      <c r="Q1892" s="64"/>
      <c r="R1892" s="65" t="str">
        <f>IF($A1892="","",IFERROR(MINIFS(Candidates!$K$2:$K$2000,Candidates!$A$2:$A$2000,$A1892),""))</f>
        <v/>
      </c>
      <c r="S1892" s="65" t="str">
        <f>IF($A1892="","",IFERROR(MAXIFS(Candidates!$AA$2:$AA$2000,Candidates!$A$2:$A$2000,$A1892),""))</f>
        <v/>
      </c>
      <c r="T1892" s="64" t="str">
        <f>IFERROR(__xludf.DUMMYFUNCTION("IF($A1892="""","""",IFERROR(TEXTJOIN("", "",TRUE,UNIQUE(FILTER(Candidates!$B$2:$B$2000,Candidates!$A$2:$A$2000=$A1892))),""""))"),"")</f>
        <v/>
      </c>
      <c r="U1892" s="66" t="str">
        <f>IF($A1892="","",COUNTIF(Candidates!$A$2:$A$2000,$A1892))</f>
        <v/>
      </c>
      <c r="V1892" s="64" t="str">
        <f>IFERROR(__xludf.DUMMYFUNCTION("IF($A1892="""","""",IFERROR(INDEX(FILTER(Candidates!$S$2:$S$2000,Candidates!$A$2:$A$2000=$A1892),COUNTIF(Candidates!$A$2:$A$2000,$A1892)),""""))"),"")</f>
        <v/>
      </c>
      <c r="W1892" s="64" t="str">
        <f>IFERROR(__xludf.DUMMYFUNCTION("IF($A1892="""","""",IFERROR(INDEX(FILTER(Candidates!$T$2:$T$2000,Candidates!$A$2:$A$2000=$A1892),COUNTIF(Candidates!$A$2:$A$2000,$A1892)),""""))"),"")</f>
        <v/>
      </c>
      <c r="X1892" s="64"/>
      <c r="Y1892" s="64"/>
      <c r="Z1892" s="65"/>
      <c r="AA1892" s="65"/>
      <c r="AB1892" s="65"/>
      <c r="AC1892" s="65"/>
    </row>
    <row r="1893">
      <c r="A1893" s="64"/>
      <c r="B1893" s="64"/>
      <c r="C1893" s="64"/>
      <c r="D1893" s="64"/>
      <c r="E1893" s="64"/>
      <c r="F1893" s="64"/>
      <c r="G1893" s="64"/>
      <c r="H1893" s="63"/>
      <c r="I1893" s="64"/>
      <c r="J1893" s="64"/>
      <c r="K1893" s="64"/>
      <c r="L1893" s="64"/>
      <c r="M1893" s="64"/>
      <c r="N1893" s="64"/>
      <c r="O1893" s="64"/>
      <c r="P1893" s="64"/>
      <c r="Q1893" s="64"/>
      <c r="R1893" s="65" t="str">
        <f>IF($A1893="","",IFERROR(MINIFS(Candidates!$K$2:$K$2000,Candidates!$A$2:$A$2000,$A1893),""))</f>
        <v/>
      </c>
      <c r="S1893" s="65" t="str">
        <f>IF($A1893="","",IFERROR(MAXIFS(Candidates!$AA$2:$AA$2000,Candidates!$A$2:$A$2000,$A1893),""))</f>
        <v/>
      </c>
      <c r="T1893" s="64" t="str">
        <f>IFERROR(__xludf.DUMMYFUNCTION("IF($A1893="""","""",IFERROR(TEXTJOIN("", "",TRUE,UNIQUE(FILTER(Candidates!$B$2:$B$2000,Candidates!$A$2:$A$2000=$A1893))),""""))"),"")</f>
        <v/>
      </c>
      <c r="U1893" s="66" t="str">
        <f>IF($A1893="","",COUNTIF(Candidates!$A$2:$A$2000,$A1893))</f>
        <v/>
      </c>
      <c r="V1893" s="64" t="str">
        <f>IFERROR(__xludf.DUMMYFUNCTION("IF($A1893="""","""",IFERROR(INDEX(FILTER(Candidates!$S$2:$S$2000,Candidates!$A$2:$A$2000=$A1893),COUNTIF(Candidates!$A$2:$A$2000,$A1893)),""""))"),"")</f>
        <v/>
      </c>
      <c r="W1893" s="64" t="str">
        <f>IFERROR(__xludf.DUMMYFUNCTION("IF($A1893="""","""",IFERROR(INDEX(FILTER(Candidates!$T$2:$T$2000,Candidates!$A$2:$A$2000=$A1893),COUNTIF(Candidates!$A$2:$A$2000,$A1893)),""""))"),"")</f>
        <v/>
      </c>
      <c r="X1893" s="64"/>
      <c r="Y1893" s="64"/>
      <c r="Z1893" s="65"/>
      <c r="AA1893" s="65"/>
      <c r="AB1893" s="65"/>
      <c r="AC1893" s="65"/>
    </row>
    <row r="1894">
      <c r="A1894" s="64"/>
      <c r="B1894" s="64"/>
      <c r="C1894" s="64"/>
      <c r="D1894" s="64"/>
      <c r="E1894" s="64"/>
      <c r="F1894" s="64"/>
      <c r="G1894" s="64"/>
      <c r="H1894" s="63"/>
      <c r="I1894" s="64"/>
      <c r="J1894" s="64"/>
      <c r="K1894" s="64"/>
      <c r="L1894" s="64"/>
      <c r="M1894" s="64"/>
      <c r="N1894" s="64"/>
      <c r="O1894" s="64"/>
      <c r="P1894" s="64"/>
      <c r="Q1894" s="64"/>
      <c r="R1894" s="65" t="str">
        <f>IF($A1894="","",IFERROR(MINIFS(Candidates!$K$2:$K$2000,Candidates!$A$2:$A$2000,$A1894),""))</f>
        <v/>
      </c>
      <c r="S1894" s="65" t="str">
        <f>IF($A1894="","",IFERROR(MAXIFS(Candidates!$AA$2:$AA$2000,Candidates!$A$2:$A$2000,$A1894),""))</f>
        <v/>
      </c>
      <c r="T1894" s="64" t="str">
        <f>IFERROR(__xludf.DUMMYFUNCTION("IF($A1894="""","""",IFERROR(TEXTJOIN("", "",TRUE,UNIQUE(FILTER(Candidates!$B$2:$B$2000,Candidates!$A$2:$A$2000=$A1894))),""""))"),"")</f>
        <v/>
      </c>
      <c r="U1894" s="66" t="str">
        <f>IF($A1894="","",COUNTIF(Candidates!$A$2:$A$2000,$A1894))</f>
        <v/>
      </c>
      <c r="V1894" s="64" t="str">
        <f>IFERROR(__xludf.DUMMYFUNCTION("IF($A1894="""","""",IFERROR(INDEX(FILTER(Candidates!$S$2:$S$2000,Candidates!$A$2:$A$2000=$A1894),COUNTIF(Candidates!$A$2:$A$2000,$A1894)),""""))"),"")</f>
        <v/>
      </c>
      <c r="W1894" s="64" t="str">
        <f>IFERROR(__xludf.DUMMYFUNCTION("IF($A1894="""","""",IFERROR(INDEX(FILTER(Candidates!$T$2:$T$2000,Candidates!$A$2:$A$2000=$A1894),COUNTIF(Candidates!$A$2:$A$2000,$A1894)),""""))"),"")</f>
        <v/>
      </c>
      <c r="X1894" s="64"/>
      <c r="Y1894" s="64"/>
      <c r="Z1894" s="65"/>
      <c r="AA1894" s="65"/>
      <c r="AB1894" s="65"/>
      <c r="AC1894" s="65"/>
    </row>
    <row r="1895">
      <c r="A1895" s="64"/>
      <c r="B1895" s="64"/>
      <c r="C1895" s="64"/>
      <c r="D1895" s="64"/>
      <c r="E1895" s="64"/>
      <c r="F1895" s="64"/>
      <c r="G1895" s="64"/>
      <c r="H1895" s="63"/>
      <c r="I1895" s="64"/>
      <c r="J1895" s="64"/>
      <c r="K1895" s="64"/>
      <c r="L1895" s="64"/>
      <c r="M1895" s="64"/>
      <c r="N1895" s="64"/>
      <c r="O1895" s="64"/>
      <c r="P1895" s="64"/>
      <c r="Q1895" s="64"/>
      <c r="R1895" s="65" t="str">
        <f>IF($A1895="","",IFERROR(MINIFS(Candidates!$K$2:$K$2000,Candidates!$A$2:$A$2000,$A1895),""))</f>
        <v/>
      </c>
      <c r="S1895" s="65" t="str">
        <f>IF($A1895="","",IFERROR(MAXIFS(Candidates!$AA$2:$AA$2000,Candidates!$A$2:$A$2000,$A1895),""))</f>
        <v/>
      </c>
      <c r="T1895" s="64" t="str">
        <f>IFERROR(__xludf.DUMMYFUNCTION("IF($A1895="""","""",IFERROR(TEXTJOIN("", "",TRUE,UNIQUE(FILTER(Candidates!$B$2:$B$2000,Candidates!$A$2:$A$2000=$A1895))),""""))"),"")</f>
        <v/>
      </c>
      <c r="U1895" s="66" t="str">
        <f>IF($A1895="","",COUNTIF(Candidates!$A$2:$A$2000,$A1895))</f>
        <v/>
      </c>
      <c r="V1895" s="64" t="str">
        <f>IFERROR(__xludf.DUMMYFUNCTION("IF($A1895="""","""",IFERROR(INDEX(FILTER(Candidates!$S$2:$S$2000,Candidates!$A$2:$A$2000=$A1895),COUNTIF(Candidates!$A$2:$A$2000,$A1895)),""""))"),"")</f>
        <v/>
      </c>
      <c r="W1895" s="64" t="str">
        <f>IFERROR(__xludf.DUMMYFUNCTION("IF($A1895="""","""",IFERROR(INDEX(FILTER(Candidates!$T$2:$T$2000,Candidates!$A$2:$A$2000=$A1895),COUNTIF(Candidates!$A$2:$A$2000,$A1895)),""""))"),"")</f>
        <v/>
      </c>
      <c r="X1895" s="64"/>
      <c r="Y1895" s="64"/>
      <c r="Z1895" s="65"/>
      <c r="AA1895" s="65"/>
      <c r="AB1895" s="65"/>
      <c r="AC1895" s="65"/>
    </row>
    <row r="1896">
      <c r="A1896" s="64"/>
      <c r="B1896" s="64"/>
      <c r="C1896" s="64"/>
      <c r="D1896" s="64"/>
      <c r="E1896" s="64"/>
      <c r="F1896" s="64"/>
      <c r="G1896" s="64"/>
      <c r="H1896" s="63"/>
      <c r="I1896" s="64"/>
      <c r="J1896" s="64"/>
      <c r="K1896" s="64"/>
      <c r="L1896" s="64"/>
      <c r="M1896" s="64"/>
      <c r="N1896" s="64"/>
      <c r="O1896" s="64"/>
      <c r="P1896" s="64"/>
      <c r="Q1896" s="64"/>
      <c r="R1896" s="65" t="str">
        <f>IF($A1896="","",IFERROR(MINIFS(Candidates!$K$2:$K$2000,Candidates!$A$2:$A$2000,$A1896),""))</f>
        <v/>
      </c>
      <c r="S1896" s="65" t="str">
        <f>IF($A1896="","",IFERROR(MAXIFS(Candidates!$AA$2:$AA$2000,Candidates!$A$2:$A$2000,$A1896),""))</f>
        <v/>
      </c>
      <c r="T1896" s="64" t="str">
        <f>IFERROR(__xludf.DUMMYFUNCTION("IF($A1896="""","""",IFERROR(TEXTJOIN("", "",TRUE,UNIQUE(FILTER(Candidates!$B$2:$B$2000,Candidates!$A$2:$A$2000=$A1896))),""""))"),"")</f>
        <v/>
      </c>
      <c r="U1896" s="66" t="str">
        <f>IF($A1896="","",COUNTIF(Candidates!$A$2:$A$2000,$A1896))</f>
        <v/>
      </c>
      <c r="V1896" s="64" t="str">
        <f>IFERROR(__xludf.DUMMYFUNCTION("IF($A1896="""","""",IFERROR(INDEX(FILTER(Candidates!$S$2:$S$2000,Candidates!$A$2:$A$2000=$A1896),COUNTIF(Candidates!$A$2:$A$2000,$A1896)),""""))"),"")</f>
        <v/>
      </c>
      <c r="W1896" s="64" t="str">
        <f>IFERROR(__xludf.DUMMYFUNCTION("IF($A1896="""","""",IFERROR(INDEX(FILTER(Candidates!$T$2:$T$2000,Candidates!$A$2:$A$2000=$A1896),COUNTIF(Candidates!$A$2:$A$2000,$A1896)),""""))"),"")</f>
        <v/>
      </c>
      <c r="X1896" s="64"/>
      <c r="Y1896" s="64"/>
      <c r="Z1896" s="65"/>
      <c r="AA1896" s="65"/>
      <c r="AB1896" s="65"/>
      <c r="AC1896" s="65"/>
    </row>
    <row r="1897">
      <c r="A1897" s="64"/>
      <c r="B1897" s="64"/>
      <c r="C1897" s="64"/>
      <c r="D1897" s="64"/>
      <c r="E1897" s="64"/>
      <c r="F1897" s="64"/>
      <c r="G1897" s="64"/>
      <c r="H1897" s="63"/>
      <c r="I1897" s="64"/>
      <c r="J1897" s="64"/>
      <c r="K1897" s="64"/>
      <c r="L1897" s="64"/>
      <c r="M1897" s="64"/>
      <c r="N1897" s="64"/>
      <c r="O1897" s="64"/>
      <c r="P1897" s="64"/>
      <c r="Q1897" s="64"/>
      <c r="R1897" s="65" t="str">
        <f>IF($A1897="","",IFERROR(MINIFS(Candidates!$K$2:$K$2000,Candidates!$A$2:$A$2000,$A1897),""))</f>
        <v/>
      </c>
      <c r="S1897" s="65" t="str">
        <f>IF($A1897="","",IFERROR(MAXIFS(Candidates!$AA$2:$AA$2000,Candidates!$A$2:$A$2000,$A1897),""))</f>
        <v/>
      </c>
      <c r="T1897" s="64" t="str">
        <f>IFERROR(__xludf.DUMMYFUNCTION("IF($A1897="""","""",IFERROR(TEXTJOIN("", "",TRUE,UNIQUE(FILTER(Candidates!$B$2:$B$2000,Candidates!$A$2:$A$2000=$A1897))),""""))"),"")</f>
        <v/>
      </c>
      <c r="U1897" s="66" t="str">
        <f>IF($A1897="","",COUNTIF(Candidates!$A$2:$A$2000,$A1897))</f>
        <v/>
      </c>
      <c r="V1897" s="64" t="str">
        <f>IFERROR(__xludf.DUMMYFUNCTION("IF($A1897="""","""",IFERROR(INDEX(FILTER(Candidates!$S$2:$S$2000,Candidates!$A$2:$A$2000=$A1897),COUNTIF(Candidates!$A$2:$A$2000,$A1897)),""""))"),"")</f>
        <v/>
      </c>
      <c r="W1897" s="64" t="str">
        <f>IFERROR(__xludf.DUMMYFUNCTION("IF($A1897="""","""",IFERROR(INDEX(FILTER(Candidates!$T$2:$T$2000,Candidates!$A$2:$A$2000=$A1897),COUNTIF(Candidates!$A$2:$A$2000,$A1897)),""""))"),"")</f>
        <v/>
      </c>
      <c r="X1897" s="64"/>
      <c r="Y1897" s="64"/>
      <c r="Z1897" s="65"/>
      <c r="AA1897" s="65"/>
      <c r="AB1897" s="65"/>
      <c r="AC1897" s="65"/>
    </row>
    <row r="1898">
      <c r="A1898" s="64"/>
      <c r="B1898" s="64"/>
      <c r="C1898" s="64"/>
      <c r="D1898" s="64"/>
      <c r="E1898" s="64"/>
      <c r="F1898" s="64"/>
      <c r="G1898" s="64"/>
      <c r="H1898" s="63"/>
      <c r="I1898" s="64"/>
      <c r="J1898" s="64"/>
      <c r="K1898" s="64"/>
      <c r="L1898" s="64"/>
      <c r="M1898" s="64"/>
      <c r="N1898" s="64"/>
      <c r="O1898" s="64"/>
      <c r="P1898" s="64"/>
      <c r="Q1898" s="64"/>
      <c r="R1898" s="65" t="str">
        <f>IF($A1898="","",IFERROR(MINIFS(Candidates!$K$2:$K$2000,Candidates!$A$2:$A$2000,$A1898),""))</f>
        <v/>
      </c>
      <c r="S1898" s="65" t="str">
        <f>IF($A1898="","",IFERROR(MAXIFS(Candidates!$AA$2:$AA$2000,Candidates!$A$2:$A$2000,$A1898),""))</f>
        <v/>
      </c>
      <c r="T1898" s="64" t="str">
        <f>IFERROR(__xludf.DUMMYFUNCTION("IF($A1898="""","""",IFERROR(TEXTJOIN("", "",TRUE,UNIQUE(FILTER(Candidates!$B$2:$B$2000,Candidates!$A$2:$A$2000=$A1898))),""""))"),"")</f>
        <v/>
      </c>
      <c r="U1898" s="66" t="str">
        <f>IF($A1898="","",COUNTIF(Candidates!$A$2:$A$2000,$A1898))</f>
        <v/>
      </c>
      <c r="V1898" s="64" t="str">
        <f>IFERROR(__xludf.DUMMYFUNCTION("IF($A1898="""","""",IFERROR(INDEX(FILTER(Candidates!$S$2:$S$2000,Candidates!$A$2:$A$2000=$A1898),COUNTIF(Candidates!$A$2:$A$2000,$A1898)),""""))"),"")</f>
        <v/>
      </c>
      <c r="W1898" s="64" t="str">
        <f>IFERROR(__xludf.DUMMYFUNCTION("IF($A1898="""","""",IFERROR(INDEX(FILTER(Candidates!$T$2:$T$2000,Candidates!$A$2:$A$2000=$A1898),COUNTIF(Candidates!$A$2:$A$2000,$A1898)),""""))"),"")</f>
        <v/>
      </c>
      <c r="X1898" s="64"/>
      <c r="Y1898" s="64"/>
      <c r="Z1898" s="65"/>
      <c r="AA1898" s="65"/>
      <c r="AB1898" s="65"/>
      <c r="AC1898" s="65"/>
    </row>
    <row r="1899">
      <c r="A1899" s="64"/>
      <c r="B1899" s="64"/>
      <c r="C1899" s="64"/>
      <c r="D1899" s="64"/>
      <c r="E1899" s="64"/>
      <c r="F1899" s="64"/>
      <c r="G1899" s="64"/>
      <c r="H1899" s="63"/>
      <c r="I1899" s="64"/>
      <c r="J1899" s="64"/>
      <c r="K1899" s="64"/>
      <c r="L1899" s="64"/>
      <c r="M1899" s="64"/>
      <c r="N1899" s="64"/>
      <c r="O1899" s="64"/>
      <c r="P1899" s="64"/>
      <c r="Q1899" s="64"/>
      <c r="R1899" s="65" t="str">
        <f>IF($A1899="","",IFERROR(MINIFS(Candidates!$K$2:$K$2000,Candidates!$A$2:$A$2000,$A1899),""))</f>
        <v/>
      </c>
      <c r="S1899" s="65" t="str">
        <f>IF($A1899="","",IFERROR(MAXIFS(Candidates!$AA$2:$AA$2000,Candidates!$A$2:$A$2000,$A1899),""))</f>
        <v/>
      </c>
      <c r="T1899" s="64" t="str">
        <f>IFERROR(__xludf.DUMMYFUNCTION("IF($A1899="""","""",IFERROR(TEXTJOIN("", "",TRUE,UNIQUE(FILTER(Candidates!$B$2:$B$2000,Candidates!$A$2:$A$2000=$A1899))),""""))"),"")</f>
        <v/>
      </c>
      <c r="U1899" s="66" t="str">
        <f>IF($A1899="","",COUNTIF(Candidates!$A$2:$A$2000,$A1899))</f>
        <v/>
      </c>
      <c r="V1899" s="64" t="str">
        <f>IFERROR(__xludf.DUMMYFUNCTION("IF($A1899="""","""",IFERROR(INDEX(FILTER(Candidates!$S$2:$S$2000,Candidates!$A$2:$A$2000=$A1899),COUNTIF(Candidates!$A$2:$A$2000,$A1899)),""""))"),"")</f>
        <v/>
      </c>
      <c r="W1899" s="64" t="str">
        <f>IFERROR(__xludf.DUMMYFUNCTION("IF($A1899="""","""",IFERROR(INDEX(FILTER(Candidates!$T$2:$T$2000,Candidates!$A$2:$A$2000=$A1899),COUNTIF(Candidates!$A$2:$A$2000,$A1899)),""""))"),"")</f>
        <v/>
      </c>
      <c r="X1899" s="64"/>
      <c r="Y1899" s="64"/>
      <c r="Z1899" s="65"/>
      <c r="AA1899" s="65"/>
      <c r="AB1899" s="65"/>
      <c r="AC1899" s="65"/>
    </row>
    <row r="1900">
      <c r="A1900" s="64"/>
      <c r="B1900" s="64"/>
      <c r="C1900" s="64"/>
      <c r="D1900" s="64"/>
      <c r="E1900" s="64"/>
      <c r="F1900" s="64"/>
      <c r="G1900" s="64"/>
      <c r="H1900" s="63"/>
      <c r="I1900" s="64"/>
      <c r="J1900" s="64"/>
      <c r="K1900" s="64"/>
      <c r="L1900" s="64"/>
      <c r="M1900" s="64"/>
      <c r="N1900" s="64"/>
      <c r="O1900" s="64"/>
      <c r="P1900" s="64"/>
      <c r="Q1900" s="64"/>
      <c r="R1900" s="65" t="str">
        <f>IF($A1900="","",IFERROR(MINIFS(Candidates!$K$2:$K$2000,Candidates!$A$2:$A$2000,$A1900),""))</f>
        <v/>
      </c>
      <c r="S1900" s="65" t="str">
        <f>IF($A1900="","",IFERROR(MAXIFS(Candidates!$AA$2:$AA$2000,Candidates!$A$2:$A$2000,$A1900),""))</f>
        <v/>
      </c>
      <c r="T1900" s="64" t="str">
        <f>IFERROR(__xludf.DUMMYFUNCTION("IF($A1900="""","""",IFERROR(TEXTJOIN("", "",TRUE,UNIQUE(FILTER(Candidates!$B$2:$B$2000,Candidates!$A$2:$A$2000=$A1900))),""""))"),"")</f>
        <v/>
      </c>
      <c r="U1900" s="66" t="str">
        <f>IF($A1900="","",COUNTIF(Candidates!$A$2:$A$2000,$A1900))</f>
        <v/>
      </c>
      <c r="V1900" s="64" t="str">
        <f>IFERROR(__xludf.DUMMYFUNCTION("IF($A1900="""","""",IFERROR(INDEX(FILTER(Candidates!$S$2:$S$2000,Candidates!$A$2:$A$2000=$A1900),COUNTIF(Candidates!$A$2:$A$2000,$A1900)),""""))"),"")</f>
        <v/>
      </c>
      <c r="W1900" s="64" t="str">
        <f>IFERROR(__xludf.DUMMYFUNCTION("IF($A1900="""","""",IFERROR(INDEX(FILTER(Candidates!$T$2:$T$2000,Candidates!$A$2:$A$2000=$A1900),COUNTIF(Candidates!$A$2:$A$2000,$A1900)),""""))"),"")</f>
        <v/>
      </c>
      <c r="X1900" s="64"/>
      <c r="Y1900" s="64"/>
      <c r="Z1900" s="65"/>
      <c r="AA1900" s="65"/>
      <c r="AB1900" s="65"/>
      <c r="AC1900" s="65"/>
    </row>
    <row r="1901">
      <c r="A1901" s="64"/>
      <c r="B1901" s="64"/>
      <c r="C1901" s="64"/>
      <c r="D1901" s="64"/>
      <c r="E1901" s="64"/>
      <c r="F1901" s="64"/>
      <c r="G1901" s="64"/>
      <c r="H1901" s="63"/>
      <c r="I1901" s="64"/>
      <c r="J1901" s="64"/>
      <c r="K1901" s="64"/>
      <c r="L1901" s="64"/>
      <c r="M1901" s="64"/>
      <c r="N1901" s="64"/>
      <c r="O1901" s="64"/>
      <c r="P1901" s="64"/>
      <c r="Q1901" s="64"/>
      <c r="R1901" s="65" t="str">
        <f>IF($A1901="","",IFERROR(MINIFS(Candidates!$K$2:$K$2000,Candidates!$A$2:$A$2000,$A1901),""))</f>
        <v/>
      </c>
      <c r="S1901" s="65" t="str">
        <f>IF($A1901="","",IFERROR(MAXIFS(Candidates!$AA$2:$AA$2000,Candidates!$A$2:$A$2000,$A1901),""))</f>
        <v/>
      </c>
      <c r="T1901" s="64" t="str">
        <f>IFERROR(__xludf.DUMMYFUNCTION("IF($A1901="""","""",IFERROR(TEXTJOIN("", "",TRUE,UNIQUE(FILTER(Candidates!$B$2:$B$2000,Candidates!$A$2:$A$2000=$A1901))),""""))"),"")</f>
        <v/>
      </c>
      <c r="U1901" s="66" t="str">
        <f>IF($A1901="","",COUNTIF(Candidates!$A$2:$A$2000,$A1901))</f>
        <v/>
      </c>
      <c r="V1901" s="64" t="str">
        <f>IFERROR(__xludf.DUMMYFUNCTION("IF($A1901="""","""",IFERROR(INDEX(FILTER(Candidates!$S$2:$S$2000,Candidates!$A$2:$A$2000=$A1901),COUNTIF(Candidates!$A$2:$A$2000,$A1901)),""""))"),"")</f>
        <v/>
      </c>
      <c r="W1901" s="64" t="str">
        <f>IFERROR(__xludf.DUMMYFUNCTION("IF($A1901="""","""",IFERROR(INDEX(FILTER(Candidates!$T$2:$T$2000,Candidates!$A$2:$A$2000=$A1901),COUNTIF(Candidates!$A$2:$A$2000,$A1901)),""""))"),"")</f>
        <v/>
      </c>
      <c r="X1901" s="64"/>
      <c r="Y1901" s="64"/>
      <c r="Z1901" s="65"/>
      <c r="AA1901" s="65"/>
      <c r="AB1901" s="65"/>
      <c r="AC1901" s="65"/>
    </row>
    <row r="1902">
      <c r="A1902" s="64"/>
      <c r="B1902" s="64"/>
      <c r="C1902" s="64"/>
      <c r="D1902" s="64"/>
      <c r="E1902" s="64"/>
      <c r="F1902" s="64"/>
      <c r="G1902" s="64"/>
      <c r="H1902" s="63"/>
      <c r="I1902" s="64"/>
      <c r="J1902" s="64"/>
      <c r="K1902" s="64"/>
      <c r="L1902" s="64"/>
      <c r="M1902" s="64"/>
      <c r="N1902" s="64"/>
      <c r="O1902" s="64"/>
      <c r="P1902" s="64"/>
      <c r="Q1902" s="64"/>
      <c r="R1902" s="65" t="str">
        <f>IF($A1902="","",IFERROR(MINIFS(Candidates!$K$2:$K$2000,Candidates!$A$2:$A$2000,$A1902),""))</f>
        <v/>
      </c>
      <c r="S1902" s="65" t="str">
        <f>IF($A1902="","",IFERROR(MAXIFS(Candidates!$AA$2:$AA$2000,Candidates!$A$2:$A$2000,$A1902),""))</f>
        <v/>
      </c>
      <c r="T1902" s="64" t="str">
        <f>IFERROR(__xludf.DUMMYFUNCTION("IF($A1902="""","""",IFERROR(TEXTJOIN("", "",TRUE,UNIQUE(FILTER(Candidates!$B$2:$B$2000,Candidates!$A$2:$A$2000=$A1902))),""""))"),"")</f>
        <v/>
      </c>
      <c r="U1902" s="66" t="str">
        <f>IF($A1902="","",COUNTIF(Candidates!$A$2:$A$2000,$A1902))</f>
        <v/>
      </c>
      <c r="V1902" s="64" t="str">
        <f>IFERROR(__xludf.DUMMYFUNCTION("IF($A1902="""","""",IFERROR(INDEX(FILTER(Candidates!$S$2:$S$2000,Candidates!$A$2:$A$2000=$A1902),COUNTIF(Candidates!$A$2:$A$2000,$A1902)),""""))"),"")</f>
        <v/>
      </c>
      <c r="W1902" s="64" t="str">
        <f>IFERROR(__xludf.DUMMYFUNCTION("IF($A1902="""","""",IFERROR(INDEX(FILTER(Candidates!$T$2:$T$2000,Candidates!$A$2:$A$2000=$A1902),COUNTIF(Candidates!$A$2:$A$2000,$A1902)),""""))"),"")</f>
        <v/>
      </c>
      <c r="X1902" s="64"/>
      <c r="Y1902" s="64"/>
      <c r="Z1902" s="65"/>
      <c r="AA1902" s="65"/>
      <c r="AB1902" s="65"/>
      <c r="AC1902" s="65"/>
    </row>
    <row r="1903">
      <c r="A1903" s="64"/>
      <c r="B1903" s="64"/>
      <c r="C1903" s="64"/>
      <c r="D1903" s="64"/>
      <c r="E1903" s="64"/>
      <c r="F1903" s="64"/>
      <c r="G1903" s="64"/>
      <c r="H1903" s="63"/>
      <c r="I1903" s="64"/>
      <c r="J1903" s="64"/>
      <c r="K1903" s="64"/>
      <c r="L1903" s="64"/>
      <c r="M1903" s="64"/>
      <c r="N1903" s="64"/>
      <c r="O1903" s="64"/>
      <c r="P1903" s="64"/>
      <c r="Q1903" s="64"/>
      <c r="R1903" s="65" t="str">
        <f>IF($A1903="","",IFERROR(MINIFS(Candidates!$K$2:$K$2000,Candidates!$A$2:$A$2000,$A1903),""))</f>
        <v/>
      </c>
      <c r="S1903" s="65" t="str">
        <f>IF($A1903="","",IFERROR(MAXIFS(Candidates!$AA$2:$AA$2000,Candidates!$A$2:$A$2000,$A1903),""))</f>
        <v/>
      </c>
      <c r="T1903" s="64" t="str">
        <f>IFERROR(__xludf.DUMMYFUNCTION("IF($A1903="""","""",IFERROR(TEXTJOIN("", "",TRUE,UNIQUE(FILTER(Candidates!$B$2:$B$2000,Candidates!$A$2:$A$2000=$A1903))),""""))"),"")</f>
        <v/>
      </c>
      <c r="U1903" s="66" t="str">
        <f>IF($A1903="","",COUNTIF(Candidates!$A$2:$A$2000,$A1903))</f>
        <v/>
      </c>
      <c r="V1903" s="64" t="str">
        <f>IFERROR(__xludf.DUMMYFUNCTION("IF($A1903="""","""",IFERROR(INDEX(FILTER(Candidates!$S$2:$S$2000,Candidates!$A$2:$A$2000=$A1903),COUNTIF(Candidates!$A$2:$A$2000,$A1903)),""""))"),"")</f>
        <v/>
      </c>
      <c r="W1903" s="64" t="str">
        <f>IFERROR(__xludf.DUMMYFUNCTION("IF($A1903="""","""",IFERROR(INDEX(FILTER(Candidates!$T$2:$T$2000,Candidates!$A$2:$A$2000=$A1903),COUNTIF(Candidates!$A$2:$A$2000,$A1903)),""""))"),"")</f>
        <v/>
      </c>
      <c r="X1903" s="64"/>
      <c r="Y1903" s="64"/>
      <c r="Z1903" s="65"/>
      <c r="AA1903" s="65"/>
      <c r="AB1903" s="65"/>
      <c r="AC1903" s="65"/>
    </row>
    <row r="1904">
      <c r="A1904" s="64"/>
      <c r="B1904" s="64"/>
      <c r="C1904" s="64"/>
      <c r="D1904" s="64"/>
      <c r="E1904" s="64"/>
      <c r="F1904" s="64"/>
      <c r="G1904" s="64"/>
      <c r="H1904" s="63"/>
      <c r="I1904" s="64"/>
      <c r="J1904" s="64"/>
      <c r="K1904" s="64"/>
      <c r="L1904" s="64"/>
      <c r="M1904" s="64"/>
      <c r="N1904" s="64"/>
      <c r="O1904" s="64"/>
      <c r="P1904" s="64"/>
      <c r="Q1904" s="64"/>
      <c r="R1904" s="65" t="str">
        <f>IF($A1904="","",IFERROR(MINIFS(Candidates!$K$2:$K$2000,Candidates!$A$2:$A$2000,$A1904),""))</f>
        <v/>
      </c>
      <c r="S1904" s="65" t="str">
        <f>IF($A1904="","",IFERROR(MAXIFS(Candidates!$AA$2:$AA$2000,Candidates!$A$2:$A$2000,$A1904),""))</f>
        <v/>
      </c>
      <c r="T1904" s="64" t="str">
        <f>IFERROR(__xludf.DUMMYFUNCTION("IF($A1904="""","""",IFERROR(TEXTJOIN("", "",TRUE,UNIQUE(FILTER(Candidates!$B$2:$B$2000,Candidates!$A$2:$A$2000=$A1904))),""""))"),"")</f>
        <v/>
      </c>
      <c r="U1904" s="66" t="str">
        <f>IF($A1904="","",COUNTIF(Candidates!$A$2:$A$2000,$A1904))</f>
        <v/>
      </c>
      <c r="V1904" s="64" t="str">
        <f>IFERROR(__xludf.DUMMYFUNCTION("IF($A1904="""","""",IFERROR(INDEX(FILTER(Candidates!$S$2:$S$2000,Candidates!$A$2:$A$2000=$A1904),COUNTIF(Candidates!$A$2:$A$2000,$A1904)),""""))"),"")</f>
        <v/>
      </c>
      <c r="W1904" s="64" t="str">
        <f>IFERROR(__xludf.DUMMYFUNCTION("IF($A1904="""","""",IFERROR(INDEX(FILTER(Candidates!$T$2:$T$2000,Candidates!$A$2:$A$2000=$A1904),COUNTIF(Candidates!$A$2:$A$2000,$A1904)),""""))"),"")</f>
        <v/>
      </c>
      <c r="X1904" s="64"/>
      <c r="Y1904" s="64"/>
      <c r="Z1904" s="65"/>
      <c r="AA1904" s="65"/>
      <c r="AB1904" s="65"/>
      <c r="AC1904" s="65"/>
    </row>
    <row r="1905">
      <c r="A1905" s="64"/>
      <c r="B1905" s="64"/>
      <c r="C1905" s="64"/>
      <c r="D1905" s="64"/>
      <c r="E1905" s="64"/>
      <c r="F1905" s="64"/>
      <c r="G1905" s="64"/>
      <c r="H1905" s="63"/>
      <c r="I1905" s="64"/>
      <c r="J1905" s="64"/>
      <c r="K1905" s="64"/>
      <c r="L1905" s="64"/>
      <c r="M1905" s="64"/>
      <c r="N1905" s="64"/>
      <c r="O1905" s="64"/>
      <c r="P1905" s="64"/>
      <c r="Q1905" s="64"/>
      <c r="R1905" s="65" t="str">
        <f>IF($A1905="","",IFERROR(MINIFS(Candidates!$K$2:$K$2000,Candidates!$A$2:$A$2000,$A1905),""))</f>
        <v/>
      </c>
      <c r="S1905" s="65" t="str">
        <f>IF($A1905="","",IFERROR(MAXIFS(Candidates!$AA$2:$AA$2000,Candidates!$A$2:$A$2000,$A1905),""))</f>
        <v/>
      </c>
      <c r="T1905" s="64" t="str">
        <f>IFERROR(__xludf.DUMMYFUNCTION("IF($A1905="""","""",IFERROR(TEXTJOIN("", "",TRUE,UNIQUE(FILTER(Candidates!$B$2:$B$2000,Candidates!$A$2:$A$2000=$A1905))),""""))"),"")</f>
        <v/>
      </c>
      <c r="U1905" s="66" t="str">
        <f>IF($A1905="","",COUNTIF(Candidates!$A$2:$A$2000,$A1905))</f>
        <v/>
      </c>
      <c r="V1905" s="64" t="str">
        <f>IFERROR(__xludf.DUMMYFUNCTION("IF($A1905="""","""",IFERROR(INDEX(FILTER(Candidates!$S$2:$S$2000,Candidates!$A$2:$A$2000=$A1905),COUNTIF(Candidates!$A$2:$A$2000,$A1905)),""""))"),"")</f>
        <v/>
      </c>
      <c r="W1905" s="64" t="str">
        <f>IFERROR(__xludf.DUMMYFUNCTION("IF($A1905="""","""",IFERROR(INDEX(FILTER(Candidates!$T$2:$T$2000,Candidates!$A$2:$A$2000=$A1905),COUNTIF(Candidates!$A$2:$A$2000,$A1905)),""""))"),"")</f>
        <v/>
      </c>
      <c r="X1905" s="64"/>
      <c r="Y1905" s="64"/>
      <c r="Z1905" s="65"/>
      <c r="AA1905" s="65"/>
      <c r="AB1905" s="65"/>
      <c r="AC1905" s="65"/>
    </row>
    <row r="1906">
      <c r="A1906" s="64"/>
      <c r="B1906" s="64"/>
      <c r="C1906" s="64"/>
      <c r="D1906" s="64"/>
      <c r="E1906" s="64"/>
      <c r="F1906" s="64"/>
      <c r="G1906" s="64"/>
      <c r="H1906" s="63"/>
      <c r="I1906" s="64"/>
      <c r="J1906" s="64"/>
      <c r="K1906" s="64"/>
      <c r="L1906" s="64"/>
      <c r="M1906" s="64"/>
      <c r="N1906" s="64"/>
      <c r="O1906" s="64"/>
      <c r="P1906" s="64"/>
      <c r="Q1906" s="64"/>
      <c r="R1906" s="65" t="str">
        <f>IF($A1906="","",IFERROR(MINIFS(Candidates!$K$2:$K$2000,Candidates!$A$2:$A$2000,$A1906),""))</f>
        <v/>
      </c>
      <c r="S1906" s="65" t="str">
        <f>IF($A1906="","",IFERROR(MAXIFS(Candidates!$AA$2:$AA$2000,Candidates!$A$2:$A$2000,$A1906),""))</f>
        <v/>
      </c>
      <c r="T1906" s="64" t="str">
        <f>IFERROR(__xludf.DUMMYFUNCTION("IF($A1906="""","""",IFERROR(TEXTJOIN("", "",TRUE,UNIQUE(FILTER(Candidates!$B$2:$B$2000,Candidates!$A$2:$A$2000=$A1906))),""""))"),"")</f>
        <v/>
      </c>
      <c r="U1906" s="66" t="str">
        <f>IF($A1906="","",COUNTIF(Candidates!$A$2:$A$2000,$A1906))</f>
        <v/>
      </c>
      <c r="V1906" s="64" t="str">
        <f>IFERROR(__xludf.DUMMYFUNCTION("IF($A1906="""","""",IFERROR(INDEX(FILTER(Candidates!$S$2:$S$2000,Candidates!$A$2:$A$2000=$A1906),COUNTIF(Candidates!$A$2:$A$2000,$A1906)),""""))"),"")</f>
        <v/>
      </c>
      <c r="W1906" s="64" t="str">
        <f>IFERROR(__xludf.DUMMYFUNCTION("IF($A1906="""","""",IFERROR(INDEX(FILTER(Candidates!$T$2:$T$2000,Candidates!$A$2:$A$2000=$A1906),COUNTIF(Candidates!$A$2:$A$2000,$A1906)),""""))"),"")</f>
        <v/>
      </c>
      <c r="X1906" s="64"/>
      <c r="Y1906" s="64"/>
      <c r="Z1906" s="65"/>
      <c r="AA1906" s="65"/>
      <c r="AB1906" s="65"/>
      <c r="AC1906" s="65"/>
    </row>
    <row r="1907">
      <c r="A1907" s="64"/>
      <c r="B1907" s="64"/>
      <c r="C1907" s="64"/>
      <c r="D1907" s="64"/>
      <c r="E1907" s="64"/>
      <c r="F1907" s="64"/>
      <c r="G1907" s="64"/>
      <c r="H1907" s="63"/>
      <c r="I1907" s="64"/>
      <c r="J1907" s="64"/>
      <c r="K1907" s="64"/>
      <c r="L1907" s="64"/>
      <c r="M1907" s="64"/>
      <c r="N1907" s="64"/>
      <c r="O1907" s="64"/>
      <c r="P1907" s="64"/>
      <c r="Q1907" s="64"/>
      <c r="R1907" s="65" t="str">
        <f>IF($A1907="","",IFERROR(MINIFS(Candidates!$K$2:$K$2000,Candidates!$A$2:$A$2000,$A1907),""))</f>
        <v/>
      </c>
      <c r="S1907" s="65" t="str">
        <f>IF($A1907="","",IFERROR(MAXIFS(Candidates!$AA$2:$AA$2000,Candidates!$A$2:$A$2000,$A1907),""))</f>
        <v/>
      </c>
      <c r="T1907" s="64" t="str">
        <f>IFERROR(__xludf.DUMMYFUNCTION("IF($A1907="""","""",IFERROR(TEXTJOIN("", "",TRUE,UNIQUE(FILTER(Candidates!$B$2:$B$2000,Candidates!$A$2:$A$2000=$A1907))),""""))"),"")</f>
        <v/>
      </c>
      <c r="U1907" s="66" t="str">
        <f>IF($A1907="","",COUNTIF(Candidates!$A$2:$A$2000,$A1907))</f>
        <v/>
      </c>
      <c r="V1907" s="64" t="str">
        <f>IFERROR(__xludf.DUMMYFUNCTION("IF($A1907="""","""",IFERROR(INDEX(FILTER(Candidates!$S$2:$S$2000,Candidates!$A$2:$A$2000=$A1907),COUNTIF(Candidates!$A$2:$A$2000,$A1907)),""""))"),"")</f>
        <v/>
      </c>
      <c r="W1907" s="64" t="str">
        <f>IFERROR(__xludf.DUMMYFUNCTION("IF($A1907="""","""",IFERROR(INDEX(FILTER(Candidates!$T$2:$T$2000,Candidates!$A$2:$A$2000=$A1907),COUNTIF(Candidates!$A$2:$A$2000,$A1907)),""""))"),"")</f>
        <v/>
      </c>
      <c r="X1907" s="64"/>
      <c r="Y1907" s="64"/>
      <c r="Z1907" s="65"/>
      <c r="AA1907" s="65"/>
      <c r="AB1907" s="65"/>
      <c r="AC1907" s="65"/>
    </row>
    <row r="1908">
      <c r="A1908" s="64"/>
      <c r="B1908" s="64"/>
      <c r="C1908" s="64"/>
      <c r="D1908" s="64"/>
      <c r="E1908" s="64"/>
      <c r="F1908" s="64"/>
      <c r="G1908" s="64"/>
      <c r="H1908" s="63"/>
      <c r="I1908" s="64"/>
      <c r="J1908" s="64"/>
      <c r="K1908" s="64"/>
      <c r="L1908" s="64"/>
      <c r="M1908" s="64"/>
      <c r="N1908" s="64"/>
      <c r="O1908" s="64"/>
      <c r="P1908" s="64"/>
      <c r="Q1908" s="64"/>
      <c r="R1908" s="65" t="str">
        <f>IF($A1908="","",IFERROR(MINIFS(Candidates!$K$2:$K$2000,Candidates!$A$2:$A$2000,$A1908),""))</f>
        <v/>
      </c>
      <c r="S1908" s="65" t="str">
        <f>IF($A1908="","",IFERROR(MAXIFS(Candidates!$AA$2:$AA$2000,Candidates!$A$2:$A$2000,$A1908),""))</f>
        <v/>
      </c>
      <c r="T1908" s="64" t="str">
        <f>IFERROR(__xludf.DUMMYFUNCTION("IF($A1908="""","""",IFERROR(TEXTJOIN("", "",TRUE,UNIQUE(FILTER(Candidates!$B$2:$B$2000,Candidates!$A$2:$A$2000=$A1908))),""""))"),"")</f>
        <v/>
      </c>
      <c r="U1908" s="66" t="str">
        <f>IF($A1908="","",COUNTIF(Candidates!$A$2:$A$2000,$A1908))</f>
        <v/>
      </c>
      <c r="V1908" s="64" t="str">
        <f>IFERROR(__xludf.DUMMYFUNCTION("IF($A1908="""","""",IFERROR(INDEX(FILTER(Candidates!$S$2:$S$2000,Candidates!$A$2:$A$2000=$A1908),COUNTIF(Candidates!$A$2:$A$2000,$A1908)),""""))"),"")</f>
        <v/>
      </c>
      <c r="W1908" s="64" t="str">
        <f>IFERROR(__xludf.DUMMYFUNCTION("IF($A1908="""","""",IFERROR(INDEX(FILTER(Candidates!$T$2:$T$2000,Candidates!$A$2:$A$2000=$A1908),COUNTIF(Candidates!$A$2:$A$2000,$A1908)),""""))"),"")</f>
        <v/>
      </c>
      <c r="X1908" s="64"/>
      <c r="Y1908" s="64"/>
      <c r="Z1908" s="65"/>
      <c r="AA1908" s="65"/>
      <c r="AB1908" s="65"/>
      <c r="AC1908" s="65"/>
    </row>
    <row r="1909">
      <c r="A1909" s="64"/>
      <c r="B1909" s="64"/>
      <c r="C1909" s="64"/>
      <c r="D1909" s="64"/>
      <c r="E1909" s="64"/>
      <c r="F1909" s="64"/>
      <c r="G1909" s="64"/>
      <c r="H1909" s="63"/>
      <c r="I1909" s="64"/>
      <c r="J1909" s="64"/>
      <c r="K1909" s="64"/>
      <c r="L1909" s="64"/>
      <c r="M1909" s="64"/>
      <c r="N1909" s="64"/>
      <c r="O1909" s="64"/>
      <c r="P1909" s="64"/>
      <c r="Q1909" s="64"/>
      <c r="R1909" s="65" t="str">
        <f>IF($A1909="","",IFERROR(MINIFS(Candidates!$K$2:$K$2000,Candidates!$A$2:$A$2000,$A1909),""))</f>
        <v/>
      </c>
      <c r="S1909" s="65" t="str">
        <f>IF($A1909="","",IFERROR(MAXIFS(Candidates!$AA$2:$AA$2000,Candidates!$A$2:$A$2000,$A1909),""))</f>
        <v/>
      </c>
      <c r="T1909" s="64" t="str">
        <f>IFERROR(__xludf.DUMMYFUNCTION("IF($A1909="""","""",IFERROR(TEXTJOIN("", "",TRUE,UNIQUE(FILTER(Candidates!$B$2:$B$2000,Candidates!$A$2:$A$2000=$A1909))),""""))"),"")</f>
        <v/>
      </c>
      <c r="U1909" s="66" t="str">
        <f>IF($A1909="","",COUNTIF(Candidates!$A$2:$A$2000,$A1909))</f>
        <v/>
      </c>
      <c r="V1909" s="64" t="str">
        <f>IFERROR(__xludf.DUMMYFUNCTION("IF($A1909="""","""",IFERROR(INDEX(FILTER(Candidates!$S$2:$S$2000,Candidates!$A$2:$A$2000=$A1909),COUNTIF(Candidates!$A$2:$A$2000,$A1909)),""""))"),"")</f>
        <v/>
      </c>
      <c r="W1909" s="64" t="str">
        <f>IFERROR(__xludf.DUMMYFUNCTION("IF($A1909="""","""",IFERROR(INDEX(FILTER(Candidates!$T$2:$T$2000,Candidates!$A$2:$A$2000=$A1909),COUNTIF(Candidates!$A$2:$A$2000,$A1909)),""""))"),"")</f>
        <v/>
      </c>
      <c r="X1909" s="64"/>
      <c r="Y1909" s="64"/>
      <c r="Z1909" s="65"/>
      <c r="AA1909" s="65"/>
      <c r="AB1909" s="65"/>
      <c r="AC1909" s="65"/>
    </row>
    <row r="1910">
      <c r="A1910" s="64"/>
      <c r="B1910" s="64"/>
      <c r="C1910" s="64"/>
      <c r="D1910" s="64"/>
      <c r="E1910" s="64"/>
      <c r="F1910" s="64"/>
      <c r="G1910" s="64"/>
      <c r="H1910" s="63"/>
      <c r="I1910" s="64"/>
      <c r="J1910" s="64"/>
      <c r="K1910" s="64"/>
      <c r="L1910" s="64"/>
      <c r="M1910" s="64"/>
      <c r="N1910" s="64"/>
      <c r="O1910" s="64"/>
      <c r="P1910" s="64"/>
      <c r="Q1910" s="64"/>
      <c r="R1910" s="65" t="str">
        <f>IF($A1910="","",IFERROR(MINIFS(Candidates!$K$2:$K$2000,Candidates!$A$2:$A$2000,$A1910),""))</f>
        <v/>
      </c>
      <c r="S1910" s="65" t="str">
        <f>IF($A1910="","",IFERROR(MAXIFS(Candidates!$AA$2:$AA$2000,Candidates!$A$2:$A$2000,$A1910),""))</f>
        <v/>
      </c>
      <c r="T1910" s="64" t="str">
        <f>IFERROR(__xludf.DUMMYFUNCTION("IF($A1910="""","""",IFERROR(TEXTJOIN("", "",TRUE,UNIQUE(FILTER(Candidates!$B$2:$B$2000,Candidates!$A$2:$A$2000=$A1910))),""""))"),"")</f>
        <v/>
      </c>
      <c r="U1910" s="66" t="str">
        <f>IF($A1910="","",COUNTIF(Candidates!$A$2:$A$2000,$A1910))</f>
        <v/>
      </c>
      <c r="V1910" s="64" t="str">
        <f>IFERROR(__xludf.DUMMYFUNCTION("IF($A1910="""","""",IFERROR(INDEX(FILTER(Candidates!$S$2:$S$2000,Candidates!$A$2:$A$2000=$A1910),COUNTIF(Candidates!$A$2:$A$2000,$A1910)),""""))"),"")</f>
        <v/>
      </c>
      <c r="W1910" s="64" t="str">
        <f>IFERROR(__xludf.DUMMYFUNCTION("IF($A1910="""","""",IFERROR(INDEX(FILTER(Candidates!$T$2:$T$2000,Candidates!$A$2:$A$2000=$A1910),COUNTIF(Candidates!$A$2:$A$2000,$A1910)),""""))"),"")</f>
        <v/>
      </c>
      <c r="X1910" s="64"/>
      <c r="Y1910" s="64"/>
      <c r="Z1910" s="65"/>
      <c r="AA1910" s="65"/>
      <c r="AB1910" s="65"/>
      <c r="AC1910" s="65"/>
    </row>
    <row r="1911">
      <c r="A1911" s="64"/>
      <c r="B1911" s="64"/>
      <c r="C1911" s="64"/>
      <c r="D1911" s="64"/>
      <c r="E1911" s="64"/>
      <c r="F1911" s="64"/>
      <c r="G1911" s="64"/>
      <c r="H1911" s="63"/>
      <c r="I1911" s="64"/>
      <c r="J1911" s="64"/>
      <c r="K1911" s="64"/>
      <c r="L1911" s="64"/>
      <c r="M1911" s="64"/>
      <c r="N1911" s="64"/>
      <c r="O1911" s="64"/>
      <c r="P1911" s="64"/>
      <c r="Q1911" s="64"/>
      <c r="R1911" s="65" t="str">
        <f>IF($A1911="","",IFERROR(MINIFS(Candidates!$K$2:$K$2000,Candidates!$A$2:$A$2000,$A1911),""))</f>
        <v/>
      </c>
      <c r="S1911" s="65" t="str">
        <f>IF($A1911="","",IFERROR(MAXIFS(Candidates!$AA$2:$AA$2000,Candidates!$A$2:$A$2000,$A1911),""))</f>
        <v/>
      </c>
      <c r="T1911" s="64" t="str">
        <f>IFERROR(__xludf.DUMMYFUNCTION("IF($A1911="""","""",IFERROR(TEXTJOIN("", "",TRUE,UNIQUE(FILTER(Candidates!$B$2:$B$2000,Candidates!$A$2:$A$2000=$A1911))),""""))"),"")</f>
        <v/>
      </c>
      <c r="U1911" s="66" t="str">
        <f>IF($A1911="","",COUNTIF(Candidates!$A$2:$A$2000,$A1911))</f>
        <v/>
      </c>
      <c r="V1911" s="64" t="str">
        <f>IFERROR(__xludf.DUMMYFUNCTION("IF($A1911="""","""",IFERROR(INDEX(FILTER(Candidates!$S$2:$S$2000,Candidates!$A$2:$A$2000=$A1911),COUNTIF(Candidates!$A$2:$A$2000,$A1911)),""""))"),"")</f>
        <v/>
      </c>
      <c r="W1911" s="64" t="str">
        <f>IFERROR(__xludf.DUMMYFUNCTION("IF($A1911="""","""",IFERROR(INDEX(FILTER(Candidates!$T$2:$T$2000,Candidates!$A$2:$A$2000=$A1911),COUNTIF(Candidates!$A$2:$A$2000,$A1911)),""""))"),"")</f>
        <v/>
      </c>
      <c r="X1911" s="64"/>
      <c r="Y1911" s="64"/>
      <c r="Z1911" s="65"/>
      <c r="AA1911" s="65"/>
      <c r="AB1911" s="65"/>
      <c r="AC1911" s="65"/>
    </row>
    <row r="1912">
      <c r="A1912" s="64"/>
      <c r="B1912" s="64"/>
      <c r="C1912" s="64"/>
      <c r="D1912" s="64"/>
      <c r="E1912" s="64"/>
      <c r="F1912" s="64"/>
      <c r="G1912" s="64"/>
      <c r="H1912" s="63"/>
      <c r="I1912" s="64"/>
      <c r="J1912" s="64"/>
      <c r="K1912" s="64"/>
      <c r="L1912" s="64"/>
      <c r="M1912" s="64"/>
      <c r="N1912" s="64"/>
      <c r="O1912" s="64"/>
      <c r="P1912" s="64"/>
      <c r="Q1912" s="64"/>
      <c r="R1912" s="65" t="str">
        <f>IF($A1912="","",IFERROR(MINIFS(Candidates!$K$2:$K$2000,Candidates!$A$2:$A$2000,$A1912),""))</f>
        <v/>
      </c>
      <c r="S1912" s="65" t="str">
        <f>IF($A1912="","",IFERROR(MAXIFS(Candidates!$AA$2:$AA$2000,Candidates!$A$2:$A$2000,$A1912),""))</f>
        <v/>
      </c>
      <c r="T1912" s="64" t="str">
        <f>IFERROR(__xludf.DUMMYFUNCTION("IF($A1912="""","""",IFERROR(TEXTJOIN("", "",TRUE,UNIQUE(FILTER(Candidates!$B$2:$B$2000,Candidates!$A$2:$A$2000=$A1912))),""""))"),"")</f>
        <v/>
      </c>
      <c r="U1912" s="66" t="str">
        <f>IF($A1912="","",COUNTIF(Candidates!$A$2:$A$2000,$A1912))</f>
        <v/>
      </c>
      <c r="V1912" s="64" t="str">
        <f>IFERROR(__xludf.DUMMYFUNCTION("IF($A1912="""","""",IFERROR(INDEX(FILTER(Candidates!$S$2:$S$2000,Candidates!$A$2:$A$2000=$A1912),COUNTIF(Candidates!$A$2:$A$2000,$A1912)),""""))"),"")</f>
        <v/>
      </c>
      <c r="W1912" s="64" t="str">
        <f>IFERROR(__xludf.DUMMYFUNCTION("IF($A1912="""","""",IFERROR(INDEX(FILTER(Candidates!$T$2:$T$2000,Candidates!$A$2:$A$2000=$A1912),COUNTIF(Candidates!$A$2:$A$2000,$A1912)),""""))"),"")</f>
        <v/>
      </c>
      <c r="X1912" s="64"/>
      <c r="Y1912" s="64"/>
      <c r="Z1912" s="65"/>
      <c r="AA1912" s="65"/>
      <c r="AB1912" s="65"/>
      <c r="AC1912" s="65"/>
    </row>
    <row r="1913">
      <c r="A1913" s="64"/>
      <c r="B1913" s="64"/>
      <c r="C1913" s="64"/>
      <c r="D1913" s="64"/>
      <c r="E1913" s="64"/>
      <c r="F1913" s="64"/>
      <c r="G1913" s="64"/>
      <c r="H1913" s="63"/>
      <c r="I1913" s="64"/>
      <c r="J1913" s="64"/>
      <c r="K1913" s="64"/>
      <c r="L1913" s="64"/>
      <c r="M1913" s="64"/>
      <c r="N1913" s="64"/>
      <c r="O1913" s="64"/>
      <c r="P1913" s="64"/>
      <c r="Q1913" s="64"/>
      <c r="R1913" s="65" t="str">
        <f>IF($A1913="","",IFERROR(MINIFS(Candidates!$K$2:$K$2000,Candidates!$A$2:$A$2000,$A1913),""))</f>
        <v/>
      </c>
      <c r="S1913" s="65" t="str">
        <f>IF($A1913="","",IFERROR(MAXIFS(Candidates!$AA$2:$AA$2000,Candidates!$A$2:$A$2000,$A1913),""))</f>
        <v/>
      </c>
      <c r="T1913" s="64" t="str">
        <f>IFERROR(__xludf.DUMMYFUNCTION("IF($A1913="""","""",IFERROR(TEXTJOIN("", "",TRUE,UNIQUE(FILTER(Candidates!$B$2:$B$2000,Candidates!$A$2:$A$2000=$A1913))),""""))"),"")</f>
        <v/>
      </c>
      <c r="U1913" s="66" t="str">
        <f>IF($A1913="","",COUNTIF(Candidates!$A$2:$A$2000,$A1913))</f>
        <v/>
      </c>
      <c r="V1913" s="64" t="str">
        <f>IFERROR(__xludf.DUMMYFUNCTION("IF($A1913="""","""",IFERROR(INDEX(FILTER(Candidates!$S$2:$S$2000,Candidates!$A$2:$A$2000=$A1913),COUNTIF(Candidates!$A$2:$A$2000,$A1913)),""""))"),"")</f>
        <v/>
      </c>
      <c r="W1913" s="64" t="str">
        <f>IFERROR(__xludf.DUMMYFUNCTION("IF($A1913="""","""",IFERROR(INDEX(FILTER(Candidates!$T$2:$T$2000,Candidates!$A$2:$A$2000=$A1913),COUNTIF(Candidates!$A$2:$A$2000,$A1913)),""""))"),"")</f>
        <v/>
      </c>
      <c r="X1913" s="64"/>
      <c r="Y1913" s="64"/>
      <c r="Z1913" s="65"/>
      <c r="AA1913" s="65"/>
      <c r="AB1913" s="65"/>
      <c r="AC1913" s="65"/>
    </row>
    <row r="1914">
      <c r="A1914" s="64"/>
      <c r="B1914" s="64"/>
      <c r="C1914" s="64"/>
      <c r="D1914" s="64"/>
      <c r="E1914" s="64"/>
      <c r="F1914" s="64"/>
      <c r="G1914" s="64"/>
      <c r="H1914" s="63"/>
      <c r="I1914" s="64"/>
      <c r="J1914" s="64"/>
      <c r="K1914" s="64"/>
      <c r="L1914" s="64"/>
      <c r="M1914" s="64"/>
      <c r="N1914" s="64"/>
      <c r="O1914" s="64"/>
      <c r="P1914" s="64"/>
      <c r="Q1914" s="64"/>
      <c r="R1914" s="65" t="str">
        <f>IF($A1914="","",IFERROR(MINIFS(Candidates!$K$2:$K$2000,Candidates!$A$2:$A$2000,$A1914),""))</f>
        <v/>
      </c>
      <c r="S1914" s="65" t="str">
        <f>IF($A1914="","",IFERROR(MAXIFS(Candidates!$AA$2:$AA$2000,Candidates!$A$2:$A$2000,$A1914),""))</f>
        <v/>
      </c>
      <c r="T1914" s="64" t="str">
        <f>IFERROR(__xludf.DUMMYFUNCTION("IF($A1914="""","""",IFERROR(TEXTJOIN("", "",TRUE,UNIQUE(FILTER(Candidates!$B$2:$B$2000,Candidates!$A$2:$A$2000=$A1914))),""""))"),"")</f>
        <v/>
      </c>
      <c r="U1914" s="66" t="str">
        <f>IF($A1914="","",COUNTIF(Candidates!$A$2:$A$2000,$A1914))</f>
        <v/>
      </c>
      <c r="V1914" s="64" t="str">
        <f>IFERROR(__xludf.DUMMYFUNCTION("IF($A1914="""","""",IFERROR(INDEX(FILTER(Candidates!$S$2:$S$2000,Candidates!$A$2:$A$2000=$A1914),COUNTIF(Candidates!$A$2:$A$2000,$A1914)),""""))"),"")</f>
        <v/>
      </c>
      <c r="W1914" s="64" t="str">
        <f>IFERROR(__xludf.DUMMYFUNCTION("IF($A1914="""","""",IFERROR(INDEX(FILTER(Candidates!$T$2:$T$2000,Candidates!$A$2:$A$2000=$A1914),COUNTIF(Candidates!$A$2:$A$2000,$A1914)),""""))"),"")</f>
        <v/>
      </c>
      <c r="X1914" s="64"/>
      <c r="Y1914" s="64"/>
      <c r="Z1914" s="65"/>
      <c r="AA1914" s="65"/>
      <c r="AB1914" s="65"/>
      <c r="AC1914" s="65"/>
    </row>
    <row r="1915">
      <c r="A1915" s="64"/>
      <c r="B1915" s="64"/>
      <c r="C1915" s="64"/>
      <c r="D1915" s="64"/>
      <c r="E1915" s="64"/>
      <c r="F1915" s="64"/>
      <c r="G1915" s="64"/>
      <c r="H1915" s="63"/>
      <c r="I1915" s="64"/>
      <c r="J1915" s="64"/>
      <c r="K1915" s="64"/>
      <c r="L1915" s="64"/>
      <c r="M1915" s="64"/>
      <c r="N1915" s="64"/>
      <c r="O1915" s="64"/>
      <c r="P1915" s="64"/>
      <c r="Q1915" s="64"/>
      <c r="R1915" s="65" t="str">
        <f>IF($A1915="","",IFERROR(MINIFS(Candidates!$K$2:$K$2000,Candidates!$A$2:$A$2000,$A1915),""))</f>
        <v/>
      </c>
      <c r="S1915" s="65" t="str">
        <f>IF($A1915="","",IFERROR(MAXIFS(Candidates!$AA$2:$AA$2000,Candidates!$A$2:$A$2000,$A1915),""))</f>
        <v/>
      </c>
      <c r="T1915" s="64" t="str">
        <f>IFERROR(__xludf.DUMMYFUNCTION("IF($A1915="""","""",IFERROR(TEXTJOIN("", "",TRUE,UNIQUE(FILTER(Candidates!$B$2:$B$2000,Candidates!$A$2:$A$2000=$A1915))),""""))"),"")</f>
        <v/>
      </c>
      <c r="U1915" s="66" t="str">
        <f>IF($A1915="","",COUNTIF(Candidates!$A$2:$A$2000,$A1915))</f>
        <v/>
      </c>
      <c r="V1915" s="64" t="str">
        <f>IFERROR(__xludf.DUMMYFUNCTION("IF($A1915="""","""",IFERROR(INDEX(FILTER(Candidates!$S$2:$S$2000,Candidates!$A$2:$A$2000=$A1915),COUNTIF(Candidates!$A$2:$A$2000,$A1915)),""""))"),"")</f>
        <v/>
      </c>
      <c r="W1915" s="64" t="str">
        <f>IFERROR(__xludf.DUMMYFUNCTION("IF($A1915="""","""",IFERROR(INDEX(FILTER(Candidates!$T$2:$T$2000,Candidates!$A$2:$A$2000=$A1915),COUNTIF(Candidates!$A$2:$A$2000,$A1915)),""""))"),"")</f>
        <v/>
      </c>
      <c r="X1915" s="64"/>
      <c r="Y1915" s="64"/>
      <c r="Z1915" s="65"/>
      <c r="AA1915" s="65"/>
      <c r="AB1915" s="65"/>
      <c r="AC1915" s="65"/>
    </row>
    <row r="1916">
      <c r="A1916" s="64"/>
      <c r="B1916" s="64"/>
      <c r="C1916" s="64"/>
      <c r="D1916" s="64"/>
      <c r="E1916" s="64"/>
      <c r="F1916" s="64"/>
      <c r="G1916" s="64"/>
      <c r="H1916" s="63"/>
      <c r="I1916" s="64"/>
      <c r="J1916" s="64"/>
      <c r="K1916" s="64"/>
      <c r="L1916" s="64"/>
      <c r="M1916" s="64"/>
      <c r="N1916" s="64"/>
      <c r="O1916" s="64"/>
      <c r="P1916" s="64"/>
      <c r="Q1916" s="64"/>
      <c r="R1916" s="65" t="str">
        <f>IF($A1916="","",IFERROR(MINIFS(Candidates!$K$2:$K$2000,Candidates!$A$2:$A$2000,$A1916),""))</f>
        <v/>
      </c>
      <c r="S1916" s="65" t="str">
        <f>IF($A1916="","",IFERROR(MAXIFS(Candidates!$AA$2:$AA$2000,Candidates!$A$2:$A$2000,$A1916),""))</f>
        <v/>
      </c>
      <c r="T1916" s="64" t="str">
        <f>IFERROR(__xludf.DUMMYFUNCTION("IF($A1916="""","""",IFERROR(TEXTJOIN("", "",TRUE,UNIQUE(FILTER(Candidates!$B$2:$B$2000,Candidates!$A$2:$A$2000=$A1916))),""""))"),"")</f>
        <v/>
      </c>
      <c r="U1916" s="66" t="str">
        <f>IF($A1916="","",COUNTIF(Candidates!$A$2:$A$2000,$A1916))</f>
        <v/>
      </c>
      <c r="V1916" s="64" t="str">
        <f>IFERROR(__xludf.DUMMYFUNCTION("IF($A1916="""","""",IFERROR(INDEX(FILTER(Candidates!$S$2:$S$2000,Candidates!$A$2:$A$2000=$A1916),COUNTIF(Candidates!$A$2:$A$2000,$A1916)),""""))"),"")</f>
        <v/>
      </c>
      <c r="W1916" s="64" t="str">
        <f>IFERROR(__xludf.DUMMYFUNCTION("IF($A1916="""","""",IFERROR(INDEX(FILTER(Candidates!$T$2:$T$2000,Candidates!$A$2:$A$2000=$A1916),COUNTIF(Candidates!$A$2:$A$2000,$A1916)),""""))"),"")</f>
        <v/>
      </c>
      <c r="X1916" s="64"/>
      <c r="Y1916" s="64"/>
      <c r="Z1916" s="65"/>
      <c r="AA1916" s="65"/>
      <c r="AB1916" s="65"/>
      <c r="AC1916" s="65"/>
    </row>
    <row r="1917">
      <c r="A1917" s="64"/>
      <c r="B1917" s="64"/>
      <c r="C1917" s="64"/>
      <c r="D1917" s="64"/>
      <c r="E1917" s="64"/>
      <c r="F1917" s="64"/>
      <c r="G1917" s="64"/>
      <c r="H1917" s="63"/>
      <c r="I1917" s="64"/>
      <c r="J1917" s="64"/>
      <c r="K1917" s="64"/>
      <c r="L1917" s="64"/>
      <c r="M1917" s="64"/>
      <c r="N1917" s="64"/>
      <c r="O1917" s="64"/>
      <c r="P1917" s="64"/>
      <c r="Q1917" s="64"/>
      <c r="R1917" s="65" t="str">
        <f>IF($A1917="","",IFERROR(MINIFS(Candidates!$K$2:$K$2000,Candidates!$A$2:$A$2000,$A1917),""))</f>
        <v/>
      </c>
      <c r="S1917" s="65" t="str">
        <f>IF($A1917="","",IFERROR(MAXIFS(Candidates!$AA$2:$AA$2000,Candidates!$A$2:$A$2000,$A1917),""))</f>
        <v/>
      </c>
      <c r="T1917" s="64" t="str">
        <f>IFERROR(__xludf.DUMMYFUNCTION("IF($A1917="""","""",IFERROR(TEXTJOIN("", "",TRUE,UNIQUE(FILTER(Candidates!$B$2:$B$2000,Candidates!$A$2:$A$2000=$A1917))),""""))"),"")</f>
        <v/>
      </c>
      <c r="U1917" s="66" t="str">
        <f>IF($A1917="","",COUNTIF(Candidates!$A$2:$A$2000,$A1917))</f>
        <v/>
      </c>
      <c r="V1917" s="64" t="str">
        <f>IFERROR(__xludf.DUMMYFUNCTION("IF($A1917="""","""",IFERROR(INDEX(FILTER(Candidates!$S$2:$S$2000,Candidates!$A$2:$A$2000=$A1917),COUNTIF(Candidates!$A$2:$A$2000,$A1917)),""""))"),"")</f>
        <v/>
      </c>
      <c r="W1917" s="64" t="str">
        <f>IFERROR(__xludf.DUMMYFUNCTION("IF($A1917="""","""",IFERROR(INDEX(FILTER(Candidates!$T$2:$T$2000,Candidates!$A$2:$A$2000=$A1917),COUNTIF(Candidates!$A$2:$A$2000,$A1917)),""""))"),"")</f>
        <v/>
      </c>
      <c r="X1917" s="64"/>
      <c r="Y1917" s="64"/>
      <c r="Z1917" s="65"/>
      <c r="AA1917" s="65"/>
      <c r="AB1917" s="65"/>
      <c r="AC1917" s="65"/>
    </row>
    <row r="1918">
      <c r="A1918" s="64"/>
      <c r="B1918" s="64"/>
      <c r="C1918" s="64"/>
      <c r="D1918" s="64"/>
      <c r="E1918" s="64"/>
      <c r="F1918" s="64"/>
      <c r="G1918" s="64"/>
      <c r="H1918" s="63"/>
      <c r="I1918" s="64"/>
      <c r="J1918" s="64"/>
      <c r="K1918" s="64"/>
      <c r="L1918" s="64"/>
      <c r="M1918" s="64"/>
      <c r="N1918" s="64"/>
      <c r="O1918" s="64"/>
      <c r="P1918" s="64"/>
      <c r="Q1918" s="64"/>
      <c r="R1918" s="65" t="str">
        <f>IF($A1918="","",IFERROR(MINIFS(Candidates!$K$2:$K$2000,Candidates!$A$2:$A$2000,$A1918),""))</f>
        <v/>
      </c>
      <c r="S1918" s="65" t="str">
        <f>IF($A1918="","",IFERROR(MAXIFS(Candidates!$AA$2:$AA$2000,Candidates!$A$2:$A$2000,$A1918),""))</f>
        <v/>
      </c>
      <c r="T1918" s="64" t="str">
        <f>IFERROR(__xludf.DUMMYFUNCTION("IF($A1918="""","""",IFERROR(TEXTJOIN("", "",TRUE,UNIQUE(FILTER(Candidates!$B$2:$B$2000,Candidates!$A$2:$A$2000=$A1918))),""""))"),"")</f>
        <v/>
      </c>
      <c r="U1918" s="66" t="str">
        <f>IF($A1918="","",COUNTIF(Candidates!$A$2:$A$2000,$A1918))</f>
        <v/>
      </c>
      <c r="V1918" s="64" t="str">
        <f>IFERROR(__xludf.DUMMYFUNCTION("IF($A1918="""","""",IFERROR(INDEX(FILTER(Candidates!$S$2:$S$2000,Candidates!$A$2:$A$2000=$A1918),COUNTIF(Candidates!$A$2:$A$2000,$A1918)),""""))"),"")</f>
        <v/>
      </c>
      <c r="W1918" s="64" t="str">
        <f>IFERROR(__xludf.DUMMYFUNCTION("IF($A1918="""","""",IFERROR(INDEX(FILTER(Candidates!$T$2:$T$2000,Candidates!$A$2:$A$2000=$A1918),COUNTIF(Candidates!$A$2:$A$2000,$A1918)),""""))"),"")</f>
        <v/>
      </c>
      <c r="X1918" s="64"/>
      <c r="Y1918" s="64"/>
      <c r="Z1918" s="65"/>
      <c r="AA1918" s="65"/>
      <c r="AB1918" s="65"/>
      <c r="AC1918" s="65"/>
    </row>
    <row r="1919">
      <c r="A1919" s="64"/>
      <c r="B1919" s="64"/>
      <c r="C1919" s="64"/>
      <c r="D1919" s="64"/>
      <c r="E1919" s="64"/>
      <c r="F1919" s="64"/>
      <c r="G1919" s="64"/>
      <c r="H1919" s="63"/>
      <c r="I1919" s="64"/>
      <c r="J1919" s="64"/>
      <c r="K1919" s="64"/>
      <c r="L1919" s="64"/>
      <c r="M1919" s="64"/>
      <c r="N1919" s="64"/>
      <c r="O1919" s="64"/>
      <c r="P1919" s="64"/>
      <c r="Q1919" s="64"/>
      <c r="R1919" s="65" t="str">
        <f>IF($A1919="","",IFERROR(MINIFS(Candidates!$K$2:$K$2000,Candidates!$A$2:$A$2000,$A1919),""))</f>
        <v/>
      </c>
      <c r="S1919" s="65" t="str">
        <f>IF($A1919="","",IFERROR(MAXIFS(Candidates!$AA$2:$AA$2000,Candidates!$A$2:$A$2000,$A1919),""))</f>
        <v/>
      </c>
      <c r="T1919" s="64" t="str">
        <f>IFERROR(__xludf.DUMMYFUNCTION("IF($A1919="""","""",IFERROR(TEXTJOIN("", "",TRUE,UNIQUE(FILTER(Candidates!$B$2:$B$2000,Candidates!$A$2:$A$2000=$A1919))),""""))"),"")</f>
        <v/>
      </c>
      <c r="U1919" s="66" t="str">
        <f>IF($A1919="","",COUNTIF(Candidates!$A$2:$A$2000,$A1919))</f>
        <v/>
      </c>
      <c r="V1919" s="64" t="str">
        <f>IFERROR(__xludf.DUMMYFUNCTION("IF($A1919="""","""",IFERROR(INDEX(FILTER(Candidates!$S$2:$S$2000,Candidates!$A$2:$A$2000=$A1919),COUNTIF(Candidates!$A$2:$A$2000,$A1919)),""""))"),"")</f>
        <v/>
      </c>
      <c r="W1919" s="64" t="str">
        <f>IFERROR(__xludf.DUMMYFUNCTION("IF($A1919="""","""",IFERROR(INDEX(FILTER(Candidates!$T$2:$T$2000,Candidates!$A$2:$A$2000=$A1919),COUNTIF(Candidates!$A$2:$A$2000,$A1919)),""""))"),"")</f>
        <v/>
      </c>
      <c r="X1919" s="64"/>
      <c r="Y1919" s="64"/>
      <c r="Z1919" s="65"/>
      <c r="AA1919" s="65"/>
      <c r="AB1919" s="65"/>
      <c r="AC1919" s="65"/>
    </row>
    <row r="1920">
      <c r="A1920" s="64"/>
      <c r="B1920" s="64"/>
      <c r="C1920" s="64"/>
      <c r="D1920" s="64"/>
      <c r="E1920" s="64"/>
      <c r="F1920" s="64"/>
      <c r="G1920" s="64"/>
      <c r="H1920" s="63"/>
      <c r="I1920" s="64"/>
      <c r="J1920" s="64"/>
      <c r="K1920" s="64"/>
      <c r="L1920" s="64"/>
      <c r="M1920" s="64"/>
      <c r="N1920" s="64"/>
      <c r="O1920" s="64"/>
      <c r="P1920" s="64"/>
      <c r="Q1920" s="64"/>
      <c r="R1920" s="65" t="str">
        <f>IF($A1920="","",IFERROR(MINIFS(Candidates!$K$2:$K$2000,Candidates!$A$2:$A$2000,$A1920),""))</f>
        <v/>
      </c>
      <c r="S1920" s="65" t="str">
        <f>IF($A1920="","",IFERROR(MAXIFS(Candidates!$AA$2:$AA$2000,Candidates!$A$2:$A$2000,$A1920),""))</f>
        <v/>
      </c>
      <c r="T1920" s="64" t="str">
        <f>IFERROR(__xludf.DUMMYFUNCTION("IF($A1920="""","""",IFERROR(TEXTJOIN("", "",TRUE,UNIQUE(FILTER(Candidates!$B$2:$B$2000,Candidates!$A$2:$A$2000=$A1920))),""""))"),"")</f>
        <v/>
      </c>
      <c r="U1920" s="66" t="str">
        <f>IF($A1920="","",COUNTIF(Candidates!$A$2:$A$2000,$A1920))</f>
        <v/>
      </c>
      <c r="V1920" s="64" t="str">
        <f>IFERROR(__xludf.DUMMYFUNCTION("IF($A1920="""","""",IFERROR(INDEX(FILTER(Candidates!$S$2:$S$2000,Candidates!$A$2:$A$2000=$A1920),COUNTIF(Candidates!$A$2:$A$2000,$A1920)),""""))"),"")</f>
        <v/>
      </c>
      <c r="W1920" s="64" t="str">
        <f>IFERROR(__xludf.DUMMYFUNCTION("IF($A1920="""","""",IFERROR(INDEX(FILTER(Candidates!$T$2:$T$2000,Candidates!$A$2:$A$2000=$A1920),COUNTIF(Candidates!$A$2:$A$2000,$A1920)),""""))"),"")</f>
        <v/>
      </c>
      <c r="X1920" s="64"/>
      <c r="Y1920" s="64"/>
      <c r="Z1920" s="65"/>
      <c r="AA1920" s="65"/>
      <c r="AB1920" s="65"/>
      <c r="AC1920" s="65"/>
    </row>
    <row r="1921">
      <c r="A1921" s="64"/>
      <c r="B1921" s="64"/>
      <c r="C1921" s="64"/>
      <c r="D1921" s="64"/>
      <c r="E1921" s="64"/>
      <c r="F1921" s="64"/>
      <c r="G1921" s="64"/>
      <c r="H1921" s="63"/>
      <c r="I1921" s="64"/>
      <c r="J1921" s="64"/>
      <c r="K1921" s="64"/>
      <c r="L1921" s="64"/>
      <c r="M1921" s="64"/>
      <c r="N1921" s="64"/>
      <c r="O1921" s="64"/>
      <c r="P1921" s="64"/>
      <c r="Q1921" s="64"/>
      <c r="R1921" s="65" t="str">
        <f>IF($A1921="","",IFERROR(MINIFS(Candidates!$K$2:$K$2000,Candidates!$A$2:$A$2000,$A1921),""))</f>
        <v/>
      </c>
      <c r="S1921" s="65" t="str">
        <f>IF($A1921="","",IFERROR(MAXIFS(Candidates!$AA$2:$AA$2000,Candidates!$A$2:$A$2000,$A1921),""))</f>
        <v/>
      </c>
      <c r="T1921" s="64" t="str">
        <f>IFERROR(__xludf.DUMMYFUNCTION("IF($A1921="""","""",IFERROR(TEXTJOIN("", "",TRUE,UNIQUE(FILTER(Candidates!$B$2:$B$2000,Candidates!$A$2:$A$2000=$A1921))),""""))"),"")</f>
        <v/>
      </c>
      <c r="U1921" s="66" t="str">
        <f>IF($A1921="","",COUNTIF(Candidates!$A$2:$A$2000,$A1921))</f>
        <v/>
      </c>
      <c r="V1921" s="64" t="str">
        <f>IFERROR(__xludf.DUMMYFUNCTION("IF($A1921="""","""",IFERROR(INDEX(FILTER(Candidates!$S$2:$S$2000,Candidates!$A$2:$A$2000=$A1921),COUNTIF(Candidates!$A$2:$A$2000,$A1921)),""""))"),"")</f>
        <v/>
      </c>
      <c r="W1921" s="64" t="str">
        <f>IFERROR(__xludf.DUMMYFUNCTION("IF($A1921="""","""",IFERROR(INDEX(FILTER(Candidates!$T$2:$T$2000,Candidates!$A$2:$A$2000=$A1921),COUNTIF(Candidates!$A$2:$A$2000,$A1921)),""""))"),"")</f>
        <v/>
      </c>
      <c r="X1921" s="64"/>
      <c r="Y1921" s="64"/>
      <c r="Z1921" s="65"/>
      <c r="AA1921" s="65"/>
      <c r="AB1921" s="65"/>
      <c r="AC1921" s="65"/>
    </row>
    <row r="1922">
      <c r="A1922" s="64"/>
      <c r="B1922" s="64"/>
      <c r="C1922" s="64"/>
      <c r="D1922" s="64"/>
      <c r="E1922" s="64"/>
      <c r="F1922" s="64"/>
      <c r="G1922" s="64"/>
      <c r="H1922" s="63"/>
      <c r="I1922" s="64"/>
      <c r="J1922" s="64"/>
      <c r="K1922" s="64"/>
      <c r="L1922" s="64"/>
      <c r="M1922" s="64"/>
      <c r="N1922" s="64"/>
      <c r="O1922" s="64"/>
      <c r="P1922" s="64"/>
      <c r="Q1922" s="64"/>
      <c r="R1922" s="65" t="str">
        <f>IF($A1922="","",IFERROR(MINIFS(Candidates!$K$2:$K$2000,Candidates!$A$2:$A$2000,$A1922),""))</f>
        <v/>
      </c>
      <c r="S1922" s="65" t="str">
        <f>IF($A1922="","",IFERROR(MAXIFS(Candidates!$AA$2:$AA$2000,Candidates!$A$2:$A$2000,$A1922),""))</f>
        <v/>
      </c>
      <c r="T1922" s="64" t="str">
        <f>IFERROR(__xludf.DUMMYFUNCTION("IF($A1922="""","""",IFERROR(TEXTJOIN("", "",TRUE,UNIQUE(FILTER(Candidates!$B$2:$B$2000,Candidates!$A$2:$A$2000=$A1922))),""""))"),"")</f>
        <v/>
      </c>
      <c r="U1922" s="66" t="str">
        <f>IF($A1922="","",COUNTIF(Candidates!$A$2:$A$2000,$A1922))</f>
        <v/>
      </c>
      <c r="V1922" s="64" t="str">
        <f>IFERROR(__xludf.DUMMYFUNCTION("IF($A1922="""","""",IFERROR(INDEX(FILTER(Candidates!$S$2:$S$2000,Candidates!$A$2:$A$2000=$A1922),COUNTIF(Candidates!$A$2:$A$2000,$A1922)),""""))"),"")</f>
        <v/>
      </c>
      <c r="W1922" s="64" t="str">
        <f>IFERROR(__xludf.DUMMYFUNCTION("IF($A1922="""","""",IFERROR(INDEX(FILTER(Candidates!$T$2:$T$2000,Candidates!$A$2:$A$2000=$A1922),COUNTIF(Candidates!$A$2:$A$2000,$A1922)),""""))"),"")</f>
        <v/>
      </c>
      <c r="X1922" s="64"/>
      <c r="Y1922" s="64"/>
      <c r="Z1922" s="65"/>
      <c r="AA1922" s="65"/>
      <c r="AB1922" s="65"/>
      <c r="AC1922" s="65"/>
    </row>
    <row r="1923">
      <c r="A1923" s="64"/>
      <c r="B1923" s="64"/>
      <c r="C1923" s="64"/>
      <c r="D1923" s="64"/>
      <c r="E1923" s="64"/>
      <c r="F1923" s="64"/>
      <c r="G1923" s="64"/>
      <c r="H1923" s="63"/>
      <c r="I1923" s="64"/>
      <c r="J1923" s="64"/>
      <c r="K1923" s="64"/>
      <c r="L1923" s="64"/>
      <c r="M1923" s="64"/>
      <c r="N1923" s="64"/>
      <c r="O1923" s="64"/>
      <c r="P1923" s="64"/>
      <c r="Q1923" s="64"/>
      <c r="R1923" s="65" t="str">
        <f>IF($A1923="","",IFERROR(MINIFS(Candidates!$K$2:$K$2000,Candidates!$A$2:$A$2000,$A1923),""))</f>
        <v/>
      </c>
      <c r="S1923" s="65" t="str">
        <f>IF($A1923="","",IFERROR(MAXIFS(Candidates!$AA$2:$AA$2000,Candidates!$A$2:$A$2000,$A1923),""))</f>
        <v/>
      </c>
      <c r="T1923" s="64" t="str">
        <f>IFERROR(__xludf.DUMMYFUNCTION("IF($A1923="""","""",IFERROR(TEXTJOIN("", "",TRUE,UNIQUE(FILTER(Candidates!$B$2:$B$2000,Candidates!$A$2:$A$2000=$A1923))),""""))"),"")</f>
        <v/>
      </c>
      <c r="U1923" s="66" t="str">
        <f>IF($A1923="","",COUNTIF(Candidates!$A$2:$A$2000,$A1923))</f>
        <v/>
      </c>
      <c r="V1923" s="64" t="str">
        <f>IFERROR(__xludf.DUMMYFUNCTION("IF($A1923="""","""",IFERROR(INDEX(FILTER(Candidates!$S$2:$S$2000,Candidates!$A$2:$A$2000=$A1923),COUNTIF(Candidates!$A$2:$A$2000,$A1923)),""""))"),"")</f>
        <v/>
      </c>
      <c r="W1923" s="64" t="str">
        <f>IFERROR(__xludf.DUMMYFUNCTION("IF($A1923="""","""",IFERROR(INDEX(FILTER(Candidates!$T$2:$T$2000,Candidates!$A$2:$A$2000=$A1923),COUNTIF(Candidates!$A$2:$A$2000,$A1923)),""""))"),"")</f>
        <v/>
      </c>
      <c r="X1923" s="64"/>
      <c r="Y1923" s="64"/>
      <c r="Z1923" s="65"/>
      <c r="AA1923" s="65"/>
      <c r="AB1923" s="65"/>
      <c r="AC1923" s="65"/>
    </row>
    <row r="1924">
      <c r="A1924" s="64"/>
      <c r="B1924" s="64"/>
      <c r="C1924" s="64"/>
      <c r="D1924" s="64"/>
      <c r="E1924" s="64"/>
      <c r="F1924" s="64"/>
      <c r="G1924" s="64"/>
      <c r="H1924" s="63"/>
      <c r="I1924" s="64"/>
      <c r="J1924" s="64"/>
      <c r="K1924" s="64"/>
      <c r="L1924" s="64"/>
      <c r="M1924" s="64"/>
      <c r="N1924" s="64"/>
      <c r="O1924" s="64"/>
      <c r="P1924" s="64"/>
      <c r="Q1924" s="64"/>
      <c r="R1924" s="65" t="str">
        <f>IF($A1924="","",IFERROR(MINIFS(Candidates!$K$2:$K$2000,Candidates!$A$2:$A$2000,$A1924),""))</f>
        <v/>
      </c>
      <c r="S1924" s="65" t="str">
        <f>IF($A1924="","",IFERROR(MAXIFS(Candidates!$AA$2:$AA$2000,Candidates!$A$2:$A$2000,$A1924),""))</f>
        <v/>
      </c>
      <c r="T1924" s="64" t="str">
        <f>IFERROR(__xludf.DUMMYFUNCTION("IF($A1924="""","""",IFERROR(TEXTJOIN("", "",TRUE,UNIQUE(FILTER(Candidates!$B$2:$B$2000,Candidates!$A$2:$A$2000=$A1924))),""""))"),"")</f>
        <v/>
      </c>
      <c r="U1924" s="66" t="str">
        <f>IF($A1924="","",COUNTIF(Candidates!$A$2:$A$2000,$A1924))</f>
        <v/>
      </c>
      <c r="V1924" s="64" t="str">
        <f>IFERROR(__xludf.DUMMYFUNCTION("IF($A1924="""","""",IFERROR(INDEX(FILTER(Candidates!$S$2:$S$2000,Candidates!$A$2:$A$2000=$A1924),COUNTIF(Candidates!$A$2:$A$2000,$A1924)),""""))"),"")</f>
        <v/>
      </c>
      <c r="W1924" s="64" t="str">
        <f>IFERROR(__xludf.DUMMYFUNCTION("IF($A1924="""","""",IFERROR(INDEX(FILTER(Candidates!$T$2:$T$2000,Candidates!$A$2:$A$2000=$A1924),COUNTIF(Candidates!$A$2:$A$2000,$A1924)),""""))"),"")</f>
        <v/>
      </c>
      <c r="X1924" s="64"/>
      <c r="Y1924" s="64"/>
      <c r="Z1924" s="65"/>
      <c r="AA1924" s="65"/>
      <c r="AB1924" s="65"/>
      <c r="AC1924" s="65"/>
    </row>
    <row r="1925">
      <c r="A1925" s="64"/>
      <c r="B1925" s="64"/>
      <c r="C1925" s="64"/>
      <c r="D1925" s="64"/>
      <c r="E1925" s="64"/>
      <c r="F1925" s="64"/>
      <c r="G1925" s="64"/>
      <c r="H1925" s="63"/>
      <c r="I1925" s="64"/>
      <c r="J1925" s="64"/>
      <c r="K1925" s="64"/>
      <c r="L1925" s="64"/>
      <c r="M1925" s="64"/>
      <c r="N1925" s="64"/>
      <c r="O1925" s="64"/>
      <c r="P1925" s="64"/>
      <c r="Q1925" s="64"/>
      <c r="R1925" s="65" t="str">
        <f>IF($A1925="","",IFERROR(MINIFS(Candidates!$K$2:$K$2000,Candidates!$A$2:$A$2000,$A1925),""))</f>
        <v/>
      </c>
      <c r="S1925" s="65" t="str">
        <f>IF($A1925="","",IFERROR(MAXIFS(Candidates!$AA$2:$AA$2000,Candidates!$A$2:$A$2000,$A1925),""))</f>
        <v/>
      </c>
      <c r="T1925" s="64" t="str">
        <f>IFERROR(__xludf.DUMMYFUNCTION("IF($A1925="""","""",IFERROR(TEXTJOIN("", "",TRUE,UNIQUE(FILTER(Candidates!$B$2:$B$2000,Candidates!$A$2:$A$2000=$A1925))),""""))"),"")</f>
        <v/>
      </c>
      <c r="U1925" s="66" t="str">
        <f>IF($A1925="","",COUNTIF(Candidates!$A$2:$A$2000,$A1925))</f>
        <v/>
      </c>
      <c r="V1925" s="64" t="str">
        <f>IFERROR(__xludf.DUMMYFUNCTION("IF($A1925="""","""",IFERROR(INDEX(FILTER(Candidates!$S$2:$S$2000,Candidates!$A$2:$A$2000=$A1925),COUNTIF(Candidates!$A$2:$A$2000,$A1925)),""""))"),"")</f>
        <v/>
      </c>
      <c r="W1925" s="64" t="str">
        <f>IFERROR(__xludf.DUMMYFUNCTION("IF($A1925="""","""",IFERROR(INDEX(FILTER(Candidates!$T$2:$T$2000,Candidates!$A$2:$A$2000=$A1925),COUNTIF(Candidates!$A$2:$A$2000,$A1925)),""""))"),"")</f>
        <v/>
      </c>
      <c r="X1925" s="64"/>
      <c r="Y1925" s="64"/>
      <c r="Z1925" s="65"/>
      <c r="AA1925" s="65"/>
      <c r="AB1925" s="65"/>
      <c r="AC1925" s="65"/>
    </row>
    <row r="1926">
      <c r="A1926" s="64"/>
      <c r="B1926" s="64"/>
      <c r="C1926" s="64"/>
      <c r="D1926" s="64"/>
      <c r="E1926" s="64"/>
      <c r="F1926" s="64"/>
      <c r="G1926" s="64"/>
      <c r="H1926" s="63"/>
      <c r="I1926" s="64"/>
      <c r="J1926" s="64"/>
      <c r="K1926" s="64"/>
      <c r="L1926" s="64"/>
      <c r="M1926" s="64"/>
      <c r="N1926" s="64"/>
      <c r="O1926" s="64"/>
      <c r="P1926" s="64"/>
      <c r="Q1926" s="64"/>
      <c r="R1926" s="65" t="str">
        <f>IF($A1926="","",IFERROR(MINIFS(Candidates!$K$2:$K$2000,Candidates!$A$2:$A$2000,$A1926),""))</f>
        <v/>
      </c>
      <c r="S1926" s="65" t="str">
        <f>IF($A1926="","",IFERROR(MAXIFS(Candidates!$AA$2:$AA$2000,Candidates!$A$2:$A$2000,$A1926),""))</f>
        <v/>
      </c>
      <c r="T1926" s="64" t="str">
        <f>IFERROR(__xludf.DUMMYFUNCTION("IF($A1926="""","""",IFERROR(TEXTJOIN("", "",TRUE,UNIQUE(FILTER(Candidates!$B$2:$B$2000,Candidates!$A$2:$A$2000=$A1926))),""""))"),"")</f>
        <v/>
      </c>
      <c r="U1926" s="66" t="str">
        <f>IF($A1926="","",COUNTIF(Candidates!$A$2:$A$2000,$A1926))</f>
        <v/>
      </c>
      <c r="V1926" s="64" t="str">
        <f>IFERROR(__xludf.DUMMYFUNCTION("IF($A1926="""","""",IFERROR(INDEX(FILTER(Candidates!$S$2:$S$2000,Candidates!$A$2:$A$2000=$A1926),COUNTIF(Candidates!$A$2:$A$2000,$A1926)),""""))"),"")</f>
        <v/>
      </c>
      <c r="W1926" s="64" t="str">
        <f>IFERROR(__xludf.DUMMYFUNCTION("IF($A1926="""","""",IFERROR(INDEX(FILTER(Candidates!$T$2:$T$2000,Candidates!$A$2:$A$2000=$A1926),COUNTIF(Candidates!$A$2:$A$2000,$A1926)),""""))"),"")</f>
        <v/>
      </c>
      <c r="X1926" s="64"/>
      <c r="Y1926" s="64"/>
      <c r="Z1926" s="65"/>
      <c r="AA1926" s="65"/>
      <c r="AB1926" s="65"/>
      <c r="AC1926" s="65"/>
    </row>
    <row r="1927">
      <c r="A1927" s="64"/>
      <c r="B1927" s="64"/>
      <c r="C1927" s="64"/>
      <c r="D1927" s="64"/>
      <c r="E1927" s="64"/>
      <c r="F1927" s="64"/>
      <c r="G1927" s="64"/>
      <c r="H1927" s="63"/>
      <c r="I1927" s="64"/>
      <c r="J1927" s="64"/>
      <c r="K1927" s="64"/>
      <c r="L1927" s="64"/>
      <c r="M1927" s="64"/>
      <c r="N1927" s="64"/>
      <c r="O1927" s="64"/>
      <c r="P1927" s="64"/>
      <c r="Q1927" s="64"/>
      <c r="R1927" s="65" t="str">
        <f>IF($A1927="","",IFERROR(MINIFS(Candidates!$K$2:$K$2000,Candidates!$A$2:$A$2000,$A1927),""))</f>
        <v/>
      </c>
      <c r="S1927" s="65" t="str">
        <f>IF($A1927="","",IFERROR(MAXIFS(Candidates!$AA$2:$AA$2000,Candidates!$A$2:$A$2000,$A1927),""))</f>
        <v/>
      </c>
      <c r="T1927" s="64" t="str">
        <f>IFERROR(__xludf.DUMMYFUNCTION("IF($A1927="""","""",IFERROR(TEXTJOIN("", "",TRUE,UNIQUE(FILTER(Candidates!$B$2:$B$2000,Candidates!$A$2:$A$2000=$A1927))),""""))"),"")</f>
        <v/>
      </c>
      <c r="U1927" s="66" t="str">
        <f>IF($A1927="","",COUNTIF(Candidates!$A$2:$A$2000,$A1927))</f>
        <v/>
      </c>
      <c r="V1927" s="64" t="str">
        <f>IFERROR(__xludf.DUMMYFUNCTION("IF($A1927="""","""",IFERROR(INDEX(FILTER(Candidates!$S$2:$S$2000,Candidates!$A$2:$A$2000=$A1927),COUNTIF(Candidates!$A$2:$A$2000,$A1927)),""""))"),"")</f>
        <v/>
      </c>
      <c r="W1927" s="64" t="str">
        <f>IFERROR(__xludf.DUMMYFUNCTION("IF($A1927="""","""",IFERROR(INDEX(FILTER(Candidates!$T$2:$T$2000,Candidates!$A$2:$A$2000=$A1927),COUNTIF(Candidates!$A$2:$A$2000,$A1927)),""""))"),"")</f>
        <v/>
      </c>
      <c r="X1927" s="64"/>
      <c r="Y1927" s="64"/>
      <c r="Z1927" s="65"/>
      <c r="AA1927" s="65"/>
      <c r="AB1927" s="65"/>
      <c r="AC1927" s="65"/>
    </row>
    <row r="1928">
      <c r="A1928" s="64"/>
      <c r="B1928" s="64"/>
      <c r="C1928" s="64"/>
      <c r="D1928" s="64"/>
      <c r="E1928" s="64"/>
      <c r="F1928" s="64"/>
      <c r="G1928" s="64"/>
      <c r="H1928" s="63"/>
      <c r="I1928" s="64"/>
      <c r="J1928" s="64"/>
      <c r="K1928" s="64"/>
      <c r="L1928" s="64"/>
      <c r="M1928" s="64"/>
      <c r="N1928" s="64"/>
      <c r="O1928" s="64"/>
      <c r="P1928" s="64"/>
      <c r="Q1928" s="64"/>
      <c r="R1928" s="65" t="str">
        <f>IF($A1928="","",IFERROR(MINIFS(Candidates!$K$2:$K$2000,Candidates!$A$2:$A$2000,$A1928),""))</f>
        <v/>
      </c>
      <c r="S1928" s="65" t="str">
        <f>IF($A1928="","",IFERROR(MAXIFS(Candidates!$AA$2:$AA$2000,Candidates!$A$2:$A$2000,$A1928),""))</f>
        <v/>
      </c>
      <c r="T1928" s="64" t="str">
        <f>IFERROR(__xludf.DUMMYFUNCTION("IF($A1928="""","""",IFERROR(TEXTJOIN("", "",TRUE,UNIQUE(FILTER(Candidates!$B$2:$B$2000,Candidates!$A$2:$A$2000=$A1928))),""""))"),"")</f>
        <v/>
      </c>
      <c r="U1928" s="66" t="str">
        <f>IF($A1928="","",COUNTIF(Candidates!$A$2:$A$2000,$A1928))</f>
        <v/>
      </c>
      <c r="V1928" s="64" t="str">
        <f>IFERROR(__xludf.DUMMYFUNCTION("IF($A1928="""","""",IFERROR(INDEX(FILTER(Candidates!$S$2:$S$2000,Candidates!$A$2:$A$2000=$A1928),COUNTIF(Candidates!$A$2:$A$2000,$A1928)),""""))"),"")</f>
        <v/>
      </c>
      <c r="W1928" s="64" t="str">
        <f>IFERROR(__xludf.DUMMYFUNCTION("IF($A1928="""","""",IFERROR(INDEX(FILTER(Candidates!$T$2:$T$2000,Candidates!$A$2:$A$2000=$A1928),COUNTIF(Candidates!$A$2:$A$2000,$A1928)),""""))"),"")</f>
        <v/>
      </c>
      <c r="X1928" s="64"/>
      <c r="Y1928" s="64"/>
      <c r="Z1928" s="65"/>
      <c r="AA1928" s="65"/>
      <c r="AB1928" s="65"/>
      <c r="AC1928" s="65"/>
    </row>
    <row r="1929">
      <c r="A1929" s="64"/>
      <c r="B1929" s="64"/>
      <c r="C1929" s="64"/>
      <c r="D1929" s="64"/>
      <c r="E1929" s="64"/>
      <c r="F1929" s="64"/>
      <c r="G1929" s="64"/>
      <c r="H1929" s="63"/>
      <c r="I1929" s="64"/>
      <c r="J1929" s="64"/>
      <c r="K1929" s="64"/>
      <c r="L1929" s="64"/>
      <c r="M1929" s="64"/>
      <c r="N1929" s="64"/>
      <c r="O1929" s="64"/>
      <c r="P1929" s="64"/>
      <c r="Q1929" s="64"/>
      <c r="R1929" s="65" t="str">
        <f>IF($A1929="","",IFERROR(MINIFS(Candidates!$K$2:$K$2000,Candidates!$A$2:$A$2000,$A1929),""))</f>
        <v/>
      </c>
      <c r="S1929" s="65" t="str">
        <f>IF($A1929="","",IFERROR(MAXIFS(Candidates!$AA$2:$AA$2000,Candidates!$A$2:$A$2000,$A1929),""))</f>
        <v/>
      </c>
      <c r="T1929" s="64" t="str">
        <f>IFERROR(__xludf.DUMMYFUNCTION("IF($A1929="""","""",IFERROR(TEXTJOIN("", "",TRUE,UNIQUE(FILTER(Candidates!$B$2:$B$2000,Candidates!$A$2:$A$2000=$A1929))),""""))"),"")</f>
        <v/>
      </c>
      <c r="U1929" s="66" t="str">
        <f>IF($A1929="","",COUNTIF(Candidates!$A$2:$A$2000,$A1929))</f>
        <v/>
      </c>
      <c r="V1929" s="64" t="str">
        <f>IFERROR(__xludf.DUMMYFUNCTION("IF($A1929="""","""",IFERROR(INDEX(FILTER(Candidates!$S$2:$S$2000,Candidates!$A$2:$A$2000=$A1929),COUNTIF(Candidates!$A$2:$A$2000,$A1929)),""""))"),"")</f>
        <v/>
      </c>
      <c r="W1929" s="64" t="str">
        <f>IFERROR(__xludf.DUMMYFUNCTION("IF($A1929="""","""",IFERROR(INDEX(FILTER(Candidates!$T$2:$T$2000,Candidates!$A$2:$A$2000=$A1929),COUNTIF(Candidates!$A$2:$A$2000,$A1929)),""""))"),"")</f>
        <v/>
      </c>
      <c r="X1929" s="64"/>
      <c r="Y1929" s="64"/>
      <c r="Z1929" s="65"/>
      <c r="AA1929" s="65"/>
      <c r="AB1929" s="65"/>
      <c r="AC1929" s="65"/>
    </row>
    <row r="1930">
      <c r="A1930" s="64"/>
      <c r="B1930" s="64"/>
      <c r="C1930" s="64"/>
      <c r="D1930" s="64"/>
      <c r="E1930" s="64"/>
      <c r="F1930" s="64"/>
      <c r="G1930" s="64"/>
      <c r="H1930" s="63"/>
      <c r="I1930" s="64"/>
      <c r="J1930" s="64"/>
      <c r="K1930" s="64"/>
      <c r="L1930" s="64"/>
      <c r="M1930" s="64"/>
      <c r="N1930" s="64"/>
      <c r="O1930" s="64"/>
      <c r="P1930" s="64"/>
      <c r="Q1930" s="64"/>
      <c r="R1930" s="65" t="str">
        <f>IF($A1930="","",IFERROR(MINIFS(Candidates!$K$2:$K$2000,Candidates!$A$2:$A$2000,$A1930),""))</f>
        <v/>
      </c>
      <c r="S1930" s="65" t="str">
        <f>IF($A1930="","",IFERROR(MAXIFS(Candidates!$AA$2:$AA$2000,Candidates!$A$2:$A$2000,$A1930),""))</f>
        <v/>
      </c>
      <c r="T1930" s="64" t="str">
        <f>IFERROR(__xludf.DUMMYFUNCTION("IF($A1930="""","""",IFERROR(TEXTJOIN("", "",TRUE,UNIQUE(FILTER(Candidates!$B$2:$B$2000,Candidates!$A$2:$A$2000=$A1930))),""""))"),"")</f>
        <v/>
      </c>
      <c r="U1930" s="66" t="str">
        <f>IF($A1930="","",COUNTIF(Candidates!$A$2:$A$2000,$A1930))</f>
        <v/>
      </c>
      <c r="V1930" s="64" t="str">
        <f>IFERROR(__xludf.DUMMYFUNCTION("IF($A1930="""","""",IFERROR(INDEX(FILTER(Candidates!$S$2:$S$2000,Candidates!$A$2:$A$2000=$A1930),COUNTIF(Candidates!$A$2:$A$2000,$A1930)),""""))"),"")</f>
        <v/>
      </c>
      <c r="W1930" s="64" t="str">
        <f>IFERROR(__xludf.DUMMYFUNCTION("IF($A1930="""","""",IFERROR(INDEX(FILTER(Candidates!$T$2:$T$2000,Candidates!$A$2:$A$2000=$A1930),COUNTIF(Candidates!$A$2:$A$2000,$A1930)),""""))"),"")</f>
        <v/>
      </c>
      <c r="X1930" s="64"/>
      <c r="Y1930" s="64"/>
      <c r="Z1930" s="65"/>
      <c r="AA1930" s="65"/>
      <c r="AB1930" s="65"/>
      <c r="AC1930" s="65"/>
    </row>
    <row r="1931">
      <c r="A1931" s="64"/>
      <c r="B1931" s="64"/>
      <c r="C1931" s="64"/>
      <c r="D1931" s="64"/>
      <c r="E1931" s="64"/>
      <c r="F1931" s="64"/>
      <c r="G1931" s="64"/>
      <c r="H1931" s="63"/>
      <c r="I1931" s="64"/>
      <c r="J1931" s="64"/>
      <c r="K1931" s="64"/>
      <c r="L1931" s="64"/>
      <c r="M1931" s="64"/>
      <c r="N1931" s="64"/>
      <c r="O1931" s="64"/>
      <c r="P1931" s="64"/>
      <c r="Q1931" s="64"/>
      <c r="R1931" s="65" t="str">
        <f>IF($A1931="","",IFERROR(MINIFS(Candidates!$K$2:$K$2000,Candidates!$A$2:$A$2000,$A1931),""))</f>
        <v/>
      </c>
      <c r="S1931" s="65" t="str">
        <f>IF($A1931="","",IFERROR(MAXIFS(Candidates!$AA$2:$AA$2000,Candidates!$A$2:$A$2000,$A1931),""))</f>
        <v/>
      </c>
      <c r="T1931" s="64" t="str">
        <f>IFERROR(__xludf.DUMMYFUNCTION("IF($A1931="""","""",IFERROR(TEXTJOIN("", "",TRUE,UNIQUE(FILTER(Candidates!$B$2:$B$2000,Candidates!$A$2:$A$2000=$A1931))),""""))"),"")</f>
        <v/>
      </c>
      <c r="U1931" s="66" t="str">
        <f>IF($A1931="","",COUNTIF(Candidates!$A$2:$A$2000,$A1931))</f>
        <v/>
      </c>
      <c r="V1931" s="64" t="str">
        <f>IFERROR(__xludf.DUMMYFUNCTION("IF($A1931="""","""",IFERROR(INDEX(FILTER(Candidates!$S$2:$S$2000,Candidates!$A$2:$A$2000=$A1931),COUNTIF(Candidates!$A$2:$A$2000,$A1931)),""""))"),"")</f>
        <v/>
      </c>
      <c r="W1931" s="64" t="str">
        <f>IFERROR(__xludf.DUMMYFUNCTION("IF($A1931="""","""",IFERROR(INDEX(FILTER(Candidates!$T$2:$T$2000,Candidates!$A$2:$A$2000=$A1931),COUNTIF(Candidates!$A$2:$A$2000,$A1931)),""""))"),"")</f>
        <v/>
      </c>
      <c r="X1931" s="64"/>
      <c r="Y1931" s="64"/>
      <c r="Z1931" s="65"/>
      <c r="AA1931" s="65"/>
      <c r="AB1931" s="65"/>
      <c r="AC1931" s="65"/>
    </row>
    <row r="1932">
      <c r="A1932" s="64"/>
      <c r="B1932" s="64"/>
      <c r="C1932" s="64"/>
      <c r="D1932" s="64"/>
      <c r="E1932" s="64"/>
      <c r="F1932" s="64"/>
      <c r="G1932" s="64"/>
      <c r="H1932" s="63"/>
      <c r="I1932" s="64"/>
      <c r="J1932" s="64"/>
      <c r="K1932" s="64"/>
      <c r="L1932" s="64"/>
      <c r="M1932" s="64"/>
      <c r="N1932" s="64"/>
      <c r="O1932" s="64"/>
      <c r="P1932" s="64"/>
      <c r="Q1932" s="64"/>
      <c r="R1932" s="65" t="str">
        <f>IF($A1932="","",IFERROR(MINIFS(Candidates!$K$2:$K$2000,Candidates!$A$2:$A$2000,$A1932),""))</f>
        <v/>
      </c>
      <c r="S1932" s="65" t="str">
        <f>IF($A1932="","",IFERROR(MAXIFS(Candidates!$AA$2:$AA$2000,Candidates!$A$2:$A$2000,$A1932),""))</f>
        <v/>
      </c>
      <c r="T1932" s="64" t="str">
        <f>IFERROR(__xludf.DUMMYFUNCTION("IF($A1932="""","""",IFERROR(TEXTJOIN("", "",TRUE,UNIQUE(FILTER(Candidates!$B$2:$B$2000,Candidates!$A$2:$A$2000=$A1932))),""""))"),"")</f>
        <v/>
      </c>
      <c r="U1932" s="66" t="str">
        <f>IF($A1932="","",COUNTIF(Candidates!$A$2:$A$2000,$A1932))</f>
        <v/>
      </c>
      <c r="V1932" s="64" t="str">
        <f>IFERROR(__xludf.DUMMYFUNCTION("IF($A1932="""","""",IFERROR(INDEX(FILTER(Candidates!$S$2:$S$2000,Candidates!$A$2:$A$2000=$A1932),COUNTIF(Candidates!$A$2:$A$2000,$A1932)),""""))"),"")</f>
        <v/>
      </c>
      <c r="W1932" s="64" t="str">
        <f>IFERROR(__xludf.DUMMYFUNCTION("IF($A1932="""","""",IFERROR(INDEX(FILTER(Candidates!$T$2:$T$2000,Candidates!$A$2:$A$2000=$A1932),COUNTIF(Candidates!$A$2:$A$2000,$A1932)),""""))"),"")</f>
        <v/>
      </c>
      <c r="X1932" s="64"/>
      <c r="Y1932" s="64"/>
      <c r="Z1932" s="65"/>
      <c r="AA1932" s="65"/>
      <c r="AB1932" s="65"/>
      <c r="AC1932" s="65"/>
    </row>
    <row r="1933">
      <c r="A1933" s="64"/>
      <c r="B1933" s="64"/>
      <c r="C1933" s="64"/>
      <c r="D1933" s="64"/>
      <c r="E1933" s="64"/>
      <c r="F1933" s="64"/>
      <c r="G1933" s="64"/>
      <c r="H1933" s="63"/>
      <c r="I1933" s="64"/>
      <c r="J1933" s="64"/>
      <c r="K1933" s="64"/>
      <c r="L1933" s="64"/>
      <c r="M1933" s="64"/>
      <c r="N1933" s="64"/>
      <c r="O1933" s="64"/>
      <c r="P1933" s="64"/>
      <c r="Q1933" s="64"/>
      <c r="R1933" s="65" t="str">
        <f>IF($A1933="","",IFERROR(MINIFS(Candidates!$K$2:$K$2000,Candidates!$A$2:$A$2000,$A1933),""))</f>
        <v/>
      </c>
      <c r="S1933" s="65" t="str">
        <f>IF($A1933="","",IFERROR(MAXIFS(Candidates!$AA$2:$AA$2000,Candidates!$A$2:$A$2000,$A1933),""))</f>
        <v/>
      </c>
      <c r="T1933" s="64" t="str">
        <f>IFERROR(__xludf.DUMMYFUNCTION("IF($A1933="""","""",IFERROR(TEXTJOIN("", "",TRUE,UNIQUE(FILTER(Candidates!$B$2:$B$2000,Candidates!$A$2:$A$2000=$A1933))),""""))"),"")</f>
        <v/>
      </c>
      <c r="U1933" s="66" t="str">
        <f>IF($A1933="","",COUNTIF(Candidates!$A$2:$A$2000,$A1933))</f>
        <v/>
      </c>
      <c r="V1933" s="64" t="str">
        <f>IFERROR(__xludf.DUMMYFUNCTION("IF($A1933="""","""",IFERROR(INDEX(FILTER(Candidates!$S$2:$S$2000,Candidates!$A$2:$A$2000=$A1933),COUNTIF(Candidates!$A$2:$A$2000,$A1933)),""""))"),"")</f>
        <v/>
      </c>
      <c r="W1933" s="64" t="str">
        <f>IFERROR(__xludf.DUMMYFUNCTION("IF($A1933="""","""",IFERROR(INDEX(FILTER(Candidates!$T$2:$T$2000,Candidates!$A$2:$A$2000=$A1933),COUNTIF(Candidates!$A$2:$A$2000,$A1933)),""""))"),"")</f>
        <v/>
      </c>
      <c r="X1933" s="64"/>
      <c r="Y1933" s="64"/>
      <c r="Z1933" s="65"/>
      <c r="AA1933" s="65"/>
      <c r="AB1933" s="65"/>
      <c r="AC1933" s="65"/>
    </row>
    <row r="1934">
      <c r="A1934" s="64"/>
      <c r="B1934" s="64"/>
      <c r="C1934" s="64"/>
      <c r="D1934" s="64"/>
      <c r="E1934" s="64"/>
      <c r="F1934" s="64"/>
      <c r="G1934" s="64"/>
      <c r="H1934" s="63"/>
      <c r="I1934" s="64"/>
      <c r="J1934" s="64"/>
      <c r="K1934" s="64"/>
      <c r="L1934" s="64"/>
      <c r="M1934" s="64"/>
      <c r="N1934" s="64"/>
      <c r="O1934" s="64"/>
      <c r="P1934" s="64"/>
      <c r="Q1934" s="64"/>
      <c r="R1934" s="65" t="str">
        <f>IF($A1934="","",IFERROR(MINIFS(Candidates!$K$2:$K$2000,Candidates!$A$2:$A$2000,$A1934),""))</f>
        <v/>
      </c>
      <c r="S1934" s="65" t="str">
        <f>IF($A1934="","",IFERROR(MAXIFS(Candidates!$AA$2:$AA$2000,Candidates!$A$2:$A$2000,$A1934),""))</f>
        <v/>
      </c>
      <c r="T1934" s="64" t="str">
        <f>IFERROR(__xludf.DUMMYFUNCTION("IF($A1934="""","""",IFERROR(TEXTJOIN("", "",TRUE,UNIQUE(FILTER(Candidates!$B$2:$B$2000,Candidates!$A$2:$A$2000=$A1934))),""""))"),"")</f>
        <v/>
      </c>
      <c r="U1934" s="66" t="str">
        <f>IF($A1934="","",COUNTIF(Candidates!$A$2:$A$2000,$A1934))</f>
        <v/>
      </c>
      <c r="V1934" s="64" t="str">
        <f>IFERROR(__xludf.DUMMYFUNCTION("IF($A1934="""","""",IFERROR(INDEX(FILTER(Candidates!$S$2:$S$2000,Candidates!$A$2:$A$2000=$A1934),COUNTIF(Candidates!$A$2:$A$2000,$A1934)),""""))"),"")</f>
        <v/>
      </c>
      <c r="W1934" s="64" t="str">
        <f>IFERROR(__xludf.DUMMYFUNCTION("IF($A1934="""","""",IFERROR(INDEX(FILTER(Candidates!$T$2:$T$2000,Candidates!$A$2:$A$2000=$A1934),COUNTIF(Candidates!$A$2:$A$2000,$A1934)),""""))"),"")</f>
        <v/>
      </c>
      <c r="X1934" s="64"/>
      <c r="Y1934" s="64"/>
      <c r="Z1934" s="65"/>
      <c r="AA1934" s="65"/>
      <c r="AB1934" s="65"/>
      <c r="AC1934" s="65"/>
    </row>
    <row r="1935">
      <c r="A1935" s="64"/>
      <c r="B1935" s="64"/>
      <c r="C1935" s="64"/>
      <c r="D1935" s="64"/>
      <c r="E1935" s="64"/>
      <c r="F1935" s="64"/>
      <c r="G1935" s="64"/>
      <c r="H1935" s="63"/>
      <c r="I1935" s="64"/>
      <c r="J1935" s="64"/>
      <c r="K1935" s="64"/>
      <c r="L1935" s="64"/>
      <c r="M1935" s="64"/>
      <c r="N1935" s="64"/>
      <c r="O1935" s="64"/>
      <c r="P1935" s="64"/>
      <c r="Q1935" s="64"/>
      <c r="R1935" s="65" t="str">
        <f>IF($A1935="","",IFERROR(MINIFS(Candidates!$K$2:$K$2000,Candidates!$A$2:$A$2000,$A1935),""))</f>
        <v/>
      </c>
      <c r="S1935" s="65" t="str">
        <f>IF($A1935="","",IFERROR(MAXIFS(Candidates!$AA$2:$AA$2000,Candidates!$A$2:$A$2000,$A1935),""))</f>
        <v/>
      </c>
      <c r="T1935" s="64" t="str">
        <f>IFERROR(__xludf.DUMMYFUNCTION("IF($A1935="""","""",IFERROR(TEXTJOIN("", "",TRUE,UNIQUE(FILTER(Candidates!$B$2:$B$2000,Candidates!$A$2:$A$2000=$A1935))),""""))"),"")</f>
        <v/>
      </c>
      <c r="U1935" s="66" t="str">
        <f>IF($A1935="","",COUNTIF(Candidates!$A$2:$A$2000,$A1935))</f>
        <v/>
      </c>
      <c r="V1935" s="64" t="str">
        <f>IFERROR(__xludf.DUMMYFUNCTION("IF($A1935="""","""",IFERROR(INDEX(FILTER(Candidates!$S$2:$S$2000,Candidates!$A$2:$A$2000=$A1935),COUNTIF(Candidates!$A$2:$A$2000,$A1935)),""""))"),"")</f>
        <v/>
      </c>
      <c r="W1935" s="64" t="str">
        <f>IFERROR(__xludf.DUMMYFUNCTION("IF($A1935="""","""",IFERROR(INDEX(FILTER(Candidates!$T$2:$T$2000,Candidates!$A$2:$A$2000=$A1935),COUNTIF(Candidates!$A$2:$A$2000,$A1935)),""""))"),"")</f>
        <v/>
      </c>
      <c r="X1935" s="64"/>
      <c r="Y1935" s="64"/>
      <c r="Z1935" s="65"/>
      <c r="AA1935" s="65"/>
      <c r="AB1935" s="65"/>
      <c r="AC1935" s="65"/>
    </row>
    <row r="1936">
      <c r="A1936" s="64"/>
      <c r="B1936" s="64"/>
      <c r="C1936" s="64"/>
      <c r="D1936" s="64"/>
      <c r="E1936" s="64"/>
      <c r="F1936" s="64"/>
      <c r="G1936" s="64"/>
      <c r="H1936" s="63"/>
      <c r="I1936" s="64"/>
      <c r="J1936" s="64"/>
      <c r="K1936" s="64"/>
      <c r="L1936" s="64"/>
      <c r="M1936" s="64"/>
      <c r="N1936" s="64"/>
      <c r="O1936" s="64"/>
      <c r="P1936" s="64"/>
      <c r="Q1936" s="64"/>
      <c r="R1936" s="65" t="str">
        <f>IF($A1936="","",IFERROR(MINIFS(Candidates!$K$2:$K$2000,Candidates!$A$2:$A$2000,$A1936),""))</f>
        <v/>
      </c>
      <c r="S1936" s="65" t="str">
        <f>IF($A1936="","",IFERROR(MAXIFS(Candidates!$AA$2:$AA$2000,Candidates!$A$2:$A$2000,$A1936),""))</f>
        <v/>
      </c>
      <c r="T1936" s="64" t="str">
        <f>IFERROR(__xludf.DUMMYFUNCTION("IF($A1936="""","""",IFERROR(TEXTJOIN("", "",TRUE,UNIQUE(FILTER(Candidates!$B$2:$B$2000,Candidates!$A$2:$A$2000=$A1936))),""""))"),"")</f>
        <v/>
      </c>
      <c r="U1936" s="66" t="str">
        <f>IF($A1936="","",COUNTIF(Candidates!$A$2:$A$2000,$A1936))</f>
        <v/>
      </c>
      <c r="V1936" s="64" t="str">
        <f>IFERROR(__xludf.DUMMYFUNCTION("IF($A1936="""","""",IFERROR(INDEX(FILTER(Candidates!$S$2:$S$2000,Candidates!$A$2:$A$2000=$A1936),COUNTIF(Candidates!$A$2:$A$2000,$A1936)),""""))"),"")</f>
        <v/>
      </c>
      <c r="W1936" s="64" t="str">
        <f>IFERROR(__xludf.DUMMYFUNCTION("IF($A1936="""","""",IFERROR(INDEX(FILTER(Candidates!$T$2:$T$2000,Candidates!$A$2:$A$2000=$A1936),COUNTIF(Candidates!$A$2:$A$2000,$A1936)),""""))"),"")</f>
        <v/>
      </c>
      <c r="X1936" s="64"/>
      <c r="Y1936" s="64"/>
      <c r="Z1936" s="65"/>
      <c r="AA1936" s="65"/>
      <c r="AB1936" s="65"/>
      <c r="AC1936" s="65"/>
    </row>
    <row r="1937">
      <c r="A1937" s="64"/>
      <c r="B1937" s="64"/>
      <c r="C1937" s="64"/>
      <c r="D1937" s="64"/>
      <c r="E1937" s="64"/>
      <c r="F1937" s="64"/>
      <c r="G1937" s="64"/>
      <c r="H1937" s="63"/>
      <c r="I1937" s="64"/>
      <c r="J1937" s="64"/>
      <c r="K1937" s="64"/>
      <c r="L1937" s="64"/>
      <c r="M1937" s="64"/>
      <c r="N1937" s="64"/>
      <c r="O1937" s="64"/>
      <c r="P1937" s="64"/>
      <c r="Q1937" s="64"/>
      <c r="R1937" s="65" t="str">
        <f>IF($A1937="","",IFERROR(MINIFS(Candidates!$K$2:$K$2000,Candidates!$A$2:$A$2000,$A1937),""))</f>
        <v/>
      </c>
      <c r="S1937" s="65" t="str">
        <f>IF($A1937="","",IFERROR(MAXIFS(Candidates!$AA$2:$AA$2000,Candidates!$A$2:$A$2000,$A1937),""))</f>
        <v/>
      </c>
      <c r="T1937" s="64" t="str">
        <f>IFERROR(__xludf.DUMMYFUNCTION("IF($A1937="""","""",IFERROR(TEXTJOIN("", "",TRUE,UNIQUE(FILTER(Candidates!$B$2:$B$2000,Candidates!$A$2:$A$2000=$A1937))),""""))"),"")</f>
        <v/>
      </c>
      <c r="U1937" s="66" t="str">
        <f>IF($A1937="","",COUNTIF(Candidates!$A$2:$A$2000,$A1937))</f>
        <v/>
      </c>
      <c r="V1937" s="64" t="str">
        <f>IFERROR(__xludf.DUMMYFUNCTION("IF($A1937="""","""",IFERROR(INDEX(FILTER(Candidates!$S$2:$S$2000,Candidates!$A$2:$A$2000=$A1937),COUNTIF(Candidates!$A$2:$A$2000,$A1937)),""""))"),"")</f>
        <v/>
      </c>
      <c r="W1937" s="64" t="str">
        <f>IFERROR(__xludf.DUMMYFUNCTION("IF($A1937="""","""",IFERROR(INDEX(FILTER(Candidates!$T$2:$T$2000,Candidates!$A$2:$A$2000=$A1937),COUNTIF(Candidates!$A$2:$A$2000,$A1937)),""""))"),"")</f>
        <v/>
      </c>
      <c r="X1937" s="64"/>
      <c r="Y1937" s="64"/>
      <c r="Z1937" s="65"/>
      <c r="AA1937" s="65"/>
      <c r="AB1937" s="65"/>
      <c r="AC1937" s="65"/>
    </row>
    <row r="1938">
      <c r="A1938" s="64"/>
      <c r="B1938" s="64"/>
      <c r="C1938" s="64"/>
      <c r="D1938" s="64"/>
      <c r="E1938" s="64"/>
      <c r="F1938" s="64"/>
      <c r="G1938" s="64"/>
      <c r="H1938" s="63"/>
      <c r="I1938" s="64"/>
      <c r="J1938" s="64"/>
      <c r="K1938" s="64"/>
      <c r="L1938" s="64"/>
      <c r="M1938" s="64"/>
      <c r="N1938" s="64"/>
      <c r="O1938" s="64"/>
      <c r="P1938" s="64"/>
      <c r="Q1938" s="64"/>
      <c r="R1938" s="65" t="str">
        <f>IF($A1938="","",IFERROR(MINIFS(Candidates!$K$2:$K$2000,Candidates!$A$2:$A$2000,$A1938),""))</f>
        <v/>
      </c>
      <c r="S1938" s="65" t="str">
        <f>IF($A1938="","",IFERROR(MAXIFS(Candidates!$AA$2:$AA$2000,Candidates!$A$2:$A$2000,$A1938),""))</f>
        <v/>
      </c>
      <c r="T1938" s="64" t="str">
        <f>IFERROR(__xludf.DUMMYFUNCTION("IF($A1938="""","""",IFERROR(TEXTJOIN("", "",TRUE,UNIQUE(FILTER(Candidates!$B$2:$B$2000,Candidates!$A$2:$A$2000=$A1938))),""""))"),"")</f>
        <v/>
      </c>
      <c r="U1938" s="66" t="str">
        <f>IF($A1938="","",COUNTIF(Candidates!$A$2:$A$2000,$A1938))</f>
        <v/>
      </c>
      <c r="V1938" s="64" t="str">
        <f>IFERROR(__xludf.DUMMYFUNCTION("IF($A1938="""","""",IFERROR(INDEX(FILTER(Candidates!$S$2:$S$2000,Candidates!$A$2:$A$2000=$A1938),COUNTIF(Candidates!$A$2:$A$2000,$A1938)),""""))"),"")</f>
        <v/>
      </c>
      <c r="W1938" s="64" t="str">
        <f>IFERROR(__xludf.DUMMYFUNCTION("IF($A1938="""","""",IFERROR(INDEX(FILTER(Candidates!$T$2:$T$2000,Candidates!$A$2:$A$2000=$A1938),COUNTIF(Candidates!$A$2:$A$2000,$A1938)),""""))"),"")</f>
        <v/>
      </c>
      <c r="X1938" s="64"/>
      <c r="Y1938" s="64"/>
      <c r="Z1938" s="65"/>
      <c r="AA1938" s="65"/>
      <c r="AB1938" s="65"/>
      <c r="AC1938" s="65"/>
    </row>
    <row r="1939">
      <c r="A1939" s="64"/>
      <c r="B1939" s="64"/>
      <c r="C1939" s="64"/>
      <c r="D1939" s="64"/>
      <c r="E1939" s="64"/>
      <c r="F1939" s="64"/>
      <c r="G1939" s="64"/>
      <c r="H1939" s="63"/>
      <c r="I1939" s="64"/>
      <c r="J1939" s="64"/>
      <c r="K1939" s="64"/>
      <c r="L1939" s="64"/>
      <c r="M1939" s="64"/>
      <c r="N1939" s="64"/>
      <c r="O1939" s="64"/>
      <c r="P1939" s="64"/>
      <c r="Q1939" s="64"/>
      <c r="R1939" s="65" t="str">
        <f>IF($A1939="","",IFERROR(MINIFS(Candidates!$K$2:$K$2000,Candidates!$A$2:$A$2000,$A1939),""))</f>
        <v/>
      </c>
      <c r="S1939" s="65" t="str">
        <f>IF($A1939="","",IFERROR(MAXIFS(Candidates!$AA$2:$AA$2000,Candidates!$A$2:$A$2000,$A1939),""))</f>
        <v/>
      </c>
      <c r="T1939" s="64" t="str">
        <f>IFERROR(__xludf.DUMMYFUNCTION("IF($A1939="""","""",IFERROR(TEXTJOIN("", "",TRUE,UNIQUE(FILTER(Candidates!$B$2:$B$2000,Candidates!$A$2:$A$2000=$A1939))),""""))"),"")</f>
        <v/>
      </c>
      <c r="U1939" s="66" t="str">
        <f>IF($A1939="","",COUNTIF(Candidates!$A$2:$A$2000,$A1939))</f>
        <v/>
      </c>
      <c r="V1939" s="64" t="str">
        <f>IFERROR(__xludf.DUMMYFUNCTION("IF($A1939="""","""",IFERROR(INDEX(FILTER(Candidates!$S$2:$S$2000,Candidates!$A$2:$A$2000=$A1939),COUNTIF(Candidates!$A$2:$A$2000,$A1939)),""""))"),"")</f>
        <v/>
      </c>
      <c r="W1939" s="64" t="str">
        <f>IFERROR(__xludf.DUMMYFUNCTION("IF($A1939="""","""",IFERROR(INDEX(FILTER(Candidates!$T$2:$T$2000,Candidates!$A$2:$A$2000=$A1939),COUNTIF(Candidates!$A$2:$A$2000,$A1939)),""""))"),"")</f>
        <v/>
      </c>
      <c r="X1939" s="64"/>
      <c r="Y1939" s="64"/>
      <c r="Z1939" s="65"/>
      <c r="AA1939" s="65"/>
      <c r="AB1939" s="65"/>
      <c r="AC1939" s="65"/>
    </row>
    <row r="1940">
      <c r="A1940" s="64"/>
      <c r="B1940" s="64"/>
      <c r="C1940" s="64"/>
      <c r="D1940" s="64"/>
      <c r="E1940" s="64"/>
      <c r="F1940" s="64"/>
      <c r="G1940" s="64"/>
      <c r="H1940" s="63"/>
      <c r="I1940" s="64"/>
      <c r="J1940" s="64"/>
      <c r="K1940" s="64"/>
      <c r="L1940" s="64"/>
      <c r="M1940" s="64"/>
      <c r="N1940" s="64"/>
      <c r="O1940" s="64"/>
      <c r="P1940" s="64"/>
      <c r="Q1940" s="64"/>
      <c r="R1940" s="65" t="str">
        <f>IF($A1940="","",IFERROR(MINIFS(Candidates!$K$2:$K$2000,Candidates!$A$2:$A$2000,$A1940),""))</f>
        <v/>
      </c>
      <c r="S1940" s="65" t="str">
        <f>IF($A1940="","",IFERROR(MAXIFS(Candidates!$AA$2:$AA$2000,Candidates!$A$2:$A$2000,$A1940),""))</f>
        <v/>
      </c>
      <c r="T1940" s="64" t="str">
        <f>IFERROR(__xludf.DUMMYFUNCTION("IF($A1940="""","""",IFERROR(TEXTJOIN("", "",TRUE,UNIQUE(FILTER(Candidates!$B$2:$B$2000,Candidates!$A$2:$A$2000=$A1940))),""""))"),"")</f>
        <v/>
      </c>
      <c r="U1940" s="66" t="str">
        <f>IF($A1940="","",COUNTIF(Candidates!$A$2:$A$2000,$A1940))</f>
        <v/>
      </c>
      <c r="V1940" s="64" t="str">
        <f>IFERROR(__xludf.DUMMYFUNCTION("IF($A1940="""","""",IFERROR(INDEX(FILTER(Candidates!$S$2:$S$2000,Candidates!$A$2:$A$2000=$A1940),COUNTIF(Candidates!$A$2:$A$2000,$A1940)),""""))"),"")</f>
        <v/>
      </c>
      <c r="W1940" s="64" t="str">
        <f>IFERROR(__xludf.DUMMYFUNCTION("IF($A1940="""","""",IFERROR(INDEX(FILTER(Candidates!$T$2:$T$2000,Candidates!$A$2:$A$2000=$A1940),COUNTIF(Candidates!$A$2:$A$2000,$A1940)),""""))"),"")</f>
        <v/>
      </c>
      <c r="X1940" s="64"/>
      <c r="Y1940" s="64"/>
      <c r="Z1940" s="65"/>
      <c r="AA1940" s="65"/>
      <c r="AB1940" s="65"/>
      <c r="AC1940" s="65"/>
    </row>
    <row r="1941">
      <c r="A1941" s="64"/>
      <c r="B1941" s="64"/>
      <c r="C1941" s="64"/>
      <c r="D1941" s="64"/>
      <c r="E1941" s="64"/>
      <c r="F1941" s="64"/>
      <c r="G1941" s="64"/>
      <c r="H1941" s="63"/>
      <c r="I1941" s="64"/>
      <c r="J1941" s="64"/>
      <c r="K1941" s="64"/>
      <c r="L1941" s="64"/>
      <c r="M1941" s="64"/>
      <c r="N1941" s="64"/>
      <c r="O1941" s="64"/>
      <c r="P1941" s="64"/>
      <c r="Q1941" s="64"/>
      <c r="R1941" s="65" t="str">
        <f>IF($A1941="","",IFERROR(MINIFS(Candidates!$K$2:$K$2000,Candidates!$A$2:$A$2000,$A1941),""))</f>
        <v/>
      </c>
      <c r="S1941" s="65" t="str">
        <f>IF($A1941="","",IFERROR(MAXIFS(Candidates!$AA$2:$AA$2000,Candidates!$A$2:$A$2000,$A1941),""))</f>
        <v/>
      </c>
      <c r="T1941" s="64" t="str">
        <f>IFERROR(__xludf.DUMMYFUNCTION("IF($A1941="""","""",IFERROR(TEXTJOIN("", "",TRUE,UNIQUE(FILTER(Candidates!$B$2:$B$2000,Candidates!$A$2:$A$2000=$A1941))),""""))"),"")</f>
        <v/>
      </c>
      <c r="U1941" s="66" t="str">
        <f>IF($A1941="","",COUNTIF(Candidates!$A$2:$A$2000,$A1941))</f>
        <v/>
      </c>
      <c r="V1941" s="64" t="str">
        <f>IFERROR(__xludf.DUMMYFUNCTION("IF($A1941="""","""",IFERROR(INDEX(FILTER(Candidates!$S$2:$S$2000,Candidates!$A$2:$A$2000=$A1941),COUNTIF(Candidates!$A$2:$A$2000,$A1941)),""""))"),"")</f>
        <v/>
      </c>
      <c r="W1941" s="64" t="str">
        <f>IFERROR(__xludf.DUMMYFUNCTION("IF($A1941="""","""",IFERROR(INDEX(FILTER(Candidates!$T$2:$T$2000,Candidates!$A$2:$A$2000=$A1941),COUNTIF(Candidates!$A$2:$A$2000,$A1941)),""""))"),"")</f>
        <v/>
      </c>
      <c r="X1941" s="64"/>
      <c r="Y1941" s="64"/>
      <c r="Z1941" s="65"/>
      <c r="AA1941" s="65"/>
      <c r="AB1941" s="65"/>
      <c r="AC1941" s="65"/>
    </row>
    <row r="1942">
      <c r="A1942" s="64"/>
      <c r="B1942" s="64"/>
      <c r="C1942" s="64"/>
      <c r="D1942" s="64"/>
      <c r="E1942" s="64"/>
      <c r="F1942" s="64"/>
      <c r="G1942" s="64"/>
      <c r="H1942" s="63"/>
      <c r="I1942" s="64"/>
      <c r="J1942" s="64"/>
      <c r="K1942" s="64"/>
      <c r="L1942" s="64"/>
      <c r="M1942" s="64"/>
      <c r="N1942" s="64"/>
      <c r="O1942" s="64"/>
      <c r="P1942" s="64"/>
      <c r="Q1942" s="64"/>
      <c r="R1942" s="65" t="str">
        <f>IF($A1942="","",IFERROR(MINIFS(Candidates!$K$2:$K$2000,Candidates!$A$2:$A$2000,$A1942),""))</f>
        <v/>
      </c>
      <c r="S1942" s="65" t="str">
        <f>IF($A1942="","",IFERROR(MAXIFS(Candidates!$AA$2:$AA$2000,Candidates!$A$2:$A$2000,$A1942),""))</f>
        <v/>
      </c>
      <c r="T1942" s="64" t="str">
        <f>IFERROR(__xludf.DUMMYFUNCTION("IF($A1942="""","""",IFERROR(TEXTJOIN("", "",TRUE,UNIQUE(FILTER(Candidates!$B$2:$B$2000,Candidates!$A$2:$A$2000=$A1942))),""""))"),"")</f>
        <v/>
      </c>
      <c r="U1942" s="66" t="str">
        <f>IF($A1942="","",COUNTIF(Candidates!$A$2:$A$2000,$A1942))</f>
        <v/>
      </c>
      <c r="V1942" s="64" t="str">
        <f>IFERROR(__xludf.DUMMYFUNCTION("IF($A1942="""","""",IFERROR(INDEX(FILTER(Candidates!$S$2:$S$2000,Candidates!$A$2:$A$2000=$A1942),COUNTIF(Candidates!$A$2:$A$2000,$A1942)),""""))"),"")</f>
        <v/>
      </c>
      <c r="W1942" s="64" t="str">
        <f>IFERROR(__xludf.DUMMYFUNCTION("IF($A1942="""","""",IFERROR(INDEX(FILTER(Candidates!$T$2:$T$2000,Candidates!$A$2:$A$2000=$A1942),COUNTIF(Candidates!$A$2:$A$2000,$A1942)),""""))"),"")</f>
        <v/>
      </c>
      <c r="X1942" s="64"/>
      <c r="Y1942" s="64"/>
      <c r="Z1942" s="65"/>
      <c r="AA1942" s="65"/>
      <c r="AB1942" s="65"/>
      <c r="AC1942" s="65"/>
    </row>
    <row r="1943">
      <c r="A1943" s="64"/>
      <c r="B1943" s="64"/>
      <c r="C1943" s="64"/>
      <c r="D1943" s="64"/>
      <c r="E1943" s="64"/>
      <c r="F1943" s="64"/>
      <c r="G1943" s="64"/>
      <c r="H1943" s="63"/>
      <c r="I1943" s="64"/>
      <c r="J1943" s="64"/>
      <c r="K1943" s="64"/>
      <c r="L1943" s="64"/>
      <c r="M1943" s="64"/>
      <c r="N1943" s="64"/>
      <c r="O1943" s="64"/>
      <c r="P1943" s="64"/>
      <c r="Q1943" s="64"/>
      <c r="R1943" s="65" t="str">
        <f>IF($A1943="","",IFERROR(MINIFS(Candidates!$K$2:$K$2000,Candidates!$A$2:$A$2000,$A1943),""))</f>
        <v/>
      </c>
      <c r="S1943" s="65" t="str">
        <f>IF($A1943="","",IFERROR(MAXIFS(Candidates!$AA$2:$AA$2000,Candidates!$A$2:$A$2000,$A1943),""))</f>
        <v/>
      </c>
      <c r="T1943" s="64" t="str">
        <f>IFERROR(__xludf.DUMMYFUNCTION("IF($A1943="""","""",IFERROR(TEXTJOIN("", "",TRUE,UNIQUE(FILTER(Candidates!$B$2:$B$2000,Candidates!$A$2:$A$2000=$A1943))),""""))"),"")</f>
        <v/>
      </c>
      <c r="U1943" s="66" t="str">
        <f>IF($A1943="","",COUNTIF(Candidates!$A$2:$A$2000,$A1943))</f>
        <v/>
      </c>
      <c r="V1943" s="64" t="str">
        <f>IFERROR(__xludf.DUMMYFUNCTION("IF($A1943="""","""",IFERROR(INDEX(FILTER(Candidates!$S$2:$S$2000,Candidates!$A$2:$A$2000=$A1943),COUNTIF(Candidates!$A$2:$A$2000,$A1943)),""""))"),"")</f>
        <v/>
      </c>
      <c r="W1943" s="64" t="str">
        <f>IFERROR(__xludf.DUMMYFUNCTION("IF($A1943="""","""",IFERROR(INDEX(FILTER(Candidates!$T$2:$T$2000,Candidates!$A$2:$A$2000=$A1943),COUNTIF(Candidates!$A$2:$A$2000,$A1943)),""""))"),"")</f>
        <v/>
      </c>
      <c r="X1943" s="64"/>
      <c r="Y1943" s="64"/>
      <c r="Z1943" s="65"/>
      <c r="AA1943" s="65"/>
      <c r="AB1943" s="65"/>
      <c r="AC1943" s="65"/>
    </row>
    <row r="1944">
      <c r="A1944" s="64"/>
      <c r="B1944" s="64"/>
      <c r="C1944" s="64"/>
      <c r="D1944" s="64"/>
      <c r="E1944" s="64"/>
      <c r="F1944" s="64"/>
      <c r="G1944" s="64"/>
      <c r="H1944" s="63"/>
      <c r="I1944" s="64"/>
      <c r="J1944" s="64"/>
      <c r="K1944" s="64"/>
      <c r="L1944" s="64"/>
      <c r="M1944" s="64"/>
      <c r="N1944" s="64"/>
      <c r="O1944" s="64"/>
      <c r="P1944" s="64"/>
      <c r="Q1944" s="64"/>
      <c r="R1944" s="65" t="str">
        <f>IF($A1944="","",IFERROR(MINIFS(Candidates!$K$2:$K$2000,Candidates!$A$2:$A$2000,$A1944),""))</f>
        <v/>
      </c>
      <c r="S1944" s="65" t="str">
        <f>IF($A1944="","",IFERROR(MAXIFS(Candidates!$AA$2:$AA$2000,Candidates!$A$2:$A$2000,$A1944),""))</f>
        <v/>
      </c>
      <c r="T1944" s="64" t="str">
        <f>IFERROR(__xludf.DUMMYFUNCTION("IF($A1944="""","""",IFERROR(TEXTJOIN("", "",TRUE,UNIQUE(FILTER(Candidates!$B$2:$B$2000,Candidates!$A$2:$A$2000=$A1944))),""""))"),"")</f>
        <v/>
      </c>
      <c r="U1944" s="66" t="str">
        <f>IF($A1944="","",COUNTIF(Candidates!$A$2:$A$2000,$A1944))</f>
        <v/>
      </c>
      <c r="V1944" s="64" t="str">
        <f>IFERROR(__xludf.DUMMYFUNCTION("IF($A1944="""","""",IFERROR(INDEX(FILTER(Candidates!$S$2:$S$2000,Candidates!$A$2:$A$2000=$A1944),COUNTIF(Candidates!$A$2:$A$2000,$A1944)),""""))"),"")</f>
        <v/>
      </c>
      <c r="W1944" s="64" t="str">
        <f>IFERROR(__xludf.DUMMYFUNCTION("IF($A1944="""","""",IFERROR(INDEX(FILTER(Candidates!$T$2:$T$2000,Candidates!$A$2:$A$2000=$A1944),COUNTIF(Candidates!$A$2:$A$2000,$A1944)),""""))"),"")</f>
        <v/>
      </c>
      <c r="X1944" s="64"/>
      <c r="Y1944" s="64"/>
      <c r="Z1944" s="65"/>
      <c r="AA1944" s="65"/>
      <c r="AB1944" s="65"/>
      <c r="AC1944" s="65"/>
    </row>
    <row r="1945">
      <c r="A1945" s="64"/>
      <c r="B1945" s="64"/>
      <c r="C1945" s="64"/>
      <c r="D1945" s="64"/>
      <c r="E1945" s="64"/>
      <c r="F1945" s="64"/>
      <c r="G1945" s="64"/>
      <c r="H1945" s="63"/>
      <c r="I1945" s="64"/>
      <c r="J1945" s="64"/>
      <c r="K1945" s="64"/>
      <c r="L1945" s="64"/>
      <c r="M1945" s="64"/>
      <c r="N1945" s="64"/>
      <c r="O1945" s="64"/>
      <c r="P1945" s="64"/>
      <c r="Q1945" s="64"/>
      <c r="R1945" s="65" t="str">
        <f>IF($A1945="","",IFERROR(MINIFS(Candidates!$K$2:$K$2000,Candidates!$A$2:$A$2000,$A1945),""))</f>
        <v/>
      </c>
      <c r="S1945" s="65" t="str">
        <f>IF($A1945="","",IFERROR(MAXIFS(Candidates!$AA$2:$AA$2000,Candidates!$A$2:$A$2000,$A1945),""))</f>
        <v/>
      </c>
      <c r="T1945" s="64" t="str">
        <f>IFERROR(__xludf.DUMMYFUNCTION("IF($A1945="""","""",IFERROR(TEXTJOIN("", "",TRUE,UNIQUE(FILTER(Candidates!$B$2:$B$2000,Candidates!$A$2:$A$2000=$A1945))),""""))"),"")</f>
        <v/>
      </c>
      <c r="U1945" s="66" t="str">
        <f>IF($A1945="","",COUNTIF(Candidates!$A$2:$A$2000,$A1945))</f>
        <v/>
      </c>
      <c r="V1945" s="64" t="str">
        <f>IFERROR(__xludf.DUMMYFUNCTION("IF($A1945="""","""",IFERROR(INDEX(FILTER(Candidates!$S$2:$S$2000,Candidates!$A$2:$A$2000=$A1945),COUNTIF(Candidates!$A$2:$A$2000,$A1945)),""""))"),"")</f>
        <v/>
      </c>
      <c r="W1945" s="64" t="str">
        <f>IFERROR(__xludf.DUMMYFUNCTION("IF($A1945="""","""",IFERROR(INDEX(FILTER(Candidates!$T$2:$T$2000,Candidates!$A$2:$A$2000=$A1945),COUNTIF(Candidates!$A$2:$A$2000,$A1945)),""""))"),"")</f>
        <v/>
      </c>
      <c r="X1945" s="64"/>
      <c r="Y1945" s="64"/>
      <c r="Z1945" s="65"/>
      <c r="AA1945" s="65"/>
      <c r="AB1945" s="65"/>
      <c r="AC1945" s="65"/>
    </row>
    <row r="1946">
      <c r="A1946" s="64"/>
      <c r="B1946" s="64"/>
      <c r="C1946" s="64"/>
      <c r="D1946" s="64"/>
      <c r="E1946" s="64"/>
      <c r="F1946" s="64"/>
      <c r="G1946" s="64"/>
      <c r="H1946" s="63"/>
      <c r="I1946" s="64"/>
      <c r="J1946" s="64"/>
      <c r="K1946" s="64"/>
      <c r="L1946" s="64"/>
      <c r="M1946" s="64"/>
      <c r="N1946" s="64"/>
      <c r="O1946" s="64"/>
      <c r="P1946" s="64"/>
      <c r="Q1946" s="64"/>
      <c r="R1946" s="65" t="str">
        <f>IF($A1946="","",IFERROR(MINIFS(Candidates!$K$2:$K$2000,Candidates!$A$2:$A$2000,$A1946),""))</f>
        <v/>
      </c>
      <c r="S1946" s="65" t="str">
        <f>IF($A1946="","",IFERROR(MAXIFS(Candidates!$AA$2:$AA$2000,Candidates!$A$2:$A$2000,$A1946),""))</f>
        <v/>
      </c>
      <c r="T1946" s="64" t="str">
        <f>IFERROR(__xludf.DUMMYFUNCTION("IF($A1946="""","""",IFERROR(TEXTJOIN("", "",TRUE,UNIQUE(FILTER(Candidates!$B$2:$B$2000,Candidates!$A$2:$A$2000=$A1946))),""""))"),"")</f>
        <v/>
      </c>
      <c r="U1946" s="66" t="str">
        <f>IF($A1946="","",COUNTIF(Candidates!$A$2:$A$2000,$A1946))</f>
        <v/>
      </c>
      <c r="V1946" s="64" t="str">
        <f>IFERROR(__xludf.DUMMYFUNCTION("IF($A1946="""","""",IFERROR(INDEX(FILTER(Candidates!$S$2:$S$2000,Candidates!$A$2:$A$2000=$A1946),COUNTIF(Candidates!$A$2:$A$2000,$A1946)),""""))"),"")</f>
        <v/>
      </c>
      <c r="W1946" s="64" t="str">
        <f>IFERROR(__xludf.DUMMYFUNCTION("IF($A1946="""","""",IFERROR(INDEX(FILTER(Candidates!$T$2:$T$2000,Candidates!$A$2:$A$2000=$A1946),COUNTIF(Candidates!$A$2:$A$2000,$A1946)),""""))"),"")</f>
        <v/>
      </c>
      <c r="X1946" s="64"/>
      <c r="Y1946" s="64"/>
      <c r="Z1946" s="65"/>
      <c r="AA1946" s="65"/>
      <c r="AB1946" s="65"/>
      <c r="AC1946" s="65"/>
    </row>
    <row r="1947">
      <c r="A1947" s="64"/>
      <c r="B1947" s="64"/>
      <c r="C1947" s="64"/>
      <c r="D1947" s="64"/>
      <c r="E1947" s="64"/>
      <c r="F1947" s="64"/>
      <c r="G1947" s="64"/>
      <c r="H1947" s="63"/>
      <c r="I1947" s="64"/>
      <c r="J1947" s="64"/>
      <c r="K1947" s="64"/>
      <c r="L1947" s="64"/>
      <c r="M1947" s="64"/>
      <c r="N1947" s="64"/>
      <c r="O1947" s="64"/>
      <c r="P1947" s="64"/>
      <c r="Q1947" s="64"/>
      <c r="R1947" s="65" t="str">
        <f>IF($A1947="","",IFERROR(MINIFS(Candidates!$K$2:$K$2000,Candidates!$A$2:$A$2000,$A1947),""))</f>
        <v/>
      </c>
      <c r="S1947" s="65" t="str">
        <f>IF($A1947="","",IFERROR(MAXIFS(Candidates!$AA$2:$AA$2000,Candidates!$A$2:$A$2000,$A1947),""))</f>
        <v/>
      </c>
      <c r="T1947" s="64" t="str">
        <f>IFERROR(__xludf.DUMMYFUNCTION("IF($A1947="""","""",IFERROR(TEXTJOIN("", "",TRUE,UNIQUE(FILTER(Candidates!$B$2:$B$2000,Candidates!$A$2:$A$2000=$A1947))),""""))"),"")</f>
        <v/>
      </c>
      <c r="U1947" s="66" t="str">
        <f>IF($A1947="","",COUNTIF(Candidates!$A$2:$A$2000,$A1947))</f>
        <v/>
      </c>
      <c r="V1947" s="64" t="str">
        <f>IFERROR(__xludf.DUMMYFUNCTION("IF($A1947="""","""",IFERROR(INDEX(FILTER(Candidates!$S$2:$S$2000,Candidates!$A$2:$A$2000=$A1947),COUNTIF(Candidates!$A$2:$A$2000,$A1947)),""""))"),"")</f>
        <v/>
      </c>
      <c r="W1947" s="64" t="str">
        <f>IFERROR(__xludf.DUMMYFUNCTION("IF($A1947="""","""",IFERROR(INDEX(FILTER(Candidates!$T$2:$T$2000,Candidates!$A$2:$A$2000=$A1947),COUNTIF(Candidates!$A$2:$A$2000,$A1947)),""""))"),"")</f>
        <v/>
      </c>
      <c r="X1947" s="64"/>
      <c r="Y1947" s="64"/>
      <c r="Z1947" s="65"/>
      <c r="AA1947" s="65"/>
      <c r="AB1947" s="65"/>
      <c r="AC1947" s="65"/>
    </row>
    <row r="1948">
      <c r="A1948" s="64"/>
      <c r="B1948" s="64"/>
      <c r="C1948" s="64"/>
      <c r="D1948" s="64"/>
      <c r="E1948" s="64"/>
      <c r="F1948" s="64"/>
      <c r="G1948" s="64"/>
      <c r="H1948" s="63"/>
      <c r="I1948" s="64"/>
      <c r="J1948" s="64"/>
      <c r="K1948" s="64"/>
      <c r="L1948" s="64"/>
      <c r="M1948" s="64"/>
      <c r="N1948" s="64"/>
      <c r="O1948" s="64"/>
      <c r="P1948" s="64"/>
      <c r="Q1948" s="64"/>
      <c r="R1948" s="65" t="str">
        <f>IF($A1948="","",IFERROR(MINIFS(Candidates!$K$2:$K$2000,Candidates!$A$2:$A$2000,$A1948),""))</f>
        <v/>
      </c>
      <c r="S1948" s="65" t="str">
        <f>IF($A1948="","",IFERROR(MAXIFS(Candidates!$AA$2:$AA$2000,Candidates!$A$2:$A$2000,$A1948),""))</f>
        <v/>
      </c>
      <c r="T1948" s="64" t="str">
        <f>IFERROR(__xludf.DUMMYFUNCTION("IF($A1948="""","""",IFERROR(TEXTJOIN("", "",TRUE,UNIQUE(FILTER(Candidates!$B$2:$B$2000,Candidates!$A$2:$A$2000=$A1948))),""""))"),"")</f>
        <v/>
      </c>
      <c r="U1948" s="66" t="str">
        <f>IF($A1948="","",COUNTIF(Candidates!$A$2:$A$2000,$A1948))</f>
        <v/>
      </c>
      <c r="V1948" s="64" t="str">
        <f>IFERROR(__xludf.DUMMYFUNCTION("IF($A1948="""","""",IFERROR(INDEX(FILTER(Candidates!$S$2:$S$2000,Candidates!$A$2:$A$2000=$A1948),COUNTIF(Candidates!$A$2:$A$2000,$A1948)),""""))"),"")</f>
        <v/>
      </c>
      <c r="W1948" s="64" t="str">
        <f>IFERROR(__xludf.DUMMYFUNCTION("IF($A1948="""","""",IFERROR(INDEX(FILTER(Candidates!$T$2:$T$2000,Candidates!$A$2:$A$2000=$A1948),COUNTIF(Candidates!$A$2:$A$2000,$A1948)),""""))"),"")</f>
        <v/>
      </c>
      <c r="X1948" s="64"/>
      <c r="Y1948" s="64"/>
      <c r="Z1948" s="65"/>
      <c r="AA1948" s="65"/>
      <c r="AB1948" s="65"/>
      <c r="AC1948" s="65"/>
    </row>
    <row r="1949">
      <c r="A1949" s="64"/>
      <c r="B1949" s="64"/>
      <c r="C1949" s="64"/>
      <c r="D1949" s="64"/>
      <c r="E1949" s="64"/>
      <c r="F1949" s="64"/>
      <c r="G1949" s="64"/>
      <c r="H1949" s="63"/>
      <c r="I1949" s="64"/>
      <c r="J1949" s="64"/>
      <c r="K1949" s="64"/>
      <c r="L1949" s="64"/>
      <c r="M1949" s="64"/>
      <c r="N1949" s="64"/>
      <c r="O1949" s="64"/>
      <c r="P1949" s="64"/>
      <c r="Q1949" s="64"/>
      <c r="R1949" s="65" t="str">
        <f>IF($A1949="","",IFERROR(MINIFS(Candidates!$K$2:$K$2000,Candidates!$A$2:$A$2000,$A1949),""))</f>
        <v/>
      </c>
      <c r="S1949" s="65" t="str">
        <f>IF($A1949="","",IFERROR(MAXIFS(Candidates!$AA$2:$AA$2000,Candidates!$A$2:$A$2000,$A1949),""))</f>
        <v/>
      </c>
      <c r="T1949" s="64" t="str">
        <f>IFERROR(__xludf.DUMMYFUNCTION("IF($A1949="""","""",IFERROR(TEXTJOIN("", "",TRUE,UNIQUE(FILTER(Candidates!$B$2:$B$2000,Candidates!$A$2:$A$2000=$A1949))),""""))"),"")</f>
        <v/>
      </c>
      <c r="U1949" s="66" t="str">
        <f>IF($A1949="","",COUNTIF(Candidates!$A$2:$A$2000,$A1949))</f>
        <v/>
      </c>
      <c r="V1949" s="64" t="str">
        <f>IFERROR(__xludf.DUMMYFUNCTION("IF($A1949="""","""",IFERROR(INDEX(FILTER(Candidates!$S$2:$S$2000,Candidates!$A$2:$A$2000=$A1949),COUNTIF(Candidates!$A$2:$A$2000,$A1949)),""""))"),"")</f>
        <v/>
      </c>
      <c r="W1949" s="64" t="str">
        <f>IFERROR(__xludf.DUMMYFUNCTION("IF($A1949="""","""",IFERROR(INDEX(FILTER(Candidates!$T$2:$T$2000,Candidates!$A$2:$A$2000=$A1949),COUNTIF(Candidates!$A$2:$A$2000,$A1949)),""""))"),"")</f>
        <v/>
      </c>
      <c r="X1949" s="64"/>
      <c r="Y1949" s="64"/>
      <c r="Z1949" s="65"/>
      <c r="AA1949" s="65"/>
      <c r="AB1949" s="65"/>
      <c r="AC1949" s="65"/>
    </row>
    <row r="1950">
      <c r="A1950" s="64"/>
      <c r="B1950" s="64"/>
      <c r="C1950" s="64"/>
      <c r="D1950" s="64"/>
      <c r="E1950" s="64"/>
      <c r="F1950" s="64"/>
      <c r="G1950" s="64"/>
      <c r="H1950" s="63"/>
      <c r="I1950" s="64"/>
      <c r="J1950" s="64"/>
      <c r="K1950" s="64"/>
      <c r="L1950" s="64"/>
      <c r="M1950" s="64"/>
      <c r="N1950" s="64"/>
      <c r="O1950" s="64"/>
      <c r="P1950" s="64"/>
      <c r="Q1950" s="64"/>
      <c r="R1950" s="65" t="str">
        <f>IF($A1950="","",IFERROR(MINIFS(Candidates!$K$2:$K$2000,Candidates!$A$2:$A$2000,$A1950),""))</f>
        <v/>
      </c>
      <c r="S1950" s="65" t="str">
        <f>IF($A1950="","",IFERROR(MAXIFS(Candidates!$AA$2:$AA$2000,Candidates!$A$2:$A$2000,$A1950),""))</f>
        <v/>
      </c>
      <c r="T1950" s="64" t="str">
        <f>IFERROR(__xludf.DUMMYFUNCTION("IF($A1950="""","""",IFERROR(TEXTJOIN("", "",TRUE,UNIQUE(FILTER(Candidates!$B$2:$B$2000,Candidates!$A$2:$A$2000=$A1950))),""""))"),"")</f>
        <v/>
      </c>
      <c r="U1950" s="66" t="str">
        <f>IF($A1950="","",COUNTIF(Candidates!$A$2:$A$2000,$A1950))</f>
        <v/>
      </c>
      <c r="V1950" s="64" t="str">
        <f>IFERROR(__xludf.DUMMYFUNCTION("IF($A1950="""","""",IFERROR(INDEX(FILTER(Candidates!$S$2:$S$2000,Candidates!$A$2:$A$2000=$A1950),COUNTIF(Candidates!$A$2:$A$2000,$A1950)),""""))"),"")</f>
        <v/>
      </c>
      <c r="W1950" s="64" t="str">
        <f>IFERROR(__xludf.DUMMYFUNCTION("IF($A1950="""","""",IFERROR(INDEX(FILTER(Candidates!$T$2:$T$2000,Candidates!$A$2:$A$2000=$A1950),COUNTIF(Candidates!$A$2:$A$2000,$A1950)),""""))"),"")</f>
        <v/>
      </c>
      <c r="X1950" s="64"/>
      <c r="Y1950" s="64"/>
      <c r="Z1950" s="65"/>
      <c r="AA1950" s="65"/>
      <c r="AB1950" s="65"/>
      <c r="AC1950" s="65"/>
    </row>
    <row r="1951">
      <c r="A1951" s="64"/>
      <c r="B1951" s="64"/>
      <c r="C1951" s="64"/>
      <c r="D1951" s="64"/>
      <c r="E1951" s="64"/>
      <c r="F1951" s="64"/>
      <c r="G1951" s="64"/>
      <c r="H1951" s="63"/>
      <c r="I1951" s="64"/>
      <c r="J1951" s="64"/>
      <c r="K1951" s="64"/>
      <c r="L1951" s="64"/>
      <c r="M1951" s="64"/>
      <c r="N1951" s="64"/>
      <c r="O1951" s="64"/>
      <c r="P1951" s="64"/>
      <c r="Q1951" s="64"/>
      <c r="R1951" s="65" t="str">
        <f>IF($A1951="","",IFERROR(MINIFS(Candidates!$K$2:$K$2000,Candidates!$A$2:$A$2000,$A1951),""))</f>
        <v/>
      </c>
      <c r="S1951" s="65" t="str">
        <f>IF($A1951="","",IFERROR(MAXIFS(Candidates!$AA$2:$AA$2000,Candidates!$A$2:$A$2000,$A1951),""))</f>
        <v/>
      </c>
      <c r="T1951" s="64" t="str">
        <f>IFERROR(__xludf.DUMMYFUNCTION("IF($A1951="""","""",IFERROR(TEXTJOIN("", "",TRUE,UNIQUE(FILTER(Candidates!$B$2:$B$2000,Candidates!$A$2:$A$2000=$A1951))),""""))"),"")</f>
        <v/>
      </c>
      <c r="U1951" s="66" t="str">
        <f>IF($A1951="","",COUNTIF(Candidates!$A$2:$A$2000,$A1951))</f>
        <v/>
      </c>
      <c r="V1951" s="64" t="str">
        <f>IFERROR(__xludf.DUMMYFUNCTION("IF($A1951="""","""",IFERROR(INDEX(FILTER(Candidates!$S$2:$S$2000,Candidates!$A$2:$A$2000=$A1951),COUNTIF(Candidates!$A$2:$A$2000,$A1951)),""""))"),"")</f>
        <v/>
      </c>
      <c r="W1951" s="64" t="str">
        <f>IFERROR(__xludf.DUMMYFUNCTION("IF($A1951="""","""",IFERROR(INDEX(FILTER(Candidates!$T$2:$T$2000,Candidates!$A$2:$A$2000=$A1951),COUNTIF(Candidates!$A$2:$A$2000,$A1951)),""""))"),"")</f>
        <v/>
      </c>
      <c r="X1951" s="64"/>
      <c r="Y1951" s="64"/>
      <c r="Z1951" s="65"/>
      <c r="AA1951" s="65"/>
      <c r="AB1951" s="65"/>
      <c r="AC1951" s="65"/>
    </row>
    <row r="1952">
      <c r="A1952" s="64"/>
      <c r="B1952" s="64"/>
      <c r="C1952" s="64"/>
      <c r="D1952" s="64"/>
      <c r="E1952" s="64"/>
      <c r="F1952" s="64"/>
      <c r="G1952" s="64"/>
      <c r="H1952" s="63"/>
      <c r="I1952" s="64"/>
      <c r="J1952" s="64"/>
      <c r="K1952" s="64"/>
      <c r="L1952" s="64"/>
      <c r="M1952" s="64"/>
      <c r="N1952" s="64"/>
      <c r="O1952" s="64"/>
      <c r="P1952" s="64"/>
      <c r="Q1952" s="64"/>
      <c r="R1952" s="65" t="str">
        <f>IF($A1952="","",IFERROR(MINIFS(Candidates!$K$2:$K$2000,Candidates!$A$2:$A$2000,$A1952),""))</f>
        <v/>
      </c>
      <c r="S1952" s="65" t="str">
        <f>IF($A1952="","",IFERROR(MAXIFS(Candidates!$AA$2:$AA$2000,Candidates!$A$2:$A$2000,$A1952),""))</f>
        <v/>
      </c>
      <c r="T1952" s="64" t="str">
        <f>IFERROR(__xludf.DUMMYFUNCTION("IF($A1952="""","""",IFERROR(TEXTJOIN("", "",TRUE,UNIQUE(FILTER(Candidates!$B$2:$B$2000,Candidates!$A$2:$A$2000=$A1952))),""""))"),"")</f>
        <v/>
      </c>
      <c r="U1952" s="66" t="str">
        <f>IF($A1952="","",COUNTIF(Candidates!$A$2:$A$2000,$A1952))</f>
        <v/>
      </c>
      <c r="V1952" s="64" t="str">
        <f>IFERROR(__xludf.DUMMYFUNCTION("IF($A1952="""","""",IFERROR(INDEX(FILTER(Candidates!$S$2:$S$2000,Candidates!$A$2:$A$2000=$A1952),COUNTIF(Candidates!$A$2:$A$2000,$A1952)),""""))"),"")</f>
        <v/>
      </c>
      <c r="W1952" s="64" t="str">
        <f>IFERROR(__xludf.DUMMYFUNCTION("IF($A1952="""","""",IFERROR(INDEX(FILTER(Candidates!$T$2:$T$2000,Candidates!$A$2:$A$2000=$A1952),COUNTIF(Candidates!$A$2:$A$2000,$A1952)),""""))"),"")</f>
        <v/>
      </c>
      <c r="X1952" s="64"/>
      <c r="Y1952" s="64"/>
      <c r="Z1952" s="65"/>
      <c r="AA1952" s="65"/>
      <c r="AB1952" s="65"/>
      <c r="AC1952" s="65"/>
    </row>
    <row r="1953">
      <c r="A1953" s="64"/>
      <c r="B1953" s="64"/>
      <c r="C1953" s="64"/>
      <c r="D1953" s="64"/>
      <c r="E1953" s="64"/>
      <c r="F1953" s="64"/>
      <c r="G1953" s="64"/>
      <c r="H1953" s="63"/>
      <c r="I1953" s="64"/>
      <c r="J1953" s="64"/>
      <c r="K1953" s="64"/>
      <c r="L1953" s="64"/>
      <c r="M1953" s="64"/>
      <c r="N1953" s="64"/>
      <c r="O1953" s="64"/>
      <c r="P1953" s="64"/>
      <c r="Q1953" s="64"/>
      <c r="R1953" s="65" t="str">
        <f>IF($A1953="","",IFERROR(MINIFS(Candidates!$K$2:$K$2000,Candidates!$A$2:$A$2000,$A1953),""))</f>
        <v/>
      </c>
      <c r="S1953" s="65" t="str">
        <f>IF($A1953="","",IFERROR(MAXIFS(Candidates!$AA$2:$AA$2000,Candidates!$A$2:$A$2000,$A1953),""))</f>
        <v/>
      </c>
      <c r="T1953" s="64" t="str">
        <f>IFERROR(__xludf.DUMMYFUNCTION("IF($A1953="""","""",IFERROR(TEXTJOIN("", "",TRUE,UNIQUE(FILTER(Candidates!$B$2:$B$2000,Candidates!$A$2:$A$2000=$A1953))),""""))"),"")</f>
        <v/>
      </c>
      <c r="U1953" s="66" t="str">
        <f>IF($A1953="","",COUNTIF(Candidates!$A$2:$A$2000,$A1953))</f>
        <v/>
      </c>
      <c r="V1953" s="64" t="str">
        <f>IFERROR(__xludf.DUMMYFUNCTION("IF($A1953="""","""",IFERROR(INDEX(FILTER(Candidates!$S$2:$S$2000,Candidates!$A$2:$A$2000=$A1953),COUNTIF(Candidates!$A$2:$A$2000,$A1953)),""""))"),"")</f>
        <v/>
      </c>
      <c r="W1953" s="64" t="str">
        <f>IFERROR(__xludf.DUMMYFUNCTION("IF($A1953="""","""",IFERROR(INDEX(FILTER(Candidates!$T$2:$T$2000,Candidates!$A$2:$A$2000=$A1953),COUNTIF(Candidates!$A$2:$A$2000,$A1953)),""""))"),"")</f>
        <v/>
      </c>
      <c r="X1953" s="64"/>
      <c r="Y1953" s="64"/>
      <c r="Z1953" s="65"/>
      <c r="AA1953" s="65"/>
      <c r="AB1953" s="65"/>
      <c r="AC1953" s="65"/>
    </row>
    <row r="1954">
      <c r="A1954" s="64"/>
      <c r="B1954" s="64"/>
      <c r="C1954" s="64"/>
      <c r="D1954" s="64"/>
      <c r="E1954" s="64"/>
      <c r="F1954" s="64"/>
      <c r="G1954" s="64"/>
      <c r="H1954" s="63"/>
      <c r="I1954" s="64"/>
      <c r="J1954" s="64"/>
      <c r="K1954" s="64"/>
      <c r="L1954" s="64"/>
      <c r="M1954" s="64"/>
      <c r="N1954" s="64"/>
      <c r="O1954" s="64"/>
      <c r="P1954" s="64"/>
      <c r="Q1954" s="64"/>
      <c r="R1954" s="65" t="str">
        <f>IF($A1954="","",IFERROR(MINIFS(Candidates!$K$2:$K$2000,Candidates!$A$2:$A$2000,$A1954),""))</f>
        <v/>
      </c>
      <c r="S1954" s="65" t="str">
        <f>IF($A1954="","",IFERROR(MAXIFS(Candidates!$AA$2:$AA$2000,Candidates!$A$2:$A$2000,$A1954),""))</f>
        <v/>
      </c>
      <c r="T1954" s="64" t="str">
        <f>IFERROR(__xludf.DUMMYFUNCTION("IF($A1954="""","""",IFERROR(TEXTJOIN("", "",TRUE,UNIQUE(FILTER(Candidates!$B$2:$B$2000,Candidates!$A$2:$A$2000=$A1954))),""""))"),"")</f>
        <v/>
      </c>
      <c r="U1954" s="66" t="str">
        <f>IF($A1954="","",COUNTIF(Candidates!$A$2:$A$2000,$A1954))</f>
        <v/>
      </c>
      <c r="V1954" s="64" t="str">
        <f>IFERROR(__xludf.DUMMYFUNCTION("IF($A1954="""","""",IFERROR(INDEX(FILTER(Candidates!$S$2:$S$2000,Candidates!$A$2:$A$2000=$A1954),COUNTIF(Candidates!$A$2:$A$2000,$A1954)),""""))"),"")</f>
        <v/>
      </c>
      <c r="W1954" s="64" t="str">
        <f>IFERROR(__xludf.DUMMYFUNCTION("IF($A1954="""","""",IFERROR(INDEX(FILTER(Candidates!$T$2:$T$2000,Candidates!$A$2:$A$2000=$A1954),COUNTIF(Candidates!$A$2:$A$2000,$A1954)),""""))"),"")</f>
        <v/>
      </c>
      <c r="X1954" s="64"/>
      <c r="Y1954" s="64"/>
      <c r="Z1954" s="65"/>
      <c r="AA1954" s="65"/>
      <c r="AB1954" s="65"/>
      <c r="AC1954" s="65"/>
    </row>
    <row r="1955">
      <c r="A1955" s="64"/>
      <c r="B1955" s="64"/>
      <c r="C1955" s="64"/>
      <c r="D1955" s="64"/>
      <c r="E1955" s="64"/>
      <c r="F1955" s="64"/>
      <c r="G1955" s="64"/>
      <c r="H1955" s="63"/>
      <c r="I1955" s="64"/>
      <c r="J1955" s="64"/>
      <c r="K1955" s="64"/>
      <c r="L1955" s="64"/>
      <c r="M1955" s="64"/>
      <c r="N1955" s="64"/>
      <c r="O1955" s="64"/>
      <c r="P1955" s="64"/>
      <c r="Q1955" s="64"/>
      <c r="R1955" s="65" t="str">
        <f>IF($A1955="","",IFERROR(MINIFS(Candidates!$K$2:$K$2000,Candidates!$A$2:$A$2000,$A1955),""))</f>
        <v/>
      </c>
      <c r="S1955" s="65" t="str">
        <f>IF($A1955="","",IFERROR(MAXIFS(Candidates!$AA$2:$AA$2000,Candidates!$A$2:$A$2000,$A1955),""))</f>
        <v/>
      </c>
      <c r="T1955" s="64" t="str">
        <f>IFERROR(__xludf.DUMMYFUNCTION("IF($A1955="""","""",IFERROR(TEXTJOIN("", "",TRUE,UNIQUE(FILTER(Candidates!$B$2:$B$2000,Candidates!$A$2:$A$2000=$A1955))),""""))"),"")</f>
        <v/>
      </c>
      <c r="U1955" s="66" t="str">
        <f>IF($A1955="","",COUNTIF(Candidates!$A$2:$A$2000,$A1955))</f>
        <v/>
      </c>
      <c r="V1955" s="64" t="str">
        <f>IFERROR(__xludf.DUMMYFUNCTION("IF($A1955="""","""",IFERROR(INDEX(FILTER(Candidates!$S$2:$S$2000,Candidates!$A$2:$A$2000=$A1955),COUNTIF(Candidates!$A$2:$A$2000,$A1955)),""""))"),"")</f>
        <v/>
      </c>
      <c r="W1955" s="64" t="str">
        <f>IFERROR(__xludf.DUMMYFUNCTION("IF($A1955="""","""",IFERROR(INDEX(FILTER(Candidates!$T$2:$T$2000,Candidates!$A$2:$A$2000=$A1955),COUNTIF(Candidates!$A$2:$A$2000,$A1955)),""""))"),"")</f>
        <v/>
      </c>
      <c r="X1955" s="64"/>
      <c r="Y1955" s="64"/>
      <c r="Z1955" s="65"/>
      <c r="AA1955" s="65"/>
      <c r="AB1955" s="65"/>
      <c r="AC1955" s="65"/>
    </row>
    <row r="1956">
      <c r="A1956" s="64"/>
      <c r="B1956" s="64"/>
      <c r="C1956" s="64"/>
      <c r="D1956" s="64"/>
      <c r="E1956" s="64"/>
      <c r="F1956" s="64"/>
      <c r="G1956" s="64"/>
      <c r="H1956" s="63"/>
      <c r="I1956" s="64"/>
      <c r="J1956" s="64"/>
      <c r="K1956" s="64"/>
      <c r="L1956" s="64"/>
      <c r="M1956" s="64"/>
      <c r="N1956" s="64"/>
      <c r="O1956" s="64"/>
      <c r="P1956" s="64"/>
      <c r="Q1956" s="64"/>
      <c r="R1956" s="65" t="str">
        <f>IF($A1956="","",IFERROR(MINIFS(Candidates!$K$2:$K$2000,Candidates!$A$2:$A$2000,$A1956),""))</f>
        <v/>
      </c>
      <c r="S1956" s="65" t="str">
        <f>IF($A1956="","",IFERROR(MAXIFS(Candidates!$AA$2:$AA$2000,Candidates!$A$2:$A$2000,$A1956),""))</f>
        <v/>
      </c>
      <c r="T1956" s="64" t="str">
        <f>IFERROR(__xludf.DUMMYFUNCTION("IF($A1956="""","""",IFERROR(TEXTJOIN("", "",TRUE,UNIQUE(FILTER(Candidates!$B$2:$B$2000,Candidates!$A$2:$A$2000=$A1956))),""""))"),"")</f>
        <v/>
      </c>
      <c r="U1956" s="66" t="str">
        <f>IF($A1956="","",COUNTIF(Candidates!$A$2:$A$2000,$A1956))</f>
        <v/>
      </c>
      <c r="V1956" s="64" t="str">
        <f>IFERROR(__xludf.DUMMYFUNCTION("IF($A1956="""","""",IFERROR(INDEX(FILTER(Candidates!$S$2:$S$2000,Candidates!$A$2:$A$2000=$A1956),COUNTIF(Candidates!$A$2:$A$2000,$A1956)),""""))"),"")</f>
        <v/>
      </c>
      <c r="W1956" s="64" t="str">
        <f>IFERROR(__xludf.DUMMYFUNCTION("IF($A1956="""","""",IFERROR(INDEX(FILTER(Candidates!$T$2:$T$2000,Candidates!$A$2:$A$2000=$A1956),COUNTIF(Candidates!$A$2:$A$2000,$A1956)),""""))"),"")</f>
        <v/>
      </c>
      <c r="X1956" s="64"/>
      <c r="Y1956" s="64"/>
      <c r="Z1956" s="65"/>
      <c r="AA1956" s="65"/>
      <c r="AB1956" s="65"/>
      <c r="AC1956" s="65"/>
    </row>
    <row r="1957">
      <c r="A1957" s="64"/>
      <c r="B1957" s="64"/>
      <c r="C1957" s="64"/>
      <c r="D1957" s="64"/>
      <c r="E1957" s="64"/>
      <c r="F1957" s="64"/>
      <c r="G1957" s="64"/>
      <c r="H1957" s="63"/>
      <c r="I1957" s="64"/>
      <c r="J1957" s="64"/>
      <c r="K1957" s="64"/>
      <c r="L1957" s="64"/>
      <c r="M1957" s="64"/>
      <c r="N1957" s="64"/>
      <c r="O1957" s="64"/>
      <c r="P1957" s="64"/>
      <c r="Q1957" s="64"/>
      <c r="R1957" s="65" t="str">
        <f>IF($A1957="","",IFERROR(MINIFS(Candidates!$K$2:$K$2000,Candidates!$A$2:$A$2000,$A1957),""))</f>
        <v/>
      </c>
      <c r="S1957" s="65" t="str">
        <f>IF($A1957="","",IFERROR(MAXIFS(Candidates!$AA$2:$AA$2000,Candidates!$A$2:$A$2000,$A1957),""))</f>
        <v/>
      </c>
      <c r="T1957" s="64" t="str">
        <f>IFERROR(__xludf.DUMMYFUNCTION("IF($A1957="""","""",IFERROR(TEXTJOIN("", "",TRUE,UNIQUE(FILTER(Candidates!$B$2:$B$2000,Candidates!$A$2:$A$2000=$A1957))),""""))"),"")</f>
        <v/>
      </c>
      <c r="U1957" s="66" t="str">
        <f>IF($A1957="","",COUNTIF(Candidates!$A$2:$A$2000,$A1957))</f>
        <v/>
      </c>
      <c r="V1957" s="64" t="str">
        <f>IFERROR(__xludf.DUMMYFUNCTION("IF($A1957="""","""",IFERROR(INDEX(FILTER(Candidates!$S$2:$S$2000,Candidates!$A$2:$A$2000=$A1957),COUNTIF(Candidates!$A$2:$A$2000,$A1957)),""""))"),"")</f>
        <v/>
      </c>
      <c r="W1957" s="64" t="str">
        <f>IFERROR(__xludf.DUMMYFUNCTION("IF($A1957="""","""",IFERROR(INDEX(FILTER(Candidates!$T$2:$T$2000,Candidates!$A$2:$A$2000=$A1957),COUNTIF(Candidates!$A$2:$A$2000,$A1957)),""""))"),"")</f>
        <v/>
      </c>
      <c r="X1957" s="64"/>
      <c r="Y1957" s="64"/>
      <c r="Z1957" s="65"/>
      <c r="AA1957" s="65"/>
      <c r="AB1957" s="65"/>
      <c r="AC1957" s="65"/>
    </row>
    <row r="1958">
      <c r="A1958" s="64"/>
      <c r="B1958" s="64"/>
      <c r="C1958" s="64"/>
      <c r="D1958" s="64"/>
      <c r="E1958" s="64"/>
      <c r="F1958" s="64"/>
      <c r="G1958" s="64"/>
      <c r="H1958" s="63"/>
      <c r="I1958" s="64"/>
      <c r="J1958" s="64"/>
      <c r="K1958" s="64"/>
      <c r="L1958" s="64"/>
      <c r="M1958" s="64"/>
      <c r="N1958" s="64"/>
      <c r="O1958" s="64"/>
      <c r="P1958" s="64"/>
      <c r="Q1958" s="64"/>
      <c r="R1958" s="65" t="str">
        <f>IF($A1958="","",IFERROR(MINIFS(Candidates!$K$2:$K$2000,Candidates!$A$2:$A$2000,$A1958),""))</f>
        <v/>
      </c>
      <c r="S1958" s="65" t="str">
        <f>IF($A1958="","",IFERROR(MAXIFS(Candidates!$AA$2:$AA$2000,Candidates!$A$2:$A$2000,$A1958),""))</f>
        <v/>
      </c>
      <c r="T1958" s="64" t="str">
        <f>IFERROR(__xludf.DUMMYFUNCTION("IF($A1958="""","""",IFERROR(TEXTJOIN("", "",TRUE,UNIQUE(FILTER(Candidates!$B$2:$B$2000,Candidates!$A$2:$A$2000=$A1958))),""""))"),"")</f>
        <v/>
      </c>
      <c r="U1958" s="66" t="str">
        <f>IF($A1958="","",COUNTIF(Candidates!$A$2:$A$2000,$A1958))</f>
        <v/>
      </c>
      <c r="V1958" s="64" t="str">
        <f>IFERROR(__xludf.DUMMYFUNCTION("IF($A1958="""","""",IFERROR(INDEX(FILTER(Candidates!$S$2:$S$2000,Candidates!$A$2:$A$2000=$A1958),COUNTIF(Candidates!$A$2:$A$2000,$A1958)),""""))"),"")</f>
        <v/>
      </c>
      <c r="W1958" s="64" t="str">
        <f>IFERROR(__xludf.DUMMYFUNCTION("IF($A1958="""","""",IFERROR(INDEX(FILTER(Candidates!$T$2:$T$2000,Candidates!$A$2:$A$2000=$A1958),COUNTIF(Candidates!$A$2:$A$2000,$A1958)),""""))"),"")</f>
        <v/>
      </c>
      <c r="X1958" s="64"/>
      <c r="Y1958" s="64"/>
      <c r="Z1958" s="65"/>
      <c r="AA1958" s="65"/>
      <c r="AB1958" s="65"/>
      <c r="AC1958" s="65"/>
    </row>
    <row r="1959">
      <c r="A1959" s="64"/>
      <c r="B1959" s="64"/>
      <c r="C1959" s="64"/>
      <c r="D1959" s="64"/>
      <c r="E1959" s="64"/>
      <c r="F1959" s="64"/>
      <c r="G1959" s="64"/>
      <c r="H1959" s="63"/>
      <c r="I1959" s="64"/>
      <c r="J1959" s="64"/>
      <c r="K1959" s="64"/>
      <c r="L1959" s="64"/>
      <c r="M1959" s="64"/>
      <c r="N1959" s="64"/>
      <c r="O1959" s="64"/>
      <c r="P1959" s="64"/>
      <c r="Q1959" s="64"/>
      <c r="R1959" s="65" t="str">
        <f>IF($A1959="","",IFERROR(MINIFS(Candidates!$K$2:$K$2000,Candidates!$A$2:$A$2000,$A1959),""))</f>
        <v/>
      </c>
      <c r="S1959" s="65" t="str">
        <f>IF($A1959="","",IFERROR(MAXIFS(Candidates!$AA$2:$AA$2000,Candidates!$A$2:$A$2000,$A1959),""))</f>
        <v/>
      </c>
      <c r="T1959" s="64" t="str">
        <f>IFERROR(__xludf.DUMMYFUNCTION("IF($A1959="""","""",IFERROR(TEXTJOIN("", "",TRUE,UNIQUE(FILTER(Candidates!$B$2:$B$2000,Candidates!$A$2:$A$2000=$A1959))),""""))"),"")</f>
        <v/>
      </c>
      <c r="U1959" s="66" t="str">
        <f>IF($A1959="","",COUNTIF(Candidates!$A$2:$A$2000,$A1959))</f>
        <v/>
      </c>
      <c r="V1959" s="64" t="str">
        <f>IFERROR(__xludf.DUMMYFUNCTION("IF($A1959="""","""",IFERROR(INDEX(FILTER(Candidates!$S$2:$S$2000,Candidates!$A$2:$A$2000=$A1959),COUNTIF(Candidates!$A$2:$A$2000,$A1959)),""""))"),"")</f>
        <v/>
      </c>
      <c r="W1959" s="64" t="str">
        <f>IFERROR(__xludf.DUMMYFUNCTION("IF($A1959="""","""",IFERROR(INDEX(FILTER(Candidates!$T$2:$T$2000,Candidates!$A$2:$A$2000=$A1959),COUNTIF(Candidates!$A$2:$A$2000,$A1959)),""""))"),"")</f>
        <v/>
      </c>
      <c r="X1959" s="64"/>
      <c r="Y1959" s="64"/>
      <c r="Z1959" s="65"/>
      <c r="AA1959" s="65"/>
      <c r="AB1959" s="65"/>
      <c r="AC1959" s="65"/>
    </row>
    <row r="1960">
      <c r="A1960" s="64"/>
      <c r="B1960" s="64"/>
      <c r="C1960" s="64"/>
      <c r="D1960" s="64"/>
      <c r="E1960" s="64"/>
      <c r="F1960" s="64"/>
      <c r="G1960" s="64"/>
      <c r="H1960" s="63"/>
      <c r="I1960" s="64"/>
      <c r="J1960" s="64"/>
      <c r="K1960" s="64"/>
      <c r="L1960" s="64"/>
      <c r="M1960" s="64"/>
      <c r="N1960" s="64"/>
      <c r="O1960" s="64"/>
      <c r="P1960" s="64"/>
      <c r="Q1960" s="64"/>
      <c r="R1960" s="65" t="str">
        <f>IF($A1960="","",IFERROR(MINIFS(Candidates!$K$2:$K$2000,Candidates!$A$2:$A$2000,$A1960),""))</f>
        <v/>
      </c>
      <c r="S1960" s="65" t="str">
        <f>IF($A1960="","",IFERROR(MAXIFS(Candidates!$AA$2:$AA$2000,Candidates!$A$2:$A$2000,$A1960),""))</f>
        <v/>
      </c>
      <c r="T1960" s="64" t="str">
        <f>IFERROR(__xludf.DUMMYFUNCTION("IF($A1960="""","""",IFERROR(TEXTJOIN("", "",TRUE,UNIQUE(FILTER(Candidates!$B$2:$B$2000,Candidates!$A$2:$A$2000=$A1960))),""""))"),"")</f>
        <v/>
      </c>
      <c r="U1960" s="66" t="str">
        <f>IF($A1960="","",COUNTIF(Candidates!$A$2:$A$2000,$A1960))</f>
        <v/>
      </c>
      <c r="V1960" s="64" t="str">
        <f>IFERROR(__xludf.DUMMYFUNCTION("IF($A1960="""","""",IFERROR(INDEX(FILTER(Candidates!$S$2:$S$2000,Candidates!$A$2:$A$2000=$A1960),COUNTIF(Candidates!$A$2:$A$2000,$A1960)),""""))"),"")</f>
        <v/>
      </c>
      <c r="W1960" s="64" t="str">
        <f>IFERROR(__xludf.DUMMYFUNCTION("IF($A1960="""","""",IFERROR(INDEX(FILTER(Candidates!$T$2:$T$2000,Candidates!$A$2:$A$2000=$A1960),COUNTIF(Candidates!$A$2:$A$2000,$A1960)),""""))"),"")</f>
        <v/>
      </c>
      <c r="X1960" s="64"/>
      <c r="Y1960" s="64"/>
      <c r="Z1960" s="65"/>
      <c r="AA1960" s="65"/>
      <c r="AB1960" s="65"/>
      <c r="AC1960" s="65"/>
    </row>
    <row r="1961">
      <c r="A1961" s="64"/>
      <c r="B1961" s="64"/>
      <c r="C1961" s="64"/>
      <c r="D1961" s="64"/>
      <c r="E1961" s="64"/>
      <c r="F1961" s="64"/>
      <c r="G1961" s="64"/>
      <c r="H1961" s="63"/>
      <c r="I1961" s="64"/>
      <c r="J1961" s="64"/>
      <c r="K1961" s="64"/>
      <c r="L1961" s="64"/>
      <c r="M1961" s="64"/>
      <c r="N1961" s="64"/>
      <c r="O1961" s="64"/>
      <c r="P1961" s="64"/>
      <c r="Q1961" s="64"/>
      <c r="R1961" s="65" t="str">
        <f>IF($A1961="","",IFERROR(MINIFS(Candidates!$K$2:$K$2000,Candidates!$A$2:$A$2000,$A1961),""))</f>
        <v/>
      </c>
      <c r="S1961" s="65" t="str">
        <f>IF($A1961="","",IFERROR(MAXIFS(Candidates!$AA$2:$AA$2000,Candidates!$A$2:$A$2000,$A1961),""))</f>
        <v/>
      </c>
      <c r="T1961" s="64" t="str">
        <f>IFERROR(__xludf.DUMMYFUNCTION("IF($A1961="""","""",IFERROR(TEXTJOIN("", "",TRUE,UNIQUE(FILTER(Candidates!$B$2:$B$2000,Candidates!$A$2:$A$2000=$A1961))),""""))"),"")</f>
        <v/>
      </c>
      <c r="U1961" s="66" t="str">
        <f>IF($A1961="","",COUNTIF(Candidates!$A$2:$A$2000,$A1961))</f>
        <v/>
      </c>
      <c r="V1961" s="64" t="str">
        <f>IFERROR(__xludf.DUMMYFUNCTION("IF($A1961="""","""",IFERROR(INDEX(FILTER(Candidates!$S$2:$S$2000,Candidates!$A$2:$A$2000=$A1961),COUNTIF(Candidates!$A$2:$A$2000,$A1961)),""""))"),"")</f>
        <v/>
      </c>
      <c r="W1961" s="64" t="str">
        <f>IFERROR(__xludf.DUMMYFUNCTION("IF($A1961="""","""",IFERROR(INDEX(FILTER(Candidates!$T$2:$T$2000,Candidates!$A$2:$A$2000=$A1961),COUNTIF(Candidates!$A$2:$A$2000,$A1961)),""""))"),"")</f>
        <v/>
      </c>
      <c r="X1961" s="64"/>
      <c r="Y1961" s="64"/>
      <c r="Z1961" s="65"/>
      <c r="AA1961" s="65"/>
      <c r="AB1961" s="65"/>
      <c r="AC1961" s="65"/>
    </row>
    <row r="1962">
      <c r="A1962" s="64"/>
      <c r="B1962" s="64"/>
      <c r="C1962" s="64"/>
      <c r="D1962" s="64"/>
      <c r="E1962" s="64"/>
      <c r="F1962" s="64"/>
      <c r="G1962" s="64"/>
      <c r="H1962" s="63"/>
      <c r="I1962" s="64"/>
      <c r="J1962" s="64"/>
      <c r="K1962" s="64"/>
      <c r="L1962" s="64"/>
      <c r="M1962" s="64"/>
      <c r="N1962" s="64"/>
      <c r="O1962" s="64"/>
      <c r="P1962" s="64"/>
      <c r="Q1962" s="64"/>
      <c r="R1962" s="65" t="str">
        <f>IF($A1962="","",IFERROR(MINIFS(Candidates!$K$2:$K$2000,Candidates!$A$2:$A$2000,$A1962),""))</f>
        <v/>
      </c>
      <c r="S1962" s="65" t="str">
        <f>IF($A1962="","",IFERROR(MAXIFS(Candidates!$AA$2:$AA$2000,Candidates!$A$2:$A$2000,$A1962),""))</f>
        <v/>
      </c>
      <c r="T1962" s="64" t="str">
        <f>IFERROR(__xludf.DUMMYFUNCTION("IF($A1962="""","""",IFERROR(TEXTJOIN("", "",TRUE,UNIQUE(FILTER(Candidates!$B$2:$B$2000,Candidates!$A$2:$A$2000=$A1962))),""""))"),"")</f>
        <v/>
      </c>
      <c r="U1962" s="66" t="str">
        <f>IF($A1962="","",COUNTIF(Candidates!$A$2:$A$2000,$A1962))</f>
        <v/>
      </c>
      <c r="V1962" s="64" t="str">
        <f>IFERROR(__xludf.DUMMYFUNCTION("IF($A1962="""","""",IFERROR(INDEX(FILTER(Candidates!$S$2:$S$2000,Candidates!$A$2:$A$2000=$A1962),COUNTIF(Candidates!$A$2:$A$2000,$A1962)),""""))"),"")</f>
        <v/>
      </c>
      <c r="W1962" s="64" t="str">
        <f>IFERROR(__xludf.DUMMYFUNCTION("IF($A1962="""","""",IFERROR(INDEX(FILTER(Candidates!$T$2:$T$2000,Candidates!$A$2:$A$2000=$A1962),COUNTIF(Candidates!$A$2:$A$2000,$A1962)),""""))"),"")</f>
        <v/>
      </c>
      <c r="X1962" s="64"/>
      <c r="Y1962" s="64"/>
      <c r="Z1962" s="65"/>
      <c r="AA1962" s="65"/>
      <c r="AB1962" s="65"/>
      <c r="AC1962" s="65"/>
    </row>
    <row r="1963">
      <c r="A1963" s="64"/>
      <c r="B1963" s="64"/>
      <c r="C1963" s="64"/>
      <c r="D1963" s="64"/>
      <c r="E1963" s="64"/>
      <c r="F1963" s="64"/>
      <c r="G1963" s="64"/>
      <c r="H1963" s="63"/>
      <c r="I1963" s="64"/>
      <c r="J1963" s="64"/>
      <c r="K1963" s="64"/>
      <c r="L1963" s="64"/>
      <c r="M1963" s="64"/>
      <c r="N1963" s="64"/>
      <c r="O1963" s="64"/>
      <c r="P1963" s="64"/>
      <c r="Q1963" s="64"/>
      <c r="R1963" s="65" t="str">
        <f>IF($A1963="","",IFERROR(MINIFS(Candidates!$K$2:$K$2000,Candidates!$A$2:$A$2000,$A1963),""))</f>
        <v/>
      </c>
      <c r="S1963" s="65" t="str">
        <f>IF($A1963="","",IFERROR(MAXIFS(Candidates!$AA$2:$AA$2000,Candidates!$A$2:$A$2000,$A1963),""))</f>
        <v/>
      </c>
      <c r="T1963" s="64" t="str">
        <f>IFERROR(__xludf.DUMMYFUNCTION("IF($A1963="""","""",IFERROR(TEXTJOIN("", "",TRUE,UNIQUE(FILTER(Candidates!$B$2:$B$2000,Candidates!$A$2:$A$2000=$A1963))),""""))"),"")</f>
        <v/>
      </c>
      <c r="U1963" s="66" t="str">
        <f>IF($A1963="","",COUNTIF(Candidates!$A$2:$A$2000,$A1963))</f>
        <v/>
      </c>
      <c r="V1963" s="64" t="str">
        <f>IFERROR(__xludf.DUMMYFUNCTION("IF($A1963="""","""",IFERROR(INDEX(FILTER(Candidates!$S$2:$S$2000,Candidates!$A$2:$A$2000=$A1963),COUNTIF(Candidates!$A$2:$A$2000,$A1963)),""""))"),"")</f>
        <v/>
      </c>
      <c r="W1963" s="64" t="str">
        <f>IFERROR(__xludf.DUMMYFUNCTION("IF($A1963="""","""",IFERROR(INDEX(FILTER(Candidates!$T$2:$T$2000,Candidates!$A$2:$A$2000=$A1963),COUNTIF(Candidates!$A$2:$A$2000,$A1963)),""""))"),"")</f>
        <v/>
      </c>
      <c r="X1963" s="64"/>
      <c r="Y1963" s="64"/>
      <c r="Z1963" s="65"/>
      <c r="AA1963" s="65"/>
      <c r="AB1963" s="65"/>
      <c r="AC1963" s="65"/>
    </row>
    <row r="1964">
      <c r="A1964" s="64"/>
      <c r="B1964" s="64"/>
      <c r="C1964" s="64"/>
      <c r="D1964" s="64"/>
      <c r="E1964" s="64"/>
      <c r="F1964" s="64"/>
      <c r="G1964" s="64"/>
      <c r="H1964" s="63"/>
      <c r="I1964" s="64"/>
      <c r="J1964" s="64"/>
      <c r="K1964" s="64"/>
      <c r="L1964" s="64"/>
      <c r="M1964" s="64"/>
      <c r="N1964" s="64"/>
      <c r="O1964" s="64"/>
      <c r="P1964" s="64"/>
      <c r="Q1964" s="64"/>
      <c r="R1964" s="65" t="str">
        <f>IF($A1964="","",IFERROR(MINIFS(Candidates!$K$2:$K$2000,Candidates!$A$2:$A$2000,$A1964),""))</f>
        <v/>
      </c>
      <c r="S1964" s="65" t="str">
        <f>IF($A1964="","",IFERROR(MAXIFS(Candidates!$AA$2:$AA$2000,Candidates!$A$2:$A$2000,$A1964),""))</f>
        <v/>
      </c>
      <c r="T1964" s="64" t="str">
        <f>IFERROR(__xludf.DUMMYFUNCTION("IF($A1964="""","""",IFERROR(TEXTJOIN("", "",TRUE,UNIQUE(FILTER(Candidates!$B$2:$B$2000,Candidates!$A$2:$A$2000=$A1964))),""""))"),"")</f>
        <v/>
      </c>
      <c r="U1964" s="66" t="str">
        <f>IF($A1964="","",COUNTIF(Candidates!$A$2:$A$2000,$A1964))</f>
        <v/>
      </c>
      <c r="V1964" s="64" t="str">
        <f>IFERROR(__xludf.DUMMYFUNCTION("IF($A1964="""","""",IFERROR(INDEX(FILTER(Candidates!$S$2:$S$2000,Candidates!$A$2:$A$2000=$A1964),COUNTIF(Candidates!$A$2:$A$2000,$A1964)),""""))"),"")</f>
        <v/>
      </c>
      <c r="W1964" s="64" t="str">
        <f>IFERROR(__xludf.DUMMYFUNCTION("IF($A1964="""","""",IFERROR(INDEX(FILTER(Candidates!$T$2:$T$2000,Candidates!$A$2:$A$2000=$A1964),COUNTIF(Candidates!$A$2:$A$2000,$A1964)),""""))"),"")</f>
        <v/>
      </c>
      <c r="X1964" s="64"/>
      <c r="Y1964" s="64"/>
      <c r="Z1964" s="65"/>
      <c r="AA1964" s="65"/>
      <c r="AB1964" s="65"/>
      <c r="AC1964" s="65"/>
    </row>
    <row r="1965">
      <c r="A1965" s="64"/>
      <c r="B1965" s="64"/>
      <c r="C1965" s="64"/>
      <c r="D1965" s="64"/>
      <c r="E1965" s="64"/>
      <c r="F1965" s="64"/>
      <c r="G1965" s="64"/>
      <c r="H1965" s="63"/>
      <c r="I1965" s="64"/>
      <c r="J1965" s="64"/>
      <c r="K1965" s="64"/>
      <c r="L1965" s="64"/>
      <c r="M1965" s="64"/>
      <c r="N1965" s="64"/>
      <c r="O1965" s="64"/>
      <c r="P1965" s="64"/>
      <c r="Q1965" s="64"/>
      <c r="R1965" s="65" t="str">
        <f>IF($A1965="","",IFERROR(MINIFS(Candidates!$K$2:$K$2000,Candidates!$A$2:$A$2000,$A1965),""))</f>
        <v/>
      </c>
      <c r="S1965" s="65" t="str">
        <f>IF($A1965="","",IFERROR(MAXIFS(Candidates!$AA$2:$AA$2000,Candidates!$A$2:$A$2000,$A1965),""))</f>
        <v/>
      </c>
      <c r="T1965" s="64" t="str">
        <f>IFERROR(__xludf.DUMMYFUNCTION("IF($A1965="""","""",IFERROR(TEXTJOIN("", "",TRUE,UNIQUE(FILTER(Candidates!$B$2:$B$2000,Candidates!$A$2:$A$2000=$A1965))),""""))"),"")</f>
        <v/>
      </c>
      <c r="U1965" s="66" t="str">
        <f>IF($A1965="","",COUNTIF(Candidates!$A$2:$A$2000,$A1965))</f>
        <v/>
      </c>
      <c r="V1965" s="64" t="str">
        <f>IFERROR(__xludf.DUMMYFUNCTION("IF($A1965="""","""",IFERROR(INDEX(FILTER(Candidates!$S$2:$S$2000,Candidates!$A$2:$A$2000=$A1965),COUNTIF(Candidates!$A$2:$A$2000,$A1965)),""""))"),"")</f>
        <v/>
      </c>
      <c r="W1965" s="64" t="str">
        <f>IFERROR(__xludf.DUMMYFUNCTION("IF($A1965="""","""",IFERROR(INDEX(FILTER(Candidates!$T$2:$T$2000,Candidates!$A$2:$A$2000=$A1965),COUNTIF(Candidates!$A$2:$A$2000,$A1965)),""""))"),"")</f>
        <v/>
      </c>
      <c r="X1965" s="64"/>
      <c r="Y1965" s="64"/>
      <c r="Z1965" s="65"/>
      <c r="AA1965" s="65"/>
      <c r="AB1965" s="65"/>
      <c r="AC1965" s="65"/>
    </row>
    <row r="1966">
      <c r="A1966" s="64"/>
      <c r="B1966" s="64"/>
      <c r="C1966" s="64"/>
      <c r="D1966" s="64"/>
      <c r="E1966" s="64"/>
      <c r="F1966" s="64"/>
      <c r="G1966" s="64"/>
      <c r="H1966" s="63"/>
      <c r="I1966" s="64"/>
      <c r="J1966" s="64"/>
      <c r="K1966" s="64"/>
      <c r="L1966" s="64"/>
      <c r="M1966" s="64"/>
      <c r="N1966" s="64"/>
      <c r="O1966" s="64"/>
      <c r="P1966" s="64"/>
      <c r="Q1966" s="64"/>
      <c r="R1966" s="65" t="str">
        <f>IF($A1966="","",IFERROR(MINIFS(Candidates!$K$2:$K$2000,Candidates!$A$2:$A$2000,$A1966),""))</f>
        <v/>
      </c>
      <c r="S1966" s="65" t="str">
        <f>IF($A1966="","",IFERROR(MAXIFS(Candidates!$AA$2:$AA$2000,Candidates!$A$2:$A$2000,$A1966),""))</f>
        <v/>
      </c>
      <c r="T1966" s="64" t="str">
        <f>IFERROR(__xludf.DUMMYFUNCTION("IF($A1966="""","""",IFERROR(TEXTJOIN("", "",TRUE,UNIQUE(FILTER(Candidates!$B$2:$B$2000,Candidates!$A$2:$A$2000=$A1966))),""""))"),"")</f>
        <v/>
      </c>
      <c r="U1966" s="66" t="str">
        <f>IF($A1966="","",COUNTIF(Candidates!$A$2:$A$2000,$A1966))</f>
        <v/>
      </c>
      <c r="V1966" s="64" t="str">
        <f>IFERROR(__xludf.DUMMYFUNCTION("IF($A1966="""","""",IFERROR(INDEX(FILTER(Candidates!$S$2:$S$2000,Candidates!$A$2:$A$2000=$A1966),COUNTIF(Candidates!$A$2:$A$2000,$A1966)),""""))"),"")</f>
        <v/>
      </c>
      <c r="W1966" s="64" t="str">
        <f>IFERROR(__xludf.DUMMYFUNCTION("IF($A1966="""","""",IFERROR(INDEX(FILTER(Candidates!$T$2:$T$2000,Candidates!$A$2:$A$2000=$A1966),COUNTIF(Candidates!$A$2:$A$2000,$A1966)),""""))"),"")</f>
        <v/>
      </c>
      <c r="X1966" s="64"/>
      <c r="Y1966" s="64"/>
      <c r="Z1966" s="65"/>
      <c r="AA1966" s="65"/>
      <c r="AB1966" s="65"/>
      <c r="AC1966" s="65"/>
    </row>
    <row r="1967">
      <c r="A1967" s="64"/>
      <c r="B1967" s="64"/>
      <c r="C1967" s="64"/>
      <c r="D1967" s="64"/>
      <c r="E1967" s="64"/>
      <c r="F1967" s="64"/>
      <c r="G1967" s="64"/>
      <c r="H1967" s="63"/>
      <c r="I1967" s="64"/>
      <c r="J1967" s="64"/>
      <c r="K1967" s="64"/>
      <c r="L1967" s="64"/>
      <c r="M1967" s="64"/>
      <c r="N1967" s="64"/>
      <c r="O1967" s="64"/>
      <c r="P1967" s="64"/>
      <c r="Q1967" s="64"/>
      <c r="R1967" s="65" t="str">
        <f>IF($A1967="","",IFERROR(MINIFS(Candidates!$K$2:$K$2000,Candidates!$A$2:$A$2000,$A1967),""))</f>
        <v/>
      </c>
      <c r="S1967" s="65" t="str">
        <f>IF($A1967="","",IFERROR(MAXIFS(Candidates!$AA$2:$AA$2000,Candidates!$A$2:$A$2000,$A1967),""))</f>
        <v/>
      </c>
      <c r="T1967" s="64" t="str">
        <f>IFERROR(__xludf.DUMMYFUNCTION("IF($A1967="""","""",IFERROR(TEXTJOIN("", "",TRUE,UNIQUE(FILTER(Candidates!$B$2:$B$2000,Candidates!$A$2:$A$2000=$A1967))),""""))"),"")</f>
        <v/>
      </c>
      <c r="U1967" s="66" t="str">
        <f>IF($A1967="","",COUNTIF(Candidates!$A$2:$A$2000,$A1967))</f>
        <v/>
      </c>
      <c r="V1967" s="64" t="str">
        <f>IFERROR(__xludf.DUMMYFUNCTION("IF($A1967="""","""",IFERROR(INDEX(FILTER(Candidates!$S$2:$S$2000,Candidates!$A$2:$A$2000=$A1967),COUNTIF(Candidates!$A$2:$A$2000,$A1967)),""""))"),"")</f>
        <v/>
      </c>
      <c r="W1967" s="64" t="str">
        <f>IFERROR(__xludf.DUMMYFUNCTION("IF($A1967="""","""",IFERROR(INDEX(FILTER(Candidates!$T$2:$T$2000,Candidates!$A$2:$A$2000=$A1967),COUNTIF(Candidates!$A$2:$A$2000,$A1967)),""""))"),"")</f>
        <v/>
      </c>
      <c r="X1967" s="64"/>
      <c r="Y1967" s="64"/>
      <c r="Z1967" s="65"/>
      <c r="AA1967" s="65"/>
      <c r="AB1967" s="65"/>
      <c r="AC1967" s="65"/>
    </row>
    <row r="1968">
      <c r="A1968" s="64"/>
      <c r="B1968" s="64"/>
      <c r="C1968" s="64"/>
      <c r="D1968" s="64"/>
      <c r="E1968" s="64"/>
      <c r="F1968" s="64"/>
      <c r="G1968" s="64"/>
      <c r="H1968" s="63"/>
      <c r="I1968" s="64"/>
      <c r="J1968" s="64"/>
      <c r="K1968" s="64"/>
      <c r="L1968" s="64"/>
      <c r="M1968" s="64"/>
      <c r="N1968" s="64"/>
      <c r="O1968" s="64"/>
      <c r="P1968" s="64"/>
      <c r="Q1968" s="64"/>
      <c r="R1968" s="65" t="str">
        <f>IF($A1968="","",IFERROR(MINIFS(Candidates!$K$2:$K$2000,Candidates!$A$2:$A$2000,$A1968),""))</f>
        <v/>
      </c>
      <c r="S1968" s="65" t="str">
        <f>IF($A1968="","",IFERROR(MAXIFS(Candidates!$AA$2:$AA$2000,Candidates!$A$2:$A$2000,$A1968),""))</f>
        <v/>
      </c>
      <c r="T1968" s="64" t="str">
        <f>IFERROR(__xludf.DUMMYFUNCTION("IF($A1968="""","""",IFERROR(TEXTJOIN("", "",TRUE,UNIQUE(FILTER(Candidates!$B$2:$B$2000,Candidates!$A$2:$A$2000=$A1968))),""""))"),"")</f>
        <v/>
      </c>
      <c r="U1968" s="66" t="str">
        <f>IF($A1968="","",COUNTIF(Candidates!$A$2:$A$2000,$A1968))</f>
        <v/>
      </c>
      <c r="V1968" s="64" t="str">
        <f>IFERROR(__xludf.DUMMYFUNCTION("IF($A1968="""","""",IFERROR(INDEX(FILTER(Candidates!$S$2:$S$2000,Candidates!$A$2:$A$2000=$A1968),COUNTIF(Candidates!$A$2:$A$2000,$A1968)),""""))"),"")</f>
        <v/>
      </c>
      <c r="W1968" s="64" t="str">
        <f>IFERROR(__xludf.DUMMYFUNCTION("IF($A1968="""","""",IFERROR(INDEX(FILTER(Candidates!$T$2:$T$2000,Candidates!$A$2:$A$2000=$A1968),COUNTIF(Candidates!$A$2:$A$2000,$A1968)),""""))"),"")</f>
        <v/>
      </c>
      <c r="X1968" s="64"/>
      <c r="Y1968" s="64"/>
      <c r="Z1968" s="65"/>
      <c r="AA1968" s="65"/>
      <c r="AB1968" s="65"/>
      <c r="AC1968" s="65"/>
    </row>
    <row r="1969">
      <c r="A1969" s="64"/>
      <c r="B1969" s="64"/>
      <c r="C1969" s="64"/>
      <c r="D1969" s="64"/>
      <c r="E1969" s="64"/>
      <c r="F1969" s="64"/>
      <c r="G1969" s="64"/>
      <c r="H1969" s="63"/>
      <c r="I1969" s="64"/>
      <c r="J1969" s="64"/>
      <c r="K1969" s="64"/>
      <c r="L1969" s="64"/>
      <c r="M1969" s="64"/>
      <c r="N1969" s="64"/>
      <c r="O1969" s="64"/>
      <c r="P1969" s="64"/>
      <c r="Q1969" s="64"/>
      <c r="R1969" s="65" t="str">
        <f>IF($A1969="","",IFERROR(MINIFS(Candidates!$K$2:$K$2000,Candidates!$A$2:$A$2000,$A1969),""))</f>
        <v/>
      </c>
      <c r="S1969" s="65" t="str">
        <f>IF($A1969="","",IFERROR(MAXIFS(Candidates!$AA$2:$AA$2000,Candidates!$A$2:$A$2000,$A1969),""))</f>
        <v/>
      </c>
      <c r="T1969" s="64" t="str">
        <f>IFERROR(__xludf.DUMMYFUNCTION("IF($A1969="""","""",IFERROR(TEXTJOIN("", "",TRUE,UNIQUE(FILTER(Candidates!$B$2:$B$2000,Candidates!$A$2:$A$2000=$A1969))),""""))"),"")</f>
        <v/>
      </c>
      <c r="U1969" s="66" t="str">
        <f>IF($A1969="","",COUNTIF(Candidates!$A$2:$A$2000,$A1969))</f>
        <v/>
      </c>
      <c r="V1969" s="64" t="str">
        <f>IFERROR(__xludf.DUMMYFUNCTION("IF($A1969="""","""",IFERROR(INDEX(FILTER(Candidates!$S$2:$S$2000,Candidates!$A$2:$A$2000=$A1969),COUNTIF(Candidates!$A$2:$A$2000,$A1969)),""""))"),"")</f>
        <v/>
      </c>
      <c r="W1969" s="64" t="str">
        <f>IFERROR(__xludf.DUMMYFUNCTION("IF($A1969="""","""",IFERROR(INDEX(FILTER(Candidates!$T$2:$T$2000,Candidates!$A$2:$A$2000=$A1969),COUNTIF(Candidates!$A$2:$A$2000,$A1969)),""""))"),"")</f>
        <v/>
      </c>
      <c r="X1969" s="64"/>
      <c r="Y1969" s="64"/>
      <c r="Z1969" s="65"/>
      <c r="AA1969" s="65"/>
      <c r="AB1969" s="65"/>
      <c r="AC1969" s="65"/>
    </row>
    <row r="1970">
      <c r="A1970" s="64"/>
      <c r="B1970" s="64"/>
      <c r="C1970" s="64"/>
      <c r="D1970" s="64"/>
      <c r="E1970" s="64"/>
      <c r="F1970" s="64"/>
      <c r="G1970" s="64"/>
      <c r="H1970" s="63"/>
      <c r="I1970" s="64"/>
      <c r="J1970" s="64"/>
      <c r="K1970" s="64"/>
      <c r="L1970" s="64"/>
      <c r="M1970" s="64"/>
      <c r="N1970" s="64"/>
      <c r="O1970" s="64"/>
      <c r="P1970" s="64"/>
      <c r="Q1970" s="64"/>
      <c r="R1970" s="65" t="str">
        <f>IF($A1970="","",IFERROR(MINIFS(Candidates!$K$2:$K$2000,Candidates!$A$2:$A$2000,$A1970),""))</f>
        <v/>
      </c>
      <c r="S1970" s="65" t="str">
        <f>IF($A1970="","",IFERROR(MAXIFS(Candidates!$AA$2:$AA$2000,Candidates!$A$2:$A$2000,$A1970),""))</f>
        <v/>
      </c>
      <c r="T1970" s="64" t="str">
        <f>IFERROR(__xludf.DUMMYFUNCTION("IF($A1970="""","""",IFERROR(TEXTJOIN("", "",TRUE,UNIQUE(FILTER(Candidates!$B$2:$B$2000,Candidates!$A$2:$A$2000=$A1970))),""""))"),"")</f>
        <v/>
      </c>
      <c r="U1970" s="66" t="str">
        <f>IF($A1970="","",COUNTIF(Candidates!$A$2:$A$2000,$A1970))</f>
        <v/>
      </c>
      <c r="V1970" s="64" t="str">
        <f>IFERROR(__xludf.DUMMYFUNCTION("IF($A1970="""","""",IFERROR(INDEX(FILTER(Candidates!$S$2:$S$2000,Candidates!$A$2:$A$2000=$A1970),COUNTIF(Candidates!$A$2:$A$2000,$A1970)),""""))"),"")</f>
        <v/>
      </c>
      <c r="W1970" s="64" t="str">
        <f>IFERROR(__xludf.DUMMYFUNCTION("IF($A1970="""","""",IFERROR(INDEX(FILTER(Candidates!$T$2:$T$2000,Candidates!$A$2:$A$2000=$A1970),COUNTIF(Candidates!$A$2:$A$2000,$A1970)),""""))"),"")</f>
        <v/>
      </c>
      <c r="X1970" s="64"/>
      <c r="Y1970" s="64"/>
      <c r="Z1970" s="65"/>
      <c r="AA1970" s="65"/>
      <c r="AB1970" s="65"/>
      <c r="AC1970" s="65"/>
    </row>
    <row r="1971">
      <c r="A1971" s="64"/>
      <c r="B1971" s="64"/>
      <c r="C1971" s="64"/>
      <c r="D1971" s="64"/>
      <c r="E1971" s="64"/>
      <c r="F1971" s="64"/>
      <c r="G1971" s="64"/>
      <c r="H1971" s="63"/>
      <c r="I1971" s="64"/>
      <c r="J1971" s="64"/>
      <c r="K1971" s="64"/>
      <c r="L1971" s="64"/>
      <c r="M1971" s="64"/>
      <c r="N1971" s="64"/>
      <c r="O1971" s="64"/>
      <c r="P1971" s="64"/>
      <c r="Q1971" s="64"/>
      <c r="R1971" s="65" t="str">
        <f>IF($A1971="","",IFERROR(MINIFS(Candidates!$K$2:$K$2000,Candidates!$A$2:$A$2000,$A1971),""))</f>
        <v/>
      </c>
      <c r="S1971" s="65" t="str">
        <f>IF($A1971="","",IFERROR(MAXIFS(Candidates!$AA$2:$AA$2000,Candidates!$A$2:$A$2000,$A1971),""))</f>
        <v/>
      </c>
      <c r="T1971" s="64" t="str">
        <f>IFERROR(__xludf.DUMMYFUNCTION("IF($A1971="""","""",IFERROR(TEXTJOIN("", "",TRUE,UNIQUE(FILTER(Candidates!$B$2:$B$2000,Candidates!$A$2:$A$2000=$A1971))),""""))"),"")</f>
        <v/>
      </c>
      <c r="U1971" s="66" t="str">
        <f>IF($A1971="","",COUNTIF(Candidates!$A$2:$A$2000,$A1971))</f>
        <v/>
      </c>
      <c r="V1971" s="64" t="str">
        <f>IFERROR(__xludf.DUMMYFUNCTION("IF($A1971="""","""",IFERROR(INDEX(FILTER(Candidates!$S$2:$S$2000,Candidates!$A$2:$A$2000=$A1971),COUNTIF(Candidates!$A$2:$A$2000,$A1971)),""""))"),"")</f>
        <v/>
      </c>
      <c r="W1971" s="64" t="str">
        <f>IFERROR(__xludf.DUMMYFUNCTION("IF($A1971="""","""",IFERROR(INDEX(FILTER(Candidates!$T$2:$T$2000,Candidates!$A$2:$A$2000=$A1971),COUNTIF(Candidates!$A$2:$A$2000,$A1971)),""""))"),"")</f>
        <v/>
      </c>
      <c r="X1971" s="64"/>
      <c r="Y1971" s="64"/>
      <c r="Z1971" s="65"/>
      <c r="AA1971" s="65"/>
      <c r="AB1971" s="65"/>
      <c r="AC1971" s="65"/>
    </row>
    <row r="1972">
      <c r="A1972" s="64"/>
      <c r="B1972" s="64"/>
      <c r="C1972" s="64"/>
      <c r="D1972" s="64"/>
      <c r="E1972" s="64"/>
      <c r="F1972" s="64"/>
      <c r="G1972" s="64"/>
      <c r="H1972" s="63"/>
      <c r="I1972" s="64"/>
      <c r="J1972" s="64"/>
      <c r="K1972" s="64"/>
      <c r="L1972" s="64"/>
      <c r="M1972" s="64"/>
      <c r="N1972" s="64"/>
      <c r="O1972" s="64"/>
      <c r="P1972" s="64"/>
      <c r="Q1972" s="64"/>
      <c r="R1972" s="65" t="str">
        <f>IF($A1972="","",IFERROR(MINIFS(Candidates!$K$2:$K$2000,Candidates!$A$2:$A$2000,$A1972),""))</f>
        <v/>
      </c>
      <c r="S1972" s="65" t="str">
        <f>IF($A1972="","",IFERROR(MAXIFS(Candidates!$AA$2:$AA$2000,Candidates!$A$2:$A$2000,$A1972),""))</f>
        <v/>
      </c>
      <c r="T1972" s="64" t="str">
        <f>IFERROR(__xludf.DUMMYFUNCTION("IF($A1972="""","""",IFERROR(TEXTJOIN("", "",TRUE,UNIQUE(FILTER(Candidates!$B$2:$B$2000,Candidates!$A$2:$A$2000=$A1972))),""""))"),"")</f>
        <v/>
      </c>
      <c r="U1972" s="66" t="str">
        <f>IF($A1972="","",COUNTIF(Candidates!$A$2:$A$2000,$A1972))</f>
        <v/>
      </c>
      <c r="V1972" s="64" t="str">
        <f>IFERROR(__xludf.DUMMYFUNCTION("IF($A1972="""","""",IFERROR(INDEX(FILTER(Candidates!$S$2:$S$2000,Candidates!$A$2:$A$2000=$A1972),COUNTIF(Candidates!$A$2:$A$2000,$A1972)),""""))"),"")</f>
        <v/>
      </c>
      <c r="W1972" s="64" t="str">
        <f>IFERROR(__xludf.DUMMYFUNCTION("IF($A1972="""","""",IFERROR(INDEX(FILTER(Candidates!$T$2:$T$2000,Candidates!$A$2:$A$2000=$A1972),COUNTIF(Candidates!$A$2:$A$2000,$A1972)),""""))"),"")</f>
        <v/>
      </c>
      <c r="X1972" s="64"/>
      <c r="Y1972" s="64"/>
      <c r="Z1972" s="65"/>
      <c r="AA1972" s="65"/>
      <c r="AB1972" s="65"/>
      <c r="AC1972" s="65"/>
    </row>
    <row r="1973">
      <c r="A1973" s="64"/>
      <c r="B1973" s="64"/>
      <c r="C1973" s="64"/>
      <c r="D1973" s="64"/>
      <c r="E1973" s="64"/>
      <c r="F1973" s="64"/>
      <c r="G1973" s="64"/>
      <c r="H1973" s="63"/>
      <c r="I1973" s="64"/>
      <c r="J1973" s="64"/>
      <c r="K1973" s="64"/>
      <c r="L1973" s="64"/>
      <c r="M1973" s="64"/>
      <c r="N1973" s="64"/>
      <c r="O1973" s="64"/>
      <c r="P1973" s="64"/>
      <c r="Q1973" s="64"/>
      <c r="R1973" s="65" t="str">
        <f>IF($A1973="","",IFERROR(MINIFS(Candidates!$K$2:$K$2000,Candidates!$A$2:$A$2000,$A1973),""))</f>
        <v/>
      </c>
      <c r="S1973" s="65" t="str">
        <f>IF($A1973="","",IFERROR(MAXIFS(Candidates!$AA$2:$AA$2000,Candidates!$A$2:$A$2000,$A1973),""))</f>
        <v/>
      </c>
      <c r="T1973" s="64" t="str">
        <f>IFERROR(__xludf.DUMMYFUNCTION("IF($A1973="""","""",IFERROR(TEXTJOIN("", "",TRUE,UNIQUE(FILTER(Candidates!$B$2:$B$2000,Candidates!$A$2:$A$2000=$A1973))),""""))"),"")</f>
        <v/>
      </c>
      <c r="U1973" s="66" t="str">
        <f>IF($A1973="","",COUNTIF(Candidates!$A$2:$A$2000,$A1973))</f>
        <v/>
      </c>
      <c r="V1973" s="64" t="str">
        <f>IFERROR(__xludf.DUMMYFUNCTION("IF($A1973="""","""",IFERROR(INDEX(FILTER(Candidates!$S$2:$S$2000,Candidates!$A$2:$A$2000=$A1973),COUNTIF(Candidates!$A$2:$A$2000,$A1973)),""""))"),"")</f>
        <v/>
      </c>
      <c r="W1973" s="64" t="str">
        <f>IFERROR(__xludf.DUMMYFUNCTION("IF($A1973="""","""",IFERROR(INDEX(FILTER(Candidates!$T$2:$T$2000,Candidates!$A$2:$A$2000=$A1973),COUNTIF(Candidates!$A$2:$A$2000,$A1973)),""""))"),"")</f>
        <v/>
      </c>
      <c r="X1973" s="64"/>
      <c r="Y1973" s="64"/>
      <c r="Z1973" s="65"/>
      <c r="AA1973" s="65"/>
      <c r="AB1973" s="65"/>
      <c r="AC1973" s="65"/>
    </row>
    <row r="1974">
      <c r="A1974" s="64"/>
      <c r="B1974" s="64"/>
      <c r="C1974" s="64"/>
      <c r="D1974" s="64"/>
      <c r="E1974" s="64"/>
      <c r="F1974" s="64"/>
      <c r="G1974" s="64"/>
      <c r="H1974" s="63"/>
      <c r="I1974" s="64"/>
      <c r="J1974" s="64"/>
      <c r="K1974" s="64"/>
      <c r="L1974" s="64"/>
      <c r="M1974" s="64"/>
      <c r="N1974" s="64"/>
      <c r="O1974" s="64"/>
      <c r="P1974" s="64"/>
      <c r="Q1974" s="64"/>
      <c r="R1974" s="65" t="str">
        <f>IF($A1974="","",IFERROR(MINIFS(Candidates!$K$2:$K$2000,Candidates!$A$2:$A$2000,$A1974),""))</f>
        <v/>
      </c>
      <c r="S1974" s="65" t="str">
        <f>IF($A1974="","",IFERROR(MAXIFS(Candidates!$AA$2:$AA$2000,Candidates!$A$2:$A$2000,$A1974),""))</f>
        <v/>
      </c>
      <c r="T1974" s="64" t="str">
        <f>IFERROR(__xludf.DUMMYFUNCTION("IF($A1974="""","""",IFERROR(TEXTJOIN("", "",TRUE,UNIQUE(FILTER(Candidates!$B$2:$B$2000,Candidates!$A$2:$A$2000=$A1974))),""""))"),"")</f>
        <v/>
      </c>
      <c r="U1974" s="66" t="str">
        <f>IF($A1974="","",COUNTIF(Candidates!$A$2:$A$2000,$A1974))</f>
        <v/>
      </c>
      <c r="V1974" s="64" t="str">
        <f>IFERROR(__xludf.DUMMYFUNCTION("IF($A1974="""","""",IFERROR(INDEX(FILTER(Candidates!$S$2:$S$2000,Candidates!$A$2:$A$2000=$A1974),COUNTIF(Candidates!$A$2:$A$2000,$A1974)),""""))"),"")</f>
        <v/>
      </c>
      <c r="W1974" s="64" t="str">
        <f>IFERROR(__xludf.DUMMYFUNCTION("IF($A1974="""","""",IFERROR(INDEX(FILTER(Candidates!$T$2:$T$2000,Candidates!$A$2:$A$2000=$A1974),COUNTIF(Candidates!$A$2:$A$2000,$A1974)),""""))"),"")</f>
        <v/>
      </c>
      <c r="X1974" s="64"/>
      <c r="Y1974" s="64"/>
      <c r="Z1974" s="65"/>
      <c r="AA1974" s="65"/>
      <c r="AB1974" s="65"/>
      <c r="AC1974" s="65"/>
    </row>
    <row r="1975">
      <c r="A1975" s="64"/>
      <c r="B1975" s="64"/>
      <c r="C1975" s="64"/>
      <c r="D1975" s="64"/>
      <c r="E1975" s="64"/>
      <c r="F1975" s="64"/>
      <c r="G1975" s="64"/>
      <c r="H1975" s="63"/>
      <c r="I1975" s="64"/>
      <c r="J1975" s="64"/>
      <c r="K1975" s="64"/>
      <c r="L1975" s="64"/>
      <c r="M1975" s="64"/>
      <c r="N1975" s="64"/>
      <c r="O1975" s="64"/>
      <c r="P1975" s="64"/>
      <c r="Q1975" s="64"/>
      <c r="R1975" s="65" t="str">
        <f>IF($A1975="","",IFERROR(MINIFS(Candidates!$K$2:$K$2000,Candidates!$A$2:$A$2000,$A1975),""))</f>
        <v/>
      </c>
      <c r="S1975" s="65" t="str">
        <f>IF($A1975="","",IFERROR(MAXIFS(Candidates!$AA$2:$AA$2000,Candidates!$A$2:$A$2000,$A1975),""))</f>
        <v/>
      </c>
      <c r="T1975" s="64" t="str">
        <f>IFERROR(__xludf.DUMMYFUNCTION("IF($A1975="""","""",IFERROR(TEXTJOIN("", "",TRUE,UNIQUE(FILTER(Candidates!$B$2:$B$2000,Candidates!$A$2:$A$2000=$A1975))),""""))"),"")</f>
        <v/>
      </c>
      <c r="U1975" s="66" t="str">
        <f>IF($A1975="","",COUNTIF(Candidates!$A$2:$A$2000,$A1975))</f>
        <v/>
      </c>
      <c r="V1975" s="64" t="str">
        <f>IFERROR(__xludf.DUMMYFUNCTION("IF($A1975="""","""",IFERROR(INDEX(FILTER(Candidates!$S$2:$S$2000,Candidates!$A$2:$A$2000=$A1975),COUNTIF(Candidates!$A$2:$A$2000,$A1975)),""""))"),"")</f>
        <v/>
      </c>
      <c r="W1975" s="64" t="str">
        <f>IFERROR(__xludf.DUMMYFUNCTION("IF($A1975="""","""",IFERROR(INDEX(FILTER(Candidates!$T$2:$T$2000,Candidates!$A$2:$A$2000=$A1975),COUNTIF(Candidates!$A$2:$A$2000,$A1975)),""""))"),"")</f>
        <v/>
      </c>
      <c r="X1975" s="64"/>
      <c r="Y1975" s="64"/>
      <c r="Z1975" s="65"/>
      <c r="AA1975" s="65"/>
      <c r="AB1975" s="65"/>
      <c r="AC1975" s="65"/>
    </row>
    <row r="1976">
      <c r="A1976" s="64"/>
      <c r="B1976" s="64"/>
      <c r="C1976" s="64"/>
      <c r="D1976" s="64"/>
      <c r="E1976" s="64"/>
      <c r="F1976" s="64"/>
      <c r="G1976" s="64"/>
      <c r="H1976" s="63"/>
      <c r="I1976" s="64"/>
      <c r="J1976" s="64"/>
      <c r="K1976" s="64"/>
      <c r="L1976" s="64"/>
      <c r="M1976" s="64"/>
      <c r="N1976" s="64"/>
      <c r="O1976" s="64"/>
      <c r="P1976" s="64"/>
      <c r="Q1976" s="64"/>
      <c r="R1976" s="65" t="str">
        <f>IF($A1976="","",IFERROR(MINIFS(Candidates!$K$2:$K$2000,Candidates!$A$2:$A$2000,$A1976),""))</f>
        <v/>
      </c>
      <c r="S1976" s="65" t="str">
        <f>IF($A1976="","",IFERROR(MAXIFS(Candidates!$AA$2:$AA$2000,Candidates!$A$2:$A$2000,$A1976),""))</f>
        <v/>
      </c>
      <c r="T1976" s="64" t="str">
        <f>IFERROR(__xludf.DUMMYFUNCTION("IF($A1976="""","""",IFERROR(TEXTJOIN("", "",TRUE,UNIQUE(FILTER(Candidates!$B$2:$B$2000,Candidates!$A$2:$A$2000=$A1976))),""""))"),"")</f>
        <v/>
      </c>
      <c r="U1976" s="66" t="str">
        <f>IF($A1976="","",COUNTIF(Candidates!$A$2:$A$2000,$A1976))</f>
        <v/>
      </c>
      <c r="V1976" s="64" t="str">
        <f>IFERROR(__xludf.DUMMYFUNCTION("IF($A1976="""","""",IFERROR(INDEX(FILTER(Candidates!$S$2:$S$2000,Candidates!$A$2:$A$2000=$A1976),COUNTIF(Candidates!$A$2:$A$2000,$A1976)),""""))"),"")</f>
        <v/>
      </c>
      <c r="W1976" s="64" t="str">
        <f>IFERROR(__xludf.DUMMYFUNCTION("IF($A1976="""","""",IFERROR(INDEX(FILTER(Candidates!$T$2:$T$2000,Candidates!$A$2:$A$2000=$A1976),COUNTIF(Candidates!$A$2:$A$2000,$A1976)),""""))"),"")</f>
        <v/>
      </c>
      <c r="X1976" s="64"/>
      <c r="Y1976" s="64"/>
      <c r="Z1976" s="65"/>
      <c r="AA1976" s="65"/>
      <c r="AB1976" s="65"/>
      <c r="AC1976" s="65"/>
    </row>
    <row r="1977">
      <c r="A1977" s="64"/>
      <c r="B1977" s="64"/>
      <c r="C1977" s="64"/>
      <c r="D1977" s="64"/>
      <c r="E1977" s="64"/>
      <c r="F1977" s="64"/>
      <c r="G1977" s="64"/>
      <c r="H1977" s="63"/>
      <c r="I1977" s="64"/>
      <c r="J1977" s="64"/>
      <c r="K1977" s="64"/>
      <c r="L1977" s="64"/>
      <c r="M1977" s="64"/>
      <c r="N1977" s="64"/>
      <c r="O1977" s="64"/>
      <c r="P1977" s="64"/>
      <c r="Q1977" s="64"/>
      <c r="R1977" s="65" t="str">
        <f>IF($A1977="","",IFERROR(MINIFS(Candidates!$K$2:$K$2000,Candidates!$A$2:$A$2000,$A1977),""))</f>
        <v/>
      </c>
      <c r="S1977" s="65" t="str">
        <f>IF($A1977="","",IFERROR(MAXIFS(Candidates!$AA$2:$AA$2000,Candidates!$A$2:$A$2000,$A1977),""))</f>
        <v/>
      </c>
      <c r="T1977" s="64" t="str">
        <f>IFERROR(__xludf.DUMMYFUNCTION("IF($A1977="""","""",IFERROR(TEXTJOIN("", "",TRUE,UNIQUE(FILTER(Candidates!$B$2:$B$2000,Candidates!$A$2:$A$2000=$A1977))),""""))"),"")</f>
        <v/>
      </c>
      <c r="U1977" s="66" t="str">
        <f>IF($A1977="","",COUNTIF(Candidates!$A$2:$A$2000,$A1977))</f>
        <v/>
      </c>
      <c r="V1977" s="64" t="str">
        <f>IFERROR(__xludf.DUMMYFUNCTION("IF($A1977="""","""",IFERROR(INDEX(FILTER(Candidates!$S$2:$S$2000,Candidates!$A$2:$A$2000=$A1977),COUNTIF(Candidates!$A$2:$A$2000,$A1977)),""""))"),"")</f>
        <v/>
      </c>
      <c r="W1977" s="64" t="str">
        <f>IFERROR(__xludf.DUMMYFUNCTION("IF($A1977="""","""",IFERROR(INDEX(FILTER(Candidates!$T$2:$T$2000,Candidates!$A$2:$A$2000=$A1977),COUNTIF(Candidates!$A$2:$A$2000,$A1977)),""""))"),"")</f>
        <v/>
      </c>
      <c r="X1977" s="64"/>
      <c r="Y1977" s="64"/>
      <c r="Z1977" s="65"/>
      <c r="AA1977" s="65"/>
      <c r="AB1977" s="65"/>
      <c r="AC1977" s="65"/>
    </row>
    <row r="1978">
      <c r="A1978" s="64"/>
      <c r="B1978" s="64"/>
      <c r="C1978" s="64"/>
      <c r="D1978" s="64"/>
      <c r="E1978" s="64"/>
      <c r="F1978" s="64"/>
      <c r="G1978" s="64"/>
      <c r="H1978" s="63"/>
      <c r="I1978" s="64"/>
      <c r="J1978" s="64"/>
      <c r="K1978" s="64"/>
      <c r="L1978" s="64"/>
      <c r="M1978" s="64"/>
      <c r="N1978" s="64"/>
      <c r="O1978" s="64"/>
      <c r="P1978" s="64"/>
      <c r="Q1978" s="64"/>
      <c r="R1978" s="65" t="str">
        <f>IF($A1978="","",IFERROR(MINIFS(Candidates!$K$2:$K$2000,Candidates!$A$2:$A$2000,$A1978),""))</f>
        <v/>
      </c>
      <c r="S1978" s="65" t="str">
        <f>IF($A1978="","",IFERROR(MAXIFS(Candidates!$AA$2:$AA$2000,Candidates!$A$2:$A$2000,$A1978),""))</f>
        <v/>
      </c>
      <c r="T1978" s="64" t="str">
        <f>IFERROR(__xludf.DUMMYFUNCTION("IF($A1978="""","""",IFERROR(TEXTJOIN("", "",TRUE,UNIQUE(FILTER(Candidates!$B$2:$B$2000,Candidates!$A$2:$A$2000=$A1978))),""""))"),"")</f>
        <v/>
      </c>
      <c r="U1978" s="66" t="str">
        <f>IF($A1978="","",COUNTIF(Candidates!$A$2:$A$2000,$A1978))</f>
        <v/>
      </c>
      <c r="V1978" s="64" t="str">
        <f>IFERROR(__xludf.DUMMYFUNCTION("IF($A1978="""","""",IFERROR(INDEX(FILTER(Candidates!$S$2:$S$2000,Candidates!$A$2:$A$2000=$A1978),COUNTIF(Candidates!$A$2:$A$2000,$A1978)),""""))"),"")</f>
        <v/>
      </c>
      <c r="W1978" s="64" t="str">
        <f>IFERROR(__xludf.DUMMYFUNCTION("IF($A1978="""","""",IFERROR(INDEX(FILTER(Candidates!$T$2:$T$2000,Candidates!$A$2:$A$2000=$A1978),COUNTIF(Candidates!$A$2:$A$2000,$A1978)),""""))"),"")</f>
        <v/>
      </c>
      <c r="X1978" s="64"/>
      <c r="Y1978" s="64"/>
      <c r="Z1978" s="65"/>
      <c r="AA1978" s="65"/>
      <c r="AB1978" s="65"/>
      <c r="AC1978" s="65"/>
    </row>
    <row r="1979">
      <c r="A1979" s="64"/>
      <c r="B1979" s="64"/>
      <c r="C1979" s="64"/>
      <c r="D1979" s="64"/>
      <c r="E1979" s="64"/>
      <c r="F1979" s="64"/>
      <c r="G1979" s="64"/>
      <c r="H1979" s="63"/>
      <c r="I1979" s="64"/>
      <c r="J1979" s="64"/>
      <c r="K1979" s="64"/>
      <c r="L1979" s="64"/>
      <c r="M1979" s="64"/>
      <c r="N1979" s="64"/>
      <c r="O1979" s="64"/>
      <c r="P1979" s="64"/>
      <c r="Q1979" s="64"/>
      <c r="R1979" s="65" t="str">
        <f>IF($A1979="","",IFERROR(MINIFS(Candidates!$K$2:$K$2000,Candidates!$A$2:$A$2000,$A1979),""))</f>
        <v/>
      </c>
      <c r="S1979" s="65" t="str">
        <f>IF($A1979="","",IFERROR(MAXIFS(Candidates!$AA$2:$AA$2000,Candidates!$A$2:$A$2000,$A1979),""))</f>
        <v/>
      </c>
      <c r="T1979" s="64" t="str">
        <f>IFERROR(__xludf.DUMMYFUNCTION("IF($A1979="""","""",IFERROR(TEXTJOIN("", "",TRUE,UNIQUE(FILTER(Candidates!$B$2:$B$2000,Candidates!$A$2:$A$2000=$A1979))),""""))"),"")</f>
        <v/>
      </c>
      <c r="U1979" s="66" t="str">
        <f>IF($A1979="","",COUNTIF(Candidates!$A$2:$A$2000,$A1979))</f>
        <v/>
      </c>
      <c r="V1979" s="64" t="str">
        <f>IFERROR(__xludf.DUMMYFUNCTION("IF($A1979="""","""",IFERROR(INDEX(FILTER(Candidates!$S$2:$S$2000,Candidates!$A$2:$A$2000=$A1979),COUNTIF(Candidates!$A$2:$A$2000,$A1979)),""""))"),"")</f>
        <v/>
      </c>
      <c r="W1979" s="64" t="str">
        <f>IFERROR(__xludf.DUMMYFUNCTION("IF($A1979="""","""",IFERROR(INDEX(FILTER(Candidates!$T$2:$T$2000,Candidates!$A$2:$A$2000=$A1979),COUNTIF(Candidates!$A$2:$A$2000,$A1979)),""""))"),"")</f>
        <v/>
      </c>
      <c r="X1979" s="64"/>
      <c r="Y1979" s="64"/>
      <c r="Z1979" s="65"/>
      <c r="AA1979" s="65"/>
      <c r="AB1979" s="65"/>
      <c r="AC1979" s="65"/>
    </row>
    <row r="1980">
      <c r="A1980" s="64"/>
      <c r="B1980" s="64"/>
      <c r="C1980" s="64"/>
      <c r="D1980" s="64"/>
      <c r="E1980" s="64"/>
      <c r="F1980" s="64"/>
      <c r="G1980" s="64"/>
      <c r="H1980" s="63"/>
      <c r="I1980" s="64"/>
      <c r="J1980" s="64"/>
      <c r="K1980" s="64"/>
      <c r="L1980" s="64"/>
      <c r="M1980" s="64"/>
      <c r="N1980" s="64"/>
      <c r="O1980" s="64"/>
      <c r="P1980" s="64"/>
      <c r="Q1980" s="64"/>
      <c r="R1980" s="65" t="str">
        <f>IF($A1980="","",IFERROR(MINIFS(Candidates!$K$2:$K$2000,Candidates!$A$2:$A$2000,$A1980),""))</f>
        <v/>
      </c>
      <c r="S1980" s="65" t="str">
        <f>IF($A1980="","",IFERROR(MAXIFS(Candidates!$AA$2:$AA$2000,Candidates!$A$2:$A$2000,$A1980),""))</f>
        <v/>
      </c>
      <c r="T1980" s="64" t="str">
        <f>IFERROR(__xludf.DUMMYFUNCTION("IF($A1980="""","""",IFERROR(TEXTJOIN("", "",TRUE,UNIQUE(FILTER(Candidates!$B$2:$B$2000,Candidates!$A$2:$A$2000=$A1980))),""""))"),"")</f>
        <v/>
      </c>
      <c r="U1980" s="66" t="str">
        <f>IF($A1980="","",COUNTIF(Candidates!$A$2:$A$2000,$A1980))</f>
        <v/>
      </c>
      <c r="V1980" s="64" t="str">
        <f>IFERROR(__xludf.DUMMYFUNCTION("IF($A1980="""","""",IFERROR(INDEX(FILTER(Candidates!$S$2:$S$2000,Candidates!$A$2:$A$2000=$A1980),COUNTIF(Candidates!$A$2:$A$2000,$A1980)),""""))"),"")</f>
        <v/>
      </c>
      <c r="W1980" s="64" t="str">
        <f>IFERROR(__xludf.DUMMYFUNCTION("IF($A1980="""","""",IFERROR(INDEX(FILTER(Candidates!$T$2:$T$2000,Candidates!$A$2:$A$2000=$A1980),COUNTIF(Candidates!$A$2:$A$2000,$A1980)),""""))"),"")</f>
        <v/>
      </c>
      <c r="X1980" s="64"/>
      <c r="Y1980" s="64"/>
      <c r="Z1980" s="65"/>
      <c r="AA1980" s="65"/>
      <c r="AB1980" s="65"/>
      <c r="AC1980" s="65"/>
    </row>
    <row r="1981">
      <c r="A1981" s="64"/>
      <c r="B1981" s="64"/>
      <c r="C1981" s="64"/>
      <c r="D1981" s="64"/>
      <c r="E1981" s="64"/>
      <c r="F1981" s="64"/>
      <c r="G1981" s="64"/>
      <c r="H1981" s="63"/>
      <c r="I1981" s="64"/>
      <c r="J1981" s="64"/>
      <c r="K1981" s="64"/>
      <c r="L1981" s="64"/>
      <c r="M1981" s="64"/>
      <c r="N1981" s="64"/>
      <c r="O1981" s="64"/>
      <c r="P1981" s="64"/>
      <c r="Q1981" s="64"/>
      <c r="R1981" s="65" t="str">
        <f>IF($A1981="","",IFERROR(MINIFS(Candidates!$K$2:$K$2000,Candidates!$A$2:$A$2000,$A1981),""))</f>
        <v/>
      </c>
      <c r="S1981" s="65" t="str">
        <f>IF($A1981="","",IFERROR(MAXIFS(Candidates!$AA$2:$AA$2000,Candidates!$A$2:$A$2000,$A1981),""))</f>
        <v/>
      </c>
      <c r="T1981" s="64" t="str">
        <f>IFERROR(__xludf.DUMMYFUNCTION("IF($A1981="""","""",IFERROR(TEXTJOIN("", "",TRUE,UNIQUE(FILTER(Candidates!$B$2:$B$2000,Candidates!$A$2:$A$2000=$A1981))),""""))"),"")</f>
        <v/>
      </c>
      <c r="U1981" s="66" t="str">
        <f>IF($A1981="","",COUNTIF(Candidates!$A$2:$A$2000,$A1981))</f>
        <v/>
      </c>
      <c r="V1981" s="64" t="str">
        <f>IFERROR(__xludf.DUMMYFUNCTION("IF($A1981="""","""",IFERROR(INDEX(FILTER(Candidates!$S$2:$S$2000,Candidates!$A$2:$A$2000=$A1981),COUNTIF(Candidates!$A$2:$A$2000,$A1981)),""""))"),"")</f>
        <v/>
      </c>
      <c r="W1981" s="64" t="str">
        <f>IFERROR(__xludf.DUMMYFUNCTION("IF($A1981="""","""",IFERROR(INDEX(FILTER(Candidates!$T$2:$T$2000,Candidates!$A$2:$A$2000=$A1981),COUNTIF(Candidates!$A$2:$A$2000,$A1981)),""""))"),"")</f>
        <v/>
      </c>
      <c r="X1981" s="64"/>
      <c r="Y1981" s="64"/>
      <c r="Z1981" s="65"/>
      <c r="AA1981" s="65"/>
      <c r="AB1981" s="65"/>
      <c r="AC1981" s="65"/>
    </row>
    <row r="1982">
      <c r="A1982" s="64"/>
      <c r="B1982" s="64"/>
      <c r="C1982" s="64"/>
      <c r="D1982" s="64"/>
      <c r="E1982" s="64"/>
      <c r="F1982" s="64"/>
      <c r="G1982" s="64"/>
      <c r="H1982" s="63"/>
      <c r="I1982" s="64"/>
      <c r="J1982" s="64"/>
      <c r="K1982" s="64"/>
      <c r="L1982" s="64"/>
      <c r="M1982" s="64"/>
      <c r="N1982" s="64"/>
      <c r="O1982" s="64"/>
      <c r="P1982" s="64"/>
      <c r="Q1982" s="64"/>
      <c r="R1982" s="65" t="str">
        <f>IF($A1982="","",IFERROR(MINIFS(Candidates!$K$2:$K$2000,Candidates!$A$2:$A$2000,$A1982),""))</f>
        <v/>
      </c>
      <c r="S1982" s="65" t="str">
        <f>IF($A1982="","",IFERROR(MAXIFS(Candidates!$AA$2:$AA$2000,Candidates!$A$2:$A$2000,$A1982),""))</f>
        <v/>
      </c>
      <c r="T1982" s="64" t="str">
        <f>IFERROR(__xludf.DUMMYFUNCTION("IF($A1982="""","""",IFERROR(TEXTJOIN("", "",TRUE,UNIQUE(FILTER(Candidates!$B$2:$B$2000,Candidates!$A$2:$A$2000=$A1982))),""""))"),"")</f>
        <v/>
      </c>
      <c r="U1982" s="66" t="str">
        <f>IF($A1982="","",COUNTIF(Candidates!$A$2:$A$2000,$A1982))</f>
        <v/>
      </c>
      <c r="V1982" s="64" t="str">
        <f>IFERROR(__xludf.DUMMYFUNCTION("IF($A1982="""","""",IFERROR(INDEX(FILTER(Candidates!$S$2:$S$2000,Candidates!$A$2:$A$2000=$A1982),COUNTIF(Candidates!$A$2:$A$2000,$A1982)),""""))"),"")</f>
        <v/>
      </c>
      <c r="W1982" s="64" t="str">
        <f>IFERROR(__xludf.DUMMYFUNCTION("IF($A1982="""","""",IFERROR(INDEX(FILTER(Candidates!$T$2:$T$2000,Candidates!$A$2:$A$2000=$A1982),COUNTIF(Candidates!$A$2:$A$2000,$A1982)),""""))"),"")</f>
        <v/>
      </c>
      <c r="X1982" s="64"/>
      <c r="Y1982" s="64"/>
      <c r="Z1982" s="65"/>
      <c r="AA1982" s="65"/>
      <c r="AB1982" s="65"/>
      <c r="AC1982" s="65"/>
    </row>
    <row r="1983">
      <c r="A1983" s="64"/>
      <c r="B1983" s="64"/>
      <c r="C1983" s="64"/>
      <c r="D1983" s="64"/>
      <c r="E1983" s="64"/>
      <c r="F1983" s="64"/>
      <c r="G1983" s="64"/>
      <c r="H1983" s="63"/>
      <c r="I1983" s="64"/>
      <c r="J1983" s="64"/>
      <c r="K1983" s="64"/>
      <c r="L1983" s="64"/>
      <c r="M1983" s="64"/>
      <c r="N1983" s="64"/>
      <c r="O1983" s="64"/>
      <c r="P1983" s="64"/>
      <c r="Q1983" s="64"/>
      <c r="R1983" s="65" t="str">
        <f>IF($A1983="","",IFERROR(MINIFS(Candidates!$K$2:$K$2000,Candidates!$A$2:$A$2000,$A1983),""))</f>
        <v/>
      </c>
      <c r="S1983" s="65" t="str">
        <f>IF($A1983="","",IFERROR(MAXIFS(Candidates!$AA$2:$AA$2000,Candidates!$A$2:$A$2000,$A1983),""))</f>
        <v/>
      </c>
      <c r="T1983" s="64" t="str">
        <f>IFERROR(__xludf.DUMMYFUNCTION("IF($A1983="""","""",IFERROR(TEXTJOIN("", "",TRUE,UNIQUE(FILTER(Candidates!$B$2:$B$2000,Candidates!$A$2:$A$2000=$A1983))),""""))"),"")</f>
        <v/>
      </c>
      <c r="U1983" s="66" t="str">
        <f>IF($A1983="","",COUNTIF(Candidates!$A$2:$A$2000,$A1983))</f>
        <v/>
      </c>
      <c r="V1983" s="64" t="str">
        <f>IFERROR(__xludf.DUMMYFUNCTION("IF($A1983="""","""",IFERROR(INDEX(FILTER(Candidates!$S$2:$S$2000,Candidates!$A$2:$A$2000=$A1983),COUNTIF(Candidates!$A$2:$A$2000,$A1983)),""""))"),"")</f>
        <v/>
      </c>
      <c r="W1983" s="64" t="str">
        <f>IFERROR(__xludf.DUMMYFUNCTION("IF($A1983="""","""",IFERROR(INDEX(FILTER(Candidates!$T$2:$T$2000,Candidates!$A$2:$A$2000=$A1983),COUNTIF(Candidates!$A$2:$A$2000,$A1983)),""""))"),"")</f>
        <v/>
      </c>
      <c r="X1983" s="64"/>
      <c r="Y1983" s="64"/>
      <c r="Z1983" s="65"/>
      <c r="AA1983" s="65"/>
      <c r="AB1983" s="65"/>
      <c r="AC1983" s="65"/>
    </row>
    <row r="1984">
      <c r="A1984" s="64"/>
      <c r="B1984" s="64"/>
      <c r="C1984" s="64"/>
      <c r="D1984" s="64"/>
      <c r="E1984" s="64"/>
      <c r="F1984" s="64"/>
      <c r="G1984" s="64"/>
      <c r="H1984" s="63"/>
      <c r="I1984" s="64"/>
      <c r="J1984" s="64"/>
      <c r="K1984" s="64"/>
      <c r="L1984" s="64"/>
      <c r="M1984" s="64"/>
      <c r="N1984" s="64"/>
      <c r="O1984" s="64"/>
      <c r="P1984" s="64"/>
      <c r="Q1984" s="64"/>
      <c r="R1984" s="65" t="str">
        <f>IF($A1984="","",IFERROR(MINIFS(Candidates!$K$2:$K$2000,Candidates!$A$2:$A$2000,$A1984),""))</f>
        <v/>
      </c>
      <c r="S1984" s="65" t="str">
        <f>IF($A1984="","",IFERROR(MAXIFS(Candidates!$AA$2:$AA$2000,Candidates!$A$2:$A$2000,$A1984),""))</f>
        <v/>
      </c>
      <c r="T1984" s="64" t="str">
        <f>IFERROR(__xludf.DUMMYFUNCTION("IF($A1984="""","""",IFERROR(TEXTJOIN("", "",TRUE,UNIQUE(FILTER(Candidates!$B$2:$B$2000,Candidates!$A$2:$A$2000=$A1984))),""""))"),"")</f>
        <v/>
      </c>
      <c r="U1984" s="66" t="str">
        <f>IF($A1984="","",COUNTIF(Candidates!$A$2:$A$2000,$A1984))</f>
        <v/>
      </c>
      <c r="V1984" s="64" t="str">
        <f>IFERROR(__xludf.DUMMYFUNCTION("IF($A1984="""","""",IFERROR(INDEX(FILTER(Candidates!$S$2:$S$2000,Candidates!$A$2:$A$2000=$A1984),COUNTIF(Candidates!$A$2:$A$2000,$A1984)),""""))"),"")</f>
        <v/>
      </c>
      <c r="W1984" s="64" t="str">
        <f>IFERROR(__xludf.DUMMYFUNCTION("IF($A1984="""","""",IFERROR(INDEX(FILTER(Candidates!$T$2:$T$2000,Candidates!$A$2:$A$2000=$A1984),COUNTIF(Candidates!$A$2:$A$2000,$A1984)),""""))"),"")</f>
        <v/>
      </c>
      <c r="X1984" s="64"/>
      <c r="Y1984" s="64"/>
      <c r="Z1984" s="65"/>
      <c r="AA1984" s="65"/>
      <c r="AB1984" s="65"/>
      <c r="AC1984" s="65"/>
    </row>
    <row r="1985">
      <c r="A1985" s="64"/>
      <c r="B1985" s="64"/>
      <c r="C1985" s="64"/>
      <c r="D1985" s="64"/>
      <c r="E1985" s="64"/>
      <c r="F1985" s="64"/>
      <c r="G1985" s="64"/>
      <c r="H1985" s="63"/>
      <c r="I1985" s="64"/>
      <c r="J1985" s="64"/>
      <c r="K1985" s="64"/>
      <c r="L1985" s="64"/>
      <c r="M1985" s="64"/>
      <c r="N1985" s="64"/>
      <c r="O1985" s="64"/>
      <c r="P1985" s="64"/>
      <c r="Q1985" s="64"/>
      <c r="R1985" s="65" t="str">
        <f>IF($A1985="","",IFERROR(MINIFS(Candidates!$K$2:$K$2000,Candidates!$A$2:$A$2000,$A1985),""))</f>
        <v/>
      </c>
      <c r="S1985" s="65" t="str">
        <f>IF($A1985="","",IFERROR(MAXIFS(Candidates!$AA$2:$AA$2000,Candidates!$A$2:$A$2000,$A1985),""))</f>
        <v/>
      </c>
      <c r="T1985" s="64" t="str">
        <f>IFERROR(__xludf.DUMMYFUNCTION("IF($A1985="""","""",IFERROR(TEXTJOIN("", "",TRUE,UNIQUE(FILTER(Candidates!$B$2:$B$2000,Candidates!$A$2:$A$2000=$A1985))),""""))"),"")</f>
        <v/>
      </c>
      <c r="U1985" s="66" t="str">
        <f>IF($A1985="","",COUNTIF(Candidates!$A$2:$A$2000,$A1985))</f>
        <v/>
      </c>
      <c r="V1985" s="64" t="str">
        <f>IFERROR(__xludf.DUMMYFUNCTION("IF($A1985="""","""",IFERROR(INDEX(FILTER(Candidates!$S$2:$S$2000,Candidates!$A$2:$A$2000=$A1985),COUNTIF(Candidates!$A$2:$A$2000,$A1985)),""""))"),"")</f>
        <v/>
      </c>
      <c r="W1985" s="64" t="str">
        <f>IFERROR(__xludf.DUMMYFUNCTION("IF($A1985="""","""",IFERROR(INDEX(FILTER(Candidates!$T$2:$T$2000,Candidates!$A$2:$A$2000=$A1985),COUNTIF(Candidates!$A$2:$A$2000,$A1985)),""""))"),"")</f>
        <v/>
      </c>
      <c r="X1985" s="64"/>
      <c r="Y1985" s="64"/>
      <c r="Z1985" s="65"/>
      <c r="AA1985" s="65"/>
      <c r="AB1985" s="65"/>
      <c r="AC1985" s="65"/>
    </row>
    <row r="1986">
      <c r="A1986" s="64"/>
      <c r="B1986" s="64"/>
      <c r="C1986" s="64"/>
      <c r="D1986" s="64"/>
      <c r="E1986" s="64"/>
      <c r="F1986" s="64"/>
      <c r="G1986" s="64"/>
      <c r="H1986" s="63"/>
      <c r="I1986" s="64"/>
      <c r="J1986" s="64"/>
      <c r="K1986" s="64"/>
      <c r="L1986" s="64"/>
      <c r="M1986" s="64"/>
      <c r="N1986" s="64"/>
      <c r="O1986" s="64"/>
      <c r="P1986" s="64"/>
      <c r="Q1986" s="64"/>
      <c r="R1986" s="65" t="str">
        <f>IF($A1986="","",IFERROR(MINIFS(Candidates!$K$2:$K$2000,Candidates!$A$2:$A$2000,$A1986),""))</f>
        <v/>
      </c>
      <c r="S1986" s="65" t="str">
        <f>IF($A1986="","",IFERROR(MAXIFS(Candidates!$AA$2:$AA$2000,Candidates!$A$2:$A$2000,$A1986),""))</f>
        <v/>
      </c>
      <c r="T1986" s="64" t="str">
        <f>IFERROR(__xludf.DUMMYFUNCTION("IF($A1986="""","""",IFERROR(TEXTJOIN("", "",TRUE,UNIQUE(FILTER(Candidates!$B$2:$B$2000,Candidates!$A$2:$A$2000=$A1986))),""""))"),"")</f>
        <v/>
      </c>
      <c r="U1986" s="66" t="str">
        <f>IF($A1986="","",COUNTIF(Candidates!$A$2:$A$2000,$A1986))</f>
        <v/>
      </c>
      <c r="V1986" s="64" t="str">
        <f>IFERROR(__xludf.DUMMYFUNCTION("IF($A1986="""","""",IFERROR(INDEX(FILTER(Candidates!$S$2:$S$2000,Candidates!$A$2:$A$2000=$A1986),COUNTIF(Candidates!$A$2:$A$2000,$A1986)),""""))"),"")</f>
        <v/>
      </c>
      <c r="W1986" s="64" t="str">
        <f>IFERROR(__xludf.DUMMYFUNCTION("IF($A1986="""","""",IFERROR(INDEX(FILTER(Candidates!$T$2:$T$2000,Candidates!$A$2:$A$2000=$A1986),COUNTIF(Candidates!$A$2:$A$2000,$A1986)),""""))"),"")</f>
        <v/>
      </c>
      <c r="X1986" s="64"/>
      <c r="Y1986" s="64"/>
      <c r="Z1986" s="65"/>
      <c r="AA1986" s="65"/>
      <c r="AB1986" s="65"/>
      <c r="AC1986" s="65"/>
    </row>
    <row r="1987">
      <c r="A1987" s="64"/>
      <c r="B1987" s="64"/>
      <c r="C1987" s="64"/>
      <c r="D1987" s="64"/>
      <c r="E1987" s="64"/>
      <c r="F1987" s="64"/>
      <c r="G1987" s="64"/>
      <c r="H1987" s="63"/>
      <c r="I1987" s="64"/>
      <c r="J1987" s="64"/>
      <c r="K1987" s="64"/>
      <c r="L1987" s="64"/>
      <c r="M1987" s="64"/>
      <c r="N1987" s="64"/>
      <c r="O1987" s="64"/>
      <c r="P1987" s="64"/>
      <c r="Q1987" s="64"/>
      <c r="R1987" s="65" t="str">
        <f>IF($A1987="","",IFERROR(MINIFS(Candidates!$K$2:$K$2000,Candidates!$A$2:$A$2000,$A1987),""))</f>
        <v/>
      </c>
      <c r="S1987" s="65" t="str">
        <f>IF($A1987="","",IFERROR(MAXIFS(Candidates!$AA$2:$AA$2000,Candidates!$A$2:$A$2000,$A1987),""))</f>
        <v/>
      </c>
      <c r="T1987" s="64" t="str">
        <f>IFERROR(__xludf.DUMMYFUNCTION("IF($A1987="""","""",IFERROR(TEXTJOIN("", "",TRUE,UNIQUE(FILTER(Candidates!$B$2:$B$2000,Candidates!$A$2:$A$2000=$A1987))),""""))"),"")</f>
        <v/>
      </c>
      <c r="U1987" s="66" t="str">
        <f>IF($A1987="","",COUNTIF(Candidates!$A$2:$A$2000,$A1987))</f>
        <v/>
      </c>
      <c r="V1987" s="64" t="str">
        <f>IFERROR(__xludf.DUMMYFUNCTION("IF($A1987="""","""",IFERROR(INDEX(FILTER(Candidates!$S$2:$S$2000,Candidates!$A$2:$A$2000=$A1987),COUNTIF(Candidates!$A$2:$A$2000,$A1987)),""""))"),"")</f>
        <v/>
      </c>
      <c r="W1987" s="64" t="str">
        <f>IFERROR(__xludf.DUMMYFUNCTION("IF($A1987="""","""",IFERROR(INDEX(FILTER(Candidates!$T$2:$T$2000,Candidates!$A$2:$A$2000=$A1987),COUNTIF(Candidates!$A$2:$A$2000,$A1987)),""""))"),"")</f>
        <v/>
      </c>
      <c r="X1987" s="64"/>
      <c r="Y1987" s="64"/>
      <c r="Z1987" s="65"/>
      <c r="AA1987" s="65"/>
      <c r="AB1987" s="65"/>
      <c r="AC1987" s="65"/>
    </row>
    <row r="1988">
      <c r="A1988" s="64"/>
      <c r="B1988" s="64"/>
      <c r="C1988" s="64"/>
      <c r="D1988" s="64"/>
      <c r="E1988" s="64"/>
      <c r="F1988" s="64"/>
      <c r="G1988" s="64"/>
      <c r="H1988" s="63"/>
      <c r="I1988" s="64"/>
      <c r="J1988" s="64"/>
      <c r="K1988" s="64"/>
      <c r="L1988" s="64"/>
      <c r="M1988" s="64"/>
      <c r="N1988" s="64"/>
      <c r="O1988" s="64"/>
      <c r="P1988" s="64"/>
      <c r="Q1988" s="64"/>
      <c r="R1988" s="65" t="str">
        <f>IF($A1988="","",IFERROR(MINIFS(Candidates!$K$2:$K$2000,Candidates!$A$2:$A$2000,$A1988),""))</f>
        <v/>
      </c>
      <c r="S1988" s="65" t="str">
        <f>IF($A1988="","",IFERROR(MAXIFS(Candidates!$AA$2:$AA$2000,Candidates!$A$2:$A$2000,$A1988),""))</f>
        <v/>
      </c>
      <c r="T1988" s="64" t="str">
        <f>IFERROR(__xludf.DUMMYFUNCTION("IF($A1988="""","""",IFERROR(TEXTJOIN("", "",TRUE,UNIQUE(FILTER(Candidates!$B$2:$B$2000,Candidates!$A$2:$A$2000=$A1988))),""""))"),"")</f>
        <v/>
      </c>
      <c r="U1988" s="66" t="str">
        <f>IF($A1988="","",COUNTIF(Candidates!$A$2:$A$2000,$A1988))</f>
        <v/>
      </c>
      <c r="V1988" s="64" t="str">
        <f>IFERROR(__xludf.DUMMYFUNCTION("IF($A1988="""","""",IFERROR(INDEX(FILTER(Candidates!$S$2:$S$2000,Candidates!$A$2:$A$2000=$A1988),COUNTIF(Candidates!$A$2:$A$2000,$A1988)),""""))"),"")</f>
        <v/>
      </c>
      <c r="W1988" s="64" t="str">
        <f>IFERROR(__xludf.DUMMYFUNCTION("IF($A1988="""","""",IFERROR(INDEX(FILTER(Candidates!$T$2:$T$2000,Candidates!$A$2:$A$2000=$A1988),COUNTIF(Candidates!$A$2:$A$2000,$A1988)),""""))"),"")</f>
        <v/>
      </c>
      <c r="X1988" s="64"/>
      <c r="Y1988" s="64"/>
      <c r="Z1988" s="65"/>
      <c r="AA1988" s="65"/>
      <c r="AB1988" s="65"/>
      <c r="AC1988" s="65"/>
    </row>
    <row r="1989">
      <c r="A1989" s="64"/>
      <c r="B1989" s="64"/>
      <c r="C1989" s="64"/>
      <c r="D1989" s="64"/>
      <c r="E1989" s="64"/>
      <c r="F1989" s="64"/>
      <c r="G1989" s="64"/>
      <c r="H1989" s="63"/>
      <c r="I1989" s="64"/>
      <c r="J1989" s="64"/>
      <c r="K1989" s="64"/>
      <c r="L1989" s="64"/>
      <c r="M1989" s="64"/>
      <c r="N1989" s="64"/>
      <c r="O1989" s="64"/>
      <c r="P1989" s="64"/>
      <c r="Q1989" s="64"/>
      <c r="R1989" s="65" t="str">
        <f>IF($A1989="","",IFERROR(MINIFS(Candidates!$K$2:$K$2000,Candidates!$A$2:$A$2000,$A1989),""))</f>
        <v/>
      </c>
      <c r="S1989" s="65" t="str">
        <f>IF($A1989="","",IFERROR(MAXIFS(Candidates!$AA$2:$AA$2000,Candidates!$A$2:$A$2000,$A1989),""))</f>
        <v/>
      </c>
      <c r="T1989" s="64" t="str">
        <f>IFERROR(__xludf.DUMMYFUNCTION("IF($A1989="""","""",IFERROR(TEXTJOIN("", "",TRUE,UNIQUE(FILTER(Candidates!$B$2:$B$2000,Candidates!$A$2:$A$2000=$A1989))),""""))"),"")</f>
        <v/>
      </c>
      <c r="U1989" s="66" t="str">
        <f>IF($A1989="","",COUNTIF(Candidates!$A$2:$A$2000,$A1989))</f>
        <v/>
      </c>
      <c r="V1989" s="64" t="str">
        <f>IFERROR(__xludf.DUMMYFUNCTION("IF($A1989="""","""",IFERROR(INDEX(FILTER(Candidates!$S$2:$S$2000,Candidates!$A$2:$A$2000=$A1989),COUNTIF(Candidates!$A$2:$A$2000,$A1989)),""""))"),"")</f>
        <v/>
      </c>
      <c r="W1989" s="64" t="str">
        <f>IFERROR(__xludf.DUMMYFUNCTION("IF($A1989="""","""",IFERROR(INDEX(FILTER(Candidates!$T$2:$T$2000,Candidates!$A$2:$A$2000=$A1989),COUNTIF(Candidates!$A$2:$A$2000,$A1989)),""""))"),"")</f>
        <v/>
      </c>
      <c r="X1989" s="64"/>
      <c r="Y1989" s="64"/>
      <c r="Z1989" s="65"/>
      <c r="AA1989" s="65"/>
      <c r="AB1989" s="65"/>
      <c r="AC1989" s="65"/>
    </row>
    <row r="1990">
      <c r="A1990" s="64"/>
      <c r="B1990" s="64"/>
      <c r="C1990" s="64"/>
      <c r="D1990" s="64"/>
      <c r="E1990" s="64"/>
      <c r="F1990" s="64"/>
      <c r="G1990" s="64"/>
      <c r="H1990" s="63"/>
      <c r="I1990" s="64"/>
      <c r="J1990" s="64"/>
      <c r="K1990" s="64"/>
      <c r="L1990" s="64"/>
      <c r="M1990" s="64"/>
      <c r="N1990" s="64"/>
      <c r="O1990" s="64"/>
      <c r="P1990" s="64"/>
      <c r="Q1990" s="64"/>
      <c r="R1990" s="65" t="str">
        <f>IF($A1990="","",IFERROR(MINIFS(Candidates!$K$2:$K$2000,Candidates!$A$2:$A$2000,$A1990),""))</f>
        <v/>
      </c>
      <c r="S1990" s="65" t="str">
        <f>IF($A1990="","",IFERROR(MAXIFS(Candidates!$AA$2:$AA$2000,Candidates!$A$2:$A$2000,$A1990),""))</f>
        <v/>
      </c>
      <c r="T1990" s="64" t="str">
        <f>IFERROR(__xludf.DUMMYFUNCTION("IF($A1990="""","""",IFERROR(TEXTJOIN("", "",TRUE,UNIQUE(FILTER(Candidates!$B$2:$B$2000,Candidates!$A$2:$A$2000=$A1990))),""""))"),"")</f>
        <v/>
      </c>
      <c r="U1990" s="66" t="str">
        <f>IF($A1990="","",COUNTIF(Candidates!$A$2:$A$2000,$A1990))</f>
        <v/>
      </c>
      <c r="V1990" s="64" t="str">
        <f>IFERROR(__xludf.DUMMYFUNCTION("IF($A1990="""","""",IFERROR(INDEX(FILTER(Candidates!$S$2:$S$2000,Candidates!$A$2:$A$2000=$A1990),COUNTIF(Candidates!$A$2:$A$2000,$A1990)),""""))"),"")</f>
        <v/>
      </c>
      <c r="W1990" s="64" t="str">
        <f>IFERROR(__xludf.DUMMYFUNCTION("IF($A1990="""","""",IFERROR(INDEX(FILTER(Candidates!$T$2:$T$2000,Candidates!$A$2:$A$2000=$A1990),COUNTIF(Candidates!$A$2:$A$2000,$A1990)),""""))"),"")</f>
        <v/>
      </c>
      <c r="X1990" s="64"/>
      <c r="Y1990" s="64"/>
      <c r="Z1990" s="65"/>
      <c r="AA1990" s="65"/>
      <c r="AB1990" s="65"/>
      <c r="AC1990" s="65"/>
    </row>
    <row r="1991">
      <c r="A1991" s="64"/>
      <c r="B1991" s="64"/>
      <c r="C1991" s="64"/>
      <c r="D1991" s="64"/>
      <c r="E1991" s="64"/>
      <c r="F1991" s="64"/>
      <c r="G1991" s="64"/>
      <c r="H1991" s="63"/>
      <c r="I1991" s="64"/>
      <c r="J1991" s="64"/>
      <c r="K1991" s="64"/>
      <c r="L1991" s="64"/>
      <c r="M1991" s="64"/>
      <c r="N1991" s="64"/>
      <c r="O1991" s="64"/>
      <c r="P1991" s="64"/>
      <c r="Q1991" s="64"/>
      <c r="R1991" s="65" t="str">
        <f>IF($A1991="","",IFERROR(MINIFS(Candidates!$K$2:$K$2000,Candidates!$A$2:$A$2000,$A1991),""))</f>
        <v/>
      </c>
      <c r="S1991" s="65" t="str">
        <f>IF($A1991="","",IFERROR(MAXIFS(Candidates!$AA$2:$AA$2000,Candidates!$A$2:$A$2000,$A1991),""))</f>
        <v/>
      </c>
      <c r="T1991" s="64" t="str">
        <f>IFERROR(__xludf.DUMMYFUNCTION("IF($A1991="""","""",IFERROR(TEXTJOIN("", "",TRUE,UNIQUE(FILTER(Candidates!$B$2:$B$2000,Candidates!$A$2:$A$2000=$A1991))),""""))"),"")</f>
        <v/>
      </c>
      <c r="U1991" s="66" t="str">
        <f>IF($A1991="","",COUNTIF(Candidates!$A$2:$A$2000,$A1991))</f>
        <v/>
      </c>
      <c r="V1991" s="64" t="str">
        <f>IFERROR(__xludf.DUMMYFUNCTION("IF($A1991="""","""",IFERROR(INDEX(FILTER(Candidates!$S$2:$S$2000,Candidates!$A$2:$A$2000=$A1991),COUNTIF(Candidates!$A$2:$A$2000,$A1991)),""""))"),"")</f>
        <v/>
      </c>
      <c r="W1991" s="64" t="str">
        <f>IFERROR(__xludf.DUMMYFUNCTION("IF($A1991="""","""",IFERROR(INDEX(FILTER(Candidates!$T$2:$T$2000,Candidates!$A$2:$A$2000=$A1991),COUNTIF(Candidates!$A$2:$A$2000,$A1991)),""""))"),"")</f>
        <v/>
      </c>
      <c r="X1991" s="64"/>
      <c r="Y1991" s="64"/>
      <c r="Z1991" s="65"/>
      <c r="AA1991" s="65"/>
      <c r="AB1991" s="65"/>
      <c r="AC1991" s="65"/>
    </row>
    <row r="1992">
      <c r="A1992" s="64"/>
      <c r="B1992" s="64"/>
      <c r="C1992" s="64"/>
      <c r="D1992" s="64"/>
      <c r="E1992" s="64"/>
      <c r="F1992" s="64"/>
      <c r="G1992" s="64"/>
      <c r="H1992" s="63"/>
      <c r="I1992" s="64"/>
      <c r="J1992" s="64"/>
      <c r="K1992" s="64"/>
      <c r="L1992" s="64"/>
      <c r="M1992" s="64"/>
      <c r="N1992" s="64"/>
      <c r="O1992" s="64"/>
      <c r="P1992" s="64"/>
      <c r="Q1992" s="64"/>
      <c r="R1992" s="65" t="str">
        <f>IF($A1992="","",IFERROR(MINIFS(Candidates!$K$2:$K$2000,Candidates!$A$2:$A$2000,$A1992),""))</f>
        <v/>
      </c>
      <c r="S1992" s="65" t="str">
        <f>IF($A1992="","",IFERROR(MAXIFS(Candidates!$AA$2:$AA$2000,Candidates!$A$2:$A$2000,$A1992),""))</f>
        <v/>
      </c>
      <c r="T1992" s="64" t="str">
        <f>IFERROR(__xludf.DUMMYFUNCTION("IF($A1992="""","""",IFERROR(TEXTJOIN("", "",TRUE,UNIQUE(FILTER(Candidates!$B$2:$B$2000,Candidates!$A$2:$A$2000=$A1992))),""""))"),"")</f>
        <v/>
      </c>
      <c r="U1992" s="66" t="str">
        <f>IF($A1992="","",COUNTIF(Candidates!$A$2:$A$2000,$A1992))</f>
        <v/>
      </c>
      <c r="V1992" s="64" t="str">
        <f>IFERROR(__xludf.DUMMYFUNCTION("IF($A1992="""","""",IFERROR(INDEX(FILTER(Candidates!$S$2:$S$2000,Candidates!$A$2:$A$2000=$A1992),COUNTIF(Candidates!$A$2:$A$2000,$A1992)),""""))"),"")</f>
        <v/>
      </c>
      <c r="W1992" s="64" t="str">
        <f>IFERROR(__xludf.DUMMYFUNCTION("IF($A1992="""","""",IFERROR(INDEX(FILTER(Candidates!$T$2:$T$2000,Candidates!$A$2:$A$2000=$A1992),COUNTIF(Candidates!$A$2:$A$2000,$A1992)),""""))"),"")</f>
        <v/>
      </c>
      <c r="X1992" s="64"/>
      <c r="Y1992" s="64"/>
      <c r="Z1992" s="65"/>
      <c r="AA1992" s="65"/>
      <c r="AB1992" s="65"/>
      <c r="AC1992" s="65"/>
    </row>
    <row r="1993">
      <c r="A1993" s="64"/>
      <c r="B1993" s="64"/>
      <c r="C1993" s="64"/>
      <c r="D1993" s="64"/>
      <c r="E1993" s="64"/>
      <c r="F1993" s="64"/>
      <c r="G1993" s="64"/>
      <c r="H1993" s="63"/>
      <c r="I1993" s="64"/>
      <c r="J1993" s="64"/>
      <c r="K1993" s="64"/>
      <c r="L1993" s="64"/>
      <c r="M1993" s="64"/>
      <c r="N1993" s="64"/>
      <c r="O1993" s="64"/>
      <c r="P1993" s="64"/>
      <c r="Q1993" s="64"/>
      <c r="R1993" s="65" t="str">
        <f>IF($A1993="","",IFERROR(MINIFS(Candidates!$K$2:$K$2000,Candidates!$A$2:$A$2000,$A1993),""))</f>
        <v/>
      </c>
      <c r="S1993" s="65" t="str">
        <f>IF($A1993="","",IFERROR(MAXIFS(Candidates!$AA$2:$AA$2000,Candidates!$A$2:$A$2000,$A1993),""))</f>
        <v/>
      </c>
      <c r="T1993" s="64" t="str">
        <f>IFERROR(__xludf.DUMMYFUNCTION("IF($A1993="""","""",IFERROR(TEXTJOIN("", "",TRUE,UNIQUE(FILTER(Candidates!$B$2:$B$2000,Candidates!$A$2:$A$2000=$A1993))),""""))"),"")</f>
        <v/>
      </c>
      <c r="U1993" s="66" t="str">
        <f>IF($A1993="","",COUNTIF(Candidates!$A$2:$A$2000,$A1993))</f>
        <v/>
      </c>
      <c r="V1993" s="64" t="str">
        <f>IFERROR(__xludf.DUMMYFUNCTION("IF($A1993="""","""",IFERROR(INDEX(FILTER(Candidates!$S$2:$S$2000,Candidates!$A$2:$A$2000=$A1993),COUNTIF(Candidates!$A$2:$A$2000,$A1993)),""""))"),"")</f>
        <v/>
      </c>
      <c r="W1993" s="64" t="str">
        <f>IFERROR(__xludf.DUMMYFUNCTION("IF($A1993="""","""",IFERROR(INDEX(FILTER(Candidates!$T$2:$T$2000,Candidates!$A$2:$A$2000=$A1993),COUNTIF(Candidates!$A$2:$A$2000,$A1993)),""""))"),"")</f>
        <v/>
      </c>
      <c r="X1993" s="64"/>
      <c r="Y1993" s="64"/>
      <c r="Z1993" s="65"/>
      <c r="AA1993" s="65"/>
      <c r="AB1993" s="65"/>
      <c r="AC1993" s="65"/>
    </row>
    <row r="1994">
      <c r="A1994" s="64"/>
      <c r="B1994" s="64"/>
      <c r="C1994" s="64"/>
      <c r="D1994" s="64"/>
      <c r="E1994" s="64"/>
      <c r="F1994" s="64"/>
      <c r="G1994" s="64"/>
      <c r="H1994" s="63"/>
      <c r="I1994" s="64"/>
      <c r="J1994" s="64"/>
      <c r="K1994" s="64"/>
      <c r="L1994" s="64"/>
      <c r="M1994" s="64"/>
      <c r="N1994" s="64"/>
      <c r="O1994" s="64"/>
      <c r="P1994" s="64"/>
      <c r="Q1994" s="64"/>
      <c r="R1994" s="65" t="str">
        <f>IF($A1994="","",IFERROR(MINIFS(Candidates!$K$2:$K$2000,Candidates!$A$2:$A$2000,$A1994),""))</f>
        <v/>
      </c>
      <c r="S1994" s="65" t="str">
        <f>IF($A1994="","",IFERROR(MAXIFS(Candidates!$AA$2:$AA$2000,Candidates!$A$2:$A$2000,$A1994),""))</f>
        <v/>
      </c>
      <c r="T1994" s="64" t="str">
        <f>IFERROR(__xludf.DUMMYFUNCTION("IF($A1994="""","""",IFERROR(TEXTJOIN("", "",TRUE,UNIQUE(FILTER(Candidates!$B$2:$B$2000,Candidates!$A$2:$A$2000=$A1994))),""""))"),"")</f>
        <v/>
      </c>
      <c r="U1994" s="66" t="str">
        <f>IF($A1994="","",COUNTIF(Candidates!$A$2:$A$2000,$A1994))</f>
        <v/>
      </c>
      <c r="V1994" s="64" t="str">
        <f>IFERROR(__xludf.DUMMYFUNCTION("IF($A1994="""","""",IFERROR(INDEX(FILTER(Candidates!$S$2:$S$2000,Candidates!$A$2:$A$2000=$A1994),COUNTIF(Candidates!$A$2:$A$2000,$A1994)),""""))"),"")</f>
        <v/>
      </c>
      <c r="W1994" s="64" t="str">
        <f>IFERROR(__xludf.DUMMYFUNCTION("IF($A1994="""","""",IFERROR(INDEX(FILTER(Candidates!$T$2:$T$2000,Candidates!$A$2:$A$2000=$A1994),COUNTIF(Candidates!$A$2:$A$2000,$A1994)),""""))"),"")</f>
        <v/>
      </c>
      <c r="X1994" s="64"/>
      <c r="Y1994" s="64"/>
      <c r="Z1994" s="65"/>
      <c r="AA1994" s="65"/>
      <c r="AB1994" s="65"/>
      <c r="AC1994" s="65"/>
    </row>
    <row r="1995">
      <c r="A1995" s="64"/>
      <c r="B1995" s="64"/>
      <c r="C1995" s="64"/>
      <c r="D1995" s="64"/>
      <c r="E1995" s="64"/>
      <c r="F1995" s="64"/>
      <c r="G1995" s="64"/>
      <c r="H1995" s="63"/>
      <c r="I1995" s="64"/>
      <c r="J1995" s="64"/>
      <c r="K1995" s="64"/>
      <c r="L1995" s="64"/>
      <c r="M1995" s="64"/>
      <c r="N1995" s="64"/>
      <c r="O1995" s="64"/>
      <c r="P1995" s="64"/>
      <c r="Q1995" s="64"/>
      <c r="R1995" s="65" t="str">
        <f>IF($A1995="","",IFERROR(MINIFS(Candidates!$K$2:$K$2000,Candidates!$A$2:$A$2000,$A1995),""))</f>
        <v/>
      </c>
      <c r="S1995" s="65" t="str">
        <f>IF($A1995="","",IFERROR(MAXIFS(Candidates!$AA$2:$AA$2000,Candidates!$A$2:$A$2000,$A1995),""))</f>
        <v/>
      </c>
      <c r="T1995" s="64" t="str">
        <f>IFERROR(__xludf.DUMMYFUNCTION("IF($A1995="""","""",IFERROR(TEXTJOIN("", "",TRUE,UNIQUE(FILTER(Candidates!$B$2:$B$2000,Candidates!$A$2:$A$2000=$A1995))),""""))"),"")</f>
        <v/>
      </c>
      <c r="U1995" s="66" t="str">
        <f>IF($A1995="","",COUNTIF(Candidates!$A$2:$A$2000,$A1995))</f>
        <v/>
      </c>
      <c r="V1995" s="64" t="str">
        <f>IFERROR(__xludf.DUMMYFUNCTION("IF($A1995="""","""",IFERROR(INDEX(FILTER(Candidates!$S$2:$S$2000,Candidates!$A$2:$A$2000=$A1995),COUNTIF(Candidates!$A$2:$A$2000,$A1995)),""""))"),"")</f>
        <v/>
      </c>
      <c r="W1995" s="64" t="str">
        <f>IFERROR(__xludf.DUMMYFUNCTION("IF($A1995="""","""",IFERROR(INDEX(FILTER(Candidates!$T$2:$T$2000,Candidates!$A$2:$A$2000=$A1995),COUNTIF(Candidates!$A$2:$A$2000,$A1995)),""""))"),"")</f>
        <v/>
      </c>
      <c r="X1995" s="64"/>
      <c r="Y1995" s="64"/>
      <c r="Z1995" s="65"/>
      <c r="AA1995" s="65"/>
      <c r="AB1995" s="65"/>
      <c r="AC1995" s="65"/>
    </row>
    <row r="1996">
      <c r="A1996" s="64"/>
      <c r="B1996" s="64"/>
      <c r="C1996" s="64"/>
      <c r="D1996" s="64"/>
      <c r="E1996" s="64"/>
      <c r="F1996" s="64"/>
      <c r="G1996" s="64"/>
      <c r="H1996" s="63"/>
      <c r="I1996" s="64"/>
      <c r="J1996" s="64"/>
      <c r="K1996" s="64"/>
      <c r="L1996" s="64"/>
      <c r="M1996" s="64"/>
      <c r="N1996" s="64"/>
      <c r="O1996" s="64"/>
      <c r="P1996" s="64"/>
      <c r="Q1996" s="64"/>
      <c r="R1996" s="65" t="str">
        <f>IF($A1996="","",IFERROR(MINIFS(Candidates!$K$2:$K$2000,Candidates!$A$2:$A$2000,$A1996),""))</f>
        <v/>
      </c>
      <c r="S1996" s="65" t="str">
        <f>IF($A1996="","",IFERROR(MAXIFS(Candidates!$AA$2:$AA$2000,Candidates!$A$2:$A$2000,$A1996),""))</f>
        <v/>
      </c>
      <c r="T1996" s="64" t="str">
        <f>IFERROR(__xludf.DUMMYFUNCTION("IF($A1996="""","""",IFERROR(TEXTJOIN("", "",TRUE,UNIQUE(FILTER(Candidates!$B$2:$B$2000,Candidates!$A$2:$A$2000=$A1996))),""""))"),"")</f>
        <v/>
      </c>
      <c r="U1996" s="66" t="str">
        <f>IF($A1996="","",COUNTIF(Candidates!$A$2:$A$2000,$A1996))</f>
        <v/>
      </c>
      <c r="V1996" s="64" t="str">
        <f>IFERROR(__xludf.DUMMYFUNCTION("IF($A1996="""","""",IFERROR(INDEX(FILTER(Candidates!$S$2:$S$2000,Candidates!$A$2:$A$2000=$A1996),COUNTIF(Candidates!$A$2:$A$2000,$A1996)),""""))"),"")</f>
        <v/>
      </c>
      <c r="W1996" s="64" t="str">
        <f>IFERROR(__xludf.DUMMYFUNCTION("IF($A1996="""","""",IFERROR(INDEX(FILTER(Candidates!$T$2:$T$2000,Candidates!$A$2:$A$2000=$A1996),COUNTIF(Candidates!$A$2:$A$2000,$A1996)),""""))"),"")</f>
        <v/>
      </c>
      <c r="X1996" s="64"/>
      <c r="Y1996" s="64"/>
      <c r="Z1996" s="65"/>
      <c r="AA1996" s="65"/>
      <c r="AB1996" s="65"/>
      <c r="AC1996" s="65"/>
    </row>
    <row r="1997">
      <c r="A1997" s="64"/>
      <c r="B1997" s="64"/>
      <c r="C1997" s="64"/>
      <c r="D1997" s="64"/>
      <c r="E1997" s="64"/>
      <c r="F1997" s="64"/>
      <c r="G1997" s="64"/>
      <c r="H1997" s="63"/>
      <c r="I1997" s="64"/>
      <c r="J1997" s="64"/>
      <c r="K1997" s="64"/>
      <c r="L1997" s="64"/>
      <c r="M1997" s="64"/>
      <c r="N1997" s="64"/>
      <c r="O1997" s="64"/>
      <c r="P1997" s="64"/>
      <c r="Q1997" s="64"/>
      <c r="R1997" s="65" t="str">
        <f>IF($A1997="","",IFERROR(MINIFS(Candidates!$K$2:$K$2000,Candidates!$A$2:$A$2000,$A1997),""))</f>
        <v/>
      </c>
      <c r="S1997" s="65" t="str">
        <f>IF($A1997="","",IFERROR(MAXIFS(Candidates!$AA$2:$AA$2000,Candidates!$A$2:$A$2000,$A1997),""))</f>
        <v/>
      </c>
      <c r="T1997" s="64" t="str">
        <f>IFERROR(__xludf.DUMMYFUNCTION("IF($A1997="""","""",IFERROR(TEXTJOIN("", "",TRUE,UNIQUE(FILTER(Candidates!$B$2:$B$2000,Candidates!$A$2:$A$2000=$A1997))),""""))"),"")</f>
        <v/>
      </c>
      <c r="U1997" s="66" t="str">
        <f>IF($A1997="","",COUNTIF(Candidates!$A$2:$A$2000,$A1997))</f>
        <v/>
      </c>
      <c r="V1997" s="64" t="str">
        <f>IFERROR(__xludf.DUMMYFUNCTION("IF($A1997="""","""",IFERROR(INDEX(FILTER(Candidates!$S$2:$S$2000,Candidates!$A$2:$A$2000=$A1997),COUNTIF(Candidates!$A$2:$A$2000,$A1997)),""""))"),"")</f>
        <v/>
      </c>
      <c r="W1997" s="64" t="str">
        <f>IFERROR(__xludf.DUMMYFUNCTION("IF($A1997="""","""",IFERROR(INDEX(FILTER(Candidates!$T$2:$T$2000,Candidates!$A$2:$A$2000=$A1997),COUNTIF(Candidates!$A$2:$A$2000,$A1997)),""""))"),"")</f>
        <v/>
      </c>
      <c r="X1997" s="64"/>
      <c r="Y1997" s="64"/>
      <c r="Z1997" s="65"/>
      <c r="AA1997" s="65"/>
      <c r="AB1997" s="65"/>
      <c r="AC1997" s="65"/>
    </row>
    <row r="1998">
      <c r="A1998" s="64"/>
      <c r="B1998" s="64"/>
      <c r="C1998" s="64"/>
      <c r="D1998" s="64"/>
      <c r="E1998" s="64"/>
      <c r="F1998" s="64"/>
      <c r="G1998" s="64"/>
      <c r="H1998" s="63"/>
      <c r="I1998" s="64"/>
      <c r="J1998" s="64"/>
      <c r="K1998" s="64"/>
      <c r="L1998" s="64"/>
      <c r="M1998" s="64"/>
      <c r="N1998" s="64"/>
      <c r="O1998" s="64"/>
      <c r="P1998" s="64"/>
      <c r="Q1998" s="64"/>
      <c r="R1998" s="65" t="str">
        <f>IF($A1998="","",IFERROR(MINIFS(Candidates!$K$2:$K$2000,Candidates!$A$2:$A$2000,$A1998),""))</f>
        <v/>
      </c>
      <c r="S1998" s="65" t="str">
        <f>IF($A1998="","",IFERROR(MAXIFS(Candidates!$AA$2:$AA$2000,Candidates!$A$2:$A$2000,$A1998),""))</f>
        <v/>
      </c>
      <c r="T1998" s="64" t="str">
        <f>IFERROR(__xludf.DUMMYFUNCTION("IF($A1998="""","""",IFERROR(TEXTJOIN("", "",TRUE,UNIQUE(FILTER(Candidates!$B$2:$B$2000,Candidates!$A$2:$A$2000=$A1998))),""""))"),"")</f>
        <v/>
      </c>
      <c r="U1998" s="66" t="str">
        <f>IF($A1998="","",COUNTIF(Candidates!$A$2:$A$2000,$A1998))</f>
        <v/>
      </c>
      <c r="V1998" s="64" t="str">
        <f>IFERROR(__xludf.DUMMYFUNCTION("IF($A1998="""","""",IFERROR(INDEX(FILTER(Candidates!$S$2:$S$2000,Candidates!$A$2:$A$2000=$A1998),COUNTIF(Candidates!$A$2:$A$2000,$A1998)),""""))"),"")</f>
        <v/>
      </c>
      <c r="W1998" s="64" t="str">
        <f>IFERROR(__xludf.DUMMYFUNCTION("IF($A1998="""","""",IFERROR(INDEX(FILTER(Candidates!$T$2:$T$2000,Candidates!$A$2:$A$2000=$A1998),COUNTIF(Candidates!$A$2:$A$2000,$A1998)),""""))"),"")</f>
        <v/>
      </c>
      <c r="X1998" s="64"/>
      <c r="Y1998" s="64"/>
      <c r="Z1998" s="65"/>
      <c r="AA1998" s="65"/>
      <c r="AB1998" s="65"/>
      <c r="AC1998" s="65"/>
    </row>
    <row r="1999">
      <c r="A1999" s="64"/>
      <c r="B1999" s="64"/>
      <c r="C1999" s="64"/>
      <c r="D1999" s="64"/>
      <c r="E1999" s="64"/>
      <c r="F1999" s="64"/>
      <c r="G1999" s="64"/>
      <c r="H1999" s="63"/>
      <c r="I1999" s="64"/>
      <c r="J1999" s="64"/>
      <c r="K1999" s="64"/>
      <c r="L1999" s="64"/>
      <c r="M1999" s="64"/>
      <c r="N1999" s="64"/>
      <c r="O1999" s="64"/>
      <c r="P1999" s="64"/>
      <c r="Q1999" s="64"/>
      <c r="R1999" s="65" t="str">
        <f>IF($A1999="","",IFERROR(MINIFS(Candidates!$K$2:$K$2000,Candidates!$A$2:$A$2000,$A1999),""))</f>
        <v/>
      </c>
      <c r="S1999" s="65" t="str">
        <f>IF($A1999="","",IFERROR(MAXIFS(Candidates!$AA$2:$AA$2000,Candidates!$A$2:$A$2000,$A1999),""))</f>
        <v/>
      </c>
      <c r="T1999" s="64" t="str">
        <f>IFERROR(__xludf.DUMMYFUNCTION("IF($A1999="""","""",IFERROR(TEXTJOIN("", "",TRUE,UNIQUE(FILTER(Candidates!$B$2:$B$2000,Candidates!$A$2:$A$2000=$A1999))),""""))"),"")</f>
        <v/>
      </c>
      <c r="U1999" s="66" t="str">
        <f>IF($A1999="","",COUNTIF(Candidates!$A$2:$A$2000,$A1999))</f>
        <v/>
      </c>
      <c r="V1999" s="64" t="str">
        <f>IFERROR(__xludf.DUMMYFUNCTION("IF($A1999="""","""",IFERROR(INDEX(FILTER(Candidates!$S$2:$S$2000,Candidates!$A$2:$A$2000=$A1999),COUNTIF(Candidates!$A$2:$A$2000,$A1999)),""""))"),"")</f>
        <v/>
      </c>
      <c r="W1999" s="64" t="str">
        <f>IFERROR(__xludf.DUMMYFUNCTION("IF($A1999="""","""",IFERROR(INDEX(FILTER(Candidates!$T$2:$T$2000,Candidates!$A$2:$A$2000=$A1999),COUNTIF(Candidates!$A$2:$A$2000,$A1999)),""""))"),"")</f>
        <v/>
      </c>
      <c r="X1999" s="64"/>
      <c r="Y1999" s="64"/>
      <c r="Z1999" s="65"/>
      <c r="AA1999" s="65"/>
      <c r="AB1999" s="65"/>
      <c r="AC1999" s="65"/>
    </row>
    <row r="2000">
      <c r="A2000" s="64"/>
      <c r="B2000" s="64"/>
      <c r="C2000" s="64"/>
      <c r="D2000" s="64"/>
      <c r="E2000" s="64"/>
      <c r="F2000" s="64"/>
      <c r="G2000" s="64"/>
      <c r="H2000" s="63"/>
      <c r="I2000" s="64"/>
      <c r="J2000" s="64"/>
      <c r="K2000" s="64"/>
      <c r="L2000" s="64"/>
      <c r="M2000" s="64"/>
      <c r="N2000" s="64"/>
      <c r="O2000" s="64"/>
      <c r="P2000" s="64"/>
      <c r="Q2000" s="64"/>
      <c r="R2000" s="65" t="str">
        <f>IF($A2000="","",IFERROR(MINIFS(Candidates!$K$2:$K$2000,Candidates!$A$2:$A$2000,$A2000),""))</f>
        <v/>
      </c>
      <c r="S2000" s="65" t="str">
        <f>IF($A2000="","",IFERROR(MAXIFS(Candidates!$AA$2:$AA$2000,Candidates!$A$2:$A$2000,$A2000),""))</f>
        <v/>
      </c>
      <c r="T2000" s="64" t="str">
        <f>IFERROR(__xludf.DUMMYFUNCTION("IF($A2000="""","""",IFERROR(TEXTJOIN("", "",TRUE,UNIQUE(FILTER(Candidates!$B$2:$B$2000,Candidates!$A$2:$A$2000=$A2000))),""""))"),"")</f>
        <v/>
      </c>
      <c r="U2000" s="66" t="str">
        <f>IF($A2000="","",COUNTIF(Candidates!$A$2:$A$2000,$A2000))</f>
        <v/>
      </c>
      <c r="V2000" s="64" t="str">
        <f>IFERROR(__xludf.DUMMYFUNCTION("IF($A2000="""","""",IFERROR(INDEX(FILTER(Candidates!$S$2:$S$2000,Candidates!$A$2:$A$2000=$A2000),COUNTIF(Candidates!$A$2:$A$2000,$A2000)),""""))"),"")</f>
        <v/>
      </c>
      <c r="W2000" s="64" t="str">
        <f>IFERROR(__xludf.DUMMYFUNCTION("IF($A2000="""","""",IFERROR(INDEX(FILTER(Candidates!$T$2:$T$2000,Candidates!$A$2:$A$2000=$A2000),COUNTIF(Candidates!$A$2:$A$2000,$A2000)),""""))"),"")</f>
        <v/>
      </c>
      <c r="X2000" s="64"/>
      <c r="Y2000" s="64"/>
      <c r="Z2000" s="65"/>
      <c r="AA2000" s="65"/>
      <c r="AB2000" s="65"/>
      <c r="AC2000" s="65"/>
    </row>
    <row r="2001">
      <c r="A2001" s="70"/>
      <c r="B2001" s="70"/>
      <c r="C2001" s="70"/>
      <c r="D2001" s="70"/>
      <c r="E2001" s="70"/>
      <c r="F2001" s="70"/>
      <c r="G2001" s="70"/>
      <c r="H2001" s="68"/>
      <c r="I2001" s="64"/>
      <c r="J2001" s="64"/>
      <c r="K2001" s="64"/>
      <c r="L2001" s="64"/>
      <c r="M2001" s="64"/>
      <c r="N2001" s="64"/>
      <c r="O2001" s="64"/>
      <c r="P2001" s="64"/>
      <c r="Q2001" s="70"/>
      <c r="R2001" s="128"/>
      <c r="S2001" s="128"/>
      <c r="T2001" s="70"/>
      <c r="U2001" s="73"/>
      <c r="V2001" s="70"/>
      <c r="W2001" s="70"/>
      <c r="X2001" s="64"/>
      <c r="Y2001" s="64"/>
      <c r="Z2001" s="128"/>
      <c r="AA2001" s="128"/>
      <c r="AB2001" s="128"/>
      <c r="AC2001" s="128"/>
    </row>
  </sheetData>
  <autoFilter ref="$A$1:$Z$2001"/>
  <dataValidations>
    <dataValidation type="list" allowBlank="1" showErrorMessage="1" sqref="Q2:Q2001">
      <formula1>'Lists &amp; Settings'!$S$2:$S$8</formula1>
    </dataValidation>
    <dataValidation type="list" allowBlank="1" showErrorMessage="1" sqref="M2:M2001">
      <formula1>'Lists &amp; Settings'!$T$2:$T$11</formula1>
    </dataValidation>
  </dataValidations>
  <hyperlinks>
    <hyperlink r:id="rId1" ref="X32"/>
    <hyperlink r:id="rId2" ref="X33"/>
    <hyperlink r:id="rId3" ref="X34"/>
    <hyperlink r:id="rId4" ref="X37"/>
    <hyperlink r:id="rId5" ref="X38"/>
    <hyperlink r:id="rId6" ref="X39"/>
    <hyperlink r:id="rId7" ref="X40"/>
    <hyperlink r:id="rId8" ref="X41"/>
    <hyperlink r:id="rId9" ref="X42"/>
    <hyperlink r:id="rId10" ref="X43"/>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6" max="6" width="23.88"/>
    <col customWidth="1" min="7" max="7" width="18.13"/>
    <col customWidth="1" min="8" max="8" width="23.0"/>
    <col customWidth="1" min="9" max="9" width="23.75"/>
    <col customWidth="1" min="10" max="10" width="20.0"/>
  </cols>
  <sheetData>
    <row r="1">
      <c r="A1" s="2" t="s">
        <v>1098</v>
      </c>
      <c r="B1" s="2" t="s">
        <v>1099</v>
      </c>
      <c r="C1" s="2" t="s">
        <v>1100</v>
      </c>
      <c r="D1" s="2" t="s">
        <v>1101</v>
      </c>
      <c r="E1" s="2" t="s">
        <v>96</v>
      </c>
      <c r="F1" s="2" t="s">
        <v>1102</v>
      </c>
      <c r="G1" s="2" t="s">
        <v>1103</v>
      </c>
      <c r="H1" s="2" t="s">
        <v>1104</v>
      </c>
      <c r="I1" s="2" t="s">
        <v>1105</v>
      </c>
      <c r="J1" s="2" t="s">
        <v>1106</v>
      </c>
      <c r="K1" s="2" t="s">
        <v>1107</v>
      </c>
      <c r="L1" s="2" t="s">
        <v>124</v>
      </c>
      <c r="M1" s="2" t="s">
        <v>115</v>
      </c>
    </row>
    <row r="2">
      <c r="A2" s="2" t="s">
        <v>1108</v>
      </c>
      <c r="B2" s="2" t="s">
        <v>198</v>
      </c>
      <c r="C2" s="2" t="s">
        <v>1109</v>
      </c>
      <c r="D2" s="2" t="s">
        <v>1110</v>
      </c>
      <c r="E2" s="79" t="s">
        <v>16</v>
      </c>
      <c r="F2" s="2" t="s">
        <v>1111</v>
      </c>
      <c r="G2" s="2" t="s">
        <v>1111</v>
      </c>
      <c r="H2" s="2" t="s">
        <v>22</v>
      </c>
      <c r="I2" s="2" t="s">
        <v>22</v>
      </c>
      <c r="J2" s="2" t="s">
        <v>22</v>
      </c>
      <c r="K2" s="80">
        <v>46299.29705418981</v>
      </c>
      <c r="L2" s="81" t="s">
        <v>1112</v>
      </c>
      <c r="M2" s="81" t="s">
        <v>1112</v>
      </c>
    </row>
    <row r="3">
      <c r="A3" s="2" t="s">
        <v>1113</v>
      </c>
      <c r="B3" s="2" t="s">
        <v>1114</v>
      </c>
      <c r="C3" s="2" t="s">
        <v>1115</v>
      </c>
      <c r="D3" s="2" t="s">
        <v>1116</v>
      </c>
      <c r="E3" s="2" t="s">
        <v>16</v>
      </c>
      <c r="F3" s="2" t="s">
        <v>1111</v>
      </c>
      <c r="G3" s="2" t="s">
        <v>1111</v>
      </c>
      <c r="H3" s="2" t="s">
        <v>22</v>
      </c>
      <c r="I3" s="2" t="s">
        <v>22</v>
      </c>
      <c r="J3" s="2" t="s">
        <v>35</v>
      </c>
      <c r="K3" s="80">
        <v>46296.15133408565</v>
      </c>
      <c r="L3" s="2"/>
      <c r="M3" s="81" t="s">
        <v>1117</v>
      </c>
    </row>
    <row r="4">
      <c r="D4" s="3"/>
      <c r="E4" s="3"/>
      <c r="H4" s="3"/>
      <c r="I4" s="3"/>
      <c r="J4" s="3"/>
    </row>
    <row r="5">
      <c r="D5" s="3"/>
      <c r="E5" s="3"/>
      <c r="H5" s="3"/>
      <c r="I5" s="3"/>
      <c r="J5" s="3"/>
    </row>
    <row r="6">
      <c r="D6" s="3"/>
      <c r="E6" s="3"/>
      <c r="H6" s="3"/>
      <c r="I6" s="3"/>
      <c r="J6" s="3"/>
    </row>
    <row r="7">
      <c r="D7" s="3"/>
      <c r="E7" s="3"/>
      <c r="H7" s="3"/>
      <c r="I7" s="3"/>
      <c r="J7" s="3"/>
    </row>
    <row r="8">
      <c r="D8" s="3"/>
      <c r="E8" s="3"/>
      <c r="H8" s="3"/>
      <c r="I8" s="3"/>
      <c r="J8" s="3"/>
    </row>
    <row r="9">
      <c r="D9" s="3"/>
      <c r="E9" s="3"/>
      <c r="H9" s="3"/>
      <c r="I9" s="3"/>
      <c r="J9" s="3"/>
    </row>
    <row r="10">
      <c r="D10" s="3"/>
      <c r="E10" s="3"/>
      <c r="H10" s="3"/>
      <c r="I10" s="3"/>
      <c r="J10" s="3"/>
    </row>
    <row r="11">
      <c r="D11" s="3"/>
      <c r="E11" s="3"/>
      <c r="H11" s="3"/>
      <c r="I11" s="3"/>
      <c r="J11" s="3"/>
    </row>
    <row r="12">
      <c r="D12" s="3"/>
      <c r="E12" s="3"/>
      <c r="H12" s="3"/>
      <c r="I12" s="3"/>
      <c r="J12" s="3"/>
    </row>
    <row r="13">
      <c r="D13" s="3"/>
      <c r="E13" s="3"/>
      <c r="H13" s="3"/>
      <c r="I13" s="3"/>
      <c r="J13" s="3"/>
    </row>
    <row r="14">
      <c r="D14" s="3"/>
      <c r="E14" s="3"/>
      <c r="H14" s="3"/>
      <c r="I14" s="3"/>
      <c r="J14" s="3"/>
    </row>
    <row r="15">
      <c r="D15" s="3"/>
      <c r="E15" s="3"/>
      <c r="H15" s="3"/>
      <c r="I15" s="3"/>
      <c r="J15" s="3"/>
    </row>
    <row r="16">
      <c r="D16" s="3"/>
      <c r="E16" s="3"/>
      <c r="H16" s="3"/>
      <c r="I16" s="3"/>
      <c r="J16" s="3"/>
    </row>
    <row r="17">
      <c r="D17" s="3"/>
      <c r="E17" s="3"/>
      <c r="H17" s="3"/>
      <c r="I17" s="3"/>
      <c r="J17" s="3"/>
    </row>
    <row r="18">
      <c r="D18" s="3"/>
      <c r="E18" s="3"/>
      <c r="H18" s="3"/>
      <c r="I18" s="3"/>
      <c r="J18" s="3"/>
    </row>
    <row r="19">
      <c r="D19" s="3"/>
      <c r="E19" s="3"/>
      <c r="H19" s="3"/>
      <c r="I19" s="3"/>
      <c r="J19" s="3"/>
    </row>
    <row r="20">
      <c r="D20" s="3"/>
      <c r="E20" s="3"/>
      <c r="H20" s="3"/>
      <c r="I20" s="3"/>
      <c r="J20" s="3"/>
    </row>
    <row r="21">
      <c r="D21" s="3"/>
      <c r="E21" s="3"/>
      <c r="H21" s="3"/>
      <c r="I21" s="3"/>
      <c r="J21" s="3"/>
    </row>
    <row r="22">
      <c r="D22" s="3"/>
      <c r="E22" s="3"/>
      <c r="H22" s="3"/>
      <c r="I22" s="3"/>
      <c r="J22" s="3"/>
    </row>
    <row r="23">
      <c r="D23" s="3"/>
      <c r="E23" s="3"/>
      <c r="H23" s="3"/>
      <c r="I23" s="3"/>
      <c r="J23" s="3"/>
    </row>
    <row r="24">
      <c r="D24" s="3"/>
      <c r="E24" s="3"/>
      <c r="H24" s="3"/>
      <c r="I24" s="3"/>
      <c r="J24" s="3"/>
    </row>
    <row r="25">
      <c r="D25" s="3"/>
      <c r="E25" s="3"/>
      <c r="H25" s="3"/>
      <c r="I25" s="3"/>
      <c r="J25" s="3"/>
    </row>
    <row r="26">
      <c r="D26" s="3"/>
      <c r="E26" s="3"/>
      <c r="H26" s="3"/>
      <c r="I26" s="3"/>
      <c r="J26" s="3"/>
    </row>
    <row r="27">
      <c r="D27" s="3"/>
      <c r="E27" s="3"/>
      <c r="H27" s="3"/>
      <c r="I27" s="3"/>
      <c r="J27" s="3"/>
    </row>
    <row r="28">
      <c r="D28" s="3"/>
      <c r="E28" s="3"/>
      <c r="H28" s="3"/>
      <c r="I28" s="3"/>
      <c r="J28" s="3"/>
    </row>
    <row r="29">
      <c r="D29" s="3"/>
      <c r="E29" s="3"/>
      <c r="H29" s="3"/>
      <c r="I29" s="3"/>
      <c r="J29" s="3"/>
    </row>
    <row r="30">
      <c r="D30" s="3"/>
      <c r="E30" s="3"/>
      <c r="H30" s="3"/>
      <c r="I30" s="3"/>
      <c r="J30" s="3"/>
    </row>
    <row r="31">
      <c r="D31" s="3"/>
      <c r="E31" s="3"/>
      <c r="H31" s="3"/>
      <c r="I31" s="3"/>
      <c r="J31" s="3"/>
    </row>
    <row r="32">
      <c r="D32" s="3"/>
      <c r="E32" s="3"/>
      <c r="H32" s="3"/>
      <c r="I32" s="3"/>
      <c r="J32" s="3"/>
    </row>
    <row r="33">
      <c r="D33" s="3"/>
      <c r="E33" s="3"/>
      <c r="H33" s="3"/>
      <c r="I33" s="3"/>
      <c r="J33" s="3"/>
    </row>
    <row r="34">
      <c r="D34" s="3"/>
      <c r="E34" s="3"/>
      <c r="H34" s="3"/>
      <c r="I34" s="3"/>
      <c r="J34" s="3"/>
    </row>
    <row r="35">
      <c r="D35" s="3"/>
      <c r="E35" s="3"/>
      <c r="H35" s="3"/>
      <c r="I35" s="3"/>
      <c r="J35" s="3"/>
    </row>
    <row r="36">
      <c r="D36" s="3"/>
      <c r="E36" s="3"/>
      <c r="H36" s="3"/>
      <c r="I36" s="3"/>
      <c r="J36" s="3"/>
    </row>
    <row r="37">
      <c r="D37" s="3"/>
      <c r="E37" s="3"/>
      <c r="H37" s="3"/>
      <c r="I37" s="3"/>
      <c r="J37" s="3"/>
    </row>
    <row r="38">
      <c r="D38" s="3"/>
      <c r="E38" s="3"/>
      <c r="H38" s="3"/>
      <c r="I38" s="3"/>
      <c r="J38" s="3"/>
    </row>
    <row r="39">
      <c r="D39" s="3"/>
      <c r="E39" s="3"/>
      <c r="H39" s="3"/>
      <c r="I39" s="3"/>
      <c r="J39" s="3"/>
    </row>
    <row r="40">
      <c r="D40" s="3"/>
      <c r="E40" s="3"/>
      <c r="H40" s="3"/>
      <c r="I40" s="3"/>
      <c r="J40" s="3"/>
    </row>
    <row r="41">
      <c r="D41" s="3"/>
      <c r="E41" s="3"/>
      <c r="H41" s="3"/>
      <c r="I41" s="3"/>
      <c r="J41" s="3"/>
    </row>
    <row r="42">
      <c r="D42" s="3"/>
      <c r="E42" s="3"/>
      <c r="H42" s="3"/>
      <c r="I42" s="3"/>
      <c r="J42" s="3"/>
    </row>
    <row r="43">
      <c r="D43" s="3"/>
      <c r="E43" s="3"/>
      <c r="H43" s="3"/>
      <c r="I43" s="3"/>
      <c r="J43" s="3"/>
    </row>
    <row r="44">
      <c r="D44" s="3"/>
      <c r="E44" s="3"/>
      <c r="H44" s="3"/>
      <c r="I44" s="3"/>
      <c r="J44" s="3"/>
    </row>
    <row r="45">
      <c r="D45" s="3"/>
      <c r="E45" s="3"/>
      <c r="H45" s="3"/>
      <c r="I45" s="3"/>
      <c r="J45" s="3"/>
    </row>
    <row r="46">
      <c r="D46" s="3"/>
      <c r="E46" s="3"/>
      <c r="H46" s="3"/>
      <c r="I46" s="3"/>
      <c r="J46" s="3"/>
    </row>
    <row r="47">
      <c r="D47" s="3"/>
      <c r="E47" s="3"/>
      <c r="H47" s="3"/>
      <c r="I47" s="3"/>
      <c r="J47" s="3"/>
    </row>
    <row r="48">
      <c r="D48" s="3"/>
      <c r="E48" s="3"/>
      <c r="H48" s="3"/>
      <c r="I48" s="3"/>
      <c r="J48" s="3"/>
    </row>
    <row r="49">
      <c r="D49" s="3"/>
      <c r="E49" s="3"/>
      <c r="H49" s="3"/>
      <c r="I49" s="3"/>
      <c r="J49" s="3"/>
    </row>
    <row r="50">
      <c r="D50" s="3"/>
      <c r="E50" s="3"/>
      <c r="H50" s="3"/>
      <c r="I50" s="3"/>
      <c r="J50" s="3"/>
    </row>
    <row r="51">
      <c r="D51" s="3"/>
      <c r="E51" s="3"/>
      <c r="H51" s="3"/>
      <c r="I51" s="3"/>
      <c r="J51" s="3"/>
    </row>
    <row r="52">
      <c r="D52" s="3"/>
      <c r="E52" s="3"/>
      <c r="H52" s="3"/>
      <c r="I52" s="3"/>
      <c r="J52" s="3"/>
    </row>
    <row r="53">
      <c r="D53" s="3"/>
      <c r="E53" s="3"/>
      <c r="H53" s="3"/>
      <c r="I53" s="3"/>
      <c r="J53" s="3"/>
    </row>
    <row r="54">
      <c r="D54" s="3"/>
      <c r="E54" s="3"/>
      <c r="H54" s="3"/>
      <c r="I54" s="3"/>
      <c r="J54" s="3"/>
    </row>
    <row r="55">
      <c r="D55" s="3"/>
      <c r="E55" s="3"/>
      <c r="H55" s="3"/>
      <c r="I55" s="3"/>
      <c r="J55" s="3"/>
    </row>
    <row r="56">
      <c r="D56" s="3"/>
      <c r="E56" s="3"/>
      <c r="H56" s="3"/>
      <c r="I56" s="3"/>
      <c r="J56" s="3"/>
    </row>
    <row r="57">
      <c r="D57" s="3"/>
      <c r="E57" s="3"/>
      <c r="H57" s="3"/>
      <c r="I57" s="3"/>
      <c r="J57" s="3"/>
    </row>
    <row r="58">
      <c r="D58" s="3"/>
      <c r="E58" s="3"/>
      <c r="H58" s="3"/>
      <c r="I58" s="3"/>
      <c r="J58" s="3"/>
    </row>
    <row r="59">
      <c r="D59" s="3"/>
      <c r="E59" s="3"/>
      <c r="H59" s="3"/>
      <c r="I59" s="3"/>
      <c r="J59" s="3"/>
    </row>
    <row r="60">
      <c r="D60" s="3"/>
      <c r="E60" s="3"/>
      <c r="H60" s="3"/>
      <c r="I60" s="3"/>
      <c r="J60" s="3"/>
    </row>
    <row r="61">
      <c r="D61" s="3"/>
      <c r="E61" s="3"/>
      <c r="H61" s="3"/>
      <c r="I61" s="3"/>
      <c r="J61" s="3"/>
    </row>
    <row r="62">
      <c r="D62" s="3"/>
      <c r="E62" s="3"/>
      <c r="H62" s="3"/>
      <c r="I62" s="3"/>
      <c r="J62" s="3"/>
    </row>
    <row r="63">
      <c r="D63" s="3"/>
      <c r="E63" s="3"/>
      <c r="H63" s="3"/>
      <c r="I63" s="3"/>
      <c r="J63" s="3"/>
    </row>
    <row r="64">
      <c r="D64" s="3"/>
      <c r="E64" s="3"/>
      <c r="H64" s="3"/>
      <c r="I64" s="3"/>
      <c r="J64" s="3"/>
    </row>
    <row r="65">
      <c r="D65" s="3"/>
      <c r="E65" s="3"/>
      <c r="H65" s="3"/>
      <c r="I65" s="3"/>
      <c r="J65" s="3"/>
    </row>
    <row r="66">
      <c r="D66" s="3"/>
      <c r="E66" s="3"/>
      <c r="H66" s="3"/>
      <c r="I66" s="3"/>
      <c r="J66" s="3"/>
    </row>
    <row r="67">
      <c r="D67" s="3"/>
      <c r="E67" s="3"/>
      <c r="H67" s="3"/>
      <c r="I67" s="3"/>
      <c r="J67" s="3"/>
    </row>
    <row r="68">
      <c r="D68" s="3"/>
      <c r="E68" s="3"/>
      <c r="H68" s="3"/>
      <c r="I68" s="3"/>
      <c r="J68" s="3"/>
    </row>
    <row r="69">
      <c r="D69" s="3"/>
      <c r="E69" s="3"/>
      <c r="H69" s="3"/>
      <c r="I69" s="3"/>
      <c r="J69" s="3"/>
    </row>
    <row r="70">
      <c r="D70" s="3"/>
      <c r="E70" s="3"/>
      <c r="H70" s="3"/>
      <c r="I70" s="3"/>
      <c r="J70" s="3"/>
    </row>
    <row r="71">
      <c r="D71" s="3"/>
      <c r="E71" s="3"/>
      <c r="H71" s="3"/>
      <c r="I71" s="3"/>
      <c r="J71" s="3"/>
    </row>
    <row r="72">
      <c r="D72" s="3"/>
      <c r="E72" s="3"/>
      <c r="H72" s="3"/>
      <c r="I72" s="3"/>
      <c r="J72" s="3"/>
    </row>
    <row r="73">
      <c r="D73" s="3"/>
      <c r="E73" s="3"/>
      <c r="H73" s="3"/>
      <c r="I73" s="3"/>
      <c r="J73" s="3"/>
    </row>
    <row r="74">
      <c r="D74" s="3"/>
      <c r="E74" s="3"/>
      <c r="H74" s="3"/>
      <c r="I74" s="3"/>
      <c r="J74" s="3"/>
    </row>
    <row r="75">
      <c r="D75" s="3"/>
      <c r="E75" s="3"/>
      <c r="H75" s="3"/>
      <c r="I75" s="3"/>
      <c r="J75" s="3"/>
    </row>
    <row r="76">
      <c r="D76" s="3"/>
      <c r="E76" s="3"/>
      <c r="H76" s="3"/>
      <c r="I76" s="3"/>
      <c r="J76" s="3"/>
    </row>
    <row r="77">
      <c r="D77" s="3"/>
      <c r="E77" s="3"/>
      <c r="H77" s="3"/>
      <c r="I77" s="3"/>
      <c r="J77" s="3"/>
    </row>
    <row r="78">
      <c r="D78" s="3"/>
      <c r="E78" s="3"/>
      <c r="H78" s="3"/>
      <c r="I78" s="3"/>
      <c r="J78" s="3"/>
    </row>
    <row r="79">
      <c r="D79" s="3"/>
      <c r="E79" s="3"/>
      <c r="H79" s="3"/>
      <c r="I79" s="3"/>
      <c r="J79" s="3"/>
    </row>
    <row r="80">
      <c r="D80" s="3"/>
      <c r="E80" s="3"/>
      <c r="H80" s="3"/>
      <c r="I80" s="3"/>
      <c r="J80" s="3"/>
    </row>
    <row r="81">
      <c r="D81" s="3"/>
      <c r="E81" s="3"/>
      <c r="H81" s="3"/>
      <c r="I81" s="3"/>
      <c r="J81" s="3"/>
    </row>
    <row r="82">
      <c r="D82" s="3"/>
      <c r="E82" s="3"/>
      <c r="H82" s="3"/>
      <c r="I82" s="3"/>
      <c r="J82" s="3"/>
    </row>
    <row r="83">
      <c r="D83" s="3"/>
      <c r="E83" s="3"/>
      <c r="H83" s="3"/>
      <c r="I83" s="3"/>
      <c r="J83" s="3"/>
    </row>
    <row r="84">
      <c r="D84" s="3"/>
      <c r="E84" s="3"/>
      <c r="H84" s="3"/>
      <c r="I84" s="3"/>
      <c r="J84" s="3"/>
    </row>
    <row r="85">
      <c r="D85" s="3"/>
      <c r="E85" s="3"/>
      <c r="H85" s="3"/>
      <c r="I85" s="3"/>
      <c r="J85" s="3"/>
    </row>
    <row r="86">
      <c r="D86" s="3"/>
      <c r="E86" s="3"/>
      <c r="H86" s="3"/>
      <c r="I86" s="3"/>
      <c r="J86" s="3"/>
    </row>
    <row r="87">
      <c r="D87" s="3"/>
      <c r="E87" s="3"/>
      <c r="H87" s="3"/>
      <c r="I87" s="3"/>
      <c r="J87" s="3"/>
    </row>
    <row r="88">
      <c r="D88" s="3"/>
      <c r="E88" s="3"/>
      <c r="H88" s="3"/>
      <c r="I88" s="3"/>
      <c r="J88" s="3"/>
    </row>
    <row r="89">
      <c r="D89" s="3"/>
      <c r="E89" s="3"/>
      <c r="H89" s="3"/>
      <c r="I89" s="3"/>
      <c r="J89" s="3"/>
    </row>
    <row r="90">
      <c r="D90" s="3"/>
      <c r="E90" s="3"/>
      <c r="H90" s="3"/>
      <c r="I90" s="3"/>
      <c r="J90" s="3"/>
    </row>
    <row r="91">
      <c r="D91" s="3"/>
      <c r="E91" s="3"/>
      <c r="H91" s="3"/>
      <c r="I91" s="3"/>
      <c r="J91" s="3"/>
    </row>
    <row r="92">
      <c r="D92" s="3"/>
      <c r="E92" s="3"/>
      <c r="H92" s="3"/>
      <c r="I92" s="3"/>
      <c r="J92" s="3"/>
    </row>
    <row r="93">
      <c r="D93" s="3"/>
      <c r="E93" s="3"/>
      <c r="H93" s="3"/>
      <c r="I93" s="3"/>
      <c r="J93" s="3"/>
    </row>
    <row r="94">
      <c r="D94" s="3"/>
      <c r="E94" s="3"/>
      <c r="H94" s="3"/>
      <c r="I94" s="3"/>
      <c r="J94" s="3"/>
    </row>
    <row r="95">
      <c r="D95" s="3"/>
      <c r="E95" s="3"/>
      <c r="H95" s="3"/>
      <c r="I95" s="3"/>
      <c r="J95" s="3"/>
    </row>
    <row r="96">
      <c r="D96" s="3"/>
      <c r="E96" s="3"/>
      <c r="H96" s="3"/>
      <c r="I96" s="3"/>
      <c r="J96" s="3"/>
    </row>
    <row r="97">
      <c r="D97" s="3"/>
      <c r="E97" s="3"/>
      <c r="H97" s="3"/>
      <c r="I97" s="3"/>
      <c r="J97" s="3"/>
    </row>
    <row r="98">
      <c r="D98" s="3"/>
      <c r="E98" s="3"/>
      <c r="H98" s="3"/>
      <c r="I98" s="3"/>
      <c r="J98" s="3"/>
    </row>
    <row r="99">
      <c r="D99" s="3"/>
      <c r="E99" s="3"/>
      <c r="H99" s="3"/>
      <c r="I99" s="3"/>
      <c r="J99" s="3"/>
    </row>
    <row r="100">
      <c r="D100" s="3"/>
      <c r="E100" s="3"/>
      <c r="H100" s="3"/>
      <c r="I100" s="3"/>
      <c r="J100" s="3"/>
    </row>
    <row r="101">
      <c r="D101" s="3"/>
      <c r="E101" s="3"/>
      <c r="H101" s="3"/>
      <c r="I101" s="3"/>
      <c r="J101" s="3"/>
    </row>
    <row r="102">
      <c r="D102" s="3"/>
      <c r="E102" s="3"/>
      <c r="H102" s="3"/>
      <c r="I102" s="3"/>
      <c r="J102" s="3"/>
    </row>
    <row r="103">
      <c r="D103" s="3"/>
      <c r="E103" s="3"/>
      <c r="H103" s="3"/>
      <c r="I103" s="3"/>
      <c r="J103" s="3"/>
    </row>
    <row r="104">
      <c r="D104" s="3"/>
      <c r="E104" s="3"/>
      <c r="H104" s="3"/>
      <c r="I104" s="3"/>
      <c r="J104" s="3"/>
    </row>
    <row r="105">
      <c r="D105" s="3"/>
      <c r="E105" s="3"/>
      <c r="H105" s="3"/>
      <c r="I105" s="3"/>
      <c r="J105" s="3"/>
    </row>
    <row r="106">
      <c r="D106" s="3"/>
      <c r="E106" s="3"/>
      <c r="H106" s="3"/>
      <c r="I106" s="3"/>
      <c r="J106" s="3"/>
    </row>
    <row r="107">
      <c r="D107" s="3"/>
      <c r="E107" s="3"/>
      <c r="H107" s="3"/>
      <c r="I107" s="3"/>
      <c r="J107" s="3"/>
    </row>
    <row r="108">
      <c r="D108" s="3"/>
      <c r="E108" s="3"/>
      <c r="H108" s="3"/>
      <c r="I108" s="3"/>
      <c r="J108" s="3"/>
    </row>
    <row r="109">
      <c r="D109" s="3"/>
      <c r="E109" s="3"/>
      <c r="H109" s="3"/>
      <c r="I109" s="3"/>
      <c r="J109" s="3"/>
    </row>
    <row r="110">
      <c r="D110" s="3"/>
      <c r="E110" s="3"/>
      <c r="H110" s="3"/>
      <c r="I110" s="3"/>
      <c r="J110" s="3"/>
    </row>
    <row r="111">
      <c r="D111" s="3"/>
      <c r="E111" s="3"/>
      <c r="H111" s="3"/>
      <c r="I111" s="3"/>
      <c r="J111" s="3"/>
    </row>
    <row r="112">
      <c r="D112" s="3"/>
      <c r="E112" s="3"/>
      <c r="H112" s="3"/>
      <c r="I112" s="3"/>
      <c r="J112" s="3"/>
    </row>
    <row r="113">
      <c r="D113" s="3"/>
      <c r="E113" s="3"/>
      <c r="H113" s="3"/>
      <c r="I113" s="3"/>
      <c r="J113" s="3"/>
    </row>
    <row r="114">
      <c r="D114" s="3"/>
      <c r="E114" s="3"/>
      <c r="H114" s="3"/>
      <c r="I114" s="3"/>
      <c r="J114" s="3"/>
    </row>
    <row r="115">
      <c r="D115" s="3"/>
      <c r="E115" s="3"/>
      <c r="H115" s="3"/>
      <c r="I115" s="3"/>
      <c r="J115" s="3"/>
    </row>
    <row r="116">
      <c r="D116" s="3"/>
      <c r="E116" s="3"/>
      <c r="H116" s="3"/>
      <c r="I116" s="3"/>
      <c r="J116" s="3"/>
    </row>
    <row r="117">
      <c r="D117" s="3"/>
      <c r="E117" s="3"/>
      <c r="H117" s="3"/>
      <c r="I117" s="3"/>
      <c r="J117" s="3"/>
    </row>
    <row r="118">
      <c r="D118" s="3"/>
      <c r="E118" s="3"/>
      <c r="H118" s="3"/>
      <c r="I118" s="3"/>
      <c r="J118" s="3"/>
    </row>
    <row r="119">
      <c r="D119" s="3"/>
      <c r="E119" s="3"/>
      <c r="H119" s="3"/>
      <c r="I119" s="3"/>
      <c r="J119" s="3"/>
    </row>
    <row r="120">
      <c r="D120" s="3"/>
      <c r="E120" s="3"/>
      <c r="H120" s="3"/>
      <c r="I120" s="3"/>
      <c r="J120" s="3"/>
    </row>
    <row r="121">
      <c r="D121" s="3"/>
      <c r="E121" s="3"/>
      <c r="H121" s="3"/>
      <c r="I121" s="3"/>
      <c r="J121" s="3"/>
    </row>
    <row r="122">
      <c r="D122" s="3"/>
      <c r="E122" s="3"/>
      <c r="H122" s="3"/>
      <c r="I122" s="3"/>
      <c r="J122" s="3"/>
    </row>
    <row r="123">
      <c r="D123" s="3"/>
      <c r="E123" s="3"/>
      <c r="H123" s="3"/>
      <c r="I123" s="3"/>
      <c r="J123" s="3"/>
    </row>
    <row r="124">
      <c r="D124" s="3"/>
      <c r="E124" s="3"/>
      <c r="H124" s="3"/>
      <c r="I124" s="3"/>
      <c r="J124" s="3"/>
    </row>
    <row r="125">
      <c r="D125" s="3"/>
      <c r="E125" s="3"/>
      <c r="H125" s="3"/>
      <c r="I125" s="3"/>
      <c r="J125" s="3"/>
    </row>
    <row r="126">
      <c r="D126" s="3"/>
      <c r="E126" s="3"/>
      <c r="H126" s="3"/>
      <c r="I126" s="3"/>
      <c r="J126" s="3"/>
    </row>
    <row r="127">
      <c r="D127" s="3"/>
      <c r="E127" s="3"/>
      <c r="H127" s="3"/>
      <c r="I127" s="3"/>
      <c r="J127" s="3"/>
    </row>
    <row r="128">
      <c r="D128" s="3"/>
      <c r="E128" s="3"/>
      <c r="H128" s="3"/>
      <c r="I128" s="3"/>
      <c r="J128" s="3"/>
    </row>
    <row r="129">
      <c r="D129" s="3"/>
      <c r="E129" s="3"/>
      <c r="H129" s="3"/>
      <c r="I129" s="3"/>
      <c r="J129" s="3"/>
    </row>
    <row r="130">
      <c r="D130" s="3"/>
      <c r="E130" s="3"/>
      <c r="H130" s="3"/>
      <c r="I130" s="3"/>
      <c r="J130" s="3"/>
    </row>
    <row r="131">
      <c r="D131" s="3"/>
      <c r="E131" s="3"/>
      <c r="H131" s="3"/>
      <c r="I131" s="3"/>
      <c r="J131" s="3"/>
    </row>
    <row r="132">
      <c r="D132" s="3"/>
      <c r="E132" s="3"/>
      <c r="H132" s="3"/>
      <c r="I132" s="3"/>
      <c r="J132" s="3"/>
    </row>
    <row r="133">
      <c r="D133" s="3"/>
      <c r="E133" s="3"/>
      <c r="H133" s="3"/>
      <c r="I133" s="3"/>
      <c r="J133" s="3"/>
    </row>
    <row r="134">
      <c r="D134" s="3"/>
      <c r="E134" s="3"/>
      <c r="H134" s="3"/>
      <c r="I134" s="3"/>
      <c r="J134" s="3"/>
    </row>
    <row r="135">
      <c r="D135" s="3"/>
      <c r="E135" s="3"/>
      <c r="H135" s="3"/>
      <c r="I135" s="3"/>
      <c r="J135" s="3"/>
    </row>
    <row r="136">
      <c r="D136" s="3"/>
      <c r="E136" s="3"/>
      <c r="H136" s="3"/>
      <c r="I136" s="3"/>
      <c r="J136" s="3"/>
    </row>
    <row r="137">
      <c r="D137" s="3"/>
      <c r="E137" s="3"/>
      <c r="H137" s="3"/>
      <c r="I137" s="3"/>
      <c r="J137" s="3"/>
    </row>
    <row r="138">
      <c r="D138" s="3"/>
      <c r="E138" s="3"/>
      <c r="H138" s="3"/>
      <c r="I138" s="3"/>
      <c r="J138" s="3"/>
    </row>
    <row r="139">
      <c r="D139" s="3"/>
      <c r="E139" s="3"/>
      <c r="H139" s="3"/>
      <c r="I139" s="3"/>
      <c r="J139" s="3"/>
    </row>
    <row r="140">
      <c r="D140" s="3"/>
      <c r="E140" s="3"/>
      <c r="H140" s="3"/>
      <c r="I140" s="3"/>
      <c r="J140" s="3"/>
    </row>
    <row r="141">
      <c r="D141" s="3"/>
      <c r="E141" s="3"/>
      <c r="H141" s="3"/>
      <c r="I141" s="3"/>
      <c r="J141" s="3"/>
    </row>
    <row r="142">
      <c r="D142" s="3"/>
      <c r="E142" s="3"/>
      <c r="H142" s="3"/>
      <c r="I142" s="3"/>
      <c r="J142" s="3"/>
    </row>
    <row r="143">
      <c r="D143" s="3"/>
      <c r="E143" s="3"/>
      <c r="H143" s="3"/>
      <c r="I143" s="3"/>
      <c r="J143" s="3"/>
    </row>
    <row r="144">
      <c r="D144" s="3"/>
      <c r="E144" s="3"/>
      <c r="H144" s="3"/>
      <c r="I144" s="3"/>
      <c r="J144" s="3"/>
    </row>
    <row r="145">
      <c r="D145" s="3"/>
      <c r="E145" s="3"/>
      <c r="H145" s="3"/>
      <c r="I145" s="3"/>
      <c r="J145" s="3"/>
    </row>
    <row r="146">
      <c r="D146" s="3"/>
      <c r="E146" s="3"/>
      <c r="H146" s="3"/>
      <c r="I146" s="3"/>
      <c r="J146" s="3"/>
    </row>
    <row r="147">
      <c r="D147" s="3"/>
      <c r="E147" s="3"/>
      <c r="H147" s="3"/>
      <c r="I147" s="3"/>
      <c r="J147" s="3"/>
    </row>
    <row r="148">
      <c r="D148" s="3"/>
      <c r="E148" s="3"/>
      <c r="H148" s="3"/>
      <c r="I148" s="3"/>
      <c r="J148" s="3"/>
    </row>
    <row r="149">
      <c r="D149" s="3"/>
      <c r="E149" s="3"/>
      <c r="H149" s="3"/>
      <c r="I149" s="3"/>
      <c r="J149" s="3"/>
    </row>
    <row r="150">
      <c r="D150" s="3"/>
      <c r="E150" s="3"/>
      <c r="H150" s="3"/>
      <c r="I150" s="3"/>
      <c r="J150" s="3"/>
    </row>
    <row r="151">
      <c r="D151" s="3"/>
      <c r="E151" s="3"/>
      <c r="H151" s="3"/>
      <c r="I151" s="3"/>
      <c r="J151" s="3"/>
    </row>
    <row r="152">
      <c r="D152" s="3"/>
      <c r="E152" s="3"/>
      <c r="H152" s="3"/>
      <c r="I152" s="3"/>
      <c r="J152" s="3"/>
    </row>
    <row r="153">
      <c r="D153" s="3"/>
      <c r="E153" s="3"/>
      <c r="H153" s="3"/>
      <c r="I153" s="3"/>
      <c r="J153" s="3"/>
    </row>
    <row r="154">
      <c r="D154" s="3"/>
      <c r="E154" s="3"/>
      <c r="H154" s="3"/>
      <c r="I154" s="3"/>
      <c r="J154" s="3"/>
    </row>
    <row r="155">
      <c r="D155" s="3"/>
      <c r="E155" s="3"/>
      <c r="H155" s="3"/>
      <c r="I155" s="3"/>
      <c r="J155" s="3"/>
    </row>
    <row r="156">
      <c r="D156" s="3"/>
      <c r="E156" s="3"/>
      <c r="H156" s="3"/>
      <c r="I156" s="3"/>
      <c r="J156" s="3"/>
    </row>
    <row r="157">
      <c r="D157" s="3"/>
      <c r="E157" s="3"/>
      <c r="H157" s="3"/>
      <c r="I157" s="3"/>
      <c r="J157" s="3"/>
    </row>
    <row r="158">
      <c r="D158" s="3"/>
      <c r="E158" s="3"/>
      <c r="H158" s="3"/>
      <c r="I158" s="3"/>
      <c r="J158" s="3"/>
    </row>
    <row r="159">
      <c r="D159" s="3"/>
      <c r="E159" s="3"/>
      <c r="H159" s="3"/>
      <c r="I159" s="3"/>
      <c r="J159" s="3"/>
    </row>
    <row r="160">
      <c r="D160" s="3"/>
      <c r="E160" s="3"/>
      <c r="H160" s="3"/>
      <c r="I160" s="3"/>
      <c r="J160" s="3"/>
    </row>
    <row r="161">
      <c r="D161" s="3"/>
      <c r="E161" s="3"/>
      <c r="H161" s="3"/>
      <c r="I161" s="3"/>
      <c r="J161" s="3"/>
    </row>
    <row r="162">
      <c r="D162" s="3"/>
      <c r="E162" s="3"/>
      <c r="H162" s="3"/>
      <c r="I162" s="3"/>
      <c r="J162" s="3"/>
    </row>
    <row r="163">
      <c r="D163" s="3"/>
      <c r="E163" s="3"/>
      <c r="H163" s="3"/>
      <c r="I163" s="3"/>
      <c r="J163" s="3"/>
    </row>
    <row r="164">
      <c r="D164" s="3"/>
      <c r="E164" s="3"/>
      <c r="H164" s="3"/>
      <c r="I164" s="3"/>
      <c r="J164" s="3"/>
    </row>
    <row r="165">
      <c r="D165" s="3"/>
      <c r="E165" s="3"/>
      <c r="H165" s="3"/>
      <c r="I165" s="3"/>
      <c r="J165" s="3"/>
    </row>
    <row r="166">
      <c r="D166" s="3"/>
      <c r="E166" s="3"/>
      <c r="H166" s="3"/>
      <c r="I166" s="3"/>
      <c r="J166" s="3"/>
    </row>
    <row r="167">
      <c r="D167" s="3"/>
      <c r="E167" s="3"/>
      <c r="H167" s="3"/>
      <c r="I167" s="3"/>
      <c r="J167" s="3"/>
    </row>
    <row r="168">
      <c r="D168" s="3"/>
      <c r="E168" s="3"/>
      <c r="H168" s="3"/>
      <c r="I168" s="3"/>
      <c r="J168" s="3"/>
    </row>
    <row r="169">
      <c r="D169" s="3"/>
      <c r="E169" s="3"/>
      <c r="H169" s="3"/>
      <c r="I169" s="3"/>
      <c r="J169" s="3"/>
    </row>
    <row r="170">
      <c r="D170" s="3"/>
      <c r="E170" s="3"/>
      <c r="H170" s="3"/>
      <c r="I170" s="3"/>
      <c r="J170" s="3"/>
    </row>
    <row r="171">
      <c r="D171" s="3"/>
      <c r="E171" s="3"/>
      <c r="H171" s="3"/>
      <c r="I171" s="3"/>
      <c r="J171" s="3"/>
    </row>
    <row r="172">
      <c r="D172" s="3"/>
      <c r="E172" s="3"/>
      <c r="H172" s="3"/>
      <c r="I172" s="3"/>
      <c r="J172" s="3"/>
    </row>
    <row r="173">
      <c r="D173" s="3"/>
      <c r="E173" s="3"/>
      <c r="H173" s="3"/>
      <c r="I173" s="3"/>
      <c r="J173" s="3"/>
    </row>
    <row r="174">
      <c r="D174" s="3"/>
      <c r="E174" s="3"/>
      <c r="H174" s="3"/>
      <c r="I174" s="3"/>
      <c r="J174" s="3"/>
    </row>
    <row r="175">
      <c r="D175" s="3"/>
      <c r="E175" s="3"/>
      <c r="H175" s="3"/>
      <c r="I175" s="3"/>
      <c r="J175" s="3"/>
    </row>
    <row r="176">
      <c r="D176" s="3"/>
      <c r="E176" s="3"/>
      <c r="H176" s="3"/>
      <c r="I176" s="3"/>
      <c r="J176" s="3"/>
    </row>
    <row r="177">
      <c r="D177" s="3"/>
      <c r="E177" s="3"/>
      <c r="H177" s="3"/>
      <c r="I177" s="3"/>
      <c r="J177" s="3"/>
    </row>
    <row r="178">
      <c r="D178" s="3"/>
      <c r="E178" s="3"/>
      <c r="H178" s="3"/>
      <c r="I178" s="3"/>
      <c r="J178" s="3"/>
    </row>
    <row r="179">
      <c r="D179" s="3"/>
      <c r="E179" s="3"/>
      <c r="H179" s="3"/>
      <c r="I179" s="3"/>
      <c r="J179" s="3"/>
    </row>
    <row r="180">
      <c r="D180" s="3"/>
      <c r="E180" s="3"/>
      <c r="H180" s="3"/>
      <c r="I180" s="3"/>
      <c r="J180" s="3"/>
    </row>
    <row r="181">
      <c r="D181" s="3"/>
      <c r="E181" s="3"/>
      <c r="H181" s="3"/>
      <c r="I181" s="3"/>
      <c r="J181" s="3"/>
    </row>
    <row r="182">
      <c r="D182" s="3"/>
      <c r="E182" s="3"/>
      <c r="H182" s="3"/>
      <c r="I182" s="3"/>
      <c r="J182" s="3"/>
    </row>
    <row r="183">
      <c r="D183" s="3"/>
      <c r="E183" s="3"/>
      <c r="H183" s="3"/>
      <c r="I183" s="3"/>
      <c r="J183" s="3"/>
    </row>
    <row r="184">
      <c r="D184" s="3"/>
      <c r="E184" s="3"/>
      <c r="H184" s="3"/>
      <c r="I184" s="3"/>
      <c r="J184" s="3"/>
    </row>
    <row r="185">
      <c r="D185" s="3"/>
      <c r="E185" s="3"/>
      <c r="H185" s="3"/>
      <c r="I185" s="3"/>
      <c r="J185" s="3"/>
    </row>
    <row r="186">
      <c r="D186" s="3"/>
      <c r="E186" s="3"/>
      <c r="H186" s="3"/>
      <c r="I186" s="3"/>
      <c r="J186" s="3"/>
    </row>
    <row r="187">
      <c r="D187" s="3"/>
      <c r="E187" s="3"/>
      <c r="H187" s="3"/>
      <c r="I187" s="3"/>
      <c r="J187" s="3"/>
    </row>
    <row r="188">
      <c r="D188" s="3"/>
      <c r="E188" s="3"/>
      <c r="H188" s="3"/>
      <c r="I188" s="3"/>
      <c r="J188" s="3"/>
    </row>
    <row r="189">
      <c r="D189" s="3"/>
      <c r="E189" s="3"/>
      <c r="H189" s="3"/>
      <c r="I189" s="3"/>
      <c r="J189" s="3"/>
    </row>
    <row r="190">
      <c r="D190" s="3"/>
      <c r="E190" s="3"/>
      <c r="H190" s="3"/>
      <c r="I190" s="3"/>
      <c r="J190" s="3"/>
    </row>
    <row r="191">
      <c r="D191" s="3"/>
      <c r="E191" s="3"/>
      <c r="H191" s="3"/>
      <c r="I191" s="3"/>
      <c r="J191" s="3"/>
    </row>
    <row r="192">
      <c r="D192" s="3"/>
      <c r="E192" s="3"/>
      <c r="H192" s="3"/>
      <c r="I192" s="3"/>
      <c r="J192" s="3"/>
    </row>
    <row r="193">
      <c r="D193" s="3"/>
      <c r="E193" s="3"/>
      <c r="H193" s="3"/>
      <c r="I193" s="3"/>
      <c r="J193" s="3"/>
    </row>
    <row r="194">
      <c r="D194" s="3"/>
      <c r="E194" s="3"/>
      <c r="H194" s="3"/>
      <c r="I194" s="3"/>
      <c r="J194" s="3"/>
    </row>
    <row r="195">
      <c r="D195" s="3"/>
      <c r="E195" s="3"/>
      <c r="H195" s="3"/>
      <c r="I195" s="3"/>
      <c r="J195" s="3"/>
    </row>
    <row r="196">
      <c r="D196" s="3"/>
      <c r="E196" s="3"/>
      <c r="H196" s="3"/>
      <c r="I196" s="3"/>
      <c r="J196" s="3"/>
    </row>
    <row r="197">
      <c r="D197" s="3"/>
      <c r="E197" s="3"/>
      <c r="H197" s="3"/>
      <c r="I197" s="3"/>
      <c r="J197" s="3"/>
    </row>
    <row r="198">
      <c r="D198" s="3"/>
      <c r="E198" s="3"/>
      <c r="H198" s="3"/>
      <c r="I198" s="3"/>
      <c r="J198" s="3"/>
    </row>
    <row r="199">
      <c r="D199" s="3"/>
      <c r="E199" s="3"/>
      <c r="H199" s="3"/>
      <c r="I199" s="3"/>
      <c r="J199" s="3"/>
    </row>
    <row r="200">
      <c r="D200" s="3"/>
      <c r="E200" s="3"/>
      <c r="H200" s="3"/>
      <c r="I200" s="3"/>
      <c r="J200" s="3"/>
    </row>
    <row r="201">
      <c r="D201" s="3"/>
      <c r="E201" s="3"/>
      <c r="H201" s="3"/>
      <c r="I201" s="3"/>
      <c r="J201" s="3"/>
    </row>
    <row r="202">
      <c r="D202" s="3"/>
      <c r="E202" s="3"/>
      <c r="H202" s="3"/>
      <c r="I202" s="3"/>
      <c r="J202" s="3"/>
    </row>
    <row r="203">
      <c r="D203" s="3"/>
      <c r="E203" s="3"/>
      <c r="H203" s="3"/>
      <c r="I203" s="3"/>
      <c r="J203" s="3"/>
    </row>
    <row r="204">
      <c r="D204" s="3"/>
      <c r="E204" s="3"/>
      <c r="H204" s="3"/>
      <c r="I204" s="3"/>
      <c r="J204" s="3"/>
    </row>
    <row r="205">
      <c r="D205" s="3"/>
      <c r="E205" s="3"/>
      <c r="H205" s="3"/>
      <c r="I205" s="3"/>
      <c r="J205" s="3"/>
    </row>
    <row r="206">
      <c r="D206" s="3"/>
      <c r="E206" s="3"/>
      <c r="H206" s="3"/>
      <c r="I206" s="3"/>
      <c r="J206" s="3"/>
    </row>
    <row r="207">
      <c r="D207" s="3"/>
      <c r="E207" s="3"/>
      <c r="H207" s="3"/>
      <c r="I207" s="3"/>
      <c r="J207" s="3"/>
    </row>
    <row r="208">
      <c r="D208" s="3"/>
      <c r="E208" s="3"/>
      <c r="H208" s="3"/>
      <c r="I208" s="3"/>
      <c r="J208" s="3"/>
    </row>
    <row r="209">
      <c r="D209" s="3"/>
      <c r="E209" s="3"/>
      <c r="H209" s="3"/>
      <c r="I209" s="3"/>
      <c r="J209" s="3"/>
    </row>
    <row r="210">
      <c r="D210" s="3"/>
      <c r="E210" s="3"/>
      <c r="H210" s="3"/>
      <c r="I210" s="3"/>
      <c r="J210" s="3"/>
    </row>
    <row r="211">
      <c r="D211" s="3"/>
      <c r="E211" s="3"/>
      <c r="H211" s="3"/>
      <c r="I211" s="3"/>
      <c r="J211" s="3"/>
    </row>
    <row r="212">
      <c r="D212" s="3"/>
      <c r="E212" s="3"/>
      <c r="H212" s="3"/>
      <c r="I212" s="3"/>
      <c r="J212" s="3"/>
    </row>
    <row r="213">
      <c r="D213" s="3"/>
      <c r="E213" s="3"/>
      <c r="H213" s="3"/>
      <c r="I213" s="3"/>
      <c r="J213" s="3"/>
    </row>
    <row r="214">
      <c r="D214" s="3"/>
      <c r="E214" s="3"/>
      <c r="H214" s="3"/>
      <c r="I214" s="3"/>
      <c r="J214" s="3"/>
    </row>
    <row r="215">
      <c r="D215" s="3"/>
      <c r="E215" s="3"/>
      <c r="H215" s="3"/>
      <c r="I215" s="3"/>
      <c r="J215" s="3"/>
    </row>
    <row r="216">
      <c r="D216" s="3"/>
      <c r="E216" s="3"/>
      <c r="H216" s="3"/>
      <c r="I216" s="3"/>
      <c r="J216" s="3"/>
    </row>
    <row r="217">
      <c r="D217" s="3"/>
      <c r="E217" s="3"/>
      <c r="H217" s="3"/>
      <c r="I217" s="3"/>
      <c r="J217" s="3"/>
    </row>
    <row r="218">
      <c r="D218" s="3"/>
      <c r="E218" s="3"/>
      <c r="H218" s="3"/>
      <c r="I218" s="3"/>
      <c r="J218" s="3"/>
    </row>
    <row r="219">
      <c r="D219" s="3"/>
      <c r="E219" s="3"/>
      <c r="H219" s="3"/>
      <c r="I219" s="3"/>
      <c r="J219" s="3"/>
    </row>
    <row r="220">
      <c r="D220" s="3"/>
      <c r="E220" s="3"/>
      <c r="H220" s="3"/>
      <c r="I220" s="3"/>
      <c r="J220" s="3"/>
    </row>
    <row r="221">
      <c r="D221" s="3"/>
      <c r="E221" s="3"/>
      <c r="H221" s="3"/>
      <c r="I221" s="3"/>
      <c r="J221" s="3"/>
    </row>
    <row r="222">
      <c r="D222" s="3"/>
      <c r="E222" s="3"/>
      <c r="H222" s="3"/>
      <c r="I222" s="3"/>
      <c r="J222" s="3"/>
    </row>
    <row r="223">
      <c r="D223" s="3"/>
      <c r="E223" s="3"/>
      <c r="H223" s="3"/>
      <c r="I223" s="3"/>
      <c r="J223" s="3"/>
    </row>
    <row r="224">
      <c r="D224" s="3"/>
      <c r="E224" s="3"/>
      <c r="H224" s="3"/>
      <c r="I224" s="3"/>
      <c r="J224" s="3"/>
    </row>
    <row r="225">
      <c r="D225" s="3"/>
      <c r="E225" s="3"/>
      <c r="H225" s="3"/>
      <c r="I225" s="3"/>
      <c r="J225" s="3"/>
    </row>
    <row r="226">
      <c r="D226" s="3"/>
      <c r="E226" s="3"/>
      <c r="H226" s="3"/>
      <c r="I226" s="3"/>
      <c r="J226" s="3"/>
    </row>
    <row r="227">
      <c r="D227" s="3"/>
      <c r="E227" s="3"/>
      <c r="H227" s="3"/>
      <c r="I227" s="3"/>
      <c r="J227" s="3"/>
    </row>
    <row r="228">
      <c r="D228" s="3"/>
      <c r="E228" s="3"/>
      <c r="H228" s="3"/>
      <c r="I228" s="3"/>
      <c r="J228" s="3"/>
    </row>
    <row r="229">
      <c r="D229" s="3"/>
      <c r="E229" s="3"/>
      <c r="H229" s="3"/>
      <c r="I229" s="3"/>
      <c r="J229" s="3"/>
    </row>
    <row r="230">
      <c r="D230" s="3"/>
      <c r="E230" s="3"/>
      <c r="H230" s="3"/>
      <c r="I230" s="3"/>
      <c r="J230" s="3"/>
    </row>
    <row r="231">
      <c r="D231" s="3"/>
      <c r="E231" s="3"/>
      <c r="H231" s="3"/>
      <c r="I231" s="3"/>
      <c r="J231" s="3"/>
    </row>
    <row r="232">
      <c r="D232" s="3"/>
      <c r="E232" s="3"/>
      <c r="H232" s="3"/>
      <c r="I232" s="3"/>
      <c r="J232" s="3"/>
    </row>
    <row r="233">
      <c r="D233" s="3"/>
      <c r="E233" s="3"/>
      <c r="H233" s="3"/>
      <c r="I233" s="3"/>
      <c r="J233" s="3"/>
    </row>
    <row r="234">
      <c r="D234" s="3"/>
      <c r="E234" s="3"/>
      <c r="H234" s="3"/>
      <c r="I234" s="3"/>
      <c r="J234" s="3"/>
    </row>
    <row r="235">
      <c r="D235" s="3"/>
      <c r="E235" s="3"/>
      <c r="H235" s="3"/>
      <c r="I235" s="3"/>
      <c r="J235" s="3"/>
    </row>
    <row r="236">
      <c r="D236" s="3"/>
      <c r="E236" s="3"/>
      <c r="H236" s="3"/>
      <c r="I236" s="3"/>
      <c r="J236" s="3"/>
    </row>
    <row r="237">
      <c r="D237" s="3"/>
      <c r="E237" s="3"/>
      <c r="H237" s="3"/>
      <c r="I237" s="3"/>
      <c r="J237" s="3"/>
    </row>
    <row r="238">
      <c r="D238" s="3"/>
      <c r="E238" s="3"/>
      <c r="H238" s="3"/>
      <c r="I238" s="3"/>
      <c r="J238" s="3"/>
    </row>
    <row r="239">
      <c r="D239" s="3"/>
      <c r="E239" s="3"/>
      <c r="H239" s="3"/>
      <c r="I239" s="3"/>
      <c r="J239" s="3"/>
    </row>
    <row r="240">
      <c r="D240" s="3"/>
      <c r="E240" s="3"/>
      <c r="H240" s="3"/>
      <c r="I240" s="3"/>
      <c r="J240" s="3"/>
    </row>
    <row r="241">
      <c r="D241" s="3"/>
      <c r="E241" s="3"/>
      <c r="H241" s="3"/>
      <c r="I241" s="3"/>
      <c r="J241" s="3"/>
    </row>
    <row r="242">
      <c r="D242" s="3"/>
      <c r="E242" s="3"/>
      <c r="H242" s="3"/>
      <c r="I242" s="3"/>
      <c r="J242" s="3"/>
    </row>
    <row r="243">
      <c r="D243" s="3"/>
      <c r="E243" s="3"/>
      <c r="H243" s="3"/>
      <c r="I243" s="3"/>
      <c r="J243" s="3"/>
    </row>
    <row r="244">
      <c r="D244" s="3"/>
      <c r="E244" s="3"/>
      <c r="H244" s="3"/>
      <c r="I244" s="3"/>
      <c r="J244" s="3"/>
    </row>
    <row r="245">
      <c r="D245" s="3"/>
      <c r="E245" s="3"/>
      <c r="H245" s="3"/>
      <c r="I245" s="3"/>
      <c r="J245" s="3"/>
    </row>
    <row r="246">
      <c r="D246" s="3"/>
      <c r="E246" s="3"/>
      <c r="H246" s="3"/>
      <c r="I246" s="3"/>
      <c r="J246" s="3"/>
    </row>
    <row r="247">
      <c r="D247" s="3"/>
      <c r="E247" s="3"/>
      <c r="H247" s="3"/>
      <c r="I247" s="3"/>
      <c r="J247" s="3"/>
    </row>
    <row r="248">
      <c r="D248" s="3"/>
      <c r="E248" s="3"/>
      <c r="H248" s="3"/>
      <c r="I248" s="3"/>
      <c r="J248" s="3"/>
    </row>
    <row r="249">
      <c r="D249" s="3"/>
      <c r="E249" s="3"/>
      <c r="H249" s="3"/>
      <c r="I249" s="3"/>
      <c r="J249" s="3"/>
    </row>
    <row r="250">
      <c r="D250" s="3"/>
      <c r="E250" s="3"/>
      <c r="H250" s="3"/>
      <c r="I250" s="3"/>
      <c r="J250" s="3"/>
    </row>
    <row r="251">
      <c r="D251" s="3"/>
      <c r="E251" s="3"/>
      <c r="H251" s="3"/>
      <c r="I251" s="3"/>
      <c r="J251" s="3"/>
    </row>
    <row r="252">
      <c r="D252" s="3"/>
      <c r="E252" s="3"/>
      <c r="H252" s="3"/>
      <c r="I252" s="3"/>
      <c r="J252" s="3"/>
    </row>
    <row r="253">
      <c r="D253" s="3"/>
      <c r="E253" s="3"/>
      <c r="H253" s="3"/>
      <c r="I253" s="3"/>
      <c r="J253" s="3"/>
    </row>
    <row r="254">
      <c r="D254" s="3"/>
      <c r="E254" s="3"/>
      <c r="H254" s="3"/>
      <c r="I254" s="3"/>
      <c r="J254" s="3"/>
    </row>
    <row r="255">
      <c r="D255" s="3"/>
      <c r="E255" s="3"/>
      <c r="H255" s="3"/>
      <c r="I255" s="3"/>
      <c r="J255" s="3"/>
    </row>
    <row r="256">
      <c r="D256" s="3"/>
      <c r="E256" s="3"/>
      <c r="H256" s="3"/>
      <c r="I256" s="3"/>
      <c r="J256" s="3"/>
    </row>
    <row r="257">
      <c r="D257" s="3"/>
      <c r="E257" s="3"/>
      <c r="H257" s="3"/>
      <c r="I257" s="3"/>
      <c r="J257" s="3"/>
    </row>
    <row r="258">
      <c r="D258" s="3"/>
      <c r="E258" s="3"/>
      <c r="H258" s="3"/>
      <c r="I258" s="3"/>
      <c r="J258" s="3"/>
    </row>
    <row r="259">
      <c r="D259" s="3"/>
      <c r="E259" s="3"/>
      <c r="H259" s="3"/>
      <c r="I259" s="3"/>
      <c r="J259" s="3"/>
    </row>
    <row r="260">
      <c r="D260" s="3"/>
      <c r="E260" s="3"/>
      <c r="H260" s="3"/>
      <c r="I260" s="3"/>
      <c r="J260" s="3"/>
    </row>
    <row r="261">
      <c r="D261" s="3"/>
      <c r="E261" s="3"/>
      <c r="H261" s="3"/>
      <c r="I261" s="3"/>
      <c r="J261" s="3"/>
    </row>
    <row r="262">
      <c r="D262" s="3"/>
      <c r="E262" s="3"/>
      <c r="H262" s="3"/>
      <c r="I262" s="3"/>
      <c r="J262" s="3"/>
    </row>
    <row r="263">
      <c r="D263" s="3"/>
      <c r="E263" s="3"/>
      <c r="H263" s="3"/>
      <c r="I263" s="3"/>
      <c r="J263" s="3"/>
    </row>
    <row r="264">
      <c r="D264" s="3"/>
      <c r="E264" s="3"/>
      <c r="H264" s="3"/>
      <c r="I264" s="3"/>
      <c r="J264" s="3"/>
    </row>
    <row r="265">
      <c r="D265" s="3"/>
      <c r="E265" s="3"/>
      <c r="H265" s="3"/>
      <c r="I265" s="3"/>
      <c r="J265" s="3"/>
    </row>
    <row r="266">
      <c r="D266" s="3"/>
      <c r="E266" s="3"/>
      <c r="H266" s="3"/>
      <c r="I266" s="3"/>
      <c r="J266" s="3"/>
    </row>
    <row r="267">
      <c r="D267" s="3"/>
      <c r="E267" s="3"/>
      <c r="H267" s="3"/>
      <c r="I267" s="3"/>
      <c r="J267" s="3"/>
    </row>
    <row r="268">
      <c r="D268" s="3"/>
      <c r="E268" s="3"/>
      <c r="H268" s="3"/>
      <c r="I268" s="3"/>
      <c r="J268" s="3"/>
    </row>
    <row r="269">
      <c r="D269" s="3"/>
      <c r="E269" s="3"/>
      <c r="H269" s="3"/>
      <c r="I269" s="3"/>
      <c r="J269" s="3"/>
    </row>
    <row r="270">
      <c r="D270" s="3"/>
      <c r="E270" s="3"/>
      <c r="H270" s="3"/>
      <c r="I270" s="3"/>
      <c r="J270" s="3"/>
    </row>
    <row r="271">
      <c r="D271" s="3"/>
      <c r="E271" s="3"/>
      <c r="H271" s="3"/>
      <c r="I271" s="3"/>
      <c r="J271" s="3"/>
    </row>
    <row r="272">
      <c r="D272" s="3"/>
      <c r="E272" s="3"/>
      <c r="H272" s="3"/>
      <c r="I272" s="3"/>
      <c r="J272" s="3"/>
    </row>
    <row r="273">
      <c r="D273" s="3"/>
      <c r="E273" s="3"/>
      <c r="H273" s="3"/>
      <c r="I273" s="3"/>
      <c r="J273" s="3"/>
    </row>
    <row r="274">
      <c r="D274" s="3"/>
      <c r="E274" s="3"/>
      <c r="H274" s="3"/>
      <c r="I274" s="3"/>
      <c r="J274" s="3"/>
    </row>
    <row r="275">
      <c r="D275" s="3"/>
      <c r="E275" s="3"/>
      <c r="H275" s="3"/>
      <c r="I275" s="3"/>
      <c r="J275" s="3"/>
    </row>
    <row r="276">
      <c r="D276" s="3"/>
      <c r="E276" s="3"/>
      <c r="H276" s="3"/>
      <c r="I276" s="3"/>
      <c r="J276" s="3"/>
    </row>
    <row r="277">
      <c r="D277" s="3"/>
      <c r="E277" s="3"/>
      <c r="H277" s="3"/>
      <c r="I277" s="3"/>
      <c r="J277" s="3"/>
    </row>
    <row r="278">
      <c r="D278" s="3"/>
      <c r="E278" s="3"/>
      <c r="H278" s="3"/>
      <c r="I278" s="3"/>
      <c r="J278" s="3"/>
    </row>
    <row r="279">
      <c r="D279" s="3"/>
      <c r="E279" s="3"/>
      <c r="H279" s="3"/>
      <c r="I279" s="3"/>
      <c r="J279" s="3"/>
    </row>
    <row r="280">
      <c r="D280" s="3"/>
      <c r="E280" s="3"/>
      <c r="H280" s="3"/>
      <c r="I280" s="3"/>
      <c r="J280" s="3"/>
    </row>
    <row r="281">
      <c r="D281" s="3"/>
      <c r="E281" s="3"/>
      <c r="H281" s="3"/>
      <c r="I281" s="3"/>
      <c r="J281" s="3"/>
    </row>
    <row r="282">
      <c r="D282" s="3"/>
      <c r="E282" s="3"/>
      <c r="H282" s="3"/>
      <c r="I282" s="3"/>
      <c r="J282" s="3"/>
    </row>
    <row r="283">
      <c r="D283" s="3"/>
      <c r="E283" s="3"/>
      <c r="H283" s="3"/>
      <c r="I283" s="3"/>
      <c r="J283" s="3"/>
    </row>
    <row r="284">
      <c r="D284" s="3"/>
      <c r="E284" s="3"/>
      <c r="H284" s="3"/>
      <c r="I284" s="3"/>
      <c r="J284" s="3"/>
    </row>
    <row r="285">
      <c r="D285" s="3"/>
      <c r="E285" s="3"/>
      <c r="H285" s="3"/>
      <c r="I285" s="3"/>
      <c r="J285" s="3"/>
    </row>
    <row r="286">
      <c r="D286" s="3"/>
      <c r="E286" s="3"/>
      <c r="H286" s="3"/>
      <c r="I286" s="3"/>
      <c r="J286" s="3"/>
    </row>
    <row r="287">
      <c r="D287" s="3"/>
      <c r="E287" s="3"/>
      <c r="H287" s="3"/>
      <c r="I287" s="3"/>
      <c r="J287" s="3"/>
    </row>
    <row r="288">
      <c r="D288" s="3"/>
      <c r="E288" s="3"/>
      <c r="H288" s="3"/>
      <c r="I288" s="3"/>
      <c r="J288" s="3"/>
    </row>
    <row r="289">
      <c r="D289" s="3"/>
      <c r="E289" s="3"/>
      <c r="H289" s="3"/>
      <c r="I289" s="3"/>
      <c r="J289" s="3"/>
    </row>
    <row r="290">
      <c r="D290" s="3"/>
      <c r="E290" s="3"/>
      <c r="H290" s="3"/>
      <c r="I290" s="3"/>
      <c r="J290" s="3"/>
    </row>
    <row r="291">
      <c r="D291" s="3"/>
      <c r="E291" s="3"/>
      <c r="H291" s="3"/>
      <c r="I291" s="3"/>
      <c r="J291" s="3"/>
    </row>
    <row r="292">
      <c r="D292" s="3"/>
      <c r="E292" s="3"/>
      <c r="H292" s="3"/>
      <c r="I292" s="3"/>
      <c r="J292" s="3"/>
    </row>
    <row r="293">
      <c r="D293" s="3"/>
      <c r="E293" s="3"/>
      <c r="H293" s="3"/>
      <c r="I293" s="3"/>
      <c r="J293" s="3"/>
    </row>
    <row r="294">
      <c r="D294" s="3"/>
      <c r="E294" s="3"/>
      <c r="H294" s="3"/>
      <c r="I294" s="3"/>
      <c r="J294" s="3"/>
    </row>
    <row r="295">
      <c r="D295" s="3"/>
      <c r="E295" s="3"/>
      <c r="H295" s="3"/>
      <c r="I295" s="3"/>
      <c r="J295" s="3"/>
    </row>
    <row r="296">
      <c r="D296" s="3"/>
      <c r="E296" s="3"/>
      <c r="H296" s="3"/>
      <c r="I296" s="3"/>
      <c r="J296" s="3"/>
    </row>
    <row r="297">
      <c r="D297" s="3"/>
      <c r="E297" s="3"/>
      <c r="H297" s="3"/>
      <c r="I297" s="3"/>
      <c r="J297" s="3"/>
    </row>
    <row r="298">
      <c r="D298" s="3"/>
      <c r="E298" s="3"/>
      <c r="H298" s="3"/>
      <c r="I298" s="3"/>
      <c r="J298" s="3"/>
    </row>
    <row r="299">
      <c r="D299" s="3"/>
      <c r="E299" s="3"/>
      <c r="H299" s="3"/>
      <c r="I299" s="3"/>
      <c r="J299" s="3"/>
    </row>
    <row r="300">
      <c r="D300" s="3"/>
      <c r="E300" s="3"/>
      <c r="H300" s="3"/>
      <c r="I300" s="3"/>
      <c r="J300" s="3"/>
    </row>
    <row r="301">
      <c r="D301" s="3"/>
      <c r="E301" s="3"/>
      <c r="H301" s="3"/>
      <c r="I301" s="3"/>
      <c r="J301" s="3"/>
    </row>
    <row r="302">
      <c r="D302" s="3"/>
      <c r="E302" s="3"/>
      <c r="H302" s="3"/>
      <c r="I302" s="3"/>
      <c r="J302" s="3"/>
    </row>
    <row r="303">
      <c r="D303" s="3"/>
      <c r="E303" s="3"/>
      <c r="H303" s="3"/>
      <c r="I303" s="3"/>
      <c r="J303" s="3"/>
    </row>
    <row r="304">
      <c r="D304" s="3"/>
      <c r="E304" s="3"/>
      <c r="H304" s="3"/>
      <c r="I304" s="3"/>
      <c r="J304" s="3"/>
    </row>
    <row r="305">
      <c r="D305" s="3"/>
      <c r="E305" s="3"/>
      <c r="H305" s="3"/>
      <c r="I305" s="3"/>
      <c r="J305" s="3"/>
    </row>
    <row r="306">
      <c r="D306" s="3"/>
      <c r="E306" s="3"/>
      <c r="H306" s="3"/>
      <c r="I306" s="3"/>
      <c r="J306" s="3"/>
    </row>
    <row r="307">
      <c r="D307" s="3"/>
      <c r="E307" s="3"/>
      <c r="H307" s="3"/>
      <c r="I307" s="3"/>
      <c r="J307" s="3"/>
    </row>
    <row r="308">
      <c r="D308" s="3"/>
      <c r="E308" s="3"/>
      <c r="H308" s="3"/>
      <c r="I308" s="3"/>
      <c r="J308" s="3"/>
    </row>
    <row r="309">
      <c r="D309" s="3"/>
      <c r="E309" s="3"/>
      <c r="H309" s="3"/>
      <c r="I309" s="3"/>
      <c r="J309" s="3"/>
    </row>
    <row r="310">
      <c r="D310" s="3"/>
      <c r="E310" s="3"/>
      <c r="H310" s="3"/>
      <c r="I310" s="3"/>
      <c r="J310" s="3"/>
    </row>
    <row r="311">
      <c r="D311" s="3"/>
      <c r="E311" s="3"/>
      <c r="H311" s="3"/>
      <c r="I311" s="3"/>
      <c r="J311" s="3"/>
    </row>
    <row r="312">
      <c r="D312" s="3"/>
      <c r="E312" s="3"/>
      <c r="H312" s="3"/>
      <c r="I312" s="3"/>
      <c r="J312" s="3"/>
    </row>
    <row r="313">
      <c r="D313" s="3"/>
      <c r="E313" s="3"/>
      <c r="H313" s="3"/>
      <c r="I313" s="3"/>
      <c r="J313" s="3"/>
    </row>
    <row r="314">
      <c r="D314" s="3"/>
      <c r="E314" s="3"/>
      <c r="H314" s="3"/>
      <c r="I314" s="3"/>
      <c r="J314" s="3"/>
    </row>
    <row r="315">
      <c r="D315" s="3"/>
      <c r="E315" s="3"/>
      <c r="H315" s="3"/>
      <c r="I315" s="3"/>
      <c r="J315" s="3"/>
    </row>
    <row r="316">
      <c r="D316" s="3"/>
      <c r="E316" s="3"/>
      <c r="H316" s="3"/>
      <c r="I316" s="3"/>
      <c r="J316" s="3"/>
    </row>
    <row r="317">
      <c r="D317" s="3"/>
      <c r="E317" s="3"/>
      <c r="H317" s="3"/>
      <c r="I317" s="3"/>
      <c r="J317" s="3"/>
    </row>
    <row r="318">
      <c r="D318" s="3"/>
      <c r="E318" s="3"/>
      <c r="H318" s="3"/>
      <c r="I318" s="3"/>
      <c r="J318" s="3"/>
    </row>
    <row r="319">
      <c r="D319" s="3"/>
      <c r="E319" s="3"/>
      <c r="H319" s="3"/>
      <c r="I319" s="3"/>
      <c r="J319" s="3"/>
    </row>
    <row r="320">
      <c r="D320" s="3"/>
      <c r="E320" s="3"/>
      <c r="H320" s="3"/>
      <c r="I320" s="3"/>
      <c r="J320" s="3"/>
    </row>
    <row r="321">
      <c r="D321" s="3"/>
      <c r="E321" s="3"/>
      <c r="H321" s="3"/>
      <c r="I321" s="3"/>
      <c r="J321" s="3"/>
    </row>
    <row r="322">
      <c r="D322" s="3"/>
      <c r="E322" s="3"/>
      <c r="H322" s="3"/>
      <c r="I322" s="3"/>
      <c r="J322" s="3"/>
    </row>
    <row r="323">
      <c r="D323" s="3"/>
      <c r="E323" s="3"/>
      <c r="H323" s="3"/>
      <c r="I323" s="3"/>
      <c r="J323" s="3"/>
    </row>
    <row r="324">
      <c r="D324" s="3"/>
      <c r="E324" s="3"/>
      <c r="H324" s="3"/>
      <c r="I324" s="3"/>
      <c r="J324" s="3"/>
    </row>
    <row r="325">
      <c r="D325" s="3"/>
      <c r="E325" s="3"/>
      <c r="H325" s="3"/>
      <c r="I325" s="3"/>
      <c r="J325" s="3"/>
    </row>
    <row r="326">
      <c r="D326" s="3"/>
      <c r="E326" s="3"/>
      <c r="H326" s="3"/>
      <c r="I326" s="3"/>
      <c r="J326" s="3"/>
    </row>
    <row r="327">
      <c r="D327" s="3"/>
      <c r="E327" s="3"/>
      <c r="H327" s="3"/>
      <c r="I327" s="3"/>
      <c r="J327" s="3"/>
    </row>
    <row r="328">
      <c r="D328" s="3"/>
      <c r="E328" s="3"/>
      <c r="H328" s="3"/>
      <c r="I328" s="3"/>
      <c r="J328" s="3"/>
    </row>
    <row r="329">
      <c r="D329" s="3"/>
      <c r="E329" s="3"/>
      <c r="H329" s="3"/>
      <c r="I329" s="3"/>
      <c r="J329" s="3"/>
    </row>
    <row r="330">
      <c r="D330" s="3"/>
      <c r="E330" s="3"/>
      <c r="H330" s="3"/>
      <c r="I330" s="3"/>
      <c r="J330" s="3"/>
    </row>
    <row r="331">
      <c r="D331" s="3"/>
      <c r="E331" s="3"/>
      <c r="H331" s="3"/>
      <c r="I331" s="3"/>
      <c r="J331" s="3"/>
    </row>
    <row r="332">
      <c r="D332" s="3"/>
      <c r="E332" s="3"/>
      <c r="H332" s="3"/>
      <c r="I332" s="3"/>
      <c r="J332" s="3"/>
    </row>
    <row r="333">
      <c r="D333" s="3"/>
      <c r="E333" s="3"/>
      <c r="H333" s="3"/>
      <c r="I333" s="3"/>
      <c r="J333" s="3"/>
    </row>
    <row r="334">
      <c r="D334" s="3"/>
      <c r="E334" s="3"/>
      <c r="H334" s="3"/>
      <c r="I334" s="3"/>
      <c r="J334" s="3"/>
    </row>
    <row r="335">
      <c r="D335" s="3"/>
      <c r="E335" s="3"/>
      <c r="H335" s="3"/>
      <c r="I335" s="3"/>
      <c r="J335" s="3"/>
    </row>
    <row r="336">
      <c r="D336" s="3"/>
      <c r="E336" s="3"/>
      <c r="H336" s="3"/>
      <c r="I336" s="3"/>
      <c r="J336" s="3"/>
    </row>
    <row r="337">
      <c r="D337" s="3"/>
      <c r="E337" s="3"/>
      <c r="H337" s="3"/>
      <c r="I337" s="3"/>
      <c r="J337" s="3"/>
    </row>
    <row r="338">
      <c r="D338" s="3"/>
      <c r="E338" s="3"/>
      <c r="H338" s="3"/>
      <c r="I338" s="3"/>
      <c r="J338" s="3"/>
    </row>
    <row r="339">
      <c r="D339" s="3"/>
      <c r="E339" s="3"/>
      <c r="H339" s="3"/>
      <c r="I339" s="3"/>
      <c r="J339" s="3"/>
    </row>
    <row r="340">
      <c r="D340" s="3"/>
      <c r="E340" s="3"/>
      <c r="H340" s="3"/>
      <c r="I340" s="3"/>
      <c r="J340" s="3"/>
    </row>
    <row r="341">
      <c r="D341" s="3"/>
      <c r="E341" s="3"/>
      <c r="H341" s="3"/>
      <c r="I341" s="3"/>
      <c r="J341" s="3"/>
    </row>
    <row r="342">
      <c r="D342" s="3"/>
      <c r="E342" s="3"/>
      <c r="H342" s="3"/>
      <c r="I342" s="3"/>
      <c r="J342" s="3"/>
    </row>
    <row r="343">
      <c r="D343" s="3"/>
      <c r="E343" s="3"/>
      <c r="H343" s="3"/>
      <c r="I343" s="3"/>
      <c r="J343" s="3"/>
    </row>
    <row r="344">
      <c r="D344" s="3"/>
      <c r="E344" s="3"/>
      <c r="H344" s="3"/>
      <c r="I344" s="3"/>
      <c r="J344" s="3"/>
    </row>
    <row r="345">
      <c r="D345" s="3"/>
      <c r="E345" s="3"/>
      <c r="H345" s="3"/>
      <c r="I345" s="3"/>
      <c r="J345" s="3"/>
    </row>
    <row r="346">
      <c r="D346" s="3"/>
      <c r="E346" s="3"/>
      <c r="H346" s="3"/>
      <c r="I346" s="3"/>
      <c r="J346" s="3"/>
    </row>
    <row r="347">
      <c r="D347" s="3"/>
      <c r="E347" s="3"/>
      <c r="H347" s="3"/>
      <c r="I347" s="3"/>
      <c r="J347" s="3"/>
    </row>
    <row r="348">
      <c r="D348" s="3"/>
      <c r="E348" s="3"/>
      <c r="H348" s="3"/>
      <c r="I348" s="3"/>
      <c r="J348" s="3"/>
    </row>
    <row r="349">
      <c r="D349" s="3"/>
      <c r="E349" s="3"/>
      <c r="H349" s="3"/>
      <c r="I349" s="3"/>
      <c r="J349" s="3"/>
    </row>
    <row r="350">
      <c r="D350" s="3"/>
      <c r="E350" s="3"/>
      <c r="H350" s="3"/>
      <c r="I350" s="3"/>
      <c r="J350" s="3"/>
    </row>
    <row r="351">
      <c r="D351" s="3"/>
      <c r="E351" s="3"/>
      <c r="H351" s="3"/>
      <c r="I351" s="3"/>
      <c r="J351" s="3"/>
    </row>
    <row r="352">
      <c r="D352" s="3"/>
      <c r="E352" s="3"/>
      <c r="H352" s="3"/>
      <c r="I352" s="3"/>
      <c r="J352" s="3"/>
    </row>
    <row r="353">
      <c r="D353" s="3"/>
      <c r="E353" s="3"/>
      <c r="H353" s="3"/>
      <c r="I353" s="3"/>
      <c r="J353" s="3"/>
    </row>
    <row r="354">
      <c r="D354" s="3"/>
      <c r="E354" s="3"/>
      <c r="H354" s="3"/>
      <c r="I354" s="3"/>
      <c r="J354" s="3"/>
    </row>
    <row r="355">
      <c r="D355" s="3"/>
      <c r="E355" s="3"/>
      <c r="H355" s="3"/>
      <c r="I355" s="3"/>
      <c r="J355" s="3"/>
    </row>
    <row r="356">
      <c r="D356" s="3"/>
      <c r="E356" s="3"/>
      <c r="H356" s="3"/>
      <c r="I356" s="3"/>
      <c r="J356" s="3"/>
    </row>
    <row r="357">
      <c r="D357" s="3"/>
      <c r="E357" s="3"/>
      <c r="H357" s="3"/>
      <c r="I357" s="3"/>
      <c r="J357" s="3"/>
    </row>
    <row r="358">
      <c r="D358" s="3"/>
      <c r="E358" s="3"/>
      <c r="H358" s="3"/>
      <c r="I358" s="3"/>
      <c r="J358" s="3"/>
    </row>
    <row r="359">
      <c r="D359" s="3"/>
      <c r="E359" s="3"/>
      <c r="H359" s="3"/>
      <c r="I359" s="3"/>
      <c r="J359" s="3"/>
    </row>
    <row r="360">
      <c r="D360" s="3"/>
      <c r="E360" s="3"/>
      <c r="H360" s="3"/>
      <c r="I360" s="3"/>
      <c r="J360" s="3"/>
    </row>
    <row r="361">
      <c r="D361" s="3"/>
      <c r="E361" s="3"/>
      <c r="H361" s="3"/>
      <c r="I361" s="3"/>
      <c r="J361" s="3"/>
    </row>
    <row r="362">
      <c r="D362" s="3"/>
      <c r="E362" s="3"/>
      <c r="H362" s="3"/>
      <c r="I362" s="3"/>
      <c r="J362" s="3"/>
    </row>
    <row r="363">
      <c r="D363" s="3"/>
      <c r="E363" s="3"/>
      <c r="H363" s="3"/>
      <c r="I363" s="3"/>
      <c r="J363" s="3"/>
    </row>
    <row r="364">
      <c r="D364" s="3"/>
      <c r="E364" s="3"/>
      <c r="H364" s="3"/>
      <c r="I364" s="3"/>
      <c r="J364" s="3"/>
    </row>
    <row r="365">
      <c r="D365" s="3"/>
      <c r="E365" s="3"/>
      <c r="H365" s="3"/>
      <c r="I365" s="3"/>
      <c r="J365" s="3"/>
    </row>
    <row r="366">
      <c r="D366" s="3"/>
      <c r="E366" s="3"/>
      <c r="H366" s="3"/>
      <c r="I366" s="3"/>
      <c r="J366" s="3"/>
    </row>
    <row r="367">
      <c r="D367" s="3"/>
      <c r="E367" s="3"/>
      <c r="H367" s="3"/>
      <c r="I367" s="3"/>
      <c r="J367" s="3"/>
    </row>
    <row r="368">
      <c r="D368" s="3"/>
      <c r="E368" s="3"/>
      <c r="H368" s="3"/>
      <c r="I368" s="3"/>
      <c r="J368" s="3"/>
    </row>
    <row r="369">
      <c r="D369" s="3"/>
      <c r="E369" s="3"/>
      <c r="H369" s="3"/>
      <c r="I369" s="3"/>
      <c r="J369" s="3"/>
    </row>
    <row r="370">
      <c r="D370" s="3"/>
      <c r="E370" s="3"/>
      <c r="H370" s="3"/>
      <c r="I370" s="3"/>
      <c r="J370" s="3"/>
    </row>
    <row r="371">
      <c r="D371" s="3"/>
      <c r="E371" s="3"/>
      <c r="H371" s="3"/>
      <c r="I371" s="3"/>
      <c r="J371" s="3"/>
    </row>
    <row r="372">
      <c r="D372" s="3"/>
      <c r="E372" s="3"/>
      <c r="H372" s="3"/>
      <c r="I372" s="3"/>
      <c r="J372" s="3"/>
    </row>
    <row r="373">
      <c r="D373" s="3"/>
      <c r="E373" s="3"/>
      <c r="H373" s="3"/>
      <c r="I373" s="3"/>
      <c r="J373" s="3"/>
    </row>
    <row r="374">
      <c r="D374" s="3"/>
      <c r="E374" s="3"/>
      <c r="H374" s="3"/>
      <c r="I374" s="3"/>
      <c r="J374" s="3"/>
    </row>
    <row r="375">
      <c r="D375" s="3"/>
      <c r="E375" s="3"/>
      <c r="H375" s="3"/>
      <c r="I375" s="3"/>
      <c r="J375" s="3"/>
    </row>
    <row r="376">
      <c r="D376" s="3"/>
      <c r="E376" s="3"/>
      <c r="H376" s="3"/>
      <c r="I376" s="3"/>
      <c r="J376" s="3"/>
    </row>
    <row r="377">
      <c r="D377" s="3"/>
      <c r="E377" s="3"/>
      <c r="H377" s="3"/>
      <c r="I377" s="3"/>
      <c r="J377" s="3"/>
    </row>
    <row r="378">
      <c r="D378" s="3"/>
      <c r="E378" s="3"/>
      <c r="H378" s="3"/>
      <c r="I378" s="3"/>
      <c r="J378" s="3"/>
    </row>
    <row r="379">
      <c r="D379" s="3"/>
      <c r="E379" s="3"/>
      <c r="H379" s="3"/>
      <c r="I379" s="3"/>
      <c r="J379" s="3"/>
    </row>
    <row r="380">
      <c r="D380" s="3"/>
      <c r="E380" s="3"/>
      <c r="H380" s="3"/>
      <c r="I380" s="3"/>
      <c r="J380" s="3"/>
    </row>
    <row r="381">
      <c r="D381" s="3"/>
      <c r="E381" s="3"/>
      <c r="H381" s="3"/>
      <c r="I381" s="3"/>
      <c r="J381" s="3"/>
    </row>
    <row r="382">
      <c r="D382" s="3"/>
      <c r="E382" s="3"/>
      <c r="H382" s="3"/>
      <c r="I382" s="3"/>
      <c r="J382" s="3"/>
    </row>
    <row r="383">
      <c r="D383" s="3"/>
      <c r="E383" s="3"/>
      <c r="H383" s="3"/>
      <c r="I383" s="3"/>
      <c r="J383" s="3"/>
    </row>
    <row r="384">
      <c r="D384" s="3"/>
      <c r="E384" s="3"/>
      <c r="H384" s="3"/>
      <c r="I384" s="3"/>
      <c r="J384" s="3"/>
    </row>
    <row r="385">
      <c r="D385" s="3"/>
      <c r="E385" s="3"/>
      <c r="H385" s="3"/>
      <c r="I385" s="3"/>
      <c r="J385" s="3"/>
    </row>
    <row r="386">
      <c r="D386" s="3"/>
      <c r="E386" s="3"/>
      <c r="H386" s="3"/>
      <c r="I386" s="3"/>
      <c r="J386" s="3"/>
    </row>
    <row r="387">
      <c r="D387" s="3"/>
      <c r="E387" s="3"/>
      <c r="H387" s="3"/>
      <c r="I387" s="3"/>
      <c r="J387" s="3"/>
    </row>
    <row r="388">
      <c r="D388" s="3"/>
      <c r="E388" s="3"/>
      <c r="H388" s="3"/>
      <c r="I388" s="3"/>
      <c r="J388" s="3"/>
    </row>
    <row r="389">
      <c r="D389" s="3"/>
      <c r="E389" s="3"/>
      <c r="H389" s="3"/>
      <c r="I389" s="3"/>
      <c r="J389" s="3"/>
    </row>
    <row r="390">
      <c r="D390" s="3"/>
      <c r="E390" s="3"/>
      <c r="H390" s="3"/>
      <c r="I390" s="3"/>
      <c r="J390" s="3"/>
    </row>
    <row r="391">
      <c r="D391" s="3"/>
      <c r="E391" s="3"/>
      <c r="H391" s="3"/>
      <c r="I391" s="3"/>
      <c r="J391" s="3"/>
    </row>
    <row r="392">
      <c r="D392" s="3"/>
      <c r="E392" s="3"/>
      <c r="H392" s="3"/>
      <c r="I392" s="3"/>
      <c r="J392" s="3"/>
    </row>
    <row r="393">
      <c r="D393" s="3"/>
      <c r="E393" s="3"/>
      <c r="H393" s="3"/>
      <c r="I393" s="3"/>
      <c r="J393" s="3"/>
    </row>
    <row r="394">
      <c r="D394" s="3"/>
      <c r="E394" s="3"/>
      <c r="H394" s="3"/>
      <c r="I394" s="3"/>
      <c r="J394" s="3"/>
    </row>
    <row r="395">
      <c r="D395" s="3"/>
      <c r="E395" s="3"/>
      <c r="H395" s="3"/>
      <c r="I395" s="3"/>
      <c r="J395" s="3"/>
    </row>
    <row r="396">
      <c r="D396" s="3"/>
      <c r="E396" s="3"/>
      <c r="H396" s="3"/>
      <c r="I396" s="3"/>
      <c r="J396" s="3"/>
    </row>
    <row r="397">
      <c r="D397" s="3"/>
      <c r="E397" s="3"/>
      <c r="H397" s="3"/>
      <c r="I397" s="3"/>
      <c r="J397" s="3"/>
    </row>
    <row r="398">
      <c r="D398" s="3"/>
      <c r="E398" s="3"/>
      <c r="H398" s="3"/>
      <c r="I398" s="3"/>
      <c r="J398" s="3"/>
    </row>
    <row r="399">
      <c r="D399" s="3"/>
      <c r="E399" s="3"/>
      <c r="H399" s="3"/>
      <c r="I399" s="3"/>
      <c r="J399" s="3"/>
    </row>
    <row r="400">
      <c r="D400" s="3"/>
      <c r="E400" s="3"/>
      <c r="H400" s="3"/>
      <c r="I400" s="3"/>
      <c r="J400" s="3"/>
    </row>
    <row r="401">
      <c r="D401" s="3"/>
      <c r="E401" s="3"/>
      <c r="H401" s="3"/>
      <c r="I401" s="3"/>
      <c r="J401" s="3"/>
    </row>
    <row r="402">
      <c r="D402" s="3"/>
      <c r="E402" s="3"/>
      <c r="H402" s="3"/>
      <c r="I402" s="3"/>
      <c r="J402" s="3"/>
    </row>
    <row r="403">
      <c r="D403" s="3"/>
      <c r="E403" s="3"/>
      <c r="H403" s="3"/>
      <c r="I403" s="3"/>
      <c r="J403" s="3"/>
    </row>
    <row r="404">
      <c r="D404" s="3"/>
      <c r="E404" s="3"/>
      <c r="H404" s="3"/>
      <c r="I404" s="3"/>
      <c r="J404" s="3"/>
    </row>
    <row r="405">
      <c r="D405" s="3"/>
      <c r="E405" s="3"/>
      <c r="H405" s="3"/>
      <c r="I405" s="3"/>
      <c r="J405" s="3"/>
    </row>
    <row r="406">
      <c r="D406" s="3"/>
      <c r="E406" s="3"/>
      <c r="H406" s="3"/>
      <c r="I406" s="3"/>
      <c r="J406" s="3"/>
    </row>
    <row r="407">
      <c r="D407" s="3"/>
      <c r="E407" s="3"/>
      <c r="H407" s="3"/>
      <c r="I407" s="3"/>
      <c r="J407" s="3"/>
    </row>
    <row r="408">
      <c r="D408" s="3"/>
      <c r="E408" s="3"/>
      <c r="H408" s="3"/>
      <c r="I408" s="3"/>
      <c r="J408" s="3"/>
    </row>
    <row r="409">
      <c r="D409" s="3"/>
      <c r="E409" s="3"/>
      <c r="H409" s="3"/>
      <c r="I409" s="3"/>
      <c r="J409" s="3"/>
    </row>
    <row r="410">
      <c r="D410" s="3"/>
      <c r="E410" s="3"/>
      <c r="H410" s="3"/>
      <c r="I410" s="3"/>
      <c r="J410" s="3"/>
    </row>
    <row r="411">
      <c r="D411" s="3"/>
      <c r="E411" s="3"/>
      <c r="H411" s="3"/>
      <c r="I411" s="3"/>
      <c r="J411" s="3"/>
    </row>
    <row r="412">
      <c r="D412" s="3"/>
      <c r="E412" s="3"/>
      <c r="H412" s="3"/>
      <c r="I412" s="3"/>
      <c r="J412" s="3"/>
    </row>
    <row r="413">
      <c r="D413" s="3"/>
      <c r="E413" s="3"/>
      <c r="H413" s="3"/>
      <c r="I413" s="3"/>
      <c r="J413" s="3"/>
    </row>
    <row r="414">
      <c r="D414" s="3"/>
      <c r="E414" s="3"/>
      <c r="H414" s="3"/>
      <c r="I414" s="3"/>
      <c r="J414" s="3"/>
    </row>
    <row r="415">
      <c r="D415" s="3"/>
      <c r="E415" s="3"/>
      <c r="H415" s="3"/>
      <c r="I415" s="3"/>
      <c r="J415" s="3"/>
    </row>
    <row r="416">
      <c r="D416" s="3"/>
      <c r="E416" s="3"/>
      <c r="H416" s="3"/>
      <c r="I416" s="3"/>
      <c r="J416" s="3"/>
    </row>
    <row r="417">
      <c r="D417" s="3"/>
      <c r="E417" s="3"/>
      <c r="H417" s="3"/>
      <c r="I417" s="3"/>
      <c r="J417" s="3"/>
    </row>
    <row r="418">
      <c r="D418" s="3"/>
      <c r="E418" s="3"/>
      <c r="H418" s="3"/>
      <c r="I418" s="3"/>
      <c r="J418" s="3"/>
    </row>
    <row r="419">
      <c r="D419" s="3"/>
      <c r="E419" s="3"/>
      <c r="H419" s="3"/>
      <c r="I419" s="3"/>
      <c r="J419" s="3"/>
    </row>
    <row r="420">
      <c r="D420" s="3"/>
      <c r="E420" s="3"/>
      <c r="H420" s="3"/>
      <c r="I420" s="3"/>
      <c r="J420" s="3"/>
    </row>
    <row r="421">
      <c r="D421" s="3"/>
      <c r="E421" s="3"/>
      <c r="H421" s="3"/>
      <c r="I421" s="3"/>
      <c r="J421" s="3"/>
    </row>
    <row r="422">
      <c r="D422" s="3"/>
      <c r="E422" s="3"/>
      <c r="H422" s="3"/>
      <c r="I422" s="3"/>
      <c r="J422" s="3"/>
    </row>
    <row r="423">
      <c r="D423" s="3"/>
      <c r="E423" s="3"/>
      <c r="H423" s="3"/>
      <c r="I423" s="3"/>
      <c r="J423" s="3"/>
    </row>
    <row r="424">
      <c r="D424" s="3"/>
      <c r="E424" s="3"/>
      <c r="H424" s="3"/>
      <c r="I424" s="3"/>
      <c r="J424" s="3"/>
    </row>
    <row r="425">
      <c r="D425" s="3"/>
      <c r="E425" s="3"/>
      <c r="H425" s="3"/>
      <c r="I425" s="3"/>
      <c r="J425" s="3"/>
    </row>
    <row r="426">
      <c r="D426" s="3"/>
      <c r="E426" s="3"/>
      <c r="H426" s="3"/>
      <c r="I426" s="3"/>
      <c r="J426" s="3"/>
    </row>
    <row r="427">
      <c r="D427" s="3"/>
      <c r="E427" s="3"/>
      <c r="H427" s="3"/>
      <c r="I427" s="3"/>
      <c r="J427" s="3"/>
    </row>
    <row r="428">
      <c r="D428" s="3"/>
      <c r="E428" s="3"/>
      <c r="H428" s="3"/>
      <c r="I428" s="3"/>
      <c r="J428" s="3"/>
    </row>
    <row r="429">
      <c r="D429" s="3"/>
      <c r="E429" s="3"/>
      <c r="H429" s="3"/>
      <c r="I429" s="3"/>
      <c r="J429" s="3"/>
    </row>
    <row r="430">
      <c r="D430" s="3"/>
      <c r="E430" s="3"/>
      <c r="H430" s="3"/>
      <c r="I430" s="3"/>
      <c r="J430" s="3"/>
    </row>
    <row r="431">
      <c r="D431" s="3"/>
      <c r="E431" s="3"/>
      <c r="H431" s="3"/>
      <c r="I431" s="3"/>
      <c r="J431" s="3"/>
    </row>
    <row r="432">
      <c r="D432" s="3"/>
      <c r="E432" s="3"/>
      <c r="H432" s="3"/>
      <c r="I432" s="3"/>
      <c r="J432" s="3"/>
    </row>
    <row r="433">
      <c r="D433" s="3"/>
      <c r="E433" s="3"/>
      <c r="H433" s="3"/>
      <c r="I433" s="3"/>
      <c r="J433" s="3"/>
    </row>
    <row r="434">
      <c r="D434" s="3"/>
      <c r="E434" s="3"/>
      <c r="H434" s="3"/>
      <c r="I434" s="3"/>
      <c r="J434" s="3"/>
    </row>
    <row r="435">
      <c r="D435" s="3"/>
      <c r="E435" s="3"/>
      <c r="H435" s="3"/>
      <c r="I435" s="3"/>
      <c r="J435" s="3"/>
    </row>
    <row r="436">
      <c r="D436" s="3"/>
      <c r="E436" s="3"/>
      <c r="H436" s="3"/>
      <c r="I436" s="3"/>
      <c r="J436" s="3"/>
    </row>
    <row r="437">
      <c r="D437" s="3"/>
      <c r="E437" s="3"/>
      <c r="H437" s="3"/>
      <c r="I437" s="3"/>
      <c r="J437" s="3"/>
    </row>
    <row r="438">
      <c r="D438" s="3"/>
      <c r="E438" s="3"/>
      <c r="H438" s="3"/>
      <c r="I438" s="3"/>
      <c r="J438" s="3"/>
    </row>
    <row r="439">
      <c r="D439" s="3"/>
      <c r="E439" s="3"/>
      <c r="H439" s="3"/>
      <c r="I439" s="3"/>
      <c r="J439" s="3"/>
    </row>
    <row r="440">
      <c r="D440" s="3"/>
      <c r="E440" s="3"/>
      <c r="H440" s="3"/>
      <c r="I440" s="3"/>
      <c r="J440" s="3"/>
    </row>
    <row r="441">
      <c r="D441" s="3"/>
      <c r="E441" s="3"/>
      <c r="H441" s="3"/>
      <c r="I441" s="3"/>
      <c r="J441" s="3"/>
    </row>
    <row r="442">
      <c r="D442" s="3"/>
      <c r="E442" s="3"/>
      <c r="H442" s="3"/>
      <c r="I442" s="3"/>
      <c r="J442" s="3"/>
    </row>
    <row r="443">
      <c r="D443" s="3"/>
      <c r="E443" s="3"/>
      <c r="H443" s="3"/>
      <c r="I443" s="3"/>
      <c r="J443" s="3"/>
    </row>
    <row r="444">
      <c r="D444" s="3"/>
      <c r="E444" s="3"/>
      <c r="H444" s="3"/>
      <c r="I444" s="3"/>
      <c r="J444" s="3"/>
    </row>
    <row r="445">
      <c r="D445" s="3"/>
      <c r="E445" s="3"/>
      <c r="H445" s="3"/>
      <c r="I445" s="3"/>
      <c r="J445" s="3"/>
    </row>
    <row r="446">
      <c r="D446" s="3"/>
      <c r="E446" s="3"/>
      <c r="H446" s="3"/>
      <c r="I446" s="3"/>
      <c r="J446" s="3"/>
    </row>
    <row r="447">
      <c r="D447" s="3"/>
      <c r="E447" s="3"/>
      <c r="H447" s="3"/>
      <c r="I447" s="3"/>
      <c r="J447" s="3"/>
    </row>
    <row r="448">
      <c r="D448" s="3"/>
      <c r="E448" s="3"/>
      <c r="H448" s="3"/>
      <c r="I448" s="3"/>
      <c r="J448" s="3"/>
    </row>
    <row r="449">
      <c r="D449" s="3"/>
      <c r="E449" s="3"/>
      <c r="H449" s="3"/>
      <c r="I449" s="3"/>
      <c r="J449" s="3"/>
    </row>
    <row r="450">
      <c r="D450" s="3"/>
      <c r="E450" s="3"/>
      <c r="H450" s="3"/>
      <c r="I450" s="3"/>
      <c r="J450" s="3"/>
    </row>
    <row r="451">
      <c r="D451" s="3"/>
      <c r="E451" s="3"/>
      <c r="H451" s="3"/>
      <c r="I451" s="3"/>
      <c r="J451" s="3"/>
    </row>
    <row r="452">
      <c r="D452" s="3"/>
      <c r="E452" s="3"/>
      <c r="H452" s="3"/>
      <c r="I452" s="3"/>
      <c r="J452" s="3"/>
    </row>
    <row r="453">
      <c r="D453" s="3"/>
      <c r="E453" s="3"/>
      <c r="H453" s="3"/>
      <c r="I453" s="3"/>
      <c r="J453" s="3"/>
    </row>
    <row r="454">
      <c r="D454" s="3"/>
      <c r="E454" s="3"/>
      <c r="H454" s="3"/>
      <c r="I454" s="3"/>
      <c r="J454" s="3"/>
    </row>
    <row r="455">
      <c r="D455" s="3"/>
      <c r="E455" s="3"/>
      <c r="H455" s="3"/>
      <c r="I455" s="3"/>
      <c r="J455" s="3"/>
    </row>
    <row r="456">
      <c r="D456" s="3"/>
      <c r="E456" s="3"/>
      <c r="H456" s="3"/>
      <c r="I456" s="3"/>
      <c r="J456" s="3"/>
    </row>
    <row r="457">
      <c r="D457" s="3"/>
      <c r="E457" s="3"/>
      <c r="H457" s="3"/>
      <c r="I457" s="3"/>
      <c r="J457" s="3"/>
    </row>
    <row r="458">
      <c r="D458" s="3"/>
      <c r="E458" s="3"/>
      <c r="H458" s="3"/>
      <c r="I458" s="3"/>
      <c r="J458" s="3"/>
    </row>
    <row r="459">
      <c r="D459" s="3"/>
      <c r="E459" s="3"/>
      <c r="H459" s="3"/>
      <c r="I459" s="3"/>
      <c r="J459" s="3"/>
    </row>
    <row r="460">
      <c r="D460" s="3"/>
      <c r="E460" s="3"/>
      <c r="H460" s="3"/>
      <c r="I460" s="3"/>
      <c r="J460" s="3"/>
    </row>
    <row r="461">
      <c r="D461" s="3"/>
      <c r="E461" s="3"/>
      <c r="H461" s="3"/>
      <c r="I461" s="3"/>
      <c r="J461" s="3"/>
    </row>
    <row r="462">
      <c r="D462" s="3"/>
      <c r="E462" s="3"/>
      <c r="H462" s="3"/>
      <c r="I462" s="3"/>
      <c r="J462" s="3"/>
    </row>
    <row r="463">
      <c r="D463" s="3"/>
      <c r="E463" s="3"/>
      <c r="H463" s="3"/>
      <c r="I463" s="3"/>
      <c r="J463" s="3"/>
    </row>
    <row r="464">
      <c r="D464" s="3"/>
      <c r="E464" s="3"/>
      <c r="H464" s="3"/>
      <c r="I464" s="3"/>
      <c r="J464" s="3"/>
    </row>
    <row r="465">
      <c r="D465" s="3"/>
      <c r="E465" s="3"/>
      <c r="H465" s="3"/>
      <c r="I465" s="3"/>
      <c r="J465" s="3"/>
    </row>
    <row r="466">
      <c r="D466" s="3"/>
      <c r="E466" s="3"/>
      <c r="H466" s="3"/>
      <c r="I466" s="3"/>
      <c r="J466" s="3"/>
    </row>
    <row r="467">
      <c r="D467" s="3"/>
      <c r="E467" s="3"/>
      <c r="H467" s="3"/>
      <c r="I467" s="3"/>
      <c r="J467" s="3"/>
    </row>
    <row r="468">
      <c r="D468" s="3"/>
      <c r="E468" s="3"/>
      <c r="H468" s="3"/>
      <c r="I468" s="3"/>
      <c r="J468" s="3"/>
    </row>
    <row r="469">
      <c r="D469" s="3"/>
      <c r="E469" s="3"/>
      <c r="H469" s="3"/>
      <c r="I469" s="3"/>
      <c r="J469" s="3"/>
    </row>
    <row r="470">
      <c r="D470" s="3"/>
      <c r="E470" s="3"/>
      <c r="H470" s="3"/>
      <c r="I470" s="3"/>
      <c r="J470" s="3"/>
    </row>
    <row r="471">
      <c r="D471" s="3"/>
      <c r="E471" s="3"/>
      <c r="H471" s="3"/>
      <c r="I471" s="3"/>
      <c r="J471" s="3"/>
    </row>
    <row r="472">
      <c r="D472" s="3"/>
      <c r="E472" s="3"/>
      <c r="H472" s="3"/>
      <c r="I472" s="3"/>
      <c r="J472" s="3"/>
    </row>
    <row r="473">
      <c r="D473" s="3"/>
      <c r="E473" s="3"/>
      <c r="H473" s="3"/>
      <c r="I473" s="3"/>
      <c r="J473" s="3"/>
    </row>
    <row r="474">
      <c r="D474" s="3"/>
      <c r="E474" s="3"/>
      <c r="H474" s="3"/>
      <c r="I474" s="3"/>
      <c r="J474" s="3"/>
    </row>
    <row r="475">
      <c r="D475" s="3"/>
      <c r="E475" s="3"/>
      <c r="H475" s="3"/>
      <c r="I475" s="3"/>
      <c r="J475" s="3"/>
    </row>
    <row r="476">
      <c r="D476" s="3"/>
      <c r="E476" s="3"/>
      <c r="H476" s="3"/>
      <c r="I476" s="3"/>
      <c r="J476" s="3"/>
    </row>
    <row r="477">
      <c r="D477" s="3"/>
      <c r="E477" s="3"/>
      <c r="H477" s="3"/>
      <c r="I477" s="3"/>
      <c r="J477" s="3"/>
    </row>
    <row r="478">
      <c r="D478" s="3"/>
      <c r="E478" s="3"/>
      <c r="H478" s="3"/>
      <c r="I478" s="3"/>
      <c r="J478" s="3"/>
    </row>
    <row r="479">
      <c r="D479" s="3"/>
      <c r="E479" s="3"/>
      <c r="H479" s="3"/>
      <c r="I479" s="3"/>
      <c r="J479" s="3"/>
    </row>
    <row r="480">
      <c r="D480" s="3"/>
      <c r="E480" s="3"/>
      <c r="H480" s="3"/>
      <c r="I480" s="3"/>
      <c r="J480" s="3"/>
    </row>
    <row r="481">
      <c r="D481" s="3"/>
      <c r="E481" s="3"/>
      <c r="H481" s="3"/>
      <c r="I481" s="3"/>
      <c r="J481" s="3"/>
    </row>
    <row r="482">
      <c r="D482" s="3"/>
      <c r="E482" s="3"/>
      <c r="H482" s="3"/>
      <c r="I482" s="3"/>
      <c r="J482" s="3"/>
    </row>
    <row r="483">
      <c r="D483" s="3"/>
      <c r="E483" s="3"/>
      <c r="H483" s="3"/>
      <c r="I483" s="3"/>
      <c r="J483" s="3"/>
    </row>
    <row r="484">
      <c r="D484" s="3"/>
      <c r="E484" s="3"/>
      <c r="H484" s="3"/>
      <c r="I484" s="3"/>
      <c r="J484" s="3"/>
    </row>
    <row r="485">
      <c r="D485" s="3"/>
      <c r="E485" s="3"/>
      <c r="H485" s="3"/>
      <c r="I485" s="3"/>
      <c r="J485" s="3"/>
    </row>
    <row r="486">
      <c r="D486" s="3"/>
      <c r="E486" s="3"/>
      <c r="H486" s="3"/>
      <c r="I486" s="3"/>
      <c r="J486" s="3"/>
    </row>
    <row r="487">
      <c r="D487" s="3"/>
      <c r="E487" s="3"/>
      <c r="H487" s="3"/>
      <c r="I487" s="3"/>
      <c r="J487" s="3"/>
    </row>
    <row r="488">
      <c r="D488" s="3"/>
      <c r="E488" s="3"/>
      <c r="H488" s="3"/>
      <c r="I488" s="3"/>
      <c r="J488" s="3"/>
    </row>
    <row r="489">
      <c r="D489" s="3"/>
      <c r="E489" s="3"/>
      <c r="H489" s="3"/>
      <c r="I489" s="3"/>
      <c r="J489" s="3"/>
    </row>
    <row r="490">
      <c r="D490" s="3"/>
      <c r="E490" s="3"/>
      <c r="H490" s="3"/>
      <c r="I490" s="3"/>
      <c r="J490" s="3"/>
    </row>
    <row r="491">
      <c r="D491" s="3"/>
      <c r="E491" s="3"/>
      <c r="H491" s="3"/>
      <c r="I491" s="3"/>
      <c r="J491" s="3"/>
    </row>
    <row r="492">
      <c r="D492" s="3"/>
      <c r="E492" s="3"/>
      <c r="H492" s="3"/>
      <c r="I492" s="3"/>
      <c r="J492" s="3"/>
    </row>
    <row r="493">
      <c r="D493" s="3"/>
      <c r="E493" s="3"/>
      <c r="H493" s="3"/>
      <c r="I493" s="3"/>
      <c r="J493" s="3"/>
    </row>
    <row r="494">
      <c r="D494" s="3"/>
      <c r="E494" s="3"/>
      <c r="H494" s="3"/>
      <c r="I494" s="3"/>
      <c r="J494" s="3"/>
    </row>
    <row r="495">
      <c r="D495" s="3"/>
      <c r="E495" s="3"/>
      <c r="H495" s="3"/>
      <c r="I495" s="3"/>
      <c r="J495" s="3"/>
    </row>
    <row r="496">
      <c r="D496" s="3"/>
      <c r="E496" s="3"/>
      <c r="H496" s="3"/>
      <c r="I496" s="3"/>
      <c r="J496" s="3"/>
    </row>
    <row r="497">
      <c r="D497" s="3"/>
      <c r="E497" s="3"/>
      <c r="H497" s="3"/>
      <c r="I497" s="3"/>
      <c r="J497" s="3"/>
    </row>
    <row r="498">
      <c r="D498" s="3"/>
      <c r="E498" s="3"/>
      <c r="H498" s="3"/>
      <c r="I498" s="3"/>
      <c r="J498" s="3"/>
    </row>
    <row r="499">
      <c r="D499" s="3"/>
      <c r="E499" s="3"/>
      <c r="H499" s="3"/>
      <c r="I499" s="3"/>
      <c r="J499" s="3"/>
    </row>
    <row r="500">
      <c r="D500" s="3"/>
      <c r="E500" s="3"/>
      <c r="H500" s="3"/>
      <c r="I500" s="3"/>
      <c r="J500" s="3"/>
    </row>
    <row r="501">
      <c r="D501" s="3"/>
      <c r="E501" s="3"/>
      <c r="H501" s="3"/>
      <c r="I501" s="3"/>
      <c r="J501" s="3"/>
    </row>
    <row r="502">
      <c r="D502" s="3"/>
      <c r="E502" s="3"/>
      <c r="H502" s="3"/>
      <c r="I502" s="3"/>
      <c r="J502" s="3"/>
    </row>
    <row r="503">
      <c r="D503" s="3"/>
      <c r="E503" s="3"/>
      <c r="H503" s="3"/>
      <c r="I503" s="3"/>
      <c r="J503" s="3"/>
    </row>
    <row r="504">
      <c r="D504" s="3"/>
      <c r="E504" s="3"/>
      <c r="H504" s="3"/>
      <c r="I504" s="3"/>
      <c r="J504" s="3"/>
    </row>
    <row r="505">
      <c r="D505" s="3"/>
      <c r="E505" s="3"/>
      <c r="H505" s="3"/>
      <c r="I505" s="3"/>
      <c r="J505" s="3"/>
    </row>
    <row r="506">
      <c r="D506" s="3"/>
      <c r="E506" s="3"/>
      <c r="H506" s="3"/>
      <c r="I506" s="3"/>
      <c r="J506" s="3"/>
    </row>
    <row r="507">
      <c r="D507" s="3"/>
      <c r="E507" s="3"/>
      <c r="H507" s="3"/>
      <c r="I507" s="3"/>
      <c r="J507" s="3"/>
    </row>
    <row r="508">
      <c r="D508" s="3"/>
      <c r="E508" s="3"/>
      <c r="H508" s="3"/>
      <c r="I508" s="3"/>
      <c r="J508" s="3"/>
    </row>
    <row r="509">
      <c r="D509" s="3"/>
      <c r="E509" s="3"/>
      <c r="H509" s="3"/>
      <c r="I509" s="3"/>
      <c r="J509" s="3"/>
    </row>
    <row r="510">
      <c r="D510" s="3"/>
      <c r="E510" s="3"/>
      <c r="H510" s="3"/>
      <c r="I510" s="3"/>
      <c r="J510" s="3"/>
    </row>
    <row r="511">
      <c r="D511" s="3"/>
      <c r="E511" s="3"/>
      <c r="H511" s="3"/>
      <c r="I511" s="3"/>
      <c r="J511" s="3"/>
    </row>
    <row r="512">
      <c r="D512" s="3"/>
      <c r="E512" s="3"/>
      <c r="H512" s="3"/>
      <c r="I512" s="3"/>
      <c r="J512" s="3"/>
    </row>
    <row r="513">
      <c r="D513" s="3"/>
      <c r="E513" s="3"/>
      <c r="H513" s="3"/>
      <c r="I513" s="3"/>
      <c r="J513" s="3"/>
    </row>
    <row r="514">
      <c r="D514" s="3"/>
      <c r="E514" s="3"/>
      <c r="H514" s="3"/>
      <c r="I514" s="3"/>
      <c r="J514" s="3"/>
    </row>
    <row r="515">
      <c r="D515" s="3"/>
      <c r="E515" s="3"/>
      <c r="H515" s="3"/>
      <c r="I515" s="3"/>
      <c r="J515" s="3"/>
    </row>
    <row r="516">
      <c r="D516" s="3"/>
      <c r="E516" s="3"/>
      <c r="H516" s="3"/>
      <c r="I516" s="3"/>
      <c r="J516" s="3"/>
    </row>
    <row r="517">
      <c r="D517" s="3"/>
      <c r="E517" s="3"/>
      <c r="H517" s="3"/>
      <c r="I517" s="3"/>
      <c r="J517" s="3"/>
    </row>
    <row r="518">
      <c r="D518" s="3"/>
      <c r="E518" s="3"/>
      <c r="H518" s="3"/>
      <c r="I518" s="3"/>
      <c r="J518" s="3"/>
    </row>
    <row r="519">
      <c r="D519" s="3"/>
      <c r="E519" s="3"/>
      <c r="H519" s="3"/>
      <c r="I519" s="3"/>
      <c r="J519" s="3"/>
    </row>
    <row r="520">
      <c r="D520" s="3"/>
      <c r="E520" s="3"/>
      <c r="H520" s="3"/>
      <c r="I520" s="3"/>
      <c r="J520" s="3"/>
    </row>
    <row r="521">
      <c r="D521" s="3"/>
      <c r="E521" s="3"/>
      <c r="H521" s="3"/>
      <c r="I521" s="3"/>
      <c r="J521" s="3"/>
    </row>
    <row r="522">
      <c r="D522" s="3"/>
      <c r="E522" s="3"/>
      <c r="H522" s="3"/>
      <c r="I522" s="3"/>
      <c r="J522" s="3"/>
    </row>
    <row r="523">
      <c r="D523" s="3"/>
      <c r="E523" s="3"/>
      <c r="H523" s="3"/>
      <c r="I523" s="3"/>
      <c r="J523" s="3"/>
    </row>
    <row r="524">
      <c r="D524" s="3"/>
      <c r="E524" s="3"/>
      <c r="H524" s="3"/>
      <c r="I524" s="3"/>
      <c r="J524" s="3"/>
    </row>
    <row r="525">
      <c r="D525" s="3"/>
      <c r="E525" s="3"/>
      <c r="H525" s="3"/>
      <c r="I525" s="3"/>
      <c r="J525" s="3"/>
    </row>
    <row r="526">
      <c r="D526" s="3"/>
      <c r="E526" s="3"/>
      <c r="H526" s="3"/>
      <c r="I526" s="3"/>
      <c r="J526" s="3"/>
    </row>
    <row r="527">
      <c r="D527" s="3"/>
      <c r="E527" s="3"/>
      <c r="H527" s="3"/>
      <c r="I527" s="3"/>
      <c r="J527" s="3"/>
    </row>
    <row r="528">
      <c r="D528" s="3"/>
      <c r="E528" s="3"/>
      <c r="H528" s="3"/>
      <c r="I528" s="3"/>
      <c r="J528" s="3"/>
    </row>
    <row r="529">
      <c r="D529" s="3"/>
      <c r="E529" s="3"/>
      <c r="H529" s="3"/>
      <c r="I529" s="3"/>
      <c r="J529" s="3"/>
    </row>
    <row r="530">
      <c r="D530" s="3"/>
      <c r="E530" s="3"/>
      <c r="H530" s="3"/>
      <c r="I530" s="3"/>
      <c r="J530" s="3"/>
    </row>
    <row r="531">
      <c r="D531" s="3"/>
      <c r="E531" s="3"/>
      <c r="H531" s="3"/>
      <c r="I531" s="3"/>
      <c r="J531" s="3"/>
    </row>
    <row r="532">
      <c r="D532" s="3"/>
      <c r="E532" s="3"/>
      <c r="H532" s="3"/>
      <c r="I532" s="3"/>
      <c r="J532" s="3"/>
    </row>
    <row r="533">
      <c r="D533" s="3"/>
      <c r="E533" s="3"/>
      <c r="H533" s="3"/>
      <c r="I533" s="3"/>
      <c r="J533" s="3"/>
    </row>
    <row r="534">
      <c r="D534" s="3"/>
      <c r="E534" s="3"/>
      <c r="H534" s="3"/>
      <c r="I534" s="3"/>
      <c r="J534" s="3"/>
    </row>
    <row r="535">
      <c r="D535" s="3"/>
      <c r="E535" s="3"/>
      <c r="H535" s="3"/>
      <c r="I535" s="3"/>
      <c r="J535" s="3"/>
    </row>
    <row r="536">
      <c r="D536" s="3"/>
      <c r="E536" s="3"/>
      <c r="H536" s="3"/>
      <c r="I536" s="3"/>
      <c r="J536" s="3"/>
    </row>
    <row r="537">
      <c r="D537" s="3"/>
      <c r="E537" s="3"/>
      <c r="H537" s="3"/>
      <c r="I537" s="3"/>
      <c r="J537" s="3"/>
    </row>
    <row r="538">
      <c r="D538" s="3"/>
      <c r="E538" s="3"/>
      <c r="H538" s="3"/>
      <c r="I538" s="3"/>
      <c r="J538" s="3"/>
    </row>
    <row r="539">
      <c r="D539" s="3"/>
      <c r="E539" s="3"/>
      <c r="H539" s="3"/>
      <c r="I539" s="3"/>
      <c r="J539" s="3"/>
    </row>
    <row r="540">
      <c r="D540" s="3"/>
      <c r="E540" s="3"/>
      <c r="H540" s="3"/>
      <c r="I540" s="3"/>
      <c r="J540" s="3"/>
    </row>
    <row r="541">
      <c r="D541" s="3"/>
      <c r="E541" s="3"/>
      <c r="H541" s="3"/>
      <c r="I541" s="3"/>
      <c r="J541" s="3"/>
    </row>
    <row r="542">
      <c r="D542" s="3"/>
      <c r="E542" s="3"/>
      <c r="H542" s="3"/>
      <c r="I542" s="3"/>
      <c r="J542" s="3"/>
    </row>
    <row r="543">
      <c r="D543" s="3"/>
      <c r="E543" s="3"/>
      <c r="H543" s="3"/>
      <c r="I543" s="3"/>
      <c r="J543" s="3"/>
    </row>
    <row r="544">
      <c r="D544" s="3"/>
      <c r="E544" s="3"/>
      <c r="H544" s="3"/>
      <c r="I544" s="3"/>
      <c r="J544" s="3"/>
    </row>
    <row r="545">
      <c r="D545" s="3"/>
      <c r="E545" s="3"/>
      <c r="H545" s="3"/>
      <c r="I545" s="3"/>
      <c r="J545" s="3"/>
    </row>
    <row r="546">
      <c r="D546" s="3"/>
      <c r="E546" s="3"/>
      <c r="H546" s="3"/>
      <c r="I546" s="3"/>
      <c r="J546" s="3"/>
    </row>
    <row r="547">
      <c r="D547" s="3"/>
      <c r="E547" s="3"/>
      <c r="H547" s="3"/>
      <c r="I547" s="3"/>
      <c r="J547" s="3"/>
    </row>
    <row r="548">
      <c r="D548" s="3"/>
      <c r="E548" s="3"/>
      <c r="H548" s="3"/>
      <c r="I548" s="3"/>
      <c r="J548" s="3"/>
    </row>
    <row r="549">
      <c r="D549" s="3"/>
      <c r="E549" s="3"/>
      <c r="H549" s="3"/>
      <c r="I549" s="3"/>
      <c r="J549" s="3"/>
    </row>
    <row r="550">
      <c r="D550" s="3"/>
      <c r="E550" s="3"/>
      <c r="H550" s="3"/>
      <c r="I550" s="3"/>
      <c r="J550" s="3"/>
    </row>
    <row r="551">
      <c r="D551" s="3"/>
      <c r="E551" s="3"/>
      <c r="H551" s="3"/>
      <c r="I551" s="3"/>
      <c r="J551" s="3"/>
    </row>
    <row r="552">
      <c r="D552" s="3"/>
      <c r="E552" s="3"/>
      <c r="H552" s="3"/>
      <c r="I552" s="3"/>
      <c r="J552" s="3"/>
    </row>
    <row r="553">
      <c r="D553" s="3"/>
      <c r="E553" s="3"/>
      <c r="H553" s="3"/>
      <c r="I553" s="3"/>
      <c r="J553" s="3"/>
    </row>
    <row r="554">
      <c r="D554" s="3"/>
      <c r="E554" s="3"/>
      <c r="H554" s="3"/>
      <c r="I554" s="3"/>
      <c r="J554" s="3"/>
    </row>
    <row r="555">
      <c r="D555" s="3"/>
      <c r="E555" s="3"/>
      <c r="H555" s="3"/>
      <c r="I555" s="3"/>
      <c r="J555" s="3"/>
    </row>
    <row r="556">
      <c r="D556" s="3"/>
      <c r="E556" s="3"/>
      <c r="H556" s="3"/>
      <c r="I556" s="3"/>
      <c r="J556" s="3"/>
    </row>
    <row r="557">
      <c r="D557" s="3"/>
      <c r="E557" s="3"/>
      <c r="H557" s="3"/>
      <c r="I557" s="3"/>
      <c r="J557" s="3"/>
    </row>
    <row r="558">
      <c r="D558" s="3"/>
      <c r="E558" s="3"/>
      <c r="H558" s="3"/>
      <c r="I558" s="3"/>
      <c r="J558" s="3"/>
    </row>
    <row r="559">
      <c r="D559" s="3"/>
      <c r="E559" s="3"/>
      <c r="H559" s="3"/>
      <c r="I559" s="3"/>
      <c r="J559" s="3"/>
    </row>
    <row r="560">
      <c r="D560" s="3"/>
      <c r="E560" s="3"/>
      <c r="H560" s="3"/>
      <c r="I560" s="3"/>
      <c r="J560" s="3"/>
    </row>
    <row r="561">
      <c r="D561" s="3"/>
      <c r="E561" s="3"/>
      <c r="H561" s="3"/>
      <c r="I561" s="3"/>
      <c r="J561" s="3"/>
    </row>
    <row r="562">
      <c r="D562" s="3"/>
      <c r="E562" s="3"/>
      <c r="H562" s="3"/>
      <c r="I562" s="3"/>
      <c r="J562" s="3"/>
    </row>
    <row r="563">
      <c r="D563" s="3"/>
      <c r="E563" s="3"/>
      <c r="H563" s="3"/>
      <c r="I563" s="3"/>
      <c r="J563" s="3"/>
    </row>
    <row r="564">
      <c r="D564" s="3"/>
      <c r="E564" s="3"/>
      <c r="H564" s="3"/>
      <c r="I564" s="3"/>
      <c r="J564" s="3"/>
    </row>
    <row r="565">
      <c r="D565" s="3"/>
      <c r="E565" s="3"/>
      <c r="H565" s="3"/>
      <c r="I565" s="3"/>
      <c r="J565" s="3"/>
    </row>
    <row r="566">
      <c r="D566" s="3"/>
      <c r="E566" s="3"/>
      <c r="H566" s="3"/>
      <c r="I566" s="3"/>
      <c r="J566" s="3"/>
    </row>
    <row r="567">
      <c r="D567" s="3"/>
      <c r="E567" s="3"/>
      <c r="H567" s="3"/>
      <c r="I567" s="3"/>
      <c r="J567" s="3"/>
    </row>
    <row r="568">
      <c r="D568" s="3"/>
      <c r="E568" s="3"/>
      <c r="H568" s="3"/>
      <c r="I568" s="3"/>
      <c r="J568" s="3"/>
    </row>
    <row r="569">
      <c r="D569" s="3"/>
      <c r="E569" s="3"/>
      <c r="H569" s="3"/>
      <c r="I569" s="3"/>
      <c r="J569" s="3"/>
    </row>
    <row r="570">
      <c r="D570" s="3"/>
      <c r="E570" s="3"/>
      <c r="H570" s="3"/>
      <c r="I570" s="3"/>
      <c r="J570" s="3"/>
    </row>
    <row r="571">
      <c r="D571" s="3"/>
      <c r="E571" s="3"/>
      <c r="H571" s="3"/>
      <c r="I571" s="3"/>
      <c r="J571" s="3"/>
    </row>
    <row r="572">
      <c r="D572" s="3"/>
      <c r="E572" s="3"/>
      <c r="H572" s="3"/>
      <c r="I572" s="3"/>
      <c r="J572" s="3"/>
    </row>
    <row r="573">
      <c r="D573" s="3"/>
      <c r="E573" s="3"/>
      <c r="H573" s="3"/>
      <c r="I573" s="3"/>
      <c r="J573" s="3"/>
    </row>
    <row r="574">
      <c r="D574" s="3"/>
      <c r="E574" s="3"/>
      <c r="H574" s="3"/>
      <c r="I574" s="3"/>
      <c r="J574" s="3"/>
    </row>
    <row r="575">
      <c r="D575" s="3"/>
      <c r="E575" s="3"/>
      <c r="H575" s="3"/>
      <c r="I575" s="3"/>
      <c r="J575" s="3"/>
    </row>
    <row r="576">
      <c r="D576" s="3"/>
      <c r="E576" s="3"/>
      <c r="H576" s="3"/>
      <c r="I576" s="3"/>
      <c r="J576" s="3"/>
    </row>
    <row r="577">
      <c r="D577" s="3"/>
      <c r="E577" s="3"/>
      <c r="H577" s="3"/>
      <c r="I577" s="3"/>
      <c r="J577" s="3"/>
    </row>
    <row r="578">
      <c r="D578" s="3"/>
      <c r="E578" s="3"/>
      <c r="H578" s="3"/>
      <c r="I578" s="3"/>
      <c r="J578" s="3"/>
    </row>
    <row r="579">
      <c r="D579" s="3"/>
      <c r="E579" s="3"/>
      <c r="H579" s="3"/>
      <c r="I579" s="3"/>
      <c r="J579" s="3"/>
    </row>
    <row r="580">
      <c r="D580" s="3"/>
      <c r="E580" s="3"/>
      <c r="H580" s="3"/>
      <c r="I580" s="3"/>
      <c r="J580" s="3"/>
    </row>
    <row r="581">
      <c r="D581" s="3"/>
      <c r="E581" s="3"/>
      <c r="H581" s="3"/>
      <c r="I581" s="3"/>
      <c r="J581" s="3"/>
    </row>
    <row r="582">
      <c r="D582" s="3"/>
      <c r="E582" s="3"/>
      <c r="H582" s="3"/>
      <c r="I582" s="3"/>
      <c r="J582" s="3"/>
    </row>
    <row r="583">
      <c r="D583" s="3"/>
      <c r="E583" s="3"/>
      <c r="H583" s="3"/>
      <c r="I583" s="3"/>
      <c r="J583" s="3"/>
    </row>
    <row r="584">
      <c r="D584" s="3"/>
      <c r="E584" s="3"/>
      <c r="H584" s="3"/>
      <c r="I584" s="3"/>
      <c r="J584" s="3"/>
    </row>
    <row r="585">
      <c r="D585" s="3"/>
      <c r="E585" s="3"/>
      <c r="H585" s="3"/>
      <c r="I585" s="3"/>
      <c r="J585" s="3"/>
    </row>
    <row r="586">
      <c r="D586" s="3"/>
      <c r="E586" s="3"/>
      <c r="H586" s="3"/>
      <c r="I586" s="3"/>
      <c r="J586" s="3"/>
    </row>
    <row r="587">
      <c r="D587" s="3"/>
      <c r="E587" s="3"/>
      <c r="H587" s="3"/>
      <c r="I587" s="3"/>
      <c r="J587" s="3"/>
    </row>
    <row r="588">
      <c r="D588" s="3"/>
      <c r="E588" s="3"/>
      <c r="H588" s="3"/>
      <c r="I588" s="3"/>
      <c r="J588" s="3"/>
    </row>
    <row r="589">
      <c r="D589" s="3"/>
      <c r="E589" s="3"/>
      <c r="H589" s="3"/>
      <c r="I589" s="3"/>
      <c r="J589" s="3"/>
    </row>
    <row r="590">
      <c r="D590" s="3"/>
      <c r="E590" s="3"/>
      <c r="H590" s="3"/>
      <c r="I590" s="3"/>
      <c r="J590" s="3"/>
    </row>
    <row r="591">
      <c r="D591" s="3"/>
      <c r="E591" s="3"/>
      <c r="H591" s="3"/>
      <c r="I591" s="3"/>
      <c r="J591" s="3"/>
    </row>
    <row r="592">
      <c r="D592" s="3"/>
      <c r="E592" s="3"/>
      <c r="H592" s="3"/>
      <c r="I592" s="3"/>
      <c r="J592" s="3"/>
    </row>
    <row r="593">
      <c r="D593" s="3"/>
      <c r="E593" s="3"/>
      <c r="H593" s="3"/>
      <c r="I593" s="3"/>
      <c r="J593" s="3"/>
    </row>
    <row r="594">
      <c r="D594" s="3"/>
      <c r="E594" s="3"/>
      <c r="H594" s="3"/>
      <c r="I594" s="3"/>
      <c r="J594" s="3"/>
    </row>
    <row r="595">
      <c r="D595" s="3"/>
      <c r="E595" s="3"/>
      <c r="H595" s="3"/>
      <c r="I595" s="3"/>
      <c r="J595" s="3"/>
    </row>
    <row r="596">
      <c r="D596" s="3"/>
      <c r="E596" s="3"/>
      <c r="H596" s="3"/>
      <c r="I596" s="3"/>
      <c r="J596" s="3"/>
    </row>
    <row r="597">
      <c r="D597" s="3"/>
      <c r="E597" s="3"/>
      <c r="H597" s="3"/>
      <c r="I597" s="3"/>
      <c r="J597" s="3"/>
    </row>
    <row r="598">
      <c r="D598" s="3"/>
      <c r="E598" s="3"/>
      <c r="H598" s="3"/>
      <c r="I598" s="3"/>
      <c r="J598" s="3"/>
    </row>
    <row r="599">
      <c r="D599" s="3"/>
      <c r="E599" s="3"/>
      <c r="H599" s="3"/>
      <c r="I599" s="3"/>
      <c r="J599" s="3"/>
    </row>
    <row r="600">
      <c r="D600" s="3"/>
      <c r="E600" s="3"/>
      <c r="H600" s="3"/>
      <c r="I600" s="3"/>
      <c r="J600" s="3"/>
    </row>
    <row r="601">
      <c r="D601" s="3"/>
      <c r="E601" s="3"/>
      <c r="H601" s="3"/>
      <c r="I601" s="3"/>
      <c r="J601" s="3"/>
    </row>
    <row r="602">
      <c r="D602" s="3"/>
      <c r="E602" s="3"/>
      <c r="H602" s="3"/>
      <c r="I602" s="3"/>
      <c r="J602" s="3"/>
    </row>
    <row r="603">
      <c r="D603" s="3"/>
      <c r="E603" s="3"/>
      <c r="H603" s="3"/>
      <c r="I603" s="3"/>
      <c r="J603" s="3"/>
    </row>
    <row r="604">
      <c r="D604" s="3"/>
      <c r="E604" s="3"/>
      <c r="H604" s="3"/>
      <c r="I604" s="3"/>
      <c r="J604" s="3"/>
    </row>
    <row r="605">
      <c r="D605" s="3"/>
      <c r="E605" s="3"/>
      <c r="H605" s="3"/>
      <c r="I605" s="3"/>
      <c r="J605" s="3"/>
    </row>
    <row r="606">
      <c r="D606" s="3"/>
      <c r="E606" s="3"/>
      <c r="H606" s="3"/>
      <c r="I606" s="3"/>
      <c r="J606" s="3"/>
    </row>
    <row r="607">
      <c r="D607" s="3"/>
      <c r="E607" s="3"/>
      <c r="H607" s="3"/>
      <c r="I607" s="3"/>
      <c r="J607" s="3"/>
    </row>
    <row r="608">
      <c r="D608" s="3"/>
      <c r="E608" s="3"/>
      <c r="H608" s="3"/>
      <c r="I608" s="3"/>
      <c r="J608" s="3"/>
    </row>
    <row r="609">
      <c r="D609" s="3"/>
      <c r="E609" s="3"/>
      <c r="H609" s="3"/>
      <c r="I609" s="3"/>
      <c r="J609" s="3"/>
    </row>
    <row r="610">
      <c r="D610" s="3"/>
      <c r="E610" s="3"/>
      <c r="H610" s="3"/>
      <c r="I610" s="3"/>
      <c r="J610" s="3"/>
    </row>
    <row r="611">
      <c r="D611" s="3"/>
      <c r="E611" s="3"/>
      <c r="H611" s="3"/>
      <c r="I611" s="3"/>
      <c r="J611" s="3"/>
    </row>
    <row r="612">
      <c r="D612" s="3"/>
      <c r="E612" s="3"/>
      <c r="H612" s="3"/>
      <c r="I612" s="3"/>
      <c r="J612" s="3"/>
    </row>
    <row r="613">
      <c r="D613" s="3"/>
      <c r="E613" s="3"/>
      <c r="H613" s="3"/>
      <c r="I613" s="3"/>
      <c r="J613" s="3"/>
    </row>
    <row r="614">
      <c r="D614" s="3"/>
      <c r="E614" s="3"/>
      <c r="H614" s="3"/>
      <c r="I614" s="3"/>
      <c r="J614" s="3"/>
    </row>
    <row r="615">
      <c r="D615" s="3"/>
      <c r="E615" s="3"/>
      <c r="H615" s="3"/>
      <c r="I615" s="3"/>
      <c r="J615" s="3"/>
    </row>
    <row r="616">
      <c r="D616" s="3"/>
      <c r="E616" s="3"/>
      <c r="H616" s="3"/>
      <c r="I616" s="3"/>
      <c r="J616" s="3"/>
    </row>
    <row r="617">
      <c r="D617" s="3"/>
      <c r="E617" s="3"/>
      <c r="H617" s="3"/>
      <c r="I617" s="3"/>
      <c r="J617" s="3"/>
    </row>
    <row r="618">
      <c r="D618" s="3"/>
      <c r="E618" s="3"/>
      <c r="H618" s="3"/>
      <c r="I618" s="3"/>
      <c r="J618" s="3"/>
    </row>
    <row r="619">
      <c r="D619" s="3"/>
      <c r="E619" s="3"/>
      <c r="H619" s="3"/>
      <c r="I619" s="3"/>
      <c r="J619" s="3"/>
    </row>
    <row r="620">
      <c r="D620" s="3"/>
      <c r="E620" s="3"/>
      <c r="H620" s="3"/>
      <c r="I620" s="3"/>
      <c r="J620" s="3"/>
    </row>
    <row r="621">
      <c r="D621" s="3"/>
      <c r="E621" s="3"/>
      <c r="H621" s="3"/>
      <c r="I621" s="3"/>
      <c r="J621" s="3"/>
    </row>
    <row r="622">
      <c r="D622" s="3"/>
      <c r="E622" s="3"/>
      <c r="H622" s="3"/>
      <c r="I622" s="3"/>
      <c r="J622" s="3"/>
    </row>
    <row r="623">
      <c r="D623" s="3"/>
      <c r="E623" s="3"/>
      <c r="H623" s="3"/>
      <c r="I623" s="3"/>
      <c r="J623" s="3"/>
    </row>
    <row r="624">
      <c r="D624" s="3"/>
      <c r="E624" s="3"/>
      <c r="H624" s="3"/>
      <c r="I624" s="3"/>
      <c r="J624" s="3"/>
    </row>
    <row r="625">
      <c r="D625" s="3"/>
      <c r="E625" s="3"/>
      <c r="H625" s="3"/>
      <c r="I625" s="3"/>
      <c r="J625" s="3"/>
    </row>
    <row r="626">
      <c r="D626" s="3"/>
      <c r="E626" s="3"/>
      <c r="H626" s="3"/>
      <c r="I626" s="3"/>
      <c r="J626" s="3"/>
    </row>
    <row r="627">
      <c r="D627" s="3"/>
      <c r="E627" s="3"/>
      <c r="H627" s="3"/>
      <c r="I627" s="3"/>
      <c r="J627" s="3"/>
    </row>
    <row r="628">
      <c r="D628" s="3"/>
      <c r="E628" s="3"/>
      <c r="H628" s="3"/>
      <c r="I628" s="3"/>
      <c r="J628" s="3"/>
    </row>
    <row r="629">
      <c r="D629" s="3"/>
      <c r="E629" s="3"/>
      <c r="H629" s="3"/>
      <c r="I629" s="3"/>
      <c r="J629" s="3"/>
    </row>
    <row r="630">
      <c r="D630" s="3"/>
      <c r="E630" s="3"/>
      <c r="H630" s="3"/>
      <c r="I630" s="3"/>
      <c r="J630" s="3"/>
    </row>
    <row r="631">
      <c r="D631" s="3"/>
      <c r="E631" s="3"/>
      <c r="H631" s="3"/>
      <c r="I631" s="3"/>
      <c r="J631" s="3"/>
    </row>
    <row r="632">
      <c r="D632" s="3"/>
      <c r="E632" s="3"/>
      <c r="H632" s="3"/>
      <c r="I632" s="3"/>
      <c r="J632" s="3"/>
    </row>
    <row r="633">
      <c r="D633" s="3"/>
      <c r="E633" s="3"/>
      <c r="H633" s="3"/>
      <c r="I633" s="3"/>
      <c r="J633" s="3"/>
    </row>
    <row r="634">
      <c r="D634" s="3"/>
      <c r="E634" s="3"/>
      <c r="H634" s="3"/>
      <c r="I634" s="3"/>
      <c r="J634" s="3"/>
    </row>
    <row r="635">
      <c r="D635" s="3"/>
      <c r="E635" s="3"/>
      <c r="H635" s="3"/>
      <c r="I635" s="3"/>
      <c r="J635" s="3"/>
    </row>
    <row r="636">
      <c r="D636" s="3"/>
      <c r="E636" s="3"/>
      <c r="H636" s="3"/>
      <c r="I636" s="3"/>
      <c r="J636" s="3"/>
    </row>
    <row r="637">
      <c r="D637" s="3"/>
      <c r="E637" s="3"/>
      <c r="H637" s="3"/>
      <c r="I637" s="3"/>
      <c r="J637" s="3"/>
    </row>
    <row r="638">
      <c r="D638" s="3"/>
      <c r="E638" s="3"/>
      <c r="H638" s="3"/>
      <c r="I638" s="3"/>
      <c r="J638" s="3"/>
    </row>
    <row r="639">
      <c r="D639" s="3"/>
      <c r="E639" s="3"/>
      <c r="H639" s="3"/>
      <c r="I639" s="3"/>
      <c r="J639" s="3"/>
    </row>
    <row r="640">
      <c r="D640" s="3"/>
      <c r="E640" s="3"/>
      <c r="H640" s="3"/>
      <c r="I640" s="3"/>
      <c r="J640" s="3"/>
    </row>
    <row r="641">
      <c r="D641" s="3"/>
      <c r="E641" s="3"/>
      <c r="H641" s="3"/>
      <c r="I641" s="3"/>
      <c r="J641" s="3"/>
    </row>
    <row r="642">
      <c r="D642" s="3"/>
      <c r="E642" s="3"/>
      <c r="H642" s="3"/>
      <c r="I642" s="3"/>
      <c r="J642" s="3"/>
    </row>
    <row r="643">
      <c r="D643" s="3"/>
      <c r="E643" s="3"/>
      <c r="H643" s="3"/>
      <c r="I643" s="3"/>
      <c r="J643" s="3"/>
    </row>
    <row r="644">
      <c r="D644" s="3"/>
      <c r="E644" s="3"/>
      <c r="H644" s="3"/>
      <c r="I644" s="3"/>
      <c r="J644" s="3"/>
    </row>
    <row r="645">
      <c r="D645" s="3"/>
      <c r="E645" s="3"/>
      <c r="H645" s="3"/>
      <c r="I645" s="3"/>
      <c r="J645" s="3"/>
    </row>
    <row r="646">
      <c r="D646" s="3"/>
      <c r="E646" s="3"/>
      <c r="H646" s="3"/>
      <c r="I646" s="3"/>
      <c r="J646" s="3"/>
    </row>
    <row r="647">
      <c r="D647" s="3"/>
      <c r="E647" s="3"/>
      <c r="H647" s="3"/>
      <c r="I647" s="3"/>
      <c r="J647" s="3"/>
    </row>
    <row r="648">
      <c r="D648" s="3"/>
      <c r="E648" s="3"/>
      <c r="H648" s="3"/>
      <c r="I648" s="3"/>
      <c r="J648" s="3"/>
    </row>
    <row r="649">
      <c r="D649" s="3"/>
      <c r="E649" s="3"/>
      <c r="H649" s="3"/>
      <c r="I649" s="3"/>
      <c r="J649" s="3"/>
    </row>
    <row r="650">
      <c r="D650" s="3"/>
      <c r="E650" s="3"/>
      <c r="H650" s="3"/>
      <c r="I650" s="3"/>
      <c r="J650" s="3"/>
    </row>
    <row r="651">
      <c r="D651" s="3"/>
      <c r="E651" s="3"/>
      <c r="H651" s="3"/>
      <c r="I651" s="3"/>
      <c r="J651" s="3"/>
    </row>
    <row r="652">
      <c r="D652" s="3"/>
      <c r="E652" s="3"/>
      <c r="H652" s="3"/>
      <c r="I652" s="3"/>
      <c r="J652" s="3"/>
    </row>
    <row r="653">
      <c r="D653" s="3"/>
      <c r="E653" s="3"/>
      <c r="H653" s="3"/>
      <c r="I653" s="3"/>
      <c r="J653" s="3"/>
    </row>
    <row r="654">
      <c r="D654" s="3"/>
      <c r="E654" s="3"/>
      <c r="H654" s="3"/>
      <c r="I654" s="3"/>
      <c r="J654" s="3"/>
    </row>
    <row r="655">
      <c r="D655" s="3"/>
      <c r="E655" s="3"/>
      <c r="H655" s="3"/>
      <c r="I655" s="3"/>
      <c r="J655" s="3"/>
    </row>
    <row r="656">
      <c r="D656" s="3"/>
      <c r="E656" s="3"/>
      <c r="H656" s="3"/>
      <c r="I656" s="3"/>
      <c r="J656" s="3"/>
    </row>
    <row r="657">
      <c r="D657" s="3"/>
      <c r="E657" s="3"/>
      <c r="H657" s="3"/>
      <c r="I657" s="3"/>
      <c r="J657" s="3"/>
    </row>
    <row r="658">
      <c r="D658" s="3"/>
      <c r="E658" s="3"/>
      <c r="H658" s="3"/>
      <c r="I658" s="3"/>
      <c r="J658" s="3"/>
    </row>
    <row r="659">
      <c r="D659" s="3"/>
      <c r="E659" s="3"/>
      <c r="H659" s="3"/>
      <c r="I659" s="3"/>
      <c r="J659" s="3"/>
    </row>
    <row r="660">
      <c r="D660" s="3"/>
      <c r="E660" s="3"/>
      <c r="H660" s="3"/>
      <c r="I660" s="3"/>
      <c r="J660" s="3"/>
    </row>
    <row r="661">
      <c r="D661" s="3"/>
      <c r="E661" s="3"/>
      <c r="H661" s="3"/>
      <c r="I661" s="3"/>
      <c r="J661" s="3"/>
    </row>
    <row r="662">
      <c r="D662" s="3"/>
      <c r="E662" s="3"/>
      <c r="H662" s="3"/>
      <c r="I662" s="3"/>
      <c r="J662" s="3"/>
    </row>
    <row r="663">
      <c r="D663" s="3"/>
      <c r="E663" s="3"/>
      <c r="H663" s="3"/>
      <c r="I663" s="3"/>
      <c r="J663" s="3"/>
    </row>
    <row r="664">
      <c r="D664" s="3"/>
      <c r="E664" s="3"/>
      <c r="H664" s="3"/>
      <c r="I664" s="3"/>
      <c r="J664" s="3"/>
    </row>
    <row r="665">
      <c r="D665" s="3"/>
      <c r="E665" s="3"/>
      <c r="H665" s="3"/>
      <c r="I665" s="3"/>
      <c r="J665" s="3"/>
    </row>
    <row r="666">
      <c r="D666" s="3"/>
      <c r="E666" s="3"/>
      <c r="H666" s="3"/>
      <c r="I666" s="3"/>
      <c r="J666" s="3"/>
    </row>
    <row r="667">
      <c r="D667" s="3"/>
      <c r="E667" s="3"/>
      <c r="H667" s="3"/>
      <c r="I667" s="3"/>
      <c r="J667" s="3"/>
    </row>
    <row r="668">
      <c r="D668" s="3"/>
      <c r="E668" s="3"/>
      <c r="H668" s="3"/>
      <c r="I668" s="3"/>
      <c r="J668" s="3"/>
    </row>
    <row r="669">
      <c r="D669" s="3"/>
      <c r="E669" s="3"/>
      <c r="H669" s="3"/>
      <c r="I669" s="3"/>
      <c r="J669" s="3"/>
    </row>
    <row r="670">
      <c r="D670" s="3"/>
      <c r="E670" s="3"/>
      <c r="H670" s="3"/>
      <c r="I670" s="3"/>
      <c r="J670" s="3"/>
    </row>
    <row r="671">
      <c r="D671" s="3"/>
      <c r="E671" s="3"/>
      <c r="H671" s="3"/>
      <c r="I671" s="3"/>
      <c r="J671" s="3"/>
    </row>
    <row r="672">
      <c r="D672" s="3"/>
      <c r="E672" s="3"/>
      <c r="H672" s="3"/>
      <c r="I672" s="3"/>
      <c r="J672" s="3"/>
    </row>
    <row r="673">
      <c r="D673" s="3"/>
      <c r="E673" s="3"/>
      <c r="H673" s="3"/>
      <c r="I673" s="3"/>
      <c r="J673" s="3"/>
    </row>
    <row r="674">
      <c r="D674" s="3"/>
      <c r="E674" s="3"/>
      <c r="H674" s="3"/>
      <c r="I674" s="3"/>
      <c r="J674" s="3"/>
    </row>
    <row r="675">
      <c r="D675" s="3"/>
      <c r="E675" s="3"/>
      <c r="H675" s="3"/>
      <c r="I675" s="3"/>
      <c r="J675" s="3"/>
    </row>
    <row r="676">
      <c r="D676" s="3"/>
      <c r="E676" s="3"/>
      <c r="H676" s="3"/>
      <c r="I676" s="3"/>
      <c r="J676" s="3"/>
    </row>
    <row r="677">
      <c r="D677" s="3"/>
      <c r="E677" s="3"/>
      <c r="H677" s="3"/>
      <c r="I677" s="3"/>
      <c r="J677" s="3"/>
    </row>
    <row r="678">
      <c r="D678" s="3"/>
      <c r="E678" s="3"/>
      <c r="H678" s="3"/>
      <c r="I678" s="3"/>
      <c r="J678" s="3"/>
    </row>
    <row r="679">
      <c r="D679" s="3"/>
      <c r="E679" s="3"/>
      <c r="H679" s="3"/>
      <c r="I679" s="3"/>
      <c r="J679" s="3"/>
    </row>
    <row r="680">
      <c r="D680" s="3"/>
      <c r="E680" s="3"/>
      <c r="H680" s="3"/>
      <c r="I680" s="3"/>
      <c r="J680" s="3"/>
    </row>
    <row r="681">
      <c r="D681" s="3"/>
      <c r="E681" s="3"/>
      <c r="H681" s="3"/>
      <c r="I681" s="3"/>
      <c r="J681" s="3"/>
    </row>
    <row r="682">
      <c r="D682" s="3"/>
      <c r="E682" s="3"/>
      <c r="H682" s="3"/>
      <c r="I682" s="3"/>
      <c r="J682" s="3"/>
    </row>
    <row r="683">
      <c r="D683" s="3"/>
      <c r="E683" s="3"/>
      <c r="H683" s="3"/>
      <c r="I683" s="3"/>
      <c r="J683" s="3"/>
    </row>
    <row r="684">
      <c r="D684" s="3"/>
      <c r="E684" s="3"/>
      <c r="H684" s="3"/>
      <c r="I684" s="3"/>
      <c r="J684" s="3"/>
    </row>
    <row r="685">
      <c r="D685" s="3"/>
      <c r="E685" s="3"/>
      <c r="H685" s="3"/>
      <c r="I685" s="3"/>
      <c r="J685" s="3"/>
    </row>
    <row r="686">
      <c r="D686" s="3"/>
      <c r="E686" s="3"/>
      <c r="H686" s="3"/>
      <c r="I686" s="3"/>
      <c r="J686" s="3"/>
    </row>
    <row r="687">
      <c r="D687" s="3"/>
      <c r="E687" s="3"/>
      <c r="H687" s="3"/>
      <c r="I687" s="3"/>
      <c r="J687" s="3"/>
    </row>
    <row r="688">
      <c r="D688" s="3"/>
      <c r="E688" s="3"/>
      <c r="H688" s="3"/>
      <c r="I688" s="3"/>
      <c r="J688" s="3"/>
    </row>
    <row r="689">
      <c r="D689" s="3"/>
      <c r="E689" s="3"/>
      <c r="H689" s="3"/>
      <c r="I689" s="3"/>
      <c r="J689" s="3"/>
    </row>
    <row r="690">
      <c r="D690" s="3"/>
      <c r="E690" s="3"/>
      <c r="H690" s="3"/>
      <c r="I690" s="3"/>
      <c r="J690" s="3"/>
    </row>
    <row r="691">
      <c r="D691" s="3"/>
      <c r="E691" s="3"/>
      <c r="H691" s="3"/>
      <c r="I691" s="3"/>
      <c r="J691" s="3"/>
    </row>
    <row r="692">
      <c r="D692" s="3"/>
      <c r="E692" s="3"/>
      <c r="H692" s="3"/>
      <c r="I692" s="3"/>
      <c r="J692" s="3"/>
    </row>
    <row r="693">
      <c r="D693" s="3"/>
      <c r="E693" s="3"/>
      <c r="H693" s="3"/>
      <c r="I693" s="3"/>
      <c r="J693" s="3"/>
    </row>
    <row r="694">
      <c r="D694" s="3"/>
      <c r="E694" s="3"/>
      <c r="H694" s="3"/>
      <c r="I694" s="3"/>
      <c r="J694" s="3"/>
    </row>
    <row r="695">
      <c r="D695" s="3"/>
      <c r="E695" s="3"/>
      <c r="H695" s="3"/>
      <c r="I695" s="3"/>
      <c r="J695" s="3"/>
    </row>
    <row r="696">
      <c r="D696" s="3"/>
      <c r="E696" s="3"/>
      <c r="H696" s="3"/>
      <c r="I696" s="3"/>
      <c r="J696" s="3"/>
    </row>
    <row r="697">
      <c r="D697" s="3"/>
      <c r="E697" s="3"/>
      <c r="H697" s="3"/>
      <c r="I697" s="3"/>
      <c r="J697" s="3"/>
    </row>
    <row r="698">
      <c r="D698" s="3"/>
      <c r="E698" s="3"/>
      <c r="H698" s="3"/>
      <c r="I698" s="3"/>
      <c r="J698" s="3"/>
    </row>
    <row r="699">
      <c r="D699" s="3"/>
      <c r="E699" s="3"/>
      <c r="H699" s="3"/>
      <c r="I699" s="3"/>
      <c r="J699" s="3"/>
    </row>
    <row r="700">
      <c r="D700" s="3"/>
      <c r="E700" s="3"/>
      <c r="H700" s="3"/>
      <c r="I700" s="3"/>
      <c r="J700" s="3"/>
    </row>
    <row r="701">
      <c r="D701" s="3"/>
      <c r="E701" s="3"/>
      <c r="H701" s="3"/>
      <c r="I701" s="3"/>
      <c r="J701" s="3"/>
    </row>
    <row r="702">
      <c r="D702" s="3"/>
      <c r="E702" s="3"/>
      <c r="H702" s="3"/>
      <c r="I702" s="3"/>
      <c r="J702" s="3"/>
    </row>
    <row r="703">
      <c r="D703" s="3"/>
      <c r="E703" s="3"/>
      <c r="H703" s="3"/>
      <c r="I703" s="3"/>
      <c r="J703" s="3"/>
    </row>
    <row r="704">
      <c r="D704" s="3"/>
      <c r="E704" s="3"/>
      <c r="H704" s="3"/>
      <c r="I704" s="3"/>
      <c r="J704" s="3"/>
    </row>
    <row r="705">
      <c r="D705" s="3"/>
      <c r="E705" s="3"/>
      <c r="H705" s="3"/>
      <c r="I705" s="3"/>
      <c r="J705" s="3"/>
    </row>
    <row r="706">
      <c r="D706" s="3"/>
      <c r="E706" s="3"/>
      <c r="H706" s="3"/>
      <c r="I706" s="3"/>
      <c r="J706" s="3"/>
    </row>
    <row r="707">
      <c r="D707" s="3"/>
      <c r="E707" s="3"/>
      <c r="H707" s="3"/>
      <c r="I707" s="3"/>
      <c r="J707" s="3"/>
    </row>
    <row r="708">
      <c r="D708" s="3"/>
      <c r="E708" s="3"/>
      <c r="H708" s="3"/>
      <c r="I708" s="3"/>
      <c r="J708" s="3"/>
    </row>
    <row r="709">
      <c r="D709" s="3"/>
      <c r="E709" s="3"/>
      <c r="H709" s="3"/>
      <c r="I709" s="3"/>
      <c r="J709" s="3"/>
    </row>
    <row r="710">
      <c r="D710" s="3"/>
      <c r="E710" s="3"/>
      <c r="H710" s="3"/>
      <c r="I710" s="3"/>
      <c r="J710" s="3"/>
    </row>
    <row r="711">
      <c r="D711" s="3"/>
      <c r="E711" s="3"/>
      <c r="H711" s="3"/>
      <c r="I711" s="3"/>
      <c r="J711" s="3"/>
    </row>
    <row r="712">
      <c r="D712" s="3"/>
      <c r="E712" s="3"/>
      <c r="H712" s="3"/>
      <c r="I712" s="3"/>
      <c r="J712" s="3"/>
    </row>
    <row r="713">
      <c r="D713" s="3"/>
      <c r="E713" s="3"/>
      <c r="H713" s="3"/>
      <c r="I713" s="3"/>
      <c r="J713" s="3"/>
    </row>
    <row r="714">
      <c r="D714" s="3"/>
      <c r="E714" s="3"/>
      <c r="H714" s="3"/>
      <c r="I714" s="3"/>
      <c r="J714" s="3"/>
    </row>
    <row r="715">
      <c r="D715" s="3"/>
      <c r="E715" s="3"/>
      <c r="H715" s="3"/>
      <c r="I715" s="3"/>
      <c r="J715" s="3"/>
    </row>
    <row r="716">
      <c r="D716" s="3"/>
      <c r="E716" s="3"/>
      <c r="H716" s="3"/>
      <c r="I716" s="3"/>
      <c r="J716" s="3"/>
    </row>
    <row r="717">
      <c r="D717" s="3"/>
      <c r="E717" s="3"/>
      <c r="H717" s="3"/>
      <c r="I717" s="3"/>
      <c r="J717" s="3"/>
    </row>
    <row r="718">
      <c r="D718" s="3"/>
      <c r="E718" s="3"/>
      <c r="H718" s="3"/>
      <c r="I718" s="3"/>
      <c r="J718" s="3"/>
    </row>
    <row r="719">
      <c r="D719" s="3"/>
      <c r="E719" s="3"/>
      <c r="H719" s="3"/>
      <c r="I719" s="3"/>
      <c r="J719" s="3"/>
    </row>
    <row r="720">
      <c r="D720" s="3"/>
      <c r="E720" s="3"/>
      <c r="H720" s="3"/>
      <c r="I720" s="3"/>
      <c r="J720" s="3"/>
    </row>
    <row r="721">
      <c r="D721" s="3"/>
      <c r="E721" s="3"/>
      <c r="H721" s="3"/>
      <c r="I721" s="3"/>
      <c r="J721" s="3"/>
    </row>
    <row r="722">
      <c r="D722" s="3"/>
      <c r="E722" s="3"/>
      <c r="H722" s="3"/>
      <c r="I722" s="3"/>
      <c r="J722" s="3"/>
    </row>
    <row r="723">
      <c r="D723" s="3"/>
      <c r="E723" s="3"/>
      <c r="H723" s="3"/>
      <c r="I723" s="3"/>
      <c r="J723" s="3"/>
    </row>
    <row r="724">
      <c r="D724" s="3"/>
      <c r="E724" s="3"/>
      <c r="H724" s="3"/>
      <c r="I724" s="3"/>
      <c r="J724" s="3"/>
    </row>
    <row r="725">
      <c r="D725" s="3"/>
      <c r="E725" s="3"/>
      <c r="H725" s="3"/>
      <c r="I725" s="3"/>
      <c r="J725" s="3"/>
    </row>
    <row r="726">
      <c r="D726" s="3"/>
      <c r="E726" s="3"/>
      <c r="H726" s="3"/>
      <c r="I726" s="3"/>
      <c r="J726" s="3"/>
    </row>
    <row r="727">
      <c r="D727" s="3"/>
      <c r="E727" s="3"/>
      <c r="H727" s="3"/>
      <c r="I727" s="3"/>
      <c r="J727" s="3"/>
    </row>
    <row r="728">
      <c r="D728" s="3"/>
      <c r="E728" s="3"/>
      <c r="H728" s="3"/>
      <c r="I728" s="3"/>
      <c r="J728" s="3"/>
    </row>
    <row r="729">
      <c r="D729" s="3"/>
      <c r="E729" s="3"/>
      <c r="H729" s="3"/>
      <c r="I729" s="3"/>
      <c r="J729" s="3"/>
    </row>
    <row r="730">
      <c r="D730" s="3"/>
      <c r="E730" s="3"/>
      <c r="H730" s="3"/>
      <c r="I730" s="3"/>
      <c r="J730" s="3"/>
    </row>
    <row r="731">
      <c r="D731" s="3"/>
      <c r="E731" s="3"/>
      <c r="H731" s="3"/>
      <c r="I731" s="3"/>
      <c r="J731" s="3"/>
    </row>
    <row r="732">
      <c r="D732" s="3"/>
      <c r="E732" s="3"/>
      <c r="H732" s="3"/>
      <c r="I732" s="3"/>
      <c r="J732" s="3"/>
    </row>
    <row r="733">
      <c r="D733" s="3"/>
      <c r="E733" s="3"/>
      <c r="H733" s="3"/>
      <c r="I733" s="3"/>
      <c r="J733" s="3"/>
    </row>
    <row r="734">
      <c r="D734" s="3"/>
      <c r="E734" s="3"/>
      <c r="H734" s="3"/>
      <c r="I734" s="3"/>
      <c r="J734" s="3"/>
    </row>
    <row r="735">
      <c r="D735" s="3"/>
      <c r="E735" s="3"/>
      <c r="H735" s="3"/>
      <c r="I735" s="3"/>
      <c r="J735" s="3"/>
    </row>
    <row r="736">
      <c r="D736" s="3"/>
      <c r="E736" s="3"/>
      <c r="H736" s="3"/>
      <c r="I736" s="3"/>
      <c r="J736" s="3"/>
    </row>
    <row r="737">
      <c r="D737" s="3"/>
      <c r="E737" s="3"/>
      <c r="H737" s="3"/>
      <c r="I737" s="3"/>
      <c r="J737" s="3"/>
    </row>
    <row r="738">
      <c r="D738" s="3"/>
      <c r="E738" s="3"/>
      <c r="H738" s="3"/>
      <c r="I738" s="3"/>
      <c r="J738" s="3"/>
    </row>
    <row r="739">
      <c r="D739" s="3"/>
      <c r="E739" s="3"/>
      <c r="H739" s="3"/>
      <c r="I739" s="3"/>
      <c r="J739" s="3"/>
    </row>
    <row r="740">
      <c r="D740" s="3"/>
      <c r="E740" s="3"/>
      <c r="H740" s="3"/>
      <c r="I740" s="3"/>
      <c r="J740" s="3"/>
    </row>
    <row r="741">
      <c r="D741" s="3"/>
      <c r="E741" s="3"/>
      <c r="H741" s="3"/>
      <c r="I741" s="3"/>
      <c r="J741" s="3"/>
    </row>
    <row r="742">
      <c r="D742" s="3"/>
      <c r="E742" s="3"/>
      <c r="H742" s="3"/>
      <c r="I742" s="3"/>
      <c r="J742" s="3"/>
    </row>
    <row r="743">
      <c r="D743" s="3"/>
      <c r="E743" s="3"/>
      <c r="H743" s="3"/>
      <c r="I743" s="3"/>
      <c r="J743" s="3"/>
    </row>
    <row r="744">
      <c r="D744" s="3"/>
      <c r="E744" s="3"/>
      <c r="H744" s="3"/>
      <c r="I744" s="3"/>
      <c r="J744" s="3"/>
    </row>
    <row r="745">
      <c r="D745" s="3"/>
      <c r="E745" s="3"/>
      <c r="H745" s="3"/>
      <c r="I745" s="3"/>
      <c r="J745" s="3"/>
    </row>
    <row r="746">
      <c r="D746" s="3"/>
      <c r="E746" s="3"/>
      <c r="H746" s="3"/>
      <c r="I746" s="3"/>
      <c r="J746" s="3"/>
    </row>
    <row r="747">
      <c r="D747" s="3"/>
      <c r="E747" s="3"/>
      <c r="H747" s="3"/>
      <c r="I747" s="3"/>
      <c r="J747" s="3"/>
    </row>
    <row r="748">
      <c r="D748" s="3"/>
      <c r="E748" s="3"/>
      <c r="H748" s="3"/>
      <c r="I748" s="3"/>
      <c r="J748" s="3"/>
    </row>
    <row r="749">
      <c r="D749" s="3"/>
      <c r="E749" s="3"/>
      <c r="H749" s="3"/>
      <c r="I749" s="3"/>
      <c r="J749" s="3"/>
    </row>
    <row r="750">
      <c r="D750" s="3"/>
      <c r="E750" s="3"/>
      <c r="H750" s="3"/>
      <c r="I750" s="3"/>
      <c r="J750" s="3"/>
    </row>
    <row r="751">
      <c r="D751" s="3"/>
      <c r="E751" s="3"/>
      <c r="H751" s="3"/>
      <c r="I751" s="3"/>
      <c r="J751" s="3"/>
    </row>
    <row r="752">
      <c r="D752" s="3"/>
      <c r="E752" s="3"/>
      <c r="H752" s="3"/>
      <c r="I752" s="3"/>
      <c r="J752" s="3"/>
    </row>
    <row r="753">
      <c r="D753" s="3"/>
      <c r="E753" s="3"/>
      <c r="H753" s="3"/>
      <c r="I753" s="3"/>
      <c r="J753" s="3"/>
    </row>
    <row r="754">
      <c r="D754" s="3"/>
      <c r="E754" s="3"/>
      <c r="H754" s="3"/>
      <c r="I754" s="3"/>
      <c r="J754" s="3"/>
    </row>
    <row r="755">
      <c r="D755" s="3"/>
      <c r="E755" s="3"/>
      <c r="H755" s="3"/>
      <c r="I755" s="3"/>
      <c r="J755" s="3"/>
    </row>
    <row r="756">
      <c r="D756" s="3"/>
      <c r="E756" s="3"/>
      <c r="H756" s="3"/>
      <c r="I756" s="3"/>
      <c r="J756" s="3"/>
    </row>
    <row r="757">
      <c r="D757" s="3"/>
      <c r="E757" s="3"/>
      <c r="H757" s="3"/>
      <c r="I757" s="3"/>
      <c r="J757" s="3"/>
    </row>
    <row r="758">
      <c r="D758" s="3"/>
      <c r="E758" s="3"/>
      <c r="H758" s="3"/>
      <c r="I758" s="3"/>
      <c r="J758" s="3"/>
    </row>
    <row r="759">
      <c r="D759" s="3"/>
      <c r="E759" s="3"/>
      <c r="H759" s="3"/>
      <c r="I759" s="3"/>
      <c r="J759" s="3"/>
    </row>
    <row r="760">
      <c r="D760" s="3"/>
      <c r="E760" s="3"/>
      <c r="H760" s="3"/>
      <c r="I760" s="3"/>
      <c r="J760" s="3"/>
    </row>
    <row r="761">
      <c r="D761" s="3"/>
      <c r="E761" s="3"/>
      <c r="H761" s="3"/>
      <c r="I761" s="3"/>
      <c r="J761" s="3"/>
    </row>
    <row r="762">
      <c r="D762" s="3"/>
      <c r="E762" s="3"/>
      <c r="H762" s="3"/>
      <c r="I762" s="3"/>
      <c r="J762" s="3"/>
    </row>
    <row r="763">
      <c r="D763" s="3"/>
      <c r="E763" s="3"/>
      <c r="H763" s="3"/>
      <c r="I763" s="3"/>
      <c r="J763" s="3"/>
    </row>
    <row r="764">
      <c r="D764" s="3"/>
      <c r="E764" s="3"/>
      <c r="H764" s="3"/>
      <c r="I764" s="3"/>
      <c r="J764" s="3"/>
    </row>
    <row r="765">
      <c r="D765" s="3"/>
      <c r="E765" s="3"/>
      <c r="H765" s="3"/>
      <c r="I765" s="3"/>
      <c r="J765" s="3"/>
    </row>
    <row r="766">
      <c r="D766" s="3"/>
      <c r="E766" s="3"/>
      <c r="H766" s="3"/>
      <c r="I766" s="3"/>
      <c r="J766" s="3"/>
    </row>
    <row r="767">
      <c r="D767" s="3"/>
      <c r="E767" s="3"/>
      <c r="H767" s="3"/>
      <c r="I767" s="3"/>
      <c r="J767" s="3"/>
    </row>
    <row r="768">
      <c r="D768" s="3"/>
      <c r="E768" s="3"/>
      <c r="H768" s="3"/>
      <c r="I768" s="3"/>
      <c r="J768" s="3"/>
    </row>
    <row r="769">
      <c r="D769" s="3"/>
      <c r="E769" s="3"/>
      <c r="H769" s="3"/>
      <c r="I769" s="3"/>
      <c r="J769" s="3"/>
    </row>
    <row r="770">
      <c r="D770" s="3"/>
      <c r="E770" s="3"/>
      <c r="H770" s="3"/>
      <c r="I770" s="3"/>
      <c r="J770" s="3"/>
    </row>
    <row r="771">
      <c r="D771" s="3"/>
      <c r="E771" s="3"/>
      <c r="H771" s="3"/>
      <c r="I771" s="3"/>
      <c r="J771" s="3"/>
    </row>
    <row r="772">
      <c r="D772" s="3"/>
      <c r="E772" s="3"/>
      <c r="H772" s="3"/>
      <c r="I772" s="3"/>
      <c r="J772" s="3"/>
    </row>
    <row r="773">
      <c r="D773" s="3"/>
      <c r="E773" s="3"/>
      <c r="H773" s="3"/>
      <c r="I773" s="3"/>
      <c r="J773" s="3"/>
    </row>
    <row r="774">
      <c r="D774" s="3"/>
      <c r="E774" s="3"/>
      <c r="H774" s="3"/>
      <c r="I774" s="3"/>
      <c r="J774" s="3"/>
    </row>
    <row r="775">
      <c r="D775" s="3"/>
      <c r="E775" s="3"/>
      <c r="H775" s="3"/>
      <c r="I775" s="3"/>
      <c r="J775" s="3"/>
    </row>
    <row r="776">
      <c r="D776" s="3"/>
      <c r="E776" s="3"/>
      <c r="H776" s="3"/>
      <c r="I776" s="3"/>
      <c r="J776" s="3"/>
    </row>
    <row r="777">
      <c r="D777" s="3"/>
      <c r="E777" s="3"/>
      <c r="H777" s="3"/>
      <c r="I777" s="3"/>
      <c r="J777" s="3"/>
    </row>
    <row r="778">
      <c r="D778" s="3"/>
      <c r="E778" s="3"/>
      <c r="H778" s="3"/>
      <c r="I778" s="3"/>
      <c r="J778" s="3"/>
    </row>
    <row r="779">
      <c r="D779" s="3"/>
      <c r="E779" s="3"/>
      <c r="H779" s="3"/>
      <c r="I779" s="3"/>
      <c r="J779" s="3"/>
    </row>
    <row r="780">
      <c r="D780" s="3"/>
      <c r="E780" s="3"/>
      <c r="H780" s="3"/>
      <c r="I780" s="3"/>
      <c r="J780" s="3"/>
    </row>
    <row r="781">
      <c r="D781" s="3"/>
      <c r="E781" s="3"/>
      <c r="H781" s="3"/>
      <c r="I781" s="3"/>
      <c r="J781" s="3"/>
    </row>
    <row r="782">
      <c r="D782" s="3"/>
      <c r="E782" s="3"/>
      <c r="H782" s="3"/>
      <c r="I782" s="3"/>
      <c r="J782" s="3"/>
    </row>
    <row r="783">
      <c r="D783" s="3"/>
      <c r="E783" s="3"/>
      <c r="H783" s="3"/>
      <c r="I783" s="3"/>
      <c r="J783" s="3"/>
    </row>
    <row r="784">
      <c r="D784" s="3"/>
      <c r="E784" s="3"/>
      <c r="H784" s="3"/>
      <c r="I784" s="3"/>
      <c r="J784" s="3"/>
    </row>
    <row r="785">
      <c r="D785" s="3"/>
      <c r="E785" s="3"/>
      <c r="H785" s="3"/>
      <c r="I785" s="3"/>
      <c r="J785" s="3"/>
    </row>
    <row r="786">
      <c r="D786" s="3"/>
      <c r="E786" s="3"/>
      <c r="H786" s="3"/>
      <c r="I786" s="3"/>
      <c r="J786" s="3"/>
    </row>
    <row r="787">
      <c r="D787" s="3"/>
      <c r="E787" s="3"/>
      <c r="H787" s="3"/>
      <c r="I787" s="3"/>
      <c r="J787" s="3"/>
    </row>
    <row r="788">
      <c r="D788" s="3"/>
      <c r="E788" s="3"/>
      <c r="H788" s="3"/>
      <c r="I788" s="3"/>
      <c r="J788" s="3"/>
    </row>
    <row r="789">
      <c r="D789" s="3"/>
      <c r="E789" s="3"/>
      <c r="H789" s="3"/>
      <c r="I789" s="3"/>
      <c r="J789" s="3"/>
    </row>
    <row r="790">
      <c r="D790" s="3"/>
      <c r="E790" s="3"/>
      <c r="H790" s="3"/>
      <c r="I790" s="3"/>
      <c r="J790" s="3"/>
    </row>
    <row r="791">
      <c r="D791" s="3"/>
      <c r="E791" s="3"/>
      <c r="H791" s="3"/>
      <c r="I791" s="3"/>
      <c r="J791" s="3"/>
    </row>
    <row r="792">
      <c r="D792" s="3"/>
      <c r="E792" s="3"/>
      <c r="H792" s="3"/>
      <c r="I792" s="3"/>
      <c r="J792" s="3"/>
    </row>
    <row r="793">
      <c r="D793" s="3"/>
      <c r="E793" s="3"/>
      <c r="H793" s="3"/>
      <c r="I793" s="3"/>
      <c r="J793" s="3"/>
    </row>
    <row r="794">
      <c r="D794" s="3"/>
      <c r="E794" s="3"/>
      <c r="H794" s="3"/>
      <c r="I794" s="3"/>
      <c r="J794" s="3"/>
    </row>
    <row r="795">
      <c r="D795" s="3"/>
      <c r="E795" s="3"/>
      <c r="H795" s="3"/>
      <c r="I795" s="3"/>
      <c r="J795" s="3"/>
    </row>
    <row r="796">
      <c r="D796" s="3"/>
      <c r="E796" s="3"/>
      <c r="H796" s="3"/>
      <c r="I796" s="3"/>
      <c r="J796" s="3"/>
    </row>
    <row r="797">
      <c r="D797" s="3"/>
      <c r="E797" s="3"/>
      <c r="H797" s="3"/>
      <c r="I797" s="3"/>
      <c r="J797" s="3"/>
    </row>
    <row r="798">
      <c r="D798" s="3"/>
      <c r="E798" s="3"/>
      <c r="H798" s="3"/>
      <c r="I798" s="3"/>
      <c r="J798" s="3"/>
    </row>
    <row r="799">
      <c r="D799" s="3"/>
      <c r="E799" s="3"/>
      <c r="H799" s="3"/>
      <c r="I799" s="3"/>
      <c r="J799" s="3"/>
    </row>
    <row r="800">
      <c r="D800" s="3"/>
      <c r="E800" s="3"/>
      <c r="H800" s="3"/>
      <c r="I800" s="3"/>
      <c r="J800" s="3"/>
    </row>
    <row r="801">
      <c r="D801" s="3"/>
      <c r="E801" s="3"/>
      <c r="H801" s="3"/>
      <c r="I801" s="3"/>
      <c r="J801" s="3"/>
    </row>
    <row r="802">
      <c r="D802" s="3"/>
      <c r="E802" s="3"/>
      <c r="H802" s="3"/>
      <c r="I802" s="3"/>
      <c r="J802" s="3"/>
    </row>
    <row r="803">
      <c r="D803" s="3"/>
      <c r="E803" s="3"/>
      <c r="H803" s="3"/>
      <c r="I803" s="3"/>
      <c r="J803" s="3"/>
    </row>
    <row r="804">
      <c r="D804" s="3"/>
      <c r="E804" s="3"/>
      <c r="H804" s="3"/>
      <c r="I804" s="3"/>
      <c r="J804" s="3"/>
    </row>
    <row r="805">
      <c r="D805" s="3"/>
      <c r="E805" s="3"/>
      <c r="H805" s="3"/>
      <c r="I805" s="3"/>
      <c r="J805" s="3"/>
    </row>
    <row r="806">
      <c r="D806" s="3"/>
      <c r="E806" s="3"/>
      <c r="H806" s="3"/>
      <c r="I806" s="3"/>
      <c r="J806" s="3"/>
    </row>
    <row r="807">
      <c r="D807" s="3"/>
      <c r="E807" s="3"/>
      <c r="H807" s="3"/>
      <c r="I807" s="3"/>
      <c r="J807" s="3"/>
    </row>
    <row r="808">
      <c r="D808" s="3"/>
      <c r="E808" s="3"/>
      <c r="H808" s="3"/>
      <c r="I808" s="3"/>
      <c r="J808" s="3"/>
    </row>
    <row r="809">
      <c r="D809" s="3"/>
      <c r="E809" s="3"/>
      <c r="H809" s="3"/>
      <c r="I809" s="3"/>
      <c r="J809" s="3"/>
    </row>
    <row r="810">
      <c r="D810" s="3"/>
      <c r="E810" s="3"/>
      <c r="H810" s="3"/>
      <c r="I810" s="3"/>
      <c r="J810" s="3"/>
    </row>
    <row r="811">
      <c r="D811" s="3"/>
      <c r="E811" s="3"/>
      <c r="H811" s="3"/>
      <c r="I811" s="3"/>
      <c r="J811" s="3"/>
    </row>
    <row r="812">
      <c r="D812" s="3"/>
      <c r="E812" s="3"/>
      <c r="H812" s="3"/>
      <c r="I812" s="3"/>
      <c r="J812" s="3"/>
    </row>
    <row r="813">
      <c r="D813" s="3"/>
      <c r="E813" s="3"/>
      <c r="H813" s="3"/>
      <c r="I813" s="3"/>
      <c r="J813" s="3"/>
    </row>
    <row r="814">
      <c r="D814" s="3"/>
      <c r="E814" s="3"/>
      <c r="H814" s="3"/>
      <c r="I814" s="3"/>
      <c r="J814" s="3"/>
    </row>
    <row r="815">
      <c r="D815" s="3"/>
      <c r="E815" s="3"/>
      <c r="H815" s="3"/>
      <c r="I815" s="3"/>
      <c r="J815" s="3"/>
    </row>
    <row r="816">
      <c r="D816" s="3"/>
      <c r="E816" s="3"/>
      <c r="H816" s="3"/>
      <c r="I816" s="3"/>
      <c r="J816" s="3"/>
    </row>
    <row r="817">
      <c r="D817" s="3"/>
      <c r="E817" s="3"/>
      <c r="H817" s="3"/>
      <c r="I817" s="3"/>
      <c r="J817" s="3"/>
    </row>
    <row r="818">
      <c r="D818" s="3"/>
      <c r="E818" s="3"/>
      <c r="H818" s="3"/>
      <c r="I818" s="3"/>
      <c r="J818" s="3"/>
    </row>
    <row r="819">
      <c r="D819" s="3"/>
      <c r="E819" s="3"/>
      <c r="H819" s="3"/>
      <c r="I819" s="3"/>
      <c r="J819" s="3"/>
    </row>
    <row r="820">
      <c r="D820" s="3"/>
      <c r="E820" s="3"/>
      <c r="H820" s="3"/>
      <c r="I820" s="3"/>
      <c r="J820" s="3"/>
    </row>
    <row r="821">
      <c r="D821" s="3"/>
      <c r="E821" s="3"/>
      <c r="H821" s="3"/>
      <c r="I821" s="3"/>
      <c r="J821" s="3"/>
    </row>
    <row r="822">
      <c r="D822" s="3"/>
      <c r="E822" s="3"/>
      <c r="H822" s="3"/>
      <c r="I822" s="3"/>
      <c r="J822" s="3"/>
    </row>
    <row r="823">
      <c r="D823" s="3"/>
      <c r="E823" s="3"/>
      <c r="H823" s="3"/>
      <c r="I823" s="3"/>
      <c r="J823" s="3"/>
    </row>
    <row r="824">
      <c r="D824" s="3"/>
      <c r="E824" s="3"/>
      <c r="H824" s="3"/>
      <c r="I824" s="3"/>
      <c r="J824" s="3"/>
    </row>
    <row r="825">
      <c r="D825" s="3"/>
      <c r="E825" s="3"/>
      <c r="H825" s="3"/>
      <c r="I825" s="3"/>
      <c r="J825" s="3"/>
    </row>
    <row r="826">
      <c r="D826" s="3"/>
      <c r="E826" s="3"/>
      <c r="H826" s="3"/>
      <c r="I826" s="3"/>
      <c r="J826" s="3"/>
    </row>
    <row r="827">
      <c r="D827" s="3"/>
      <c r="E827" s="3"/>
      <c r="H827" s="3"/>
      <c r="I827" s="3"/>
      <c r="J827" s="3"/>
    </row>
    <row r="828">
      <c r="D828" s="3"/>
      <c r="E828" s="3"/>
      <c r="H828" s="3"/>
      <c r="I828" s="3"/>
      <c r="J828" s="3"/>
    </row>
    <row r="829">
      <c r="D829" s="3"/>
      <c r="E829" s="3"/>
      <c r="H829" s="3"/>
      <c r="I829" s="3"/>
      <c r="J829" s="3"/>
    </row>
    <row r="830">
      <c r="D830" s="3"/>
      <c r="E830" s="3"/>
      <c r="H830" s="3"/>
      <c r="I830" s="3"/>
      <c r="J830" s="3"/>
    </row>
    <row r="831">
      <c r="D831" s="3"/>
      <c r="E831" s="3"/>
      <c r="H831" s="3"/>
      <c r="I831" s="3"/>
      <c r="J831" s="3"/>
    </row>
    <row r="832">
      <c r="D832" s="3"/>
      <c r="E832" s="3"/>
      <c r="H832" s="3"/>
      <c r="I832" s="3"/>
      <c r="J832" s="3"/>
    </row>
    <row r="833">
      <c r="D833" s="3"/>
      <c r="E833" s="3"/>
      <c r="H833" s="3"/>
      <c r="I833" s="3"/>
      <c r="J833" s="3"/>
    </row>
    <row r="834">
      <c r="D834" s="3"/>
      <c r="E834" s="3"/>
      <c r="H834" s="3"/>
      <c r="I834" s="3"/>
      <c r="J834" s="3"/>
    </row>
    <row r="835">
      <c r="D835" s="3"/>
      <c r="E835" s="3"/>
      <c r="H835" s="3"/>
      <c r="I835" s="3"/>
      <c r="J835" s="3"/>
    </row>
    <row r="836">
      <c r="D836" s="3"/>
      <c r="E836" s="3"/>
      <c r="H836" s="3"/>
      <c r="I836" s="3"/>
      <c r="J836" s="3"/>
    </row>
    <row r="837">
      <c r="D837" s="3"/>
      <c r="E837" s="3"/>
      <c r="H837" s="3"/>
      <c r="I837" s="3"/>
      <c r="J837" s="3"/>
    </row>
    <row r="838">
      <c r="D838" s="3"/>
      <c r="E838" s="3"/>
      <c r="H838" s="3"/>
      <c r="I838" s="3"/>
      <c r="J838" s="3"/>
    </row>
    <row r="839">
      <c r="D839" s="3"/>
      <c r="E839" s="3"/>
      <c r="H839" s="3"/>
      <c r="I839" s="3"/>
      <c r="J839" s="3"/>
    </row>
    <row r="840">
      <c r="D840" s="3"/>
      <c r="E840" s="3"/>
      <c r="H840" s="3"/>
      <c r="I840" s="3"/>
      <c r="J840" s="3"/>
    </row>
    <row r="841">
      <c r="D841" s="3"/>
      <c r="E841" s="3"/>
      <c r="H841" s="3"/>
      <c r="I841" s="3"/>
      <c r="J841" s="3"/>
    </row>
    <row r="842">
      <c r="D842" s="3"/>
      <c r="E842" s="3"/>
      <c r="H842" s="3"/>
      <c r="I842" s="3"/>
      <c r="J842" s="3"/>
    </row>
    <row r="843">
      <c r="D843" s="3"/>
      <c r="E843" s="3"/>
      <c r="H843" s="3"/>
      <c r="I843" s="3"/>
      <c r="J843" s="3"/>
    </row>
    <row r="844">
      <c r="D844" s="3"/>
      <c r="E844" s="3"/>
      <c r="H844" s="3"/>
      <c r="I844" s="3"/>
      <c r="J844" s="3"/>
    </row>
    <row r="845">
      <c r="D845" s="3"/>
      <c r="E845" s="3"/>
      <c r="H845" s="3"/>
      <c r="I845" s="3"/>
      <c r="J845" s="3"/>
    </row>
    <row r="846">
      <c r="D846" s="3"/>
      <c r="E846" s="3"/>
      <c r="H846" s="3"/>
      <c r="I846" s="3"/>
      <c r="J846" s="3"/>
    </row>
    <row r="847">
      <c r="D847" s="3"/>
      <c r="E847" s="3"/>
      <c r="H847" s="3"/>
      <c r="I847" s="3"/>
      <c r="J847" s="3"/>
    </row>
    <row r="848">
      <c r="D848" s="3"/>
      <c r="E848" s="3"/>
      <c r="H848" s="3"/>
      <c r="I848" s="3"/>
      <c r="J848" s="3"/>
    </row>
    <row r="849">
      <c r="D849" s="3"/>
      <c r="E849" s="3"/>
      <c r="H849" s="3"/>
      <c r="I849" s="3"/>
      <c r="J849" s="3"/>
    </row>
    <row r="850">
      <c r="D850" s="3"/>
      <c r="E850" s="3"/>
      <c r="H850" s="3"/>
      <c r="I850" s="3"/>
      <c r="J850" s="3"/>
    </row>
    <row r="851">
      <c r="D851" s="3"/>
      <c r="E851" s="3"/>
      <c r="H851" s="3"/>
      <c r="I851" s="3"/>
      <c r="J851" s="3"/>
    </row>
    <row r="852">
      <c r="D852" s="3"/>
      <c r="E852" s="3"/>
      <c r="H852" s="3"/>
      <c r="I852" s="3"/>
      <c r="J852" s="3"/>
    </row>
    <row r="853">
      <c r="D853" s="3"/>
      <c r="E853" s="3"/>
      <c r="H853" s="3"/>
      <c r="I853" s="3"/>
      <c r="J853" s="3"/>
    </row>
    <row r="854">
      <c r="D854" s="3"/>
      <c r="E854" s="3"/>
      <c r="H854" s="3"/>
      <c r="I854" s="3"/>
      <c r="J854" s="3"/>
    </row>
    <row r="855">
      <c r="D855" s="3"/>
      <c r="E855" s="3"/>
      <c r="H855" s="3"/>
      <c r="I855" s="3"/>
      <c r="J855" s="3"/>
    </row>
    <row r="856">
      <c r="D856" s="3"/>
      <c r="E856" s="3"/>
      <c r="H856" s="3"/>
      <c r="I856" s="3"/>
      <c r="J856" s="3"/>
    </row>
    <row r="857">
      <c r="D857" s="3"/>
      <c r="E857" s="3"/>
      <c r="H857" s="3"/>
      <c r="I857" s="3"/>
      <c r="J857" s="3"/>
    </row>
    <row r="858">
      <c r="D858" s="3"/>
      <c r="E858" s="3"/>
      <c r="H858" s="3"/>
      <c r="I858" s="3"/>
      <c r="J858" s="3"/>
    </row>
    <row r="859">
      <c r="D859" s="3"/>
      <c r="E859" s="3"/>
      <c r="H859" s="3"/>
      <c r="I859" s="3"/>
      <c r="J859" s="3"/>
    </row>
    <row r="860">
      <c r="D860" s="3"/>
      <c r="E860" s="3"/>
      <c r="H860" s="3"/>
      <c r="I860" s="3"/>
      <c r="J860" s="3"/>
    </row>
    <row r="861">
      <c r="D861" s="3"/>
      <c r="E861" s="3"/>
      <c r="H861" s="3"/>
      <c r="I861" s="3"/>
      <c r="J861" s="3"/>
    </row>
    <row r="862">
      <c r="D862" s="3"/>
      <c r="E862" s="3"/>
      <c r="H862" s="3"/>
      <c r="I862" s="3"/>
      <c r="J862" s="3"/>
    </row>
    <row r="863">
      <c r="D863" s="3"/>
      <c r="E863" s="3"/>
      <c r="H863" s="3"/>
      <c r="I863" s="3"/>
      <c r="J863" s="3"/>
    </row>
    <row r="864">
      <c r="D864" s="3"/>
      <c r="E864" s="3"/>
      <c r="H864" s="3"/>
      <c r="I864" s="3"/>
      <c r="J864" s="3"/>
    </row>
    <row r="865">
      <c r="D865" s="3"/>
      <c r="E865" s="3"/>
      <c r="H865" s="3"/>
      <c r="I865" s="3"/>
      <c r="J865" s="3"/>
    </row>
    <row r="866">
      <c r="D866" s="3"/>
      <c r="E866" s="3"/>
      <c r="H866" s="3"/>
      <c r="I866" s="3"/>
      <c r="J866" s="3"/>
    </row>
    <row r="867">
      <c r="D867" s="3"/>
      <c r="E867" s="3"/>
      <c r="H867" s="3"/>
      <c r="I867" s="3"/>
      <c r="J867" s="3"/>
    </row>
    <row r="868">
      <c r="D868" s="3"/>
      <c r="E868" s="3"/>
      <c r="H868" s="3"/>
      <c r="I868" s="3"/>
      <c r="J868" s="3"/>
    </row>
    <row r="869">
      <c r="D869" s="3"/>
      <c r="E869" s="3"/>
      <c r="H869" s="3"/>
      <c r="I869" s="3"/>
      <c r="J869" s="3"/>
    </row>
    <row r="870">
      <c r="D870" s="3"/>
      <c r="E870" s="3"/>
      <c r="H870" s="3"/>
      <c r="I870" s="3"/>
      <c r="J870" s="3"/>
    </row>
    <row r="871">
      <c r="D871" s="3"/>
      <c r="E871" s="3"/>
      <c r="H871" s="3"/>
      <c r="I871" s="3"/>
      <c r="J871" s="3"/>
    </row>
    <row r="872">
      <c r="D872" s="3"/>
      <c r="E872" s="3"/>
      <c r="H872" s="3"/>
      <c r="I872" s="3"/>
      <c r="J872" s="3"/>
    </row>
    <row r="873">
      <c r="D873" s="3"/>
      <c r="E873" s="3"/>
      <c r="H873" s="3"/>
      <c r="I873" s="3"/>
      <c r="J873" s="3"/>
    </row>
    <row r="874">
      <c r="D874" s="3"/>
      <c r="E874" s="3"/>
      <c r="H874" s="3"/>
      <c r="I874" s="3"/>
      <c r="J874" s="3"/>
    </row>
    <row r="875">
      <c r="D875" s="3"/>
      <c r="E875" s="3"/>
      <c r="H875" s="3"/>
      <c r="I875" s="3"/>
      <c r="J875" s="3"/>
    </row>
    <row r="876">
      <c r="D876" s="3"/>
      <c r="E876" s="3"/>
      <c r="H876" s="3"/>
      <c r="I876" s="3"/>
      <c r="J876" s="3"/>
    </row>
    <row r="877">
      <c r="D877" s="3"/>
      <c r="E877" s="3"/>
      <c r="H877" s="3"/>
      <c r="I877" s="3"/>
      <c r="J877" s="3"/>
    </row>
    <row r="878">
      <c r="D878" s="3"/>
      <c r="E878" s="3"/>
      <c r="H878" s="3"/>
      <c r="I878" s="3"/>
      <c r="J878" s="3"/>
    </row>
    <row r="879">
      <c r="D879" s="3"/>
      <c r="E879" s="3"/>
      <c r="H879" s="3"/>
      <c r="I879" s="3"/>
      <c r="J879" s="3"/>
    </row>
    <row r="880">
      <c r="D880" s="3"/>
      <c r="E880" s="3"/>
      <c r="H880" s="3"/>
      <c r="I880" s="3"/>
      <c r="J880" s="3"/>
    </row>
    <row r="881">
      <c r="D881" s="3"/>
      <c r="E881" s="3"/>
      <c r="H881" s="3"/>
      <c r="I881" s="3"/>
      <c r="J881" s="3"/>
    </row>
    <row r="882">
      <c r="D882" s="3"/>
      <c r="E882" s="3"/>
      <c r="H882" s="3"/>
      <c r="I882" s="3"/>
      <c r="J882" s="3"/>
    </row>
    <row r="883">
      <c r="D883" s="3"/>
      <c r="E883" s="3"/>
      <c r="H883" s="3"/>
      <c r="I883" s="3"/>
      <c r="J883" s="3"/>
    </row>
    <row r="884">
      <c r="D884" s="3"/>
      <c r="E884" s="3"/>
      <c r="H884" s="3"/>
      <c r="I884" s="3"/>
      <c r="J884" s="3"/>
    </row>
    <row r="885">
      <c r="D885" s="3"/>
      <c r="E885" s="3"/>
      <c r="H885" s="3"/>
      <c r="I885" s="3"/>
      <c r="J885" s="3"/>
    </row>
    <row r="886">
      <c r="D886" s="3"/>
      <c r="E886" s="3"/>
      <c r="H886" s="3"/>
      <c r="I886" s="3"/>
      <c r="J886" s="3"/>
    </row>
    <row r="887">
      <c r="D887" s="3"/>
      <c r="E887" s="3"/>
      <c r="H887" s="3"/>
      <c r="I887" s="3"/>
      <c r="J887" s="3"/>
    </row>
    <row r="888">
      <c r="D888" s="3"/>
      <c r="E888" s="3"/>
      <c r="H888" s="3"/>
      <c r="I888" s="3"/>
      <c r="J888" s="3"/>
    </row>
    <row r="889">
      <c r="D889" s="3"/>
      <c r="E889" s="3"/>
      <c r="H889" s="3"/>
      <c r="I889" s="3"/>
      <c r="J889" s="3"/>
    </row>
    <row r="890">
      <c r="D890" s="3"/>
      <c r="E890" s="3"/>
      <c r="H890" s="3"/>
      <c r="I890" s="3"/>
      <c r="J890" s="3"/>
    </row>
    <row r="891">
      <c r="D891" s="3"/>
      <c r="E891" s="3"/>
      <c r="H891" s="3"/>
      <c r="I891" s="3"/>
      <c r="J891" s="3"/>
    </row>
    <row r="892">
      <c r="D892" s="3"/>
      <c r="E892" s="3"/>
      <c r="H892" s="3"/>
      <c r="I892" s="3"/>
      <c r="J892" s="3"/>
    </row>
    <row r="893">
      <c r="D893" s="3"/>
      <c r="E893" s="3"/>
      <c r="H893" s="3"/>
      <c r="I893" s="3"/>
      <c r="J893" s="3"/>
    </row>
    <row r="894">
      <c r="D894" s="3"/>
      <c r="E894" s="3"/>
      <c r="H894" s="3"/>
      <c r="I894" s="3"/>
      <c r="J894" s="3"/>
    </row>
    <row r="895">
      <c r="D895" s="3"/>
      <c r="E895" s="3"/>
      <c r="H895" s="3"/>
      <c r="I895" s="3"/>
      <c r="J895" s="3"/>
    </row>
    <row r="896">
      <c r="D896" s="3"/>
      <c r="E896" s="3"/>
      <c r="H896" s="3"/>
      <c r="I896" s="3"/>
      <c r="J896" s="3"/>
    </row>
    <row r="897">
      <c r="D897" s="3"/>
      <c r="E897" s="3"/>
      <c r="H897" s="3"/>
      <c r="I897" s="3"/>
      <c r="J897" s="3"/>
    </row>
    <row r="898">
      <c r="D898" s="3"/>
      <c r="E898" s="3"/>
      <c r="H898" s="3"/>
      <c r="I898" s="3"/>
      <c r="J898" s="3"/>
    </row>
    <row r="899">
      <c r="D899" s="3"/>
      <c r="E899" s="3"/>
      <c r="H899" s="3"/>
      <c r="I899" s="3"/>
      <c r="J899" s="3"/>
    </row>
    <row r="900">
      <c r="D900" s="3"/>
      <c r="E900" s="3"/>
      <c r="H900" s="3"/>
      <c r="I900" s="3"/>
      <c r="J900" s="3"/>
    </row>
    <row r="901">
      <c r="D901" s="3"/>
      <c r="E901" s="3"/>
      <c r="H901" s="3"/>
      <c r="I901" s="3"/>
      <c r="J901" s="3"/>
    </row>
    <row r="902">
      <c r="D902" s="3"/>
      <c r="E902" s="3"/>
      <c r="H902" s="3"/>
      <c r="I902" s="3"/>
      <c r="J902" s="3"/>
    </row>
    <row r="903">
      <c r="D903" s="3"/>
      <c r="E903" s="3"/>
      <c r="H903" s="3"/>
      <c r="I903" s="3"/>
      <c r="J903" s="3"/>
    </row>
    <row r="904">
      <c r="D904" s="3"/>
      <c r="E904" s="3"/>
      <c r="H904" s="3"/>
      <c r="I904" s="3"/>
      <c r="J904" s="3"/>
    </row>
    <row r="905">
      <c r="D905" s="3"/>
      <c r="E905" s="3"/>
      <c r="H905" s="3"/>
      <c r="I905" s="3"/>
      <c r="J905" s="3"/>
    </row>
    <row r="906">
      <c r="D906" s="3"/>
      <c r="E906" s="3"/>
      <c r="H906" s="3"/>
      <c r="I906" s="3"/>
      <c r="J906" s="3"/>
    </row>
    <row r="907">
      <c r="D907" s="3"/>
      <c r="E907" s="3"/>
      <c r="H907" s="3"/>
      <c r="I907" s="3"/>
      <c r="J907" s="3"/>
    </row>
    <row r="908">
      <c r="D908" s="3"/>
      <c r="E908" s="3"/>
      <c r="H908" s="3"/>
      <c r="I908" s="3"/>
      <c r="J908" s="3"/>
    </row>
    <row r="909">
      <c r="D909" s="3"/>
      <c r="E909" s="3"/>
      <c r="H909" s="3"/>
      <c r="I909" s="3"/>
      <c r="J909" s="3"/>
    </row>
    <row r="910">
      <c r="D910" s="3"/>
      <c r="E910" s="3"/>
      <c r="H910" s="3"/>
      <c r="I910" s="3"/>
      <c r="J910" s="3"/>
    </row>
    <row r="911">
      <c r="D911" s="3"/>
      <c r="E911" s="3"/>
      <c r="H911" s="3"/>
      <c r="I911" s="3"/>
      <c r="J911" s="3"/>
    </row>
    <row r="912">
      <c r="D912" s="3"/>
      <c r="E912" s="3"/>
      <c r="H912" s="3"/>
      <c r="I912" s="3"/>
      <c r="J912" s="3"/>
    </row>
    <row r="913">
      <c r="D913" s="3"/>
      <c r="E913" s="3"/>
      <c r="H913" s="3"/>
      <c r="I913" s="3"/>
      <c r="J913" s="3"/>
    </row>
    <row r="914">
      <c r="D914" s="3"/>
      <c r="E914" s="3"/>
      <c r="H914" s="3"/>
      <c r="I914" s="3"/>
      <c r="J914" s="3"/>
    </row>
    <row r="915">
      <c r="D915" s="3"/>
      <c r="E915" s="3"/>
      <c r="H915" s="3"/>
      <c r="I915" s="3"/>
      <c r="J915" s="3"/>
    </row>
    <row r="916">
      <c r="D916" s="3"/>
      <c r="E916" s="3"/>
      <c r="H916" s="3"/>
      <c r="I916" s="3"/>
      <c r="J916" s="3"/>
    </row>
    <row r="917">
      <c r="D917" s="3"/>
      <c r="E917" s="3"/>
      <c r="H917" s="3"/>
      <c r="I917" s="3"/>
      <c r="J917" s="3"/>
    </row>
    <row r="918">
      <c r="D918" s="3"/>
      <c r="E918" s="3"/>
      <c r="H918" s="3"/>
      <c r="I918" s="3"/>
      <c r="J918" s="3"/>
    </row>
    <row r="919">
      <c r="D919" s="3"/>
      <c r="E919" s="3"/>
      <c r="H919" s="3"/>
      <c r="I919" s="3"/>
      <c r="J919" s="3"/>
    </row>
    <row r="920">
      <c r="D920" s="3"/>
      <c r="E920" s="3"/>
      <c r="H920" s="3"/>
      <c r="I920" s="3"/>
      <c r="J920" s="3"/>
    </row>
    <row r="921">
      <c r="D921" s="3"/>
      <c r="E921" s="3"/>
      <c r="H921" s="3"/>
      <c r="I921" s="3"/>
      <c r="J921" s="3"/>
    </row>
    <row r="922">
      <c r="D922" s="3"/>
      <c r="E922" s="3"/>
      <c r="H922" s="3"/>
      <c r="I922" s="3"/>
      <c r="J922" s="3"/>
    </row>
    <row r="923">
      <c r="D923" s="3"/>
      <c r="E923" s="3"/>
      <c r="H923" s="3"/>
      <c r="I923" s="3"/>
      <c r="J923" s="3"/>
    </row>
    <row r="924">
      <c r="D924" s="3"/>
      <c r="E924" s="3"/>
      <c r="H924" s="3"/>
      <c r="I924" s="3"/>
      <c r="J924" s="3"/>
    </row>
    <row r="925">
      <c r="D925" s="3"/>
      <c r="E925" s="3"/>
      <c r="H925" s="3"/>
      <c r="I925" s="3"/>
      <c r="J925" s="3"/>
    </row>
    <row r="926">
      <c r="D926" s="3"/>
      <c r="E926" s="3"/>
      <c r="H926" s="3"/>
      <c r="I926" s="3"/>
      <c r="J926" s="3"/>
    </row>
    <row r="927">
      <c r="D927" s="3"/>
      <c r="E927" s="3"/>
      <c r="H927" s="3"/>
      <c r="I927" s="3"/>
      <c r="J927" s="3"/>
    </row>
    <row r="928">
      <c r="D928" s="3"/>
      <c r="E928" s="3"/>
      <c r="H928" s="3"/>
      <c r="I928" s="3"/>
      <c r="J928" s="3"/>
    </row>
    <row r="929">
      <c r="D929" s="3"/>
      <c r="E929" s="3"/>
      <c r="H929" s="3"/>
      <c r="I929" s="3"/>
      <c r="J929" s="3"/>
    </row>
    <row r="930">
      <c r="D930" s="3"/>
      <c r="E930" s="3"/>
      <c r="H930" s="3"/>
      <c r="I930" s="3"/>
      <c r="J930" s="3"/>
    </row>
    <row r="931">
      <c r="D931" s="3"/>
      <c r="E931" s="3"/>
      <c r="H931" s="3"/>
      <c r="I931" s="3"/>
      <c r="J931" s="3"/>
    </row>
    <row r="932">
      <c r="D932" s="3"/>
      <c r="E932" s="3"/>
      <c r="H932" s="3"/>
      <c r="I932" s="3"/>
      <c r="J932" s="3"/>
    </row>
    <row r="933">
      <c r="D933" s="3"/>
      <c r="E933" s="3"/>
      <c r="H933" s="3"/>
      <c r="I933" s="3"/>
      <c r="J933" s="3"/>
    </row>
    <row r="934">
      <c r="D934" s="3"/>
      <c r="E934" s="3"/>
      <c r="H934" s="3"/>
      <c r="I934" s="3"/>
      <c r="J934" s="3"/>
    </row>
    <row r="935">
      <c r="D935" s="3"/>
      <c r="E935" s="3"/>
      <c r="H935" s="3"/>
      <c r="I935" s="3"/>
      <c r="J935" s="3"/>
    </row>
    <row r="936">
      <c r="D936" s="3"/>
      <c r="E936" s="3"/>
      <c r="H936" s="3"/>
      <c r="I936" s="3"/>
      <c r="J936" s="3"/>
    </row>
    <row r="937">
      <c r="D937" s="3"/>
      <c r="E937" s="3"/>
      <c r="H937" s="3"/>
      <c r="I937" s="3"/>
      <c r="J937" s="3"/>
    </row>
    <row r="938">
      <c r="D938" s="3"/>
      <c r="E938" s="3"/>
      <c r="H938" s="3"/>
      <c r="I938" s="3"/>
      <c r="J938" s="3"/>
    </row>
    <row r="939">
      <c r="D939" s="3"/>
      <c r="E939" s="3"/>
      <c r="H939" s="3"/>
      <c r="I939" s="3"/>
      <c r="J939" s="3"/>
    </row>
    <row r="940">
      <c r="D940" s="3"/>
      <c r="E940" s="3"/>
      <c r="H940" s="3"/>
      <c r="I940" s="3"/>
      <c r="J940" s="3"/>
    </row>
    <row r="941">
      <c r="D941" s="3"/>
      <c r="E941" s="3"/>
      <c r="H941" s="3"/>
      <c r="I941" s="3"/>
      <c r="J941" s="3"/>
    </row>
    <row r="942">
      <c r="D942" s="3"/>
      <c r="E942" s="3"/>
      <c r="H942" s="3"/>
      <c r="I942" s="3"/>
      <c r="J942" s="3"/>
    </row>
    <row r="943">
      <c r="D943" s="3"/>
      <c r="E943" s="3"/>
      <c r="H943" s="3"/>
      <c r="I943" s="3"/>
      <c r="J943" s="3"/>
    </row>
    <row r="944">
      <c r="D944" s="3"/>
      <c r="E944" s="3"/>
      <c r="H944" s="3"/>
      <c r="I944" s="3"/>
      <c r="J944" s="3"/>
    </row>
    <row r="945">
      <c r="D945" s="3"/>
      <c r="E945" s="3"/>
      <c r="H945" s="3"/>
      <c r="I945" s="3"/>
      <c r="J945" s="3"/>
    </row>
    <row r="946">
      <c r="D946" s="3"/>
      <c r="E946" s="3"/>
      <c r="H946" s="3"/>
      <c r="I946" s="3"/>
      <c r="J946" s="3"/>
    </row>
    <row r="947">
      <c r="D947" s="3"/>
      <c r="E947" s="3"/>
      <c r="H947" s="3"/>
      <c r="I947" s="3"/>
      <c r="J947" s="3"/>
    </row>
    <row r="948">
      <c r="D948" s="3"/>
      <c r="E948" s="3"/>
      <c r="H948" s="3"/>
      <c r="I948" s="3"/>
      <c r="J948" s="3"/>
    </row>
    <row r="949">
      <c r="D949" s="3"/>
      <c r="E949" s="3"/>
      <c r="H949" s="3"/>
      <c r="I949" s="3"/>
      <c r="J949" s="3"/>
    </row>
    <row r="950">
      <c r="D950" s="3"/>
      <c r="E950" s="3"/>
      <c r="H950" s="3"/>
      <c r="I950" s="3"/>
      <c r="J950" s="3"/>
    </row>
    <row r="951">
      <c r="D951" s="3"/>
      <c r="E951" s="3"/>
      <c r="H951" s="3"/>
      <c r="I951" s="3"/>
      <c r="J951" s="3"/>
    </row>
    <row r="952">
      <c r="D952" s="3"/>
      <c r="E952" s="3"/>
      <c r="H952" s="3"/>
      <c r="I952" s="3"/>
      <c r="J952" s="3"/>
    </row>
    <row r="953">
      <c r="D953" s="3"/>
      <c r="E953" s="3"/>
      <c r="H953" s="3"/>
      <c r="I953" s="3"/>
      <c r="J953" s="3"/>
    </row>
    <row r="954">
      <c r="D954" s="3"/>
      <c r="E954" s="3"/>
      <c r="H954" s="3"/>
      <c r="I954" s="3"/>
      <c r="J954" s="3"/>
    </row>
    <row r="955">
      <c r="D955" s="3"/>
      <c r="E955" s="3"/>
      <c r="H955" s="3"/>
      <c r="I955" s="3"/>
      <c r="J955" s="3"/>
    </row>
    <row r="956">
      <c r="D956" s="3"/>
      <c r="E956" s="3"/>
      <c r="H956" s="3"/>
      <c r="I956" s="3"/>
      <c r="J956" s="3"/>
    </row>
    <row r="957">
      <c r="D957" s="3"/>
      <c r="E957" s="3"/>
      <c r="H957" s="3"/>
      <c r="I957" s="3"/>
      <c r="J957" s="3"/>
    </row>
    <row r="958">
      <c r="D958" s="3"/>
      <c r="E958" s="3"/>
      <c r="H958" s="3"/>
      <c r="I958" s="3"/>
      <c r="J958" s="3"/>
    </row>
    <row r="959">
      <c r="D959" s="3"/>
      <c r="E959" s="3"/>
      <c r="H959" s="3"/>
      <c r="I959" s="3"/>
      <c r="J959" s="3"/>
    </row>
    <row r="960">
      <c r="D960" s="3"/>
      <c r="E960" s="3"/>
      <c r="H960" s="3"/>
      <c r="I960" s="3"/>
      <c r="J960" s="3"/>
    </row>
    <row r="961">
      <c r="D961" s="3"/>
      <c r="E961" s="3"/>
      <c r="H961" s="3"/>
      <c r="I961" s="3"/>
      <c r="J961" s="3"/>
    </row>
    <row r="962">
      <c r="D962" s="3"/>
      <c r="E962" s="3"/>
      <c r="H962" s="3"/>
      <c r="I962" s="3"/>
      <c r="J962" s="3"/>
    </row>
    <row r="963">
      <c r="D963" s="3"/>
      <c r="E963" s="3"/>
      <c r="H963" s="3"/>
      <c r="I963" s="3"/>
      <c r="J963" s="3"/>
    </row>
    <row r="964">
      <c r="D964" s="3"/>
      <c r="E964" s="3"/>
      <c r="H964" s="3"/>
      <c r="I964" s="3"/>
      <c r="J964" s="3"/>
    </row>
    <row r="965">
      <c r="D965" s="3"/>
      <c r="E965" s="3"/>
      <c r="H965" s="3"/>
      <c r="I965" s="3"/>
      <c r="J965" s="3"/>
    </row>
    <row r="966">
      <c r="D966" s="3"/>
      <c r="E966" s="3"/>
      <c r="H966" s="3"/>
      <c r="I966" s="3"/>
      <c r="J966" s="3"/>
    </row>
    <row r="967">
      <c r="D967" s="3"/>
      <c r="E967" s="3"/>
      <c r="H967" s="3"/>
      <c r="I967" s="3"/>
      <c r="J967" s="3"/>
    </row>
    <row r="968">
      <c r="D968" s="3"/>
      <c r="E968" s="3"/>
      <c r="H968" s="3"/>
      <c r="I968" s="3"/>
      <c r="J968" s="3"/>
    </row>
    <row r="969">
      <c r="D969" s="3"/>
      <c r="E969" s="3"/>
      <c r="H969" s="3"/>
      <c r="I969" s="3"/>
      <c r="J969" s="3"/>
    </row>
    <row r="970">
      <c r="D970" s="3"/>
      <c r="E970" s="3"/>
      <c r="H970" s="3"/>
      <c r="I970" s="3"/>
      <c r="J970" s="3"/>
    </row>
    <row r="971">
      <c r="D971" s="3"/>
      <c r="E971" s="3"/>
      <c r="H971" s="3"/>
      <c r="I971" s="3"/>
      <c r="J971" s="3"/>
    </row>
    <row r="972">
      <c r="D972" s="3"/>
      <c r="E972" s="3"/>
      <c r="H972" s="3"/>
      <c r="I972" s="3"/>
      <c r="J972" s="3"/>
    </row>
    <row r="973">
      <c r="D973" s="3"/>
      <c r="E973" s="3"/>
      <c r="H973" s="3"/>
      <c r="I973" s="3"/>
      <c r="J973" s="3"/>
    </row>
    <row r="974">
      <c r="D974" s="3"/>
      <c r="E974" s="3"/>
      <c r="H974" s="3"/>
      <c r="I974" s="3"/>
      <c r="J974" s="3"/>
    </row>
    <row r="975">
      <c r="D975" s="3"/>
      <c r="E975" s="3"/>
      <c r="H975" s="3"/>
      <c r="I975" s="3"/>
      <c r="J975" s="3"/>
    </row>
    <row r="976">
      <c r="D976" s="3"/>
      <c r="E976" s="3"/>
      <c r="H976" s="3"/>
      <c r="I976" s="3"/>
      <c r="J976" s="3"/>
    </row>
    <row r="977">
      <c r="D977" s="3"/>
      <c r="E977" s="3"/>
      <c r="H977" s="3"/>
      <c r="I977" s="3"/>
      <c r="J977" s="3"/>
    </row>
    <row r="978">
      <c r="D978" s="3"/>
      <c r="E978" s="3"/>
      <c r="H978" s="3"/>
      <c r="I978" s="3"/>
      <c r="J978" s="3"/>
    </row>
    <row r="979">
      <c r="D979" s="3"/>
      <c r="E979" s="3"/>
      <c r="H979" s="3"/>
      <c r="I979" s="3"/>
      <c r="J979" s="3"/>
    </row>
    <row r="980">
      <c r="D980" s="3"/>
      <c r="E980" s="3"/>
      <c r="H980" s="3"/>
      <c r="I980" s="3"/>
      <c r="J980" s="3"/>
    </row>
    <row r="981">
      <c r="D981" s="3"/>
      <c r="E981" s="3"/>
      <c r="H981" s="3"/>
      <c r="I981" s="3"/>
      <c r="J981" s="3"/>
    </row>
    <row r="982">
      <c r="D982" s="3"/>
      <c r="E982" s="3"/>
      <c r="H982" s="3"/>
      <c r="I982" s="3"/>
      <c r="J982" s="3"/>
    </row>
    <row r="983">
      <c r="D983" s="3"/>
      <c r="E983" s="3"/>
      <c r="H983" s="3"/>
      <c r="I983" s="3"/>
      <c r="J983" s="3"/>
    </row>
    <row r="984">
      <c r="D984" s="3"/>
      <c r="E984" s="3"/>
      <c r="H984" s="3"/>
      <c r="I984" s="3"/>
      <c r="J984" s="3"/>
    </row>
    <row r="985">
      <c r="D985" s="3"/>
      <c r="E985" s="3"/>
      <c r="H985" s="3"/>
      <c r="I985" s="3"/>
      <c r="J985" s="3"/>
    </row>
    <row r="986">
      <c r="D986" s="3"/>
      <c r="E986" s="3"/>
      <c r="H986" s="3"/>
      <c r="I986" s="3"/>
      <c r="J986" s="3"/>
    </row>
    <row r="987">
      <c r="D987" s="3"/>
      <c r="E987" s="3"/>
      <c r="H987" s="3"/>
      <c r="I987" s="3"/>
      <c r="J987" s="3"/>
    </row>
    <row r="988">
      <c r="D988" s="3"/>
      <c r="E988" s="3"/>
      <c r="H988" s="3"/>
      <c r="I988" s="3"/>
      <c r="J988" s="3"/>
    </row>
    <row r="989">
      <c r="D989" s="3"/>
      <c r="E989" s="3"/>
      <c r="H989" s="3"/>
      <c r="I989" s="3"/>
      <c r="J989" s="3"/>
    </row>
    <row r="990">
      <c r="D990" s="3"/>
      <c r="E990" s="3"/>
      <c r="H990" s="3"/>
      <c r="I990" s="3"/>
      <c r="J990" s="3"/>
    </row>
    <row r="991">
      <c r="D991" s="3"/>
      <c r="E991" s="3"/>
      <c r="H991" s="3"/>
      <c r="I991" s="3"/>
      <c r="J991" s="3"/>
    </row>
    <row r="992">
      <c r="D992" s="3"/>
      <c r="E992" s="3"/>
      <c r="H992" s="3"/>
      <c r="I992" s="3"/>
      <c r="J992" s="3"/>
    </row>
    <row r="993">
      <c r="D993" s="3"/>
      <c r="E993" s="3"/>
      <c r="H993" s="3"/>
      <c r="I993" s="3"/>
      <c r="J993" s="3"/>
    </row>
    <row r="994">
      <c r="D994" s="3"/>
      <c r="E994" s="3"/>
      <c r="H994" s="3"/>
      <c r="I994" s="3"/>
      <c r="J994" s="3"/>
    </row>
    <row r="995">
      <c r="D995" s="3"/>
      <c r="E995" s="3"/>
      <c r="H995" s="3"/>
      <c r="I995" s="3"/>
      <c r="J995" s="3"/>
    </row>
    <row r="996">
      <c r="D996" s="3"/>
      <c r="E996" s="3"/>
      <c r="H996" s="3"/>
      <c r="I996" s="3"/>
      <c r="J996" s="3"/>
    </row>
    <row r="997">
      <c r="D997" s="3"/>
      <c r="E997" s="3"/>
      <c r="H997" s="3"/>
      <c r="I997" s="3"/>
      <c r="J997" s="3"/>
    </row>
    <row r="998">
      <c r="D998" s="3"/>
      <c r="E998" s="3"/>
      <c r="H998" s="3"/>
      <c r="I998" s="3"/>
      <c r="J998" s="3"/>
    </row>
    <row r="999">
      <c r="D999" s="3"/>
      <c r="E999" s="3"/>
      <c r="H999" s="3"/>
      <c r="I999" s="3"/>
      <c r="J999" s="3"/>
    </row>
    <row r="1000">
      <c r="D1000" s="3"/>
      <c r="E1000" s="3"/>
      <c r="H1000" s="3"/>
      <c r="I1000" s="3"/>
      <c r="J1000" s="3"/>
    </row>
  </sheetData>
  <dataValidations>
    <dataValidation type="list" allowBlank="1" showErrorMessage="1" sqref="D2:D1000">
      <formula1>"Admin,Recruiter"</formula1>
    </dataValidation>
    <dataValidation type="list" allowBlank="1" showErrorMessage="1" sqref="H2:J1000">
      <formula1>"Yes,No"</formula1>
    </dataValidation>
    <dataValidation type="list" allowBlank="1" showErrorMessage="1" sqref="E2:E1000">
      <formula1>"Active,Pending,Suspended"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25"/>
    <col customWidth="1" min="2" max="2" width="22.88"/>
    <col customWidth="1" min="3" max="3" width="14.63"/>
    <col customWidth="1" min="5" max="5" width="26.88"/>
    <col customWidth="1" min="6" max="6" width="14.38"/>
    <col customWidth="1" min="7" max="7" width="18.25"/>
    <col customWidth="1" min="9" max="9" width="32.25"/>
    <col customWidth="1" min="10" max="10" width="17.5"/>
    <col customWidth="1" min="11" max="11" width="14.13"/>
  </cols>
  <sheetData>
    <row r="1" ht="22.5" customHeight="1">
      <c r="A1" s="82" t="s">
        <v>1118</v>
      </c>
      <c r="B1" s="82" t="s">
        <v>1119</v>
      </c>
      <c r="C1" s="82" t="s">
        <v>1120</v>
      </c>
      <c r="D1" s="82" t="s">
        <v>1101</v>
      </c>
      <c r="E1" s="82" t="s">
        <v>1121</v>
      </c>
      <c r="F1" s="82" t="s">
        <v>1122</v>
      </c>
      <c r="G1" s="82" t="s">
        <v>1123</v>
      </c>
      <c r="H1" s="82" t="s">
        <v>87</v>
      </c>
      <c r="I1" s="82" t="s">
        <v>1124</v>
      </c>
      <c r="J1" s="82" t="s">
        <v>1125</v>
      </c>
      <c r="K1" s="82" t="s">
        <v>1126</v>
      </c>
    </row>
    <row r="2" ht="22.5" customHeight="1">
      <c r="A2" s="83">
        <v>46292.347919328706</v>
      </c>
      <c r="B2" s="84" t="s">
        <v>1109</v>
      </c>
      <c r="C2" s="85" t="s">
        <v>198</v>
      </c>
      <c r="D2" s="85" t="s">
        <v>1110</v>
      </c>
      <c r="E2" s="86" t="s">
        <v>1127</v>
      </c>
      <c r="F2" s="85" t="s">
        <v>1128</v>
      </c>
      <c r="G2" s="85" t="s">
        <v>1108</v>
      </c>
      <c r="I2" s="85" t="s">
        <v>1129</v>
      </c>
    </row>
    <row r="3" ht="22.5" customHeight="1">
      <c r="A3" s="83">
        <v>46292.36427618055</v>
      </c>
      <c r="B3" s="84" t="s">
        <v>1109</v>
      </c>
      <c r="C3" s="85" t="s">
        <v>198</v>
      </c>
      <c r="D3" s="85" t="s">
        <v>1110</v>
      </c>
      <c r="E3" s="86" t="s">
        <v>1127</v>
      </c>
      <c r="F3" s="85" t="s">
        <v>1128</v>
      </c>
      <c r="G3" s="85" t="s">
        <v>1108</v>
      </c>
      <c r="I3" s="85" t="s">
        <v>1129</v>
      </c>
    </row>
    <row r="4" ht="22.5" customHeight="1">
      <c r="A4" s="83">
        <v>46292.3816740162</v>
      </c>
      <c r="B4" s="84" t="s">
        <v>1109</v>
      </c>
      <c r="C4" s="85" t="s">
        <v>198</v>
      </c>
      <c r="D4" s="85" t="s">
        <v>1110</v>
      </c>
      <c r="E4" s="86" t="s">
        <v>1127</v>
      </c>
      <c r="F4" s="85" t="s">
        <v>1128</v>
      </c>
      <c r="G4" s="85" t="s">
        <v>1108</v>
      </c>
      <c r="I4" s="85" t="s">
        <v>1129</v>
      </c>
    </row>
    <row r="5" ht="22.5" customHeight="1">
      <c r="A5" s="83">
        <v>46292.38399113426</v>
      </c>
      <c r="B5" s="84" t="s">
        <v>1109</v>
      </c>
      <c r="C5" s="85" t="s">
        <v>198</v>
      </c>
      <c r="D5" s="85" t="s">
        <v>1110</v>
      </c>
      <c r="E5" s="86" t="s">
        <v>1127</v>
      </c>
      <c r="F5" s="85" t="s">
        <v>1128</v>
      </c>
      <c r="G5" s="85" t="s">
        <v>1108</v>
      </c>
      <c r="I5" s="85" t="s">
        <v>1129</v>
      </c>
    </row>
    <row r="6" ht="22.5" customHeight="1">
      <c r="A6" s="83">
        <v>46292.39148884259</v>
      </c>
      <c r="B6" s="84" t="s">
        <v>1109</v>
      </c>
      <c r="C6" s="85" t="s">
        <v>198</v>
      </c>
      <c r="D6" s="85" t="s">
        <v>1110</v>
      </c>
      <c r="E6" s="86" t="s">
        <v>1127</v>
      </c>
      <c r="F6" s="85" t="s">
        <v>1128</v>
      </c>
      <c r="G6" s="85" t="s">
        <v>1108</v>
      </c>
      <c r="I6" s="85" t="s">
        <v>1129</v>
      </c>
    </row>
    <row r="7" ht="22.5" customHeight="1">
      <c r="A7" s="83">
        <v>46292.397104386575</v>
      </c>
      <c r="B7" s="84" t="s">
        <v>1109</v>
      </c>
      <c r="C7" s="85" t="s">
        <v>198</v>
      </c>
      <c r="D7" s="85" t="s">
        <v>1110</v>
      </c>
      <c r="E7" s="86" t="s">
        <v>1127</v>
      </c>
      <c r="F7" s="85" t="s">
        <v>1128</v>
      </c>
      <c r="G7" s="85" t="s">
        <v>1108</v>
      </c>
      <c r="I7" s="85" t="s">
        <v>1129</v>
      </c>
    </row>
    <row r="8" ht="22.5" customHeight="1">
      <c r="A8" s="83">
        <v>46292.39914736111</v>
      </c>
      <c r="B8" s="84" t="s">
        <v>1109</v>
      </c>
      <c r="C8" s="85" t="s">
        <v>198</v>
      </c>
      <c r="D8" s="85" t="s">
        <v>1110</v>
      </c>
      <c r="E8" s="86" t="s">
        <v>1127</v>
      </c>
      <c r="F8" s="85" t="s">
        <v>1128</v>
      </c>
      <c r="G8" s="85" t="s">
        <v>1108</v>
      </c>
      <c r="I8" s="85" t="s">
        <v>1129</v>
      </c>
    </row>
    <row r="9" ht="22.5" customHeight="1">
      <c r="A9" s="83">
        <v>46292.43914375</v>
      </c>
      <c r="B9" s="84" t="s">
        <v>1109</v>
      </c>
      <c r="C9" s="85" t="s">
        <v>198</v>
      </c>
      <c r="D9" s="85" t="s">
        <v>1110</v>
      </c>
      <c r="E9" s="86" t="s">
        <v>1127</v>
      </c>
      <c r="F9" s="85" t="s">
        <v>1128</v>
      </c>
      <c r="G9" s="85" t="s">
        <v>1108</v>
      </c>
      <c r="I9" s="85" t="s">
        <v>1130</v>
      </c>
    </row>
    <row r="10" ht="22.5" customHeight="1">
      <c r="A10" s="83">
        <v>46292.43982605324</v>
      </c>
      <c r="B10" s="84" t="s">
        <v>1109</v>
      </c>
      <c r="C10" s="85" t="s">
        <v>198</v>
      </c>
      <c r="D10" s="85" t="s">
        <v>1110</v>
      </c>
      <c r="E10" s="86" t="s">
        <v>1131</v>
      </c>
      <c r="F10" s="85" t="s">
        <v>1128</v>
      </c>
      <c r="G10" s="85" t="s">
        <v>1108</v>
      </c>
      <c r="I10" s="85" t="s">
        <v>1132</v>
      </c>
    </row>
    <row r="11" ht="22.5" customHeight="1">
      <c r="A11" s="83">
        <v>46292.44100126157</v>
      </c>
      <c r="B11" s="84" t="s">
        <v>1109</v>
      </c>
      <c r="C11" s="85" t="s">
        <v>198</v>
      </c>
      <c r="D11" s="85" t="s">
        <v>1110</v>
      </c>
      <c r="E11" s="86" t="s">
        <v>1127</v>
      </c>
      <c r="F11" s="85" t="s">
        <v>1128</v>
      </c>
      <c r="G11" s="85" t="s">
        <v>1108</v>
      </c>
      <c r="I11" s="85" t="s">
        <v>1130</v>
      </c>
    </row>
    <row r="12" ht="22.5" customHeight="1">
      <c r="A12" s="83">
        <v>46292.441809247684</v>
      </c>
      <c r="B12" s="84" t="s">
        <v>1109</v>
      </c>
      <c r="C12" s="85" t="s">
        <v>198</v>
      </c>
      <c r="D12" s="85" t="s">
        <v>1110</v>
      </c>
      <c r="E12" s="86" t="s">
        <v>1131</v>
      </c>
      <c r="F12" s="85" t="s">
        <v>1128</v>
      </c>
      <c r="G12" s="85" t="s">
        <v>1108</v>
      </c>
      <c r="I12" s="85" t="s">
        <v>1132</v>
      </c>
    </row>
    <row r="13" ht="22.5" customHeight="1">
      <c r="A13" s="83">
        <v>46292.46516840278</v>
      </c>
      <c r="B13" s="84" t="s">
        <v>1109</v>
      </c>
      <c r="C13" s="85" t="s">
        <v>198</v>
      </c>
      <c r="D13" s="85" t="s">
        <v>1110</v>
      </c>
      <c r="E13" s="86" t="s">
        <v>1131</v>
      </c>
      <c r="F13" s="85" t="s">
        <v>1128</v>
      </c>
      <c r="G13" s="85" t="s">
        <v>1108</v>
      </c>
      <c r="I13" s="85" t="s">
        <v>1132</v>
      </c>
    </row>
    <row r="14" ht="22.5" customHeight="1">
      <c r="A14" s="83">
        <v>46292.465941539354</v>
      </c>
      <c r="B14" s="84" t="s">
        <v>1109</v>
      </c>
      <c r="C14" s="85" t="s">
        <v>198</v>
      </c>
      <c r="D14" s="85" t="s">
        <v>1110</v>
      </c>
      <c r="E14" s="86" t="s">
        <v>1131</v>
      </c>
      <c r="F14" s="85" t="s">
        <v>1128</v>
      </c>
      <c r="G14" s="85" t="s">
        <v>1108</v>
      </c>
      <c r="I14" s="85" t="s">
        <v>1132</v>
      </c>
    </row>
    <row r="15" ht="22.5" customHeight="1">
      <c r="A15" s="83">
        <v>46292.49016518518</v>
      </c>
      <c r="B15" s="84" t="s">
        <v>1109</v>
      </c>
      <c r="C15" s="85" t="s">
        <v>198</v>
      </c>
      <c r="D15" s="85" t="s">
        <v>1110</v>
      </c>
      <c r="E15" s="86" t="s">
        <v>1131</v>
      </c>
      <c r="F15" s="85" t="s">
        <v>1128</v>
      </c>
      <c r="G15" s="85" t="s">
        <v>1108</v>
      </c>
      <c r="I15" s="85" t="s">
        <v>1132</v>
      </c>
    </row>
    <row r="16" ht="22.5" customHeight="1">
      <c r="A16" s="83">
        <v>46292.49664546296</v>
      </c>
      <c r="B16" s="84" t="s">
        <v>1109</v>
      </c>
      <c r="C16" s="85" t="s">
        <v>198</v>
      </c>
      <c r="D16" s="85" t="s">
        <v>1110</v>
      </c>
      <c r="E16" s="86" t="s">
        <v>1131</v>
      </c>
      <c r="F16" s="85" t="s">
        <v>1128</v>
      </c>
      <c r="G16" s="85" t="s">
        <v>1108</v>
      </c>
      <c r="I16" s="85" t="s">
        <v>1132</v>
      </c>
    </row>
    <row r="17" ht="22.5" customHeight="1">
      <c r="A17" s="83">
        <v>46292.50162570602</v>
      </c>
      <c r="B17" s="84" t="s">
        <v>1109</v>
      </c>
      <c r="C17" s="85" t="s">
        <v>198</v>
      </c>
      <c r="D17" s="85" t="s">
        <v>1110</v>
      </c>
      <c r="E17" s="86" t="s">
        <v>1131</v>
      </c>
      <c r="F17" s="85" t="s">
        <v>1128</v>
      </c>
      <c r="G17" s="85" t="s">
        <v>1108</v>
      </c>
      <c r="I17" s="85" t="s">
        <v>1132</v>
      </c>
    </row>
    <row r="18" ht="22.5" customHeight="1">
      <c r="A18" s="87">
        <v>46292.50678431713</v>
      </c>
      <c r="B18" s="88" t="s">
        <v>1109</v>
      </c>
      <c r="C18" s="88" t="s">
        <v>198</v>
      </c>
      <c r="D18" s="88" t="s">
        <v>1110</v>
      </c>
      <c r="E18" s="89" t="s">
        <v>1131</v>
      </c>
      <c r="F18" s="88" t="s">
        <v>1128</v>
      </c>
      <c r="G18" s="88" t="s">
        <v>1108</v>
      </c>
      <c r="H18" s="90"/>
      <c r="I18" s="88" t="s">
        <v>1132</v>
      </c>
      <c r="J18" s="90"/>
      <c r="K18" s="90"/>
    </row>
    <row r="19" ht="22.5" customHeight="1">
      <c r="A19" s="87">
        <v>46292.50849261574</v>
      </c>
      <c r="B19" s="88" t="s">
        <v>1109</v>
      </c>
      <c r="C19" s="88" t="s">
        <v>198</v>
      </c>
      <c r="D19" s="88" t="s">
        <v>1110</v>
      </c>
      <c r="E19" s="89" t="s">
        <v>1131</v>
      </c>
      <c r="F19" s="88" t="s">
        <v>1128</v>
      </c>
      <c r="G19" s="88" t="s">
        <v>1108</v>
      </c>
      <c r="H19" s="90"/>
      <c r="I19" s="88" t="s">
        <v>1132</v>
      </c>
      <c r="J19" s="90"/>
      <c r="K19" s="90"/>
    </row>
    <row r="20" ht="22.5" customHeight="1">
      <c r="A20" s="87">
        <v>46292.515853599536</v>
      </c>
      <c r="B20" s="88" t="s">
        <v>1109</v>
      </c>
      <c r="C20" s="88" t="s">
        <v>198</v>
      </c>
      <c r="D20" s="88" t="s">
        <v>1110</v>
      </c>
      <c r="E20" s="89" t="s">
        <v>1127</v>
      </c>
      <c r="F20" s="88" t="s">
        <v>1128</v>
      </c>
      <c r="G20" s="88" t="s">
        <v>1108</v>
      </c>
      <c r="H20" s="90"/>
      <c r="I20" s="88" t="s">
        <v>1130</v>
      </c>
      <c r="J20" s="90"/>
      <c r="K20" s="90"/>
    </row>
    <row r="21" ht="22.5" customHeight="1">
      <c r="A21" s="87">
        <v>46292.82843091435</v>
      </c>
      <c r="B21" s="88" t="s">
        <v>1109</v>
      </c>
      <c r="C21" s="88" t="s">
        <v>198</v>
      </c>
      <c r="D21" s="88" t="s">
        <v>1110</v>
      </c>
      <c r="E21" s="89" t="s">
        <v>1127</v>
      </c>
      <c r="F21" s="88" t="s">
        <v>1128</v>
      </c>
      <c r="G21" s="88" t="s">
        <v>1108</v>
      </c>
      <c r="H21" s="90"/>
      <c r="I21" s="88" t="s">
        <v>1130</v>
      </c>
      <c r="J21" s="90"/>
      <c r="K21" s="90"/>
    </row>
    <row r="22" ht="22.5" customHeight="1">
      <c r="A22" s="87">
        <v>46292.84687445602</v>
      </c>
      <c r="B22" s="88" t="s">
        <v>1109</v>
      </c>
      <c r="C22" s="88" t="s">
        <v>198</v>
      </c>
      <c r="D22" s="88" t="s">
        <v>1110</v>
      </c>
      <c r="E22" s="89" t="s">
        <v>1131</v>
      </c>
      <c r="F22" s="88" t="s">
        <v>1128</v>
      </c>
      <c r="G22" s="88" t="s">
        <v>1108</v>
      </c>
      <c r="H22" s="90"/>
      <c r="I22" s="88" t="s">
        <v>1132</v>
      </c>
      <c r="J22" s="90"/>
      <c r="K22" s="90"/>
    </row>
    <row r="23" ht="22.5" customHeight="1">
      <c r="A23" s="87">
        <v>46292.85458591435</v>
      </c>
      <c r="B23" s="88" t="s">
        <v>1109</v>
      </c>
      <c r="C23" s="88" t="s">
        <v>198</v>
      </c>
      <c r="D23" s="88" t="s">
        <v>1110</v>
      </c>
      <c r="E23" s="89" t="s">
        <v>1131</v>
      </c>
      <c r="F23" s="88" t="s">
        <v>1128</v>
      </c>
      <c r="G23" s="88" t="s">
        <v>1108</v>
      </c>
      <c r="H23" s="90"/>
      <c r="I23" s="88" t="s">
        <v>1132</v>
      </c>
      <c r="J23" s="90"/>
      <c r="K23" s="90"/>
    </row>
    <row r="24" ht="22.5" customHeight="1">
      <c r="A24" s="87">
        <v>46292.85802663195</v>
      </c>
      <c r="B24" s="88" t="s">
        <v>1109</v>
      </c>
      <c r="C24" s="88" t="s">
        <v>198</v>
      </c>
      <c r="D24" s="88" t="s">
        <v>1110</v>
      </c>
      <c r="E24" s="89" t="s">
        <v>1131</v>
      </c>
      <c r="F24" s="88" t="s">
        <v>1128</v>
      </c>
      <c r="G24" s="88" t="s">
        <v>1108</v>
      </c>
      <c r="H24" s="90"/>
      <c r="I24" s="88" t="s">
        <v>1132</v>
      </c>
      <c r="J24" s="90"/>
      <c r="K24" s="90"/>
    </row>
    <row r="25" ht="22.5" customHeight="1">
      <c r="A25" s="87">
        <v>46292.86194699074</v>
      </c>
      <c r="B25" s="88" t="s">
        <v>1109</v>
      </c>
      <c r="C25" s="88" t="s">
        <v>198</v>
      </c>
      <c r="D25" s="88" t="s">
        <v>1110</v>
      </c>
      <c r="E25" s="89" t="s">
        <v>1131</v>
      </c>
      <c r="F25" s="88" t="s">
        <v>1128</v>
      </c>
      <c r="G25" s="88" t="s">
        <v>1108</v>
      </c>
      <c r="H25" s="90"/>
      <c r="I25" s="88" t="s">
        <v>1132</v>
      </c>
      <c r="J25" s="90"/>
      <c r="K25" s="90"/>
    </row>
    <row r="26" ht="22.5" customHeight="1">
      <c r="A26" s="87">
        <v>46292.8651277662</v>
      </c>
      <c r="B26" s="88" t="s">
        <v>1109</v>
      </c>
      <c r="C26" s="88" t="s">
        <v>198</v>
      </c>
      <c r="D26" s="88" t="s">
        <v>1110</v>
      </c>
      <c r="E26" s="89" t="s">
        <v>1131</v>
      </c>
      <c r="F26" s="88" t="s">
        <v>1128</v>
      </c>
      <c r="G26" s="88" t="s">
        <v>1108</v>
      </c>
      <c r="H26" s="90"/>
      <c r="I26" s="88" t="s">
        <v>1132</v>
      </c>
      <c r="J26" s="90"/>
      <c r="K26" s="90"/>
    </row>
    <row r="27" ht="22.5" customHeight="1">
      <c r="A27" s="87">
        <v>46292.89551724537</v>
      </c>
      <c r="B27" s="88" t="s">
        <v>1109</v>
      </c>
      <c r="C27" s="88" t="s">
        <v>198</v>
      </c>
      <c r="D27" s="88" t="s">
        <v>1110</v>
      </c>
      <c r="E27" s="89" t="s">
        <v>1133</v>
      </c>
      <c r="F27" s="88" t="s">
        <v>1134</v>
      </c>
      <c r="G27" s="88" t="s">
        <v>1135</v>
      </c>
      <c r="H27" s="90"/>
      <c r="I27" s="88" t="s">
        <v>1136</v>
      </c>
      <c r="J27" s="90"/>
      <c r="K27" s="90"/>
    </row>
    <row r="28" ht="22.5" customHeight="1">
      <c r="A28" s="87">
        <v>46292.89553436343</v>
      </c>
      <c r="B28" s="88" t="s">
        <v>1109</v>
      </c>
      <c r="C28" s="88" t="s">
        <v>198</v>
      </c>
      <c r="D28" s="88" t="s">
        <v>1110</v>
      </c>
      <c r="E28" s="89" t="s">
        <v>1127</v>
      </c>
      <c r="F28" s="88" t="s">
        <v>1128</v>
      </c>
      <c r="G28" s="88" t="s">
        <v>1108</v>
      </c>
      <c r="H28" s="90"/>
      <c r="I28" s="88" t="s">
        <v>1137</v>
      </c>
      <c r="J28" s="90"/>
      <c r="K28" s="90"/>
    </row>
    <row r="29" ht="22.5" customHeight="1">
      <c r="A29" s="87">
        <v>46292.90283027777</v>
      </c>
      <c r="B29" s="88" t="s">
        <v>1109</v>
      </c>
      <c r="C29" s="88" t="s">
        <v>198</v>
      </c>
      <c r="D29" s="88" t="s">
        <v>1110</v>
      </c>
      <c r="E29" s="89" t="s">
        <v>1133</v>
      </c>
      <c r="F29" s="88" t="s">
        <v>1134</v>
      </c>
      <c r="G29" s="88" t="s">
        <v>1138</v>
      </c>
      <c r="H29" s="90"/>
      <c r="I29" s="88" t="s">
        <v>1136</v>
      </c>
      <c r="J29" s="90"/>
      <c r="K29" s="90"/>
    </row>
    <row r="30" ht="22.5" customHeight="1">
      <c r="A30" s="87">
        <v>46292.90284265047</v>
      </c>
      <c r="B30" s="88" t="s">
        <v>1109</v>
      </c>
      <c r="C30" s="88" t="s">
        <v>198</v>
      </c>
      <c r="D30" s="88" t="s">
        <v>1110</v>
      </c>
      <c r="E30" s="89" t="s">
        <v>1127</v>
      </c>
      <c r="F30" s="88" t="s">
        <v>1128</v>
      </c>
      <c r="G30" s="88" t="s">
        <v>1108</v>
      </c>
      <c r="H30" s="90"/>
      <c r="I30" s="88" t="s">
        <v>1137</v>
      </c>
      <c r="J30" s="90"/>
      <c r="K30" s="90"/>
    </row>
    <row r="31" ht="22.5" customHeight="1">
      <c r="A31" s="87">
        <v>46292.904882268514</v>
      </c>
      <c r="B31" s="88" t="s">
        <v>1109</v>
      </c>
      <c r="C31" s="88" t="s">
        <v>198</v>
      </c>
      <c r="D31" s="88" t="s">
        <v>1110</v>
      </c>
      <c r="E31" s="89" t="s">
        <v>1131</v>
      </c>
      <c r="F31" s="88" t="s">
        <v>1128</v>
      </c>
      <c r="G31" s="88" t="s">
        <v>1108</v>
      </c>
      <c r="H31" s="90"/>
      <c r="I31" s="88" t="s">
        <v>1132</v>
      </c>
      <c r="J31" s="90"/>
      <c r="K31" s="90"/>
    </row>
    <row r="32" ht="22.5" customHeight="1">
      <c r="A32" s="87">
        <v>46292.9245291088</v>
      </c>
      <c r="B32" s="88" t="s">
        <v>1109</v>
      </c>
      <c r="C32" s="88" t="s">
        <v>198</v>
      </c>
      <c r="D32" s="88" t="s">
        <v>1110</v>
      </c>
      <c r="E32" s="89" t="s">
        <v>1131</v>
      </c>
      <c r="F32" s="88" t="s">
        <v>1128</v>
      </c>
      <c r="G32" s="88" t="s">
        <v>1108</v>
      </c>
      <c r="H32" s="90"/>
      <c r="I32" s="88" t="s">
        <v>1132</v>
      </c>
      <c r="J32" s="90"/>
      <c r="K32" s="90"/>
    </row>
    <row r="33" ht="22.5" customHeight="1">
      <c r="A33" s="87">
        <v>46292.95858731482</v>
      </c>
      <c r="B33" s="88" t="s">
        <v>1109</v>
      </c>
      <c r="C33" s="88" t="s">
        <v>198</v>
      </c>
      <c r="D33" s="88" t="s">
        <v>1110</v>
      </c>
      <c r="E33" s="89" t="s">
        <v>1131</v>
      </c>
      <c r="F33" s="88" t="s">
        <v>1128</v>
      </c>
      <c r="G33" s="88" t="s">
        <v>1108</v>
      </c>
      <c r="H33" s="90"/>
      <c r="I33" s="88" t="s">
        <v>1132</v>
      </c>
      <c r="J33" s="90"/>
      <c r="K33" s="90"/>
    </row>
    <row r="34" ht="22.5" customHeight="1">
      <c r="A34" s="87">
        <v>46292.96477527778</v>
      </c>
      <c r="B34" s="88" t="s">
        <v>1109</v>
      </c>
      <c r="C34" s="88" t="s">
        <v>198</v>
      </c>
      <c r="D34" s="88" t="s">
        <v>1110</v>
      </c>
      <c r="E34" s="89" t="s">
        <v>1131</v>
      </c>
      <c r="F34" s="88" t="s">
        <v>1128</v>
      </c>
      <c r="G34" s="88" t="s">
        <v>1108</v>
      </c>
      <c r="H34" s="90"/>
      <c r="I34" s="88" t="s">
        <v>1132</v>
      </c>
      <c r="J34" s="90"/>
      <c r="K34" s="90"/>
    </row>
    <row r="35" ht="22.5" customHeight="1">
      <c r="A35" s="87">
        <v>46292.971119814814</v>
      </c>
      <c r="B35" s="88" t="s">
        <v>1109</v>
      </c>
      <c r="C35" s="88" t="s">
        <v>198</v>
      </c>
      <c r="D35" s="88" t="s">
        <v>1110</v>
      </c>
      <c r="E35" s="89" t="s">
        <v>1131</v>
      </c>
      <c r="F35" s="88" t="s">
        <v>1128</v>
      </c>
      <c r="G35" s="88" t="s">
        <v>1108</v>
      </c>
      <c r="H35" s="90"/>
      <c r="I35" s="88" t="s">
        <v>1132</v>
      </c>
      <c r="J35" s="90"/>
      <c r="K35" s="90"/>
    </row>
    <row r="36" ht="22.5" customHeight="1">
      <c r="A36" s="87">
        <v>46293.00359334491</v>
      </c>
      <c r="B36" s="88" t="s">
        <v>1115</v>
      </c>
      <c r="C36" s="88" t="s">
        <v>1114</v>
      </c>
      <c r="D36" s="88" t="s">
        <v>1116</v>
      </c>
      <c r="E36" s="89" t="s">
        <v>1133</v>
      </c>
      <c r="F36" s="88" t="s">
        <v>1134</v>
      </c>
      <c r="G36" s="88" t="s">
        <v>1139</v>
      </c>
      <c r="H36" s="90"/>
      <c r="I36" s="88" t="s">
        <v>1136</v>
      </c>
      <c r="J36" s="90"/>
      <c r="K36" s="90"/>
    </row>
    <row r="37" ht="22.5" customHeight="1">
      <c r="A37" s="87">
        <v>46293.0036027662</v>
      </c>
      <c r="B37" s="88" t="s">
        <v>1115</v>
      </c>
      <c r="C37" s="88" t="s">
        <v>1114</v>
      </c>
      <c r="D37" s="88" t="s">
        <v>1116</v>
      </c>
      <c r="E37" s="89" t="s">
        <v>1127</v>
      </c>
      <c r="F37" s="88" t="s">
        <v>1128</v>
      </c>
      <c r="G37" s="88" t="s">
        <v>1113</v>
      </c>
      <c r="H37" s="90"/>
      <c r="I37" s="88" t="s">
        <v>1137</v>
      </c>
      <c r="J37" s="90"/>
      <c r="K37" s="90"/>
    </row>
    <row r="38" ht="22.5" customHeight="1">
      <c r="A38" s="87">
        <v>46293.05512233796</v>
      </c>
      <c r="B38" s="88" t="s">
        <v>1115</v>
      </c>
      <c r="C38" s="88" t="s">
        <v>1114</v>
      </c>
      <c r="D38" s="88" t="s">
        <v>1116</v>
      </c>
      <c r="E38" s="89" t="s">
        <v>1131</v>
      </c>
      <c r="F38" s="88" t="s">
        <v>1128</v>
      </c>
      <c r="G38" s="88" t="s">
        <v>1113</v>
      </c>
      <c r="H38" s="90"/>
      <c r="I38" s="88" t="s">
        <v>1132</v>
      </c>
      <c r="J38" s="90"/>
      <c r="K38" s="90"/>
    </row>
    <row r="39" ht="22.5" customHeight="1">
      <c r="A39" s="87">
        <v>46293.05910846065</v>
      </c>
      <c r="B39" s="88" t="s">
        <v>1109</v>
      </c>
      <c r="C39" s="88" t="s">
        <v>198</v>
      </c>
      <c r="D39" s="88" t="s">
        <v>1110</v>
      </c>
      <c r="E39" s="89" t="s">
        <v>1131</v>
      </c>
      <c r="F39" s="88" t="s">
        <v>1128</v>
      </c>
      <c r="G39" s="88" t="s">
        <v>1108</v>
      </c>
      <c r="H39" s="90"/>
      <c r="I39" s="88" t="s">
        <v>1132</v>
      </c>
      <c r="J39" s="90"/>
      <c r="K39" s="90"/>
    </row>
    <row r="40" ht="22.5" customHeight="1">
      <c r="A40" s="87">
        <v>46293.06601268519</v>
      </c>
      <c r="B40" s="88" t="s">
        <v>1109</v>
      </c>
      <c r="C40" s="88" t="s">
        <v>198</v>
      </c>
      <c r="D40" s="88" t="s">
        <v>1110</v>
      </c>
      <c r="E40" s="89" t="s">
        <v>1131</v>
      </c>
      <c r="F40" s="88" t="s">
        <v>1128</v>
      </c>
      <c r="G40" s="88" t="s">
        <v>1108</v>
      </c>
      <c r="H40" s="90"/>
      <c r="I40" s="88" t="s">
        <v>1132</v>
      </c>
      <c r="J40" s="90"/>
      <c r="K40" s="90"/>
    </row>
    <row r="41" ht="22.5" customHeight="1">
      <c r="A41" s="87">
        <v>46293.071735254634</v>
      </c>
      <c r="B41" s="88" t="s">
        <v>1109</v>
      </c>
      <c r="C41" s="88" t="s">
        <v>198</v>
      </c>
      <c r="D41" s="88" t="s">
        <v>1110</v>
      </c>
      <c r="E41" s="89" t="s">
        <v>1131</v>
      </c>
      <c r="F41" s="88" t="s">
        <v>1128</v>
      </c>
      <c r="G41" s="88" t="s">
        <v>1108</v>
      </c>
      <c r="H41" s="90"/>
      <c r="I41" s="88" t="s">
        <v>1132</v>
      </c>
      <c r="J41" s="90"/>
      <c r="K41" s="90"/>
    </row>
    <row r="42" ht="22.5" customHeight="1">
      <c r="A42" s="87">
        <v>46293.11513755787</v>
      </c>
      <c r="B42" s="88" t="s">
        <v>1109</v>
      </c>
      <c r="C42" s="88" t="s">
        <v>198</v>
      </c>
      <c r="D42" s="88" t="s">
        <v>1110</v>
      </c>
      <c r="E42" s="89" t="s">
        <v>1131</v>
      </c>
      <c r="F42" s="88" t="s">
        <v>1128</v>
      </c>
      <c r="G42" s="88" t="s">
        <v>1108</v>
      </c>
      <c r="H42" s="90"/>
      <c r="I42" s="88" t="s">
        <v>1132</v>
      </c>
      <c r="J42" s="90"/>
      <c r="K42" s="90"/>
    </row>
    <row r="43" ht="22.5" customHeight="1">
      <c r="A43" s="87">
        <v>46293.140500567126</v>
      </c>
      <c r="B43" s="88" t="s">
        <v>1109</v>
      </c>
      <c r="C43" s="88" t="s">
        <v>198</v>
      </c>
      <c r="D43" s="88" t="s">
        <v>1110</v>
      </c>
      <c r="E43" s="89" t="s">
        <v>1131</v>
      </c>
      <c r="F43" s="88" t="s">
        <v>1128</v>
      </c>
      <c r="G43" s="88" t="s">
        <v>1108</v>
      </c>
      <c r="H43" s="90"/>
      <c r="I43" s="88" t="s">
        <v>1132</v>
      </c>
      <c r="J43" s="90"/>
      <c r="K43" s="90"/>
    </row>
    <row r="44" ht="22.5" customHeight="1">
      <c r="A44" s="87">
        <v>46293.141354479165</v>
      </c>
      <c r="B44" s="88" t="s">
        <v>1109</v>
      </c>
      <c r="C44" s="88" t="s">
        <v>198</v>
      </c>
      <c r="D44" s="88" t="s">
        <v>1110</v>
      </c>
      <c r="E44" s="89" t="s">
        <v>1140</v>
      </c>
      <c r="F44" s="88" t="s">
        <v>90</v>
      </c>
      <c r="G44" s="88">
        <v>4.0</v>
      </c>
      <c r="H44" s="88" t="s">
        <v>202</v>
      </c>
      <c r="I44" s="88" t="s">
        <v>1141</v>
      </c>
      <c r="J44" s="88" t="s">
        <v>1142</v>
      </c>
      <c r="K44" s="88" t="s">
        <v>1143</v>
      </c>
    </row>
    <row r="45" ht="22.5" customHeight="1">
      <c r="A45" s="87">
        <v>46293.14287923611</v>
      </c>
      <c r="B45" s="88" t="s">
        <v>1109</v>
      </c>
      <c r="C45" s="88" t="s">
        <v>198</v>
      </c>
      <c r="D45" s="88" t="s">
        <v>1110</v>
      </c>
      <c r="E45" s="89" t="s">
        <v>1140</v>
      </c>
      <c r="F45" s="88" t="s">
        <v>90</v>
      </c>
      <c r="G45" s="88">
        <v>1.0</v>
      </c>
      <c r="H45" s="88" t="s">
        <v>135</v>
      </c>
      <c r="I45" s="88" t="s">
        <v>1144</v>
      </c>
      <c r="J45" s="88" t="s">
        <v>1145</v>
      </c>
      <c r="K45" s="88" t="s">
        <v>1146</v>
      </c>
    </row>
    <row r="46" ht="22.5" customHeight="1">
      <c r="A46" s="87">
        <v>46293.14328643518</v>
      </c>
      <c r="B46" s="88" t="s">
        <v>1109</v>
      </c>
      <c r="C46" s="88" t="s">
        <v>198</v>
      </c>
      <c r="D46" s="88" t="s">
        <v>1110</v>
      </c>
      <c r="E46" s="89" t="s">
        <v>1140</v>
      </c>
      <c r="F46" s="88" t="s">
        <v>90</v>
      </c>
      <c r="G46" s="88">
        <v>1.0</v>
      </c>
      <c r="H46" s="88" t="s">
        <v>135</v>
      </c>
      <c r="I46" s="88" t="s">
        <v>1144</v>
      </c>
      <c r="J46" s="88" t="s">
        <v>1147</v>
      </c>
      <c r="K46" s="88" t="s">
        <v>1148</v>
      </c>
    </row>
    <row r="47" ht="22.5" customHeight="1">
      <c r="A47" s="87">
        <v>46293.145622638884</v>
      </c>
      <c r="B47" s="88" t="s">
        <v>1109</v>
      </c>
      <c r="C47" s="88" t="s">
        <v>198</v>
      </c>
      <c r="D47" s="88" t="s">
        <v>1110</v>
      </c>
      <c r="E47" s="89" t="s">
        <v>1140</v>
      </c>
      <c r="F47" s="88" t="s">
        <v>90</v>
      </c>
      <c r="G47" s="88">
        <v>1.0</v>
      </c>
      <c r="H47" s="88" t="s">
        <v>135</v>
      </c>
      <c r="I47" s="88" t="s">
        <v>1144</v>
      </c>
      <c r="J47" s="88" t="s">
        <v>1149</v>
      </c>
      <c r="K47" s="88" t="s">
        <v>1150</v>
      </c>
    </row>
    <row r="48" ht="22.5" customHeight="1">
      <c r="A48" s="87">
        <v>46293.22033202546</v>
      </c>
      <c r="B48" s="88" t="s">
        <v>1109</v>
      </c>
      <c r="C48" s="88" t="s">
        <v>198</v>
      </c>
      <c r="D48" s="88" t="s">
        <v>1110</v>
      </c>
      <c r="E48" s="89" t="s">
        <v>1131</v>
      </c>
      <c r="F48" s="88" t="s">
        <v>1128</v>
      </c>
      <c r="G48" s="88" t="s">
        <v>1108</v>
      </c>
      <c r="H48" s="88"/>
      <c r="I48" s="88" t="s">
        <v>1132</v>
      </c>
      <c r="J48" s="88"/>
      <c r="K48" s="88"/>
    </row>
    <row r="49" ht="22.5" customHeight="1">
      <c r="A49" s="87">
        <v>46293.246058599536</v>
      </c>
      <c r="B49" s="88" t="s">
        <v>1109</v>
      </c>
      <c r="C49" s="88" t="s">
        <v>198</v>
      </c>
      <c r="D49" s="88" t="s">
        <v>1110</v>
      </c>
      <c r="E49" s="89" t="s">
        <v>1140</v>
      </c>
      <c r="F49" s="88" t="s">
        <v>90</v>
      </c>
      <c r="G49" s="88">
        <v>4.0</v>
      </c>
      <c r="H49" s="88" t="s">
        <v>202</v>
      </c>
      <c r="I49" s="88" t="s">
        <v>1141</v>
      </c>
      <c r="J49" s="88" t="s">
        <v>1151</v>
      </c>
      <c r="K49" s="88" t="s">
        <v>1152</v>
      </c>
    </row>
    <row r="50" ht="22.5" customHeight="1">
      <c r="A50" s="87">
        <v>46293.24996586806</v>
      </c>
      <c r="B50" s="88" t="s">
        <v>1109</v>
      </c>
      <c r="C50" s="88" t="s">
        <v>198</v>
      </c>
      <c r="D50" s="88" t="s">
        <v>1110</v>
      </c>
      <c r="E50" s="89" t="s">
        <v>1140</v>
      </c>
      <c r="F50" s="88" t="s">
        <v>90</v>
      </c>
      <c r="G50" s="88">
        <v>4.0</v>
      </c>
      <c r="H50" s="88" t="s">
        <v>202</v>
      </c>
      <c r="I50" s="88" t="s">
        <v>1141</v>
      </c>
      <c r="J50" s="88" t="s">
        <v>1153</v>
      </c>
      <c r="K50" s="88" t="s">
        <v>1143</v>
      </c>
    </row>
    <row r="51" ht="22.5" customHeight="1">
      <c r="A51" s="87">
        <v>46293.279947083334</v>
      </c>
      <c r="B51" s="88" t="s">
        <v>1115</v>
      </c>
      <c r="C51" s="88" t="s">
        <v>1114</v>
      </c>
      <c r="D51" s="88" t="s">
        <v>1116</v>
      </c>
      <c r="E51" s="89" t="s">
        <v>1131</v>
      </c>
      <c r="F51" s="88" t="s">
        <v>1128</v>
      </c>
      <c r="G51" s="88" t="s">
        <v>1113</v>
      </c>
      <c r="H51" s="88"/>
      <c r="I51" s="88" t="s">
        <v>1132</v>
      </c>
      <c r="J51" s="88"/>
      <c r="K51" s="88"/>
    </row>
    <row r="52" ht="22.5" customHeight="1">
      <c r="A52" s="87">
        <v>46293.88717665509</v>
      </c>
      <c r="B52" s="88" t="s">
        <v>1115</v>
      </c>
      <c r="C52" s="88" t="s">
        <v>1114</v>
      </c>
      <c r="D52" s="88" t="s">
        <v>1116</v>
      </c>
      <c r="E52" s="89" t="s">
        <v>1131</v>
      </c>
      <c r="F52" s="88" t="s">
        <v>1128</v>
      </c>
      <c r="G52" s="88" t="s">
        <v>1113</v>
      </c>
      <c r="H52" s="88"/>
      <c r="I52" s="88" t="s">
        <v>1132</v>
      </c>
      <c r="J52" s="88"/>
      <c r="K52" s="88"/>
    </row>
    <row r="53" ht="22.5" customHeight="1">
      <c r="A53" s="87">
        <v>46294.391457986116</v>
      </c>
      <c r="B53" s="88" t="s">
        <v>1115</v>
      </c>
      <c r="C53" s="88" t="s">
        <v>1114</v>
      </c>
      <c r="D53" s="88" t="s">
        <v>1116</v>
      </c>
      <c r="E53" s="89" t="s">
        <v>1131</v>
      </c>
      <c r="F53" s="88" t="s">
        <v>1128</v>
      </c>
      <c r="G53" s="88" t="s">
        <v>1113</v>
      </c>
      <c r="H53" s="88"/>
      <c r="I53" s="88" t="s">
        <v>1132</v>
      </c>
      <c r="J53" s="88"/>
      <c r="K53" s="88"/>
    </row>
    <row r="54" ht="22.5" customHeight="1">
      <c r="A54" s="87">
        <v>46294.95496957176</v>
      </c>
      <c r="B54" s="88" t="s">
        <v>1109</v>
      </c>
      <c r="C54" s="88" t="s">
        <v>198</v>
      </c>
      <c r="D54" s="88" t="s">
        <v>1110</v>
      </c>
      <c r="E54" s="89" t="s">
        <v>1131</v>
      </c>
      <c r="F54" s="88" t="s">
        <v>1128</v>
      </c>
      <c r="G54" s="88" t="s">
        <v>1108</v>
      </c>
      <c r="H54" s="88"/>
      <c r="I54" s="88" t="s">
        <v>1132</v>
      </c>
      <c r="J54" s="88"/>
      <c r="K54" s="88"/>
    </row>
    <row r="55" ht="22.5" customHeight="1">
      <c r="A55" s="87">
        <v>46294.96509229166</v>
      </c>
      <c r="B55" s="88" t="s">
        <v>1115</v>
      </c>
      <c r="C55" s="88" t="s">
        <v>1114</v>
      </c>
      <c r="D55" s="88" t="s">
        <v>1116</v>
      </c>
      <c r="E55" s="89" t="s">
        <v>1131</v>
      </c>
      <c r="F55" s="88" t="s">
        <v>1128</v>
      </c>
      <c r="G55" s="88" t="s">
        <v>1113</v>
      </c>
      <c r="H55" s="88"/>
      <c r="I55" s="88" t="s">
        <v>1132</v>
      </c>
      <c r="J55" s="88"/>
      <c r="K55" s="88"/>
    </row>
    <row r="56" ht="22.5" customHeight="1">
      <c r="A56" s="87">
        <v>46296.15133414352</v>
      </c>
      <c r="B56" s="88" t="s">
        <v>1115</v>
      </c>
      <c r="C56" s="88" t="s">
        <v>1114</v>
      </c>
      <c r="D56" s="88" t="s">
        <v>1116</v>
      </c>
      <c r="E56" s="89" t="s">
        <v>1131</v>
      </c>
      <c r="F56" s="88" t="s">
        <v>1128</v>
      </c>
      <c r="G56" s="88" t="s">
        <v>1113</v>
      </c>
      <c r="H56" s="88"/>
      <c r="I56" s="88" t="s">
        <v>1132</v>
      </c>
      <c r="J56" s="88"/>
      <c r="K56" s="88"/>
    </row>
    <row r="57" ht="22.5" customHeight="1">
      <c r="A57" s="87">
        <v>46299.17190262731</v>
      </c>
      <c r="B57" s="88" t="s">
        <v>1109</v>
      </c>
      <c r="C57" s="88" t="s">
        <v>198</v>
      </c>
      <c r="D57" s="88" t="s">
        <v>1110</v>
      </c>
      <c r="E57" s="89" t="s">
        <v>1131</v>
      </c>
      <c r="F57" s="88" t="s">
        <v>1128</v>
      </c>
      <c r="G57" s="88" t="s">
        <v>1108</v>
      </c>
      <c r="H57" s="88"/>
      <c r="I57" s="88" t="s">
        <v>1132</v>
      </c>
      <c r="J57" s="88"/>
      <c r="K57" s="88"/>
    </row>
    <row r="58" ht="22.5" customHeight="1">
      <c r="A58" s="87">
        <v>46299.29705421296</v>
      </c>
      <c r="B58" s="88" t="s">
        <v>1109</v>
      </c>
      <c r="C58" s="88" t="s">
        <v>198</v>
      </c>
      <c r="D58" s="88" t="s">
        <v>1110</v>
      </c>
      <c r="E58" s="89" t="s">
        <v>1131</v>
      </c>
      <c r="F58" s="88" t="s">
        <v>1128</v>
      </c>
      <c r="G58" s="88" t="s">
        <v>1108</v>
      </c>
      <c r="H58" s="88"/>
      <c r="I58" s="88" t="s">
        <v>1132</v>
      </c>
      <c r="J58" s="88"/>
      <c r="K58" s="88"/>
    </row>
  </sheetData>
  <dataValidations>
    <dataValidation type="list" allowBlank="1" showDropDown="1" showErrorMessage="1" sqref="E2:E58">
      <formula1>"LOGIN,TRUSTED_DEVICE_LOGIN"</formula1>
    </dataValidation>
    <dataValidation type="custom" allowBlank="1" showDropDown="1" sqref="A2:A58">
      <formula1>OR(NOT(ISERROR(DATEVALUE(A2))), AND(ISNUMBER(A2), LEFT(CELL("format", A2))="D"))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s>
  <drawing r:id="rId17"/>
  <tableParts count="1">
    <tablePart r:id="rId1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91" t="s">
        <v>1154</v>
      </c>
      <c r="B1" s="91" t="s">
        <v>1098</v>
      </c>
      <c r="C1" s="91" t="s">
        <v>1100</v>
      </c>
      <c r="D1" s="91" t="s">
        <v>1101</v>
      </c>
      <c r="E1" s="91" t="s">
        <v>1155</v>
      </c>
      <c r="F1" s="91" t="s">
        <v>1156</v>
      </c>
      <c r="G1" s="91" t="s">
        <v>1157</v>
      </c>
      <c r="H1" s="91" t="s">
        <v>1158</v>
      </c>
      <c r="I1" s="91" t="s">
        <v>1159</v>
      </c>
      <c r="J1" s="91" t="s">
        <v>96</v>
      </c>
      <c r="K1" s="91" t="s">
        <v>1160</v>
      </c>
      <c r="L1" s="91" t="s">
        <v>1161</v>
      </c>
    </row>
    <row r="2">
      <c r="A2" s="79" t="s">
        <v>1162</v>
      </c>
      <c r="B2" s="79" t="s">
        <v>1108</v>
      </c>
      <c r="C2" s="79" t="s">
        <v>1109</v>
      </c>
      <c r="D2" s="79" t="s">
        <v>1110</v>
      </c>
      <c r="E2" s="79" t="s">
        <v>1163</v>
      </c>
      <c r="F2" s="79" t="s">
        <v>22</v>
      </c>
      <c r="G2" s="92">
        <v>46292.43913373843</v>
      </c>
      <c r="H2" s="92">
        <v>46292.43966578704</v>
      </c>
      <c r="I2" s="92">
        <v>46472.43913373843</v>
      </c>
      <c r="J2" s="79" t="s">
        <v>1164</v>
      </c>
      <c r="K2" s="80">
        <v>46292.43973815972</v>
      </c>
      <c r="L2" s="79" t="s">
        <v>1165</v>
      </c>
    </row>
    <row r="3">
      <c r="A3" s="79" t="s">
        <v>1166</v>
      </c>
      <c r="B3" s="79" t="s">
        <v>1108</v>
      </c>
      <c r="C3" s="79" t="s">
        <v>1109</v>
      </c>
      <c r="D3" s="79" t="s">
        <v>1110</v>
      </c>
      <c r="E3" s="79" t="s">
        <v>1163</v>
      </c>
      <c r="F3" s="79" t="s">
        <v>22</v>
      </c>
      <c r="G3" s="92">
        <v>46292.439822939814</v>
      </c>
      <c r="H3" s="92">
        <v>46292.439822939814</v>
      </c>
      <c r="I3" s="92">
        <v>46472.439822939814</v>
      </c>
      <c r="J3" s="79" t="s">
        <v>16</v>
      </c>
    </row>
    <row r="4">
      <c r="A4" s="79" t="s">
        <v>1167</v>
      </c>
      <c r="B4" s="79" t="s">
        <v>1108</v>
      </c>
      <c r="C4" s="79" t="s">
        <v>1109</v>
      </c>
      <c r="D4" s="79" t="s">
        <v>1110</v>
      </c>
      <c r="E4" s="79" t="s">
        <v>1163</v>
      </c>
      <c r="F4" s="79" t="s">
        <v>22</v>
      </c>
      <c r="G4" s="92">
        <v>46292.44099454861</v>
      </c>
      <c r="H4" s="92">
        <v>46292.441121400465</v>
      </c>
      <c r="I4" s="92">
        <v>46472.44099454861</v>
      </c>
      <c r="J4" s="79" t="s">
        <v>1164</v>
      </c>
      <c r="K4" s="80">
        <v>46292.441720613424</v>
      </c>
      <c r="L4" s="79" t="s">
        <v>1165</v>
      </c>
    </row>
    <row r="5">
      <c r="A5" s="79" t="s">
        <v>1168</v>
      </c>
      <c r="B5" s="79" t="s">
        <v>1108</v>
      </c>
      <c r="C5" s="79" t="s">
        <v>1109</v>
      </c>
      <c r="D5" s="79" t="s">
        <v>1110</v>
      </c>
      <c r="E5" s="79" t="s">
        <v>1163</v>
      </c>
      <c r="F5" s="79" t="s">
        <v>22</v>
      </c>
      <c r="G5" s="92">
        <v>46292.44180707176</v>
      </c>
      <c r="H5" s="92">
        <v>46292.46504575231</v>
      </c>
      <c r="I5" s="92">
        <v>46472.44180707176</v>
      </c>
      <c r="J5" s="79" t="s">
        <v>1164</v>
      </c>
      <c r="K5" s="80">
        <v>46292.465083958334</v>
      </c>
      <c r="L5" s="79" t="s">
        <v>1165</v>
      </c>
    </row>
    <row r="6">
      <c r="A6" s="79" t="s">
        <v>1169</v>
      </c>
      <c r="B6" s="79" t="s">
        <v>1108</v>
      </c>
      <c r="C6" s="79" t="s">
        <v>1109</v>
      </c>
      <c r="D6" s="79" t="s">
        <v>1110</v>
      </c>
      <c r="E6" s="79" t="s">
        <v>1163</v>
      </c>
      <c r="F6" s="79" t="s">
        <v>22</v>
      </c>
      <c r="G6" s="92">
        <v>46292.46516571759</v>
      </c>
      <c r="H6" s="92">
        <v>46292.46558956019</v>
      </c>
      <c r="I6" s="92">
        <v>46472.46516571759</v>
      </c>
      <c r="J6" s="79" t="s">
        <v>1164</v>
      </c>
      <c r="K6" s="80">
        <v>46292.465850381945</v>
      </c>
      <c r="L6" s="79" t="s">
        <v>1165</v>
      </c>
    </row>
    <row r="7">
      <c r="A7" s="79" t="s">
        <v>1170</v>
      </c>
      <c r="B7" s="79" t="s">
        <v>1108</v>
      </c>
      <c r="C7" s="79" t="s">
        <v>1109</v>
      </c>
      <c r="D7" s="79" t="s">
        <v>1110</v>
      </c>
      <c r="E7" s="79" t="s">
        <v>1163</v>
      </c>
      <c r="F7" s="79" t="s">
        <v>22</v>
      </c>
      <c r="G7" s="92">
        <v>46292.465939016205</v>
      </c>
      <c r="H7" s="92">
        <v>46292.489971574076</v>
      </c>
      <c r="I7" s="92">
        <v>46472.465939016205</v>
      </c>
      <c r="J7" s="79" t="s">
        <v>1164</v>
      </c>
      <c r="K7" s="80">
        <v>46292.49006596065</v>
      </c>
      <c r="L7" s="79" t="s">
        <v>1165</v>
      </c>
    </row>
    <row r="8">
      <c r="A8" s="79" t="s">
        <v>1171</v>
      </c>
      <c r="B8" s="79" t="s">
        <v>1108</v>
      </c>
      <c r="C8" s="79" t="s">
        <v>1109</v>
      </c>
      <c r="D8" s="79" t="s">
        <v>1110</v>
      </c>
      <c r="E8" s="79" t="s">
        <v>1163</v>
      </c>
      <c r="F8" s="79" t="s">
        <v>22</v>
      </c>
      <c r="G8" s="92">
        <v>46292.49015515046</v>
      </c>
      <c r="H8" s="92">
        <v>46292.495824791666</v>
      </c>
      <c r="I8" s="92">
        <v>46472.49015515046</v>
      </c>
      <c r="J8" s="79" t="s">
        <v>1164</v>
      </c>
      <c r="K8" s="80">
        <v>46292.496519004635</v>
      </c>
      <c r="L8" s="79" t="s">
        <v>1165</v>
      </c>
    </row>
    <row r="9">
      <c r="A9" s="79" t="s">
        <v>1172</v>
      </c>
      <c r="B9" s="79" t="s">
        <v>1108</v>
      </c>
      <c r="C9" s="79" t="s">
        <v>1109</v>
      </c>
      <c r="D9" s="79" t="s">
        <v>1110</v>
      </c>
      <c r="E9" s="79" t="s">
        <v>1163</v>
      </c>
      <c r="F9" s="79" t="s">
        <v>22</v>
      </c>
      <c r="G9" s="92">
        <v>46292.496642349535</v>
      </c>
      <c r="H9" s="92">
        <v>46292.496642349535</v>
      </c>
      <c r="I9" s="92">
        <v>46472.496642349535</v>
      </c>
      <c r="J9" s="79" t="s">
        <v>1164</v>
      </c>
      <c r="K9" s="80">
        <v>46292.49734722222</v>
      </c>
      <c r="L9" s="79" t="s">
        <v>1173</v>
      </c>
    </row>
    <row r="10">
      <c r="A10" s="79" t="s">
        <v>1174</v>
      </c>
      <c r="B10" s="79" t="s">
        <v>1108</v>
      </c>
      <c r="C10" s="79" t="s">
        <v>1109</v>
      </c>
      <c r="D10" s="79" t="s">
        <v>1110</v>
      </c>
      <c r="E10" s="79" t="s">
        <v>1163</v>
      </c>
      <c r="F10" s="79" t="s">
        <v>22</v>
      </c>
      <c r="G10" s="92">
        <v>46292.50162313657</v>
      </c>
      <c r="H10" s="92">
        <v>46292.50666261574</v>
      </c>
      <c r="I10" s="92">
        <v>46472.50162313657</v>
      </c>
      <c r="J10" s="79" t="s">
        <v>16</v>
      </c>
    </row>
    <row r="11">
      <c r="A11" s="79" t="s">
        <v>1175</v>
      </c>
      <c r="B11" s="79" t="s">
        <v>1108</v>
      </c>
      <c r="C11" s="79" t="s">
        <v>1109</v>
      </c>
      <c r="D11" s="79" t="s">
        <v>1110</v>
      </c>
      <c r="E11" s="79" t="s">
        <v>1163</v>
      </c>
      <c r="F11" s="79" t="s">
        <v>22</v>
      </c>
      <c r="G11" s="92">
        <v>46292.506782094904</v>
      </c>
      <c r="H11" s="92">
        <v>46292.50838353009</v>
      </c>
      <c r="I11" s="92">
        <v>46472.506782094904</v>
      </c>
      <c r="J11" s="79" t="s">
        <v>16</v>
      </c>
    </row>
    <row r="12">
      <c r="A12" s="79" t="s">
        <v>1176</v>
      </c>
      <c r="B12" s="79" t="s">
        <v>1108</v>
      </c>
      <c r="C12" s="79" t="s">
        <v>1109</v>
      </c>
      <c r="D12" s="79" t="s">
        <v>1110</v>
      </c>
      <c r="E12" s="79" t="s">
        <v>1163</v>
      </c>
      <c r="F12" s="79" t="s">
        <v>22</v>
      </c>
      <c r="G12" s="92">
        <v>46292.50849039352</v>
      </c>
      <c r="H12" s="92">
        <v>46292.51394113426</v>
      </c>
      <c r="I12" s="92">
        <v>46472.50849039352</v>
      </c>
      <c r="J12" s="79" t="s">
        <v>1164</v>
      </c>
      <c r="K12" s="80">
        <v>46292.51520875</v>
      </c>
      <c r="L12" s="79" t="s">
        <v>1165</v>
      </c>
    </row>
    <row r="13">
      <c r="A13" s="79" t="s">
        <v>1177</v>
      </c>
      <c r="B13" s="79" t="s">
        <v>1108</v>
      </c>
      <c r="C13" s="79" t="s">
        <v>1109</v>
      </c>
      <c r="D13" s="79" t="s">
        <v>1110</v>
      </c>
      <c r="E13" s="79" t="s">
        <v>1163</v>
      </c>
      <c r="F13" s="79" t="s">
        <v>22</v>
      </c>
      <c r="G13" s="92">
        <v>46292.5158478588</v>
      </c>
      <c r="H13" s="92">
        <v>46292.515948333334</v>
      </c>
      <c r="I13" s="92">
        <v>46472.5158478588</v>
      </c>
      <c r="J13" s="79" t="s">
        <v>1164</v>
      </c>
      <c r="K13" s="80">
        <v>46292.51651045139</v>
      </c>
      <c r="L13" s="79" t="s">
        <v>1165</v>
      </c>
    </row>
    <row r="14">
      <c r="A14" s="79" t="s">
        <v>1178</v>
      </c>
      <c r="B14" s="79" t="s">
        <v>1108</v>
      </c>
      <c r="C14" s="79" t="s">
        <v>1109</v>
      </c>
      <c r="D14" s="79" t="s">
        <v>1110</v>
      </c>
      <c r="E14" s="79" t="s">
        <v>1163</v>
      </c>
      <c r="F14" s="79" t="s">
        <v>22</v>
      </c>
      <c r="G14" s="92">
        <v>46292.828426249995</v>
      </c>
      <c r="H14" s="92">
        <v>46292.829397442125</v>
      </c>
      <c r="I14" s="92">
        <v>46472.828426249995</v>
      </c>
      <c r="J14" s="79" t="s">
        <v>1164</v>
      </c>
      <c r="K14" s="80">
        <v>46292.830039803244</v>
      </c>
      <c r="L14" s="79" t="s">
        <v>1165</v>
      </c>
    </row>
    <row r="15">
      <c r="A15" s="79" t="s">
        <v>1179</v>
      </c>
      <c r="B15" s="79" t="s">
        <v>1108</v>
      </c>
      <c r="C15" s="79" t="s">
        <v>1109</v>
      </c>
      <c r="D15" s="79" t="s">
        <v>1110</v>
      </c>
      <c r="E15" s="79" t="s">
        <v>1180</v>
      </c>
      <c r="F15" s="79" t="s">
        <v>22</v>
      </c>
      <c r="G15" s="92">
        <v>46292.84686513889</v>
      </c>
      <c r="H15" s="92">
        <v>46292.847777511575</v>
      </c>
      <c r="I15" s="92">
        <v>46293.34686513889</v>
      </c>
      <c r="J15" s="79" t="s">
        <v>1164</v>
      </c>
      <c r="K15" s="80">
        <v>46292.849980162035</v>
      </c>
      <c r="L15" s="79" t="s">
        <v>1165</v>
      </c>
    </row>
    <row r="16">
      <c r="A16" s="79" t="s">
        <v>1181</v>
      </c>
      <c r="B16" s="79" t="s">
        <v>1108</v>
      </c>
      <c r="C16" s="79" t="s">
        <v>1109</v>
      </c>
      <c r="D16" s="79" t="s">
        <v>1110</v>
      </c>
      <c r="E16" s="79" t="s">
        <v>1180</v>
      </c>
      <c r="F16" s="79" t="s">
        <v>22</v>
      </c>
      <c r="G16" s="92">
        <v>46292.85457405093</v>
      </c>
      <c r="H16" s="92">
        <v>46292.855357673616</v>
      </c>
      <c r="I16" s="92">
        <v>46293.35457405093</v>
      </c>
      <c r="J16" s="79" t="s">
        <v>1164</v>
      </c>
      <c r="K16" s="80">
        <v>46292.857445671296</v>
      </c>
      <c r="L16" s="79" t="s">
        <v>1165</v>
      </c>
    </row>
    <row r="17">
      <c r="A17" s="79" t="s">
        <v>1182</v>
      </c>
      <c r="B17" s="79" t="s">
        <v>1108</v>
      </c>
      <c r="C17" s="79" t="s">
        <v>1109</v>
      </c>
      <c r="D17" s="79" t="s">
        <v>1110</v>
      </c>
      <c r="E17" s="79" t="s">
        <v>1180</v>
      </c>
      <c r="F17" s="79" t="s">
        <v>22</v>
      </c>
      <c r="G17" s="92">
        <v>46292.85802133102</v>
      </c>
      <c r="H17" s="92">
        <v>46292.86164387732</v>
      </c>
      <c r="I17" s="92">
        <v>46293.35802133102</v>
      </c>
      <c r="J17" s="79" t="s">
        <v>1164</v>
      </c>
      <c r="K17" s="80">
        <v>46292.861657546295</v>
      </c>
      <c r="L17" s="79" t="s">
        <v>1165</v>
      </c>
    </row>
    <row r="18">
      <c r="A18" s="79" t="s">
        <v>1183</v>
      </c>
      <c r="B18" s="79" t="s">
        <v>1108</v>
      </c>
      <c r="C18" s="79" t="s">
        <v>1109</v>
      </c>
      <c r="D18" s="79" t="s">
        <v>1110</v>
      </c>
      <c r="E18" s="79" t="s">
        <v>1180</v>
      </c>
      <c r="F18" s="79" t="s">
        <v>22</v>
      </c>
      <c r="G18" s="92">
        <v>46292.86193899305</v>
      </c>
      <c r="H18" s="92">
        <v>46292.86211880787</v>
      </c>
      <c r="I18" s="92">
        <v>46293.36193899305</v>
      </c>
      <c r="J18" s="79" t="s">
        <v>1164</v>
      </c>
      <c r="K18" s="80">
        <v>46292.86349927083</v>
      </c>
      <c r="L18" s="79" t="s">
        <v>1165</v>
      </c>
    </row>
    <row r="19">
      <c r="A19" s="79" t="s">
        <v>1184</v>
      </c>
      <c r="B19" s="79" t="s">
        <v>1108</v>
      </c>
      <c r="C19" s="79" t="s">
        <v>1109</v>
      </c>
      <c r="D19" s="79" t="s">
        <v>1110</v>
      </c>
      <c r="E19" s="79" t="s">
        <v>1180</v>
      </c>
      <c r="F19" s="79" t="s">
        <v>22</v>
      </c>
      <c r="G19" s="92">
        <v>46292.86512199074</v>
      </c>
      <c r="H19" s="92">
        <v>46292.86549846065</v>
      </c>
      <c r="I19" s="92">
        <v>46293.36512199074</v>
      </c>
      <c r="J19" s="79" t="s">
        <v>1164</v>
      </c>
      <c r="K19" s="80">
        <v>46292.866209050924</v>
      </c>
      <c r="L19" s="79" t="s">
        <v>1165</v>
      </c>
    </row>
    <row r="20">
      <c r="A20" s="79" t="s">
        <v>1185</v>
      </c>
      <c r="B20" s="79" t="s">
        <v>1108</v>
      </c>
      <c r="C20" s="79" t="s">
        <v>1109</v>
      </c>
      <c r="D20" s="79" t="s">
        <v>1110</v>
      </c>
      <c r="E20" s="79" t="s">
        <v>1186</v>
      </c>
      <c r="F20" s="79" t="s">
        <v>22</v>
      </c>
      <c r="G20" s="92">
        <v>46292.895525914355</v>
      </c>
      <c r="H20" s="92">
        <v>46292.90001435185</v>
      </c>
      <c r="I20" s="92">
        <v>46293.395525914355</v>
      </c>
      <c r="J20" s="79" t="s">
        <v>16</v>
      </c>
    </row>
    <row r="21">
      <c r="A21" s="79" t="s">
        <v>1187</v>
      </c>
      <c r="B21" s="79" t="s">
        <v>1108</v>
      </c>
      <c r="C21" s="79" t="s">
        <v>1109</v>
      </c>
      <c r="D21" s="79" t="s">
        <v>1110</v>
      </c>
      <c r="E21" s="79" t="s">
        <v>1188</v>
      </c>
      <c r="F21" s="79" t="s">
        <v>22</v>
      </c>
      <c r="G21" s="92">
        <v>46292.90283234954</v>
      </c>
      <c r="H21" s="92">
        <v>46292.90298834491</v>
      </c>
      <c r="I21" s="92">
        <v>46293.40283234954</v>
      </c>
      <c r="J21" s="79" t="s">
        <v>1164</v>
      </c>
      <c r="K21" s="80">
        <v>46292.90469059028</v>
      </c>
      <c r="L21" s="79" t="s">
        <v>1165</v>
      </c>
    </row>
    <row r="22">
      <c r="A22" s="79" t="s">
        <v>1189</v>
      </c>
      <c r="B22" s="79" t="s">
        <v>1108</v>
      </c>
      <c r="C22" s="79" t="s">
        <v>1109</v>
      </c>
      <c r="D22" s="79" t="s">
        <v>1110</v>
      </c>
      <c r="E22" s="79" t="s">
        <v>1188</v>
      </c>
      <c r="F22" s="79" t="s">
        <v>22</v>
      </c>
      <c r="G22" s="92">
        <v>46292.90487728009</v>
      </c>
      <c r="H22" s="92">
        <v>46292.90498097222</v>
      </c>
      <c r="I22" s="92">
        <v>46293.40487728009</v>
      </c>
      <c r="J22" s="79" t="s">
        <v>1164</v>
      </c>
      <c r="K22" s="80">
        <v>46292.90503900463</v>
      </c>
      <c r="L22" s="79" t="s">
        <v>1165</v>
      </c>
    </row>
    <row r="23">
      <c r="A23" s="79" t="s">
        <v>1190</v>
      </c>
      <c r="B23" s="79" t="s">
        <v>1108</v>
      </c>
      <c r="C23" s="79" t="s">
        <v>1109</v>
      </c>
      <c r="D23" s="79" t="s">
        <v>1110</v>
      </c>
      <c r="E23" s="79" t="s">
        <v>1180</v>
      </c>
      <c r="F23" s="79" t="s">
        <v>22</v>
      </c>
      <c r="G23" s="92">
        <v>46292.92452194444</v>
      </c>
      <c r="H23" s="92">
        <v>46292.95605962963</v>
      </c>
      <c r="I23" s="92">
        <v>46293.42452194444</v>
      </c>
      <c r="J23" s="79" t="s">
        <v>1164</v>
      </c>
      <c r="K23" s="80">
        <v>46292.95836665509</v>
      </c>
      <c r="L23" s="79" t="s">
        <v>1165</v>
      </c>
    </row>
    <row r="24">
      <c r="A24" s="79" t="s">
        <v>1191</v>
      </c>
      <c r="B24" s="79" t="s">
        <v>1108</v>
      </c>
      <c r="C24" s="79" t="s">
        <v>1109</v>
      </c>
      <c r="D24" s="79" t="s">
        <v>1110</v>
      </c>
      <c r="E24" s="79" t="s">
        <v>1180</v>
      </c>
      <c r="F24" s="79" t="s">
        <v>22</v>
      </c>
      <c r="G24" s="92">
        <v>46292.958579108796</v>
      </c>
      <c r="H24" s="92">
        <v>46292.962022141204</v>
      </c>
      <c r="I24" s="92">
        <v>46293.458579108796</v>
      </c>
      <c r="J24" s="79" t="s">
        <v>1164</v>
      </c>
      <c r="K24" s="80">
        <v>46292.96274959491</v>
      </c>
      <c r="L24" s="79" t="s">
        <v>1165</v>
      </c>
    </row>
    <row r="25">
      <c r="A25" s="79" t="s">
        <v>1192</v>
      </c>
      <c r="B25" s="79" t="s">
        <v>1108</v>
      </c>
      <c r="C25" s="79" t="s">
        <v>1109</v>
      </c>
      <c r="D25" s="79" t="s">
        <v>1110</v>
      </c>
      <c r="E25" s="79" t="s">
        <v>1180</v>
      </c>
      <c r="F25" s="79" t="s">
        <v>22</v>
      </c>
      <c r="G25" s="92">
        <v>46292.96476021991</v>
      </c>
      <c r="H25" s="92">
        <v>46292.96873201389</v>
      </c>
      <c r="I25" s="92">
        <v>46293.46476021991</v>
      </c>
      <c r="J25" s="79" t="s">
        <v>1164</v>
      </c>
      <c r="K25" s="80">
        <v>46292.97071334491</v>
      </c>
      <c r="L25" s="79" t="s">
        <v>1165</v>
      </c>
    </row>
    <row r="26">
      <c r="A26" s="79" t="s">
        <v>1193</v>
      </c>
      <c r="B26" s="79" t="s">
        <v>1108</v>
      </c>
      <c r="C26" s="79" t="s">
        <v>1109</v>
      </c>
      <c r="D26" s="79" t="s">
        <v>1110</v>
      </c>
      <c r="E26" s="79" t="s">
        <v>1180</v>
      </c>
      <c r="F26" s="79" t="s">
        <v>22</v>
      </c>
      <c r="G26" s="92">
        <v>46292.9711143287</v>
      </c>
      <c r="H26" s="92">
        <v>46292.98786851852</v>
      </c>
      <c r="I26" s="92">
        <v>46293.4711143287</v>
      </c>
      <c r="J26" s="79" t="s">
        <v>1164</v>
      </c>
      <c r="K26" s="80">
        <v>46292.98789798611</v>
      </c>
      <c r="L26" s="79" t="s">
        <v>1165</v>
      </c>
    </row>
    <row r="27">
      <c r="A27" s="79" t="s">
        <v>1194</v>
      </c>
      <c r="B27" s="79" t="s">
        <v>1113</v>
      </c>
      <c r="C27" s="79" t="s">
        <v>1115</v>
      </c>
      <c r="D27" s="79" t="s">
        <v>1116</v>
      </c>
      <c r="E27" s="79" t="s">
        <v>1180</v>
      </c>
      <c r="F27" s="79" t="s">
        <v>22</v>
      </c>
      <c r="G27" s="92">
        <v>46293.00359494213</v>
      </c>
      <c r="H27" s="92">
        <v>46293.00993321759</v>
      </c>
      <c r="I27" s="92">
        <v>46293.50359494213</v>
      </c>
      <c r="J27" s="79" t="s">
        <v>1164</v>
      </c>
      <c r="K27" s="80">
        <v>46293.01190961806</v>
      </c>
      <c r="L27" s="79" t="s">
        <v>1173</v>
      </c>
    </row>
    <row r="28">
      <c r="A28" s="79" t="s">
        <v>1195</v>
      </c>
      <c r="B28" s="79" t="s">
        <v>1113</v>
      </c>
      <c r="C28" s="79" t="s">
        <v>1115</v>
      </c>
      <c r="D28" s="79" t="s">
        <v>1116</v>
      </c>
      <c r="E28" s="79" t="s">
        <v>1180</v>
      </c>
      <c r="F28" s="79" t="s">
        <v>22</v>
      </c>
      <c r="G28" s="92">
        <v>46293.0551146412</v>
      </c>
      <c r="H28" s="92">
        <v>46293.05847232639</v>
      </c>
      <c r="I28" s="92">
        <v>46293.5551146412</v>
      </c>
      <c r="J28" s="79" t="s">
        <v>1164</v>
      </c>
      <c r="K28" s="80">
        <v>46293.05893226852</v>
      </c>
      <c r="L28" s="79" t="s">
        <v>1165</v>
      </c>
    </row>
    <row r="29">
      <c r="A29" s="79" t="s">
        <v>1196</v>
      </c>
      <c r="B29" s="79" t="s">
        <v>1108</v>
      </c>
      <c r="C29" s="79" t="s">
        <v>1109</v>
      </c>
      <c r="D29" s="79" t="s">
        <v>1110</v>
      </c>
      <c r="E29" s="79" t="s">
        <v>1180</v>
      </c>
      <c r="F29" s="79" t="s">
        <v>22</v>
      </c>
      <c r="G29" s="92">
        <v>46293.059099861115</v>
      </c>
      <c r="H29" s="92">
        <v>46293.06267510417</v>
      </c>
      <c r="I29" s="92">
        <v>46293.559099861115</v>
      </c>
      <c r="J29" s="79" t="s">
        <v>1164</v>
      </c>
      <c r="K29" s="80">
        <v>46293.06412247685</v>
      </c>
      <c r="L29" s="79" t="s">
        <v>1165</v>
      </c>
    </row>
    <row r="30">
      <c r="A30" s="79" t="s">
        <v>1197</v>
      </c>
      <c r="B30" s="79" t="s">
        <v>1108</v>
      </c>
      <c r="C30" s="79" t="s">
        <v>1109</v>
      </c>
      <c r="D30" s="79" t="s">
        <v>1110</v>
      </c>
      <c r="E30" s="79" t="s">
        <v>1180</v>
      </c>
      <c r="F30" s="79" t="s">
        <v>22</v>
      </c>
      <c r="G30" s="92">
        <v>46293.06600855324</v>
      </c>
      <c r="H30" s="92">
        <v>46293.06937965278</v>
      </c>
      <c r="I30" s="92">
        <v>46293.56600855324</v>
      </c>
      <c r="J30" s="79" t="s">
        <v>1164</v>
      </c>
      <c r="K30" s="80">
        <v>46293.069392210644</v>
      </c>
      <c r="L30" s="79" t="s">
        <v>1165</v>
      </c>
    </row>
    <row r="31">
      <c r="A31" s="79" t="s">
        <v>1198</v>
      </c>
      <c r="B31" s="79" t="s">
        <v>1108</v>
      </c>
      <c r="C31" s="79" t="s">
        <v>1109</v>
      </c>
      <c r="D31" s="79" t="s">
        <v>1110</v>
      </c>
      <c r="E31" s="79" t="s">
        <v>1180</v>
      </c>
      <c r="F31" s="79" t="s">
        <v>22</v>
      </c>
      <c r="G31" s="92">
        <v>46293.0717272801</v>
      </c>
      <c r="H31" s="92">
        <v>46293.09960233796</v>
      </c>
      <c r="I31" s="92">
        <v>46293.5717272801</v>
      </c>
      <c r="J31" s="79" t="s">
        <v>1164</v>
      </c>
      <c r="K31" s="80">
        <v>46293.10140730324</v>
      </c>
      <c r="L31" s="79" t="s">
        <v>1165</v>
      </c>
    </row>
    <row r="32">
      <c r="A32" s="79" t="s">
        <v>1199</v>
      </c>
      <c r="B32" s="79" t="s">
        <v>1108</v>
      </c>
      <c r="C32" s="79" t="s">
        <v>1109</v>
      </c>
      <c r="D32" s="79" t="s">
        <v>1110</v>
      </c>
      <c r="E32" s="79" t="s">
        <v>1180</v>
      </c>
      <c r="F32" s="79" t="s">
        <v>22</v>
      </c>
      <c r="G32" s="92">
        <v>46293.11513209491</v>
      </c>
      <c r="H32" s="92">
        <v>46293.11533033565</v>
      </c>
      <c r="I32" s="92">
        <v>46293.61513209491</v>
      </c>
      <c r="J32" s="79" t="s">
        <v>1164</v>
      </c>
      <c r="K32" s="80">
        <v>46293.122159363425</v>
      </c>
      <c r="L32" s="79" t="s">
        <v>1165</v>
      </c>
    </row>
    <row r="33">
      <c r="A33" s="79" t="s">
        <v>1200</v>
      </c>
      <c r="B33" s="79" t="s">
        <v>1108</v>
      </c>
      <c r="C33" s="79" t="s">
        <v>1109</v>
      </c>
      <c r="D33" s="79" t="s">
        <v>1110</v>
      </c>
      <c r="E33" s="79" t="s">
        <v>1180</v>
      </c>
      <c r="F33" s="79" t="s">
        <v>22</v>
      </c>
      <c r="G33" s="92">
        <v>46293.140494861116</v>
      </c>
      <c r="H33" s="92">
        <v>46293.14565704861</v>
      </c>
      <c r="I33" s="92">
        <v>46293.640494861116</v>
      </c>
      <c r="J33" s="79" t="s">
        <v>1164</v>
      </c>
      <c r="K33" s="80">
        <v>46293.16801982639</v>
      </c>
      <c r="L33" s="79" t="s">
        <v>1165</v>
      </c>
    </row>
    <row r="34">
      <c r="A34" s="79" t="s">
        <v>1201</v>
      </c>
      <c r="B34" s="79" t="s">
        <v>1108</v>
      </c>
      <c r="C34" s="79" t="s">
        <v>1109</v>
      </c>
      <c r="D34" s="79" t="s">
        <v>1110</v>
      </c>
      <c r="E34" s="79" t="s">
        <v>1180</v>
      </c>
      <c r="F34" s="79" t="s">
        <v>22</v>
      </c>
      <c r="G34" s="92">
        <v>46293.220322696754</v>
      </c>
      <c r="H34" s="92">
        <v>46293.278004872685</v>
      </c>
      <c r="I34" s="92">
        <v>46293.720322696754</v>
      </c>
      <c r="J34" s="79" t="s">
        <v>1164</v>
      </c>
      <c r="K34" s="80">
        <v>46293.27820195602</v>
      </c>
      <c r="L34" s="79" t="s">
        <v>1165</v>
      </c>
    </row>
    <row r="35">
      <c r="A35" s="79" t="s">
        <v>1202</v>
      </c>
      <c r="B35" s="79" t="s">
        <v>1113</v>
      </c>
      <c r="C35" s="79" t="s">
        <v>1115</v>
      </c>
      <c r="D35" s="79" t="s">
        <v>1116</v>
      </c>
      <c r="E35" s="79" t="s">
        <v>1180</v>
      </c>
      <c r="F35" s="79" t="s">
        <v>22</v>
      </c>
      <c r="G35" s="92">
        <v>46293.27993659722</v>
      </c>
      <c r="H35" s="92">
        <v>46293.455349641205</v>
      </c>
      <c r="I35" s="92">
        <v>46293.77993659722</v>
      </c>
      <c r="J35" s="79" t="s">
        <v>1164</v>
      </c>
      <c r="K35" s="80">
        <v>46293.46180739583</v>
      </c>
      <c r="L35" s="79" t="s">
        <v>1165</v>
      </c>
    </row>
    <row r="36">
      <c r="A36" s="79" t="s">
        <v>1203</v>
      </c>
      <c r="B36" s="79" t="s">
        <v>1113</v>
      </c>
      <c r="C36" s="79" t="s">
        <v>1115</v>
      </c>
      <c r="D36" s="79" t="s">
        <v>1116</v>
      </c>
      <c r="E36" s="79" t="s">
        <v>1180</v>
      </c>
      <c r="F36" s="79" t="s">
        <v>22</v>
      </c>
      <c r="G36" s="92">
        <v>46293.88715809028</v>
      </c>
      <c r="H36" s="92">
        <v>46294.38254614583</v>
      </c>
      <c r="I36" s="92">
        <v>46294.38715809028</v>
      </c>
      <c r="J36" s="79" t="s">
        <v>1204</v>
      </c>
    </row>
    <row r="37">
      <c r="A37" s="79" t="s">
        <v>1205</v>
      </c>
      <c r="B37" s="79" t="s">
        <v>1113</v>
      </c>
      <c r="C37" s="79" t="s">
        <v>1115</v>
      </c>
      <c r="D37" s="79" t="s">
        <v>1116</v>
      </c>
      <c r="E37" s="79" t="s">
        <v>1180</v>
      </c>
      <c r="F37" s="79" t="s">
        <v>22</v>
      </c>
      <c r="G37" s="92">
        <v>46294.39145166667</v>
      </c>
      <c r="H37" s="92">
        <v>46294.399083738426</v>
      </c>
      <c r="I37" s="92">
        <v>46294.89145166667</v>
      </c>
      <c r="J37" s="79" t="s">
        <v>1164</v>
      </c>
      <c r="K37" s="80">
        <v>46294.39925800926</v>
      </c>
      <c r="L37" s="79" t="s">
        <v>1165</v>
      </c>
    </row>
    <row r="38">
      <c r="A38" s="79" t="s">
        <v>1206</v>
      </c>
      <c r="B38" s="79" t="s">
        <v>1108</v>
      </c>
      <c r="C38" s="79" t="s">
        <v>1109</v>
      </c>
      <c r="D38" s="79" t="s">
        <v>1110</v>
      </c>
      <c r="E38" s="79" t="s">
        <v>1180</v>
      </c>
      <c r="F38" s="79" t="s">
        <v>22</v>
      </c>
      <c r="G38" s="92">
        <v>46294.954964212964</v>
      </c>
      <c r="H38" s="92">
        <v>46294.96411122685</v>
      </c>
      <c r="I38" s="92">
        <v>46295.454964212964</v>
      </c>
      <c r="J38" s="79" t="s">
        <v>16</v>
      </c>
    </row>
    <row r="39">
      <c r="A39" s="79" t="s">
        <v>1207</v>
      </c>
      <c r="B39" s="79" t="s">
        <v>1113</v>
      </c>
      <c r="C39" s="79" t="s">
        <v>1115</v>
      </c>
      <c r="D39" s="79" t="s">
        <v>1116</v>
      </c>
      <c r="E39" s="79" t="s">
        <v>1180</v>
      </c>
      <c r="F39" s="79" t="s">
        <v>22</v>
      </c>
      <c r="G39" s="92">
        <v>46294.965087233795</v>
      </c>
      <c r="H39" s="92">
        <v>46295.46257271991</v>
      </c>
      <c r="I39" s="92">
        <v>46295.465087233795</v>
      </c>
      <c r="J39" s="79" t="s">
        <v>1204</v>
      </c>
    </row>
    <row r="40">
      <c r="A40" s="79" t="s">
        <v>1208</v>
      </c>
      <c r="B40" s="79" t="s">
        <v>1113</v>
      </c>
      <c r="C40" s="79" t="s">
        <v>1115</v>
      </c>
      <c r="D40" s="79" t="s">
        <v>1116</v>
      </c>
      <c r="E40" s="79" t="s">
        <v>1180</v>
      </c>
      <c r="F40" s="79" t="s">
        <v>22</v>
      </c>
      <c r="G40" s="92">
        <v>46296.151329155095</v>
      </c>
      <c r="H40" s="92">
        <v>46296.536118993055</v>
      </c>
      <c r="I40" s="92">
        <v>46296.651329155095</v>
      </c>
      <c r="J40" s="79" t="s">
        <v>1164</v>
      </c>
      <c r="K40" s="80">
        <v>46296.54115788195</v>
      </c>
      <c r="L40" s="79" t="s">
        <v>1165</v>
      </c>
    </row>
    <row r="41">
      <c r="A41" s="79" t="s">
        <v>1209</v>
      </c>
      <c r="B41" s="79" t="s">
        <v>1108</v>
      </c>
      <c r="C41" s="79" t="s">
        <v>1109</v>
      </c>
      <c r="D41" s="79" t="s">
        <v>1110</v>
      </c>
      <c r="E41" s="79" t="s">
        <v>1180</v>
      </c>
      <c r="F41" s="79" t="s">
        <v>22</v>
      </c>
      <c r="G41" s="92">
        <v>46299.17189795139</v>
      </c>
      <c r="H41" s="92">
        <v>46299.29648030092</v>
      </c>
      <c r="I41" s="92">
        <v>46299.67189795139</v>
      </c>
      <c r="J41" s="79" t="s">
        <v>1164</v>
      </c>
      <c r="K41" s="80">
        <v>46299.29677274305</v>
      </c>
      <c r="L41" s="79" t="s">
        <v>1165</v>
      </c>
    </row>
    <row r="42">
      <c r="A42" s="79" t="s">
        <v>1210</v>
      </c>
      <c r="B42" s="79" t="s">
        <v>1108</v>
      </c>
      <c r="C42" s="79" t="s">
        <v>1109</v>
      </c>
      <c r="D42" s="79" t="s">
        <v>1110</v>
      </c>
      <c r="E42" s="79" t="s">
        <v>1180</v>
      </c>
      <c r="F42" s="79" t="s">
        <v>22</v>
      </c>
      <c r="G42" s="92">
        <v>46299.29704712963</v>
      </c>
      <c r="H42" s="92">
        <v>46299.30810400463</v>
      </c>
      <c r="I42" s="92">
        <v>46299.79704712963</v>
      </c>
      <c r="J42" s="79" t="s">
        <v>16</v>
      </c>
    </row>
    <row r="43">
      <c r="F43" s="3"/>
      <c r="J43" s="3"/>
    </row>
    <row r="44">
      <c r="F44" s="3"/>
      <c r="J44" s="3"/>
    </row>
    <row r="45">
      <c r="F45" s="3"/>
      <c r="J45" s="3"/>
    </row>
    <row r="46">
      <c r="F46" s="3"/>
      <c r="J46" s="3"/>
    </row>
    <row r="47">
      <c r="F47" s="3"/>
      <c r="J47" s="3"/>
    </row>
    <row r="48">
      <c r="F48" s="3"/>
      <c r="J48" s="3"/>
    </row>
    <row r="49">
      <c r="F49" s="3"/>
      <c r="J49" s="3"/>
    </row>
    <row r="50">
      <c r="F50" s="3"/>
      <c r="J50" s="3"/>
    </row>
    <row r="51">
      <c r="F51" s="3"/>
      <c r="J51" s="3"/>
    </row>
    <row r="52">
      <c r="F52" s="3"/>
      <c r="J52" s="3"/>
    </row>
    <row r="53">
      <c r="F53" s="3"/>
      <c r="J53" s="3"/>
    </row>
    <row r="54">
      <c r="F54" s="3"/>
      <c r="J54" s="3"/>
    </row>
    <row r="55">
      <c r="F55" s="3"/>
      <c r="J55" s="3"/>
    </row>
    <row r="56">
      <c r="F56" s="3"/>
      <c r="J56" s="3"/>
    </row>
    <row r="57">
      <c r="F57" s="3"/>
      <c r="J57" s="3"/>
    </row>
    <row r="58">
      <c r="F58" s="3"/>
      <c r="J58" s="3"/>
    </row>
    <row r="59">
      <c r="F59" s="3"/>
      <c r="J59" s="3"/>
    </row>
    <row r="60">
      <c r="F60" s="3"/>
      <c r="J60" s="3"/>
    </row>
    <row r="61">
      <c r="F61" s="3"/>
      <c r="J61" s="3"/>
    </row>
    <row r="62">
      <c r="F62" s="3"/>
      <c r="J62" s="3"/>
    </row>
    <row r="63">
      <c r="F63" s="3"/>
      <c r="J63" s="3"/>
    </row>
    <row r="64">
      <c r="F64" s="3"/>
      <c r="J64" s="3"/>
    </row>
    <row r="65">
      <c r="F65" s="3"/>
      <c r="J65" s="3"/>
    </row>
    <row r="66">
      <c r="F66" s="3"/>
      <c r="J66" s="3"/>
    </row>
    <row r="67">
      <c r="F67" s="3"/>
      <c r="J67" s="3"/>
    </row>
    <row r="68">
      <c r="F68" s="3"/>
      <c r="J68" s="3"/>
    </row>
    <row r="69">
      <c r="F69" s="3"/>
      <c r="J69" s="3"/>
    </row>
    <row r="70">
      <c r="F70" s="3"/>
      <c r="J70" s="3"/>
    </row>
    <row r="71">
      <c r="F71" s="3"/>
      <c r="J71" s="3"/>
    </row>
    <row r="72">
      <c r="F72" s="3"/>
      <c r="J72" s="3"/>
    </row>
    <row r="73">
      <c r="F73" s="3"/>
      <c r="J73" s="3"/>
    </row>
    <row r="74">
      <c r="F74" s="3"/>
      <c r="J74" s="3"/>
    </row>
    <row r="75">
      <c r="F75" s="3"/>
      <c r="J75" s="3"/>
    </row>
    <row r="76">
      <c r="F76" s="3"/>
      <c r="J76" s="3"/>
    </row>
    <row r="77">
      <c r="F77" s="3"/>
      <c r="J77" s="3"/>
    </row>
    <row r="78">
      <c r="F78" s="3"/>
      <c r="J78" s="3"/>
    </row>
    <row r="79">
      <c r="F79" s="3"/>
      <c r="J79" s="3"/>
    </row>
    <row r="80">
      <c r="F80" s="3"/>
      <c r="J80" s="3"/>
    </row>
    <row r="81">
      <c r="F81" s="3"/>
      <c r="J81" s="3"/>
    </row>
    <row r="82">
      <c r="F82" s="3"/>
      <c r="J82" s="3"/>
    </row>
    <row r="83">
      <c r="F83" s="3"/>
      <c r="J83" s="3"/>
    </row>
    <row r="84">
      <c r="F84" s="3"/>
      <c r="J84" s="3"/>
    </row>
    <row r="85">
      <c r="F85" s="3"/>
      <c r="J85" s="3"/>
    </row>
    <row r="86">
      <c r="F86" s="3"/>
      <c r="J86" s="3"/>
    </row>
    <row r="87">
      <c r="F87" s="3"/>
      <c r="J87" s="3"/>
    </row>
    <row r="88">
      <c r="F88" s="3"/>
      <c r="J88" s="3"/>
    </row>
    <row r="89">
      <c r="F89" s="3"/>
      <c r="J89" s="3"/>
    </row>
    <row r="90">
      <c r="F90" s="3"/>
      <c r="J90" s="3"/>
    </row>
    <row r="91">
      <c r="F91" s="3"/>
      <c r="J91" s="3"/>
    </row>
    <row r="92">
      <c r="F92" s="3"/>
      <c r="J92" s="3"/>
    </row>
    <row r="93">
      <c r="F93" s="3"/>
      <c r="J93" s="3"/>
    </row>
    <row r="94">
      <c r="F94" s="3"/>
      <c r="J94" s="3"/>
    </row>
    <row r="95">
      <c r="F95" s="3"/>
      <c r="J95" s="3"/>
    </row>
    <row r="96">
      <c r="F96" s="3"/>
      <c r="J96" s="3"/>
    </row>
    <row r="97">
      <c r="F97" s="3"/>
      <c r="J97" s="3"/>
    </row>
    <row r="98">
      <c r="F98" s="3"/>
      <c r="J98" s="3"/>
    </row>
    <row r="99">
      <c r="F99" s="3"/>
      <c r="J99" s="3"/>
    </row>
    <row r="100">
      <c r="F100" s="3"/>
      <c r="J100" s="3"/>
    </row>
    <row r="101">
      <c r="F101" s="3"/>
      <c r="J101" s="3"/>
    </row>
    <row r="102">
      <c r="F102" s="3"/>
      <c r="J102" s="3"/>
    </row>
    <row r="103">
      <c r="F103" s="3"/>
      <c r="J103" s="3"/>
    </row>
    <row r="104">
      <c r="F104" s="3"/>
      <c r="J104" s="3"/>
    </row>
    <row r="105">
      <c r="F105" s="3"/>
      <c r="J105" s="3"/>
    </row>
    <row r="106">
      <c r="F106" s="3"/>
      <c r="J106" s="3"/>
    </row>
    <row r="107">
      <c r="F107" s="3"/>
      <c r="J107" s="3"/>
    </row>
    <row r="108">
      <c r="F108" s="3"/>
      <c r="J108" s="3"/>
    </row>
    <row r="109">
      <c r="F109" s="3"/>
      <c r="J109" s="3"/>
    </row>
    <row r="110">
      <c r="F110" s="3"/>
      <c r="J110" s="3"/>
    </row>
    <row r="111">
      <c r="F111" s="3"/>
      <c r="J111" s="3"/>
    </row>
    <row r="112">
      <c r="F112" s="3"/>
      <c r="J112" s="3"/>
    </row>
    <row r="113">
      <c r="F113" s="3"/>
      <c r="J113" s="3"/>
    </row>
    <row r="114">
      <c r="F114" s="3"/>
      <c r="J114" s="3"/>
    </row>
    <row r="115">
      <c r="F115" s="3"/>
      <c r="J115" s="3"/>
    </row>
    <row r="116">
      <c r="F116" s="3"/>
      <c r="J116" s="3"/>
    </row>
    <row r="117">
      <c r="F117" s="3"/>
      <c r="J117" s="3"/>
    </row>
    <row r="118">
      <c r="F118" s="3"/>
      <c r="J118" s="3"/>
    </row>
    <row r="119">
      <c r="F119" s="3"/>
      <c r="J119" s="3"/>
    </row>
    <row r="120">
      <c r="F120" s="3"/>
      <c r="J120" s="3"/>
    </row>
    <row r="121">
      <c r="F121" s="3"/>
      <c r="J121" s="3"/>
    </row>
    <row r="122">
      <c r="F122" s="3"/>
      <c r="J122" s="3"/>
    </row>
    <row r="123">
      <c r="F123" s="3"/>
      <c r="J123" s="3"/>
    </row>
    <row r="124">
      <c r="F124" s="3"/>
      <c r="J124" s="3"/>
    </row>
    <row r="125">
      <c r="F125" s="3"/>
      <c r="J125" s="3"/>
    </row>
    <row r="126">
      <c r="F126" s="3"/>
      <c r="J126" s="3"/>
    </row>
    <row r="127">
      <c r="F127" s="3"/>
      <c r="J127" s="3"/>
    </row>
    <row r="128">
      <c r="F128" s="3"/>
      <c r="J128" s="3"/>
    </row>
    <row r="129">
      <c r="F129" s="3"/>
      <c r="J129" s="3"/>
    </row>
    <row r="130">
      <c r="F130" s="3"/>
      <c r="J130" s="3"/>
    </row>
    <row r="131">
      <c r="F131" s="3"/>
      <c r="J131" s="3"/>
    </row>
    <row r="132">
      <c r="F132" s="3"/>
      <c r="J132" s="3"/>
    </row>
    <row r="133">
      <c r="F133" s="3"/>
      <c r="J133" s="3"/>
    </row>
    <row r="134">
      <c r="F134" s="3"/>
      <c r="J134" s="3"/>
    </row>
    <row r="135">
      <c r="F135" s="3"/>
      <c r="J135" s="3"/>
    </row>
    <row r="136">
      <c r="F136" s="3"/>
      <c r="J136" s="3"/>
    </row>
    <row r="137">
      <c r="F137" s="3"/>
      <c r="J137" s="3"/>
    </row>
    <row r="138">
      <c r="F138" s="3"/>
      <c r="J138" s="3"/>
    </row>
    <row r="139">
      <c r="F139" s="3"/>
      <c r="J139" s="3"/>
    </row>
    <row r="140">
      <c r="F140" s="3"/>
      <c r="J140" s="3"/>
    </row>
    <row r="141">
      <c r="F141" s="3"/>
      <c r="J141" s="3"/>
    </row>
    <row r="142">
      <c r="F142" s="3"/>
      <c r="J142" s="3"/>
    </row>
    <row r="143">
      <c r="F143" s="3"/>
      <c r="J143" s="3"/>
    </row>
    <row r="144">
      <c r="F144" s="3"/>
      <c r="J144" s="3"/>
    </row>
    <row r="145">
      <c r="F145" s="3"/>
      <c r="J145" s="3"/>
    </row>
    <row r="146">
      <c r="F146" s="3"/>
      <c r="J146" s="3"/>
    </row>
    <row r="147">
      <c r="F147" s="3"/>
      <c r="J147" s="3"/>
    </row>
    <row r="148">
      <c r="F148" s="3"/>
      <c r="J148" s="3"/>
    </row>
    <row r="149">
      <c r="F149" s="3"/>
      <c r="J149" s="3"/>
    </row>
    <row r="150">
      <c r="F150" s="3"/>
      <c r="J150" s="3"/>
    </row>
    <row r="151">
      <c r="F151" s="3"/>
      <c r="J151" s="3"/>
    </row>
    <row r="152">
      <c r="F152" s="3"/>
      <c r="J152" s="3"/>
    </row>
    <row r="153">
      <c r="F153" s="3"/>
      <c r="J153" s="3"/>
    </row>
    <row r="154">
      <c r="F154" s="3"/>
      <c r="J154" s="3"/>
    </row>
    <row r="155">
      <c r="F155" s="3"/>
      <c r="J155" s="3"/>
    </row>
    <row r="156">
      <c r="F156" s="3"/>
      <c r="J156" s="3"/>
    </row>
    <row r="157">
      <c r="F157" s="3"/>
      <c r="J157" s="3"/>
    </row>
    <row r="158">
      <c r="F158" s="3"/>
      <c r="J158" s="3"/>
    </row>
    <row r="159">
      <c r="F159" s="3"/>
      <c r="J159" s="3"/>
    </row>
    <row r="160">
      <c r="F160" s="3"/>
      <c r="J160" s="3"/>
    </row>
    <row r="161">
      <c r="F161" s="3"/>
      <c r="J161" s="3"/>
    </row>
    <row r="162">
      <c r="F162" s="3"/>
      <c r="J162" s="3"/>
    </row>
    <row r="163">
      <c r="F163" s="3"/>
      <c r="J163" s="3"/>
    </row>
    <row r="164">
      <c r="F164" s="3"/>
      <c r="J164" s="3"/>
    </row>
    <row r="165">
      <c r="F165" s="3"/>
      <c r="J165" s="3"/>
    </row>
    <row r="166">
      <c r="F166" s="3"/>
      <c r="J166" s="3"/>
    </row>
    <row r="167">
      <c r="F167" s="3"/>
      <c r="J167" s="3"/>
    </row>
    <row r="168">
      <c r="F168" s="3"/>
      <c r="J168" s="3"/>
    </row>
    <row r="169">
      <c r="F169" s="3"/>
      <c r="J169" s="3"/>
    </row>
    <row r="170">
      <c r="F170" s="3"/>
      <c r="J170" s="3"/>
    </row>
    <row r="171">
      <c r="F171" s="3"/>
      <c r="J171" s="3"/>
    </row>
    <row r="172">
      <c r="F172" s="3"/>
      <c r="J172" s="3"/>
    </row>
    <row r="173">
      <c r="F173" s="3"/>
      <c r="J173" s="3"/>
    </row>
    <row r="174">
      <c r="F174" s="3"/>
      <c r="J174" s="3"/>
    </row>
    <row r="175">
      <c r="F175" s="3"/>
      <c r="J175" s="3"/>
    </row>
    <row r="176">
      <c r="F176" s="3"/>
      <c r="J176" s="3"/>
    </row>
    <row r="177">
      <c r="F177" s="3"/>
      <c r="J177" s="3"/>
    </row>
    <row r="178">
      <c r="F178" s="3"/>
      <c r="J178" s="3"/>
    </row>
    <row r="179">
      <c r="F179" s="3"/>
      <c r="J179" s="3"/>
    </row>
    <row r="180">
      <c r="F180" s="3"/>
      <c r="J180" s="3"/>
    </row>
    <row r="181">
      <c r="F181" s="3"/>
      <c r="J181" s="3"/>
    </row>
    <row r="182">
      <c r="F182" s="3"/>
      <c r="J182" s="3"/>
    </row>
    <row r="183">
      <c r="F183" s="3"/>
      <c r="J183" s="3"/>
    </row>
    <row r="184">
      <c r="F184" s="3"/>
      <c r="J184" s="3"/>
    </row>
    <row r="185">
      <c r="F185" s="3"/>
      <c r="J185" s="3"/>
    </row>
    <row r="186">
      <c r="F186" s="3"/>
      <c r="J186" s="3"/>
    </row>
    <row r="187">
      <c r="F187" s="3"/>
      <c r="J187" s="3"/>
    </row>
    <row r="188">
      <c r="F188" s="3"/>
      <c r="J188" s="3"/>
    </row>
    <row r="189">
      <c r="F189" s="3"/>
      <c r="J189" s="3"/>
    </row>
    <row r="190">
      <c r="F190" s="3"/>
      <c r="J190" s="3"/>
    </row>
    <row r="191">
      <c r="F191" s="3"/>
      <c r="J191" s="3"/>
    </row>
    <row r="192">
      <c r="F192" s="3"/>
      <c r="J192" s="3"/>
    </row>
    <row r="193">
      <c r="F193" s="3"/>
      <c r="J193" s="3"/>
    </row>
    <row r="194">
      <c r="F194" s="3"/>
      <c r="J194" s="3"/>
    </row>
    <row r="195">
      <c r="F195" s="3"/>
      <c r="J195" s="3"/>
    </row>
    <row r="196">
      <c r="F196" s="3"/>
      <c r="J196" s="3"/>
    </row>
    <row r="197">
      <c r="F197" s="3"/>
      <c r="J197" s="3"/>
    </row>
    <row r="198">
      <c r="F198" s="3"/>
      <c r="J198" s="3"/>
    </row>
    <row r="199">
      <c r="F199" s="3"/>
      <c r="J199" s="3"/>
    </row>
    <row r="200">
      <c r="F200" s="3"/>
      <c r="J200" s="3"/>
    </row>
    <row r="201">
      <c r="F201" s="3"/>
      <c r="J201" s="3"/>
    </row>
    <row r="202">
      <c r="F202" s="3"/>
      <c r="J202" s="3"/>
    </row>
    <row r="203">
      <c r="F203" s="3"/>
      <c r="J203" s="3"/>
    </row>
    <row r="204">
      <c r="F204" s="3"/>
      <c r="J204" s="3"/>
    </row>
    <row r="205">
      <c r="F205" s="3"/>
      <c r="J205" s="3"/>
    </row>
    <row r="206">
      <c r="F206" s="3"/>
      <c r="J206" s="3"/>
    </row>
    <row r="207">
      <c r="F207" s="3"/>
      <c r="J207" s="3"/>
    </row>
    <row r="208">
      <c r="F208" s="3"/>
      <c r="J208" s="3"/>
    </row>
    <row r="209">
      <c r="F209" s="3"/>
      <c r="J209" s="3"/>
    </row>
    <row r="210">
      <c r="F210" s="3"/>
      <c r="J210" s="3"/>
    </row>
    <row r="211">
      <c r="F211" s="3"/>
      <c r="J211" s="3"/>
    </row>
    <row r="212">
      <c r="F212" s="3"/>
      <c r="J212" s="3"/>
    </row>
    <row r="213">
      <c r="F213" s="3"/>
      <c r="J213" s="3"/>
    </row>
    <row r="214">
      <c r="F214" s="3"/>
      <c r="J214" s="3"/>
    </row>
    <row r="215">
      <c r="F215" s="3"/>
      <c r="J215" s="3"/>
    </row>
    <row r="216">
      <c r="F216" s="3"/>
      <c r="J216" s="3"/>
    </row>
    <row r="217">
      <c r="F217" s="3"/>
      <c r="J217" s="3"/>
    </row>
    <row r="218">
      <c r="F218" s="3"/>
      <c r="J218" s="3"/>
    </row>
    <row r="219">
      <c r="F219" s="3"/>
      <c r="J219" s="3"/>
    </row>
    <row r="220">
      <c r="F220" s="3"/>
      <c r="J220" s="3"/>
    </row>
    <row r="221">
      <c r="F221" s="3"/>
      <c r="J221" s="3"/>
    </row>
    <row r="222">
      <c r="F222" s="3"/>
      <c r="J222" s="3"/>
    </row>
    <row r="223">
      <c r="F223" s="3"/>
      <c r="J223" s="3"/>
    </row>
    <row r="224">
      <c r="F224" s="3"/>
      <c r="J224" s="3"/>
    </row>
    <row r="225">
      <c r="F225" s="3"/>
      <c r="J225" s="3"/>
    </row>
    <row r="226">
      <c r="F226" s="3"/>
      <c r="J226" s="3"/>
    </row>
    <row r="227">
      <c r="F227" s="3"/>
      <c r="J227" s="3"/>
    </row>
    <row r="228">
      <c r="F228" s="3"/>
      <c r="J228" s="3"/>
    </row>
    <row r="229">
      <c r="F229" s="3"/>
      <c r="J229" s="3"/>
    </row>
    <row r="230">
      <c r="F230" s="3"/>
      <c r="J230" s="3"/>
    </row>
    <row r="231">
      <c r="F231" s="3"/>
      <c r="J231" s="3"/>
    </row>
    <row r="232">
      <c r="F232" s="3"/>
      <c r="J232" s="3"/>
    </row>
    <row r="233">
      <c r="F233" s="3"/>
      <c r="J233" s="3"/>
    </row>
    <row r="234">
      <c r="F234" s="3"/>
      <c r="J234" s="3"/>
    </row>
    <row r="235">
      <c r="F235" s="3"/>
      <c r="J235" s="3"/>
    </row>
    <row r="236">
      <c r="F236" s="3"/>
      <c r="J236" s="3"/>
    </row>
    <row r="237">
      <c r="F237" s="3"/>
      <c r="J237" s="3"/>
    </row>
    <row r="238">
      <c r="F238" s="3"/>
      <c r="J238" s="3"/>
    </row>
    <row r="239">
      <c r="F239" s="3"/>
      <c r="J239" s="3"/>
    </row>
    <row r="240">
      <c r="F240" s="3"/>
      <c r="J240" s="3"/>
    </row>
    <row r="241">
      <c r="F241" s="3"/>
      <c r="J241" s="3"/>
    </row>
    <row r="242">
      <c r="F242" s="3"/>
      <c r="J242" s="3"/>
    </row>
    <row r="243">
      <c r="F243" s="3"/>
      <c r="J243" s="3"/>
    </row>
    <row r="244">
      <c r="F244" s="3"/>
      <c r="J244" s="3"/>
    </row>
    <row r="245">
      <c r="F245" s="3"/>
      <c r="J245" s="3"/>
    </row>
    <row r="246">
      <c r="F246" s="3"/>
      <c r="J246" s="3"/>
    </row>
    <row r="247">
      <c r="F247" s="3"/>
      <c r="J247" s="3"/>
    </row>
    <row r="248">
      <c r="F248" s="3"/>
      <c r="J248" s="3"/>
    </row>
    <row r="249">
      <c r="F249" s="3"/>
      <c r="J249" s="3"/>
    </row>
    <row r="250">
      <c r="F250" s="3"/>
      <c r="J250" s="3"/>
    </row>
    <row r="251">
      <c r="F251" s="3"/>
      <c r="J251" s="3"/>
    </row>
    <row r="252">
      <c r="F252" s="3"/>
      <c r="J252" s="3"/>
    </row>
    <row r="253">
      <c r="F253" s="3"/>
      <c r="J253" s="3"/>
    </row>
    <row r="254">
      <c r="F254" s="3"/>
      <c r="J254" s="3"/>
    </row>
    <row r="255">
      <c r="F255" s="3"/>
      <c r="J255" s="3"/>
    </row>
    <row r="256">
      <c r="F256" s="3"/>
      <c r="J256" s="3"/>
    </row>
    <row r="257">
      <c r="F257" s="3"/>
      <c r="J257" s="3"/>
    </row>
    <row r="258">
      <c r="F258" s="3"/>
      <c r="J258" s="3"/>
    </row>
    <row r="259">
      <c r="F259" s="3"/>
      <c r="J259" s="3"/>
    </row>
    <row r="260">
      <c r="F260" s="3"/>
      <c r="J260" s="3"/>
    </row>
    <row r="261">
      <c r="F261" s="3"/>
      <c r="J261" s="3"/>
    </row>
    <row r="262">
      <c r="F262" s="3"/>
      <c r="J262" s="3"/>
    </row>
    <row r="263">
      <c r="F263" s="3"/>
      <c r="J263" s="3"/>
    </row>
    <row r="264">
      <c r="F264" s="3"/>
      <c r="J264" s="3"/>
    </row>
    <row r="265">
      <c r="F265" s="3"/>
      <c r="J265" s="3"/>
    </row>
    <row r="266">
      <c r="F266" s="3"/>
      <c r="J266" s="3"/>
    </row>
    <row r="267">
      <c r="F267" s="3"/>
      <c r="J267" s="3"/>
    </row>
    <row r="268">
      <c r="F268" s="3"/>
      <c r="J268" s="3"/>
    </row>
    <row r="269">
      <c r="F269" s="3"/>
      <c r="J269" s="3"/>
    </row>
    <row r="270">
      <c r="F270" s="3"/>
      <c r="J270" s="3"/>
    </row>
    <row r="271">
      <c r="F271" s="3"/>
      <c r="J271" s="3"/>
    </row>
    <row r="272">
      <c r="F272" s="3"/>
      <c r="J272" s="3"/>
    </row>
    <row r="273">
      <c r="F273" s="3"/>
      <c r="J273" s="3"/>
    </row>
    <row r="274">
      <c r="F274" s="3"/>
      <c r="J274" s="3"/>
    </row>
    <row r="275">
      <c r="F275" s="3"/>
      <c r="J275" s="3"/>
    </row>
    <row r="276">
      <c r="F276" s="3"/>
      <c r="J276" s="3"/>
    </row>
    <row r="277">
      <c r="F277" s="3"/>
      <c r="J277" s="3"/>
    </row>
    <row r="278">
      <c r="F278" s="3"/>
      <c r="J278" s="3"/>
    </row>
    <row r="279">
      <c r="F279" s="3"/>
      <c r="J279" s="3"/>
    </row>
    <row r="280">
      <c r="F280" s="3"/>
      <c r="J280" s="3"/>
    </row>
    <row r="281">
      <c r="F281" s="3"/>
      <c r="J281" s="3"/>
    </row>
    <row r="282">
      <c r="F282" s="3"/>
      <c r="J282" s="3"/>
    </row>
    <row r="283">
      <c r="F283" s="3"/>
      <c r="J283" s="3"/>
    </row>
    <row r="284">
      <c r="F284" s="3"/>
      <c r="J284" s="3"/>
    </row>
    <row r="285">
      <c r="F285" s="3"/>
      <c r="J285" s="3"/>
    </row>
    <row r="286">
      <c r="F286" s="3"/>
      <c r="J286" s="3"/>
    </row>
    <row r="287">
      <c r="F287" s="3"/>
      <c r="J287" s="3"/>
    </row>
    <row r="288">
      <c r="F288" s="3"/>
      <c r="J288" s="3"/>
    </row>
    <row r="289">
      <c r="F289" s="3"/>
      <c r="J289" s="3"/>
    </row>
    <row r="290">
      <c r="F290" s="3"/>
      <c r="J290" s="3"/>
    </row>
    <row r="291">
      <c r="F291" s="3"/>
      <c r="J291" s="3"/>
    </row>
    <row r="292">
      <c r="F292" s="3"/>
      <c r="J292" s="3"/>
    </row>
    <row r="293">
      <c r="F293" s="3"/>
      <c r="J293" s="3"/>
    </row>
    <row r="294">
      <c r="F294" s="3"/>
      <c r="J294" s="3"/>
    </row>
    <row r="295">
      <c r="F295" s="3"/>
      <c r="J295" s="3"/>
    </row>
    <row r="296">
      <c r="F296" s="3"/>
      <c r="J296" s="3"/>
    </row>
    <row r="297">
      <c r="F297" s="3"/>
      <c r="J297" s="3"/>
    </row>
    <row r="298">
      <c r="F298" s="3"/>
      <c r="J298" s="3"/>
    </row>
    <row r="299">
      <c r="F299" s="3"/>
      <c r="J299" s="3"/>
    </row>
    <row r="300">
      <c r="F300" s="3"/>
      <c r="J300" s="3"/>
    </row>
    <row r="301">
      <c r="F301" s="3"/>
      <c r="J301" s="3"/>
    </row>
    <row r="302">
      <c r="F302" s="3"/>
      <c r="J302" s="3"/>
    </row>
    <row r="303">
      <c r="F303" s="3"/>
      <c r="J303" s="3"/>
    </row>
    <row r="304">
      <c r="F304" s="3"/>
      <c r="J304" s="3"/>
    </row>
    <row r="305">
      <c r="F305" s="3"/>
      <c r="J305" s="3"/>
    </row>
    <row r="306">
      <c r="F306" s="3"/>
      <c r="J306" s="3"/>
    </row>
    <row r="307">
      <c r="F307" s="3"/>
      <c r="J307" s="3"/>
    </row>
    <row r="308">
      <c r="F308" s="3"/>
      <c r="J308" s="3"/>
    </row>
    <row r="309">
      <c r="F309" s="3"/>
      <c r="J309" s="3"/>
    </row>
    <row r="310">
      <c r="F310" s="3"/>
      <c r="J310" s="3"/>
    </row>
    <row r="311">
      <c r="F311" s="3"/>
      <c r="J311" s="3"/>
    </row>
    <row r="312">
      <c r="F312" s="3"/>
      <c r="J312" s="3"/>
    </row>
    <row r="313">
      <c r="F313" s="3"/>
      <c r="J313" s="3"/>
    </row>
    <row r="314">
      <c r="F314" s="3"/>
      <c r="J314" s="3"/>
    </row>
    <row r="315">
      <c r="F315" s="3"/>
      <c r="J315" s="3"/>
    </row>
    <row r="316">
      <c r="F316" s="3"/>
      <c r="J316" s="3"/>
    </row>
    <row r="317">
      <c r="F317" s="3"/>
      <c r="J317" s="3"/>
    </row>
    <row r="318">
      <c r="F318" s="3"/>
      <c r="J318" s="3"/>
    </row>
    <row r="319">
      <c r="F319" s="3"/>
      <c r="J319" s="3"/>
    </row>
    <row r="320">
      <c r="F320" s="3"/>
      <c r="J320" s="3"/>
    </row>
    <row r="321">
      <c r="F321" s="3"/>
      <c r="J321" s="3"/>
    </row>
    <row r="322">
      <c r="F322" s="3"/>
      <c r="J322" s="3"/>
    </row>
    <row r="323">
      <c r="F323" s="3"/>
      <c r="J323" s="3"/>
    </row>
    <row r="324">
      <c r="F324" s="3"/>
      <c r="J324" s="3"/>
    </row>
    <row r="325">
      <c r="F325" s="3"/>
      <c r="J325" s="3"/>
    </row>
    <row r="326">
      <c r="F326" s="3"/>
      <c r="J326" s="3"/>
    </row>
    <row r="327">
      <c r="F327" s="3"/>
      <c r="J327" s="3"/>
    </row>
    <row r="328">
      <c r="F328" s="3"/>
      <c r="J328" s="3"/>
    </row>
    <row r="329">
      <c r="F329" s="3"/>
      <c r="J329" s="3"/>
    </row>
    <row r="330">
      <c r="F330" s="3"/>
      <c r="J330" s="3"/>
    </row>
    <row r="331">
      <c r="F331" s="3"/>
      <c r="J331" s="3"/>
    </row>
    <row r="332">
      <c r="F332" s="3"/>
      <c r="J332" s="3"/>
    </row>
    <row r="333">
      <c r="F333" s="3"/>
      <c r="J333" s="3"/>
    </row>
    <row r="334">
      <c r="F334" s="3"/>
      <c r="J334" s="3"/>
    </row>
    <row r="335">
      <c r="F335" s="3"/>
      <c r="J335" s="3"/>
    </row>
    <row r="336">
      <c r="F336" s="3"/>
      <c r="J336" s="3"/>
    </row>
    <row r="337">
      <c r="F337" s="3"/>
      <c r="J337" s="3"/>
    </row>
    <row r="338">
      <c r="F338" s="3"/>
      <c r="J338" s="3"/>
    </row>
    <row r="339">
      <c r="F339" s="3"/>
      <c r="J339" s="3"/>
    </row>
    <row r="340">
      <c r="F340" s="3"/>
      <c r="J340" s="3"/>
    </row>
    <row r="341">
      <c r="F341" s="3"/>
      <c r="J341" s="3"/>
    </row>
    <row r="342">
      <c r="F342" s="3"/>
      <c r="J342" s="3"/>
    </row>
    <row r="343">
      <c r="F343" s="3"/>
      <c r="J343" s="3"/>
    </row>
    <row r="344">
      <c r="F344" s="3"/>
      <c r="J344" s="3"/>
    </row>
    <row r="345">
      <c r="F345" s="3"/>
      <c r="J345" s="3"/>
    </row>
    <row r="346">
      <c r="F346" s="3"/>
      <c r="J346" s="3"/>
    </row>
    <row r="347">
      <c r="F347" s="3"/>
      <c r="J347" s="3"/>
    </row>
    <row r="348">
      <c r="F348" s="3"/>
      <c r="J348" s="3"/>
    </row>
    <row r="349">
      <c r="F349" s="3"/>
      <c r="J349" s="3"/>
    </row>
    <row r="350">
      <c r="F350" s="3"/>
      <c r="J350" s="3"/>
    </row>
    <row r="351">
      <c r="F351" s="3"/>
      <c r="J351" s="3"/>
    </row>
    <row r="352">
      <c r="F352" s="3"/>
      <c r="J352" s="3"/>
    </row>
    <row r="353">
      <c r="F353" s="3"/>
      <c r="J353" s="3"/>
    </row>
    <row r="354">
      <c r="F354" s="3"/>
      <c r="J354" s="3"/>
    </row>
    <row r="355">
      <c r="F355" s="3"/>
      <c r="J355" s="3"/>
    </row>
    <row r="356">
      <c r="F356" s="3"/>
      <c r="J356" s="3"/>
    </row>
    <row r="357">
      <c r="F357" s="3"/>
      <c r="J357" s="3"/>
    </row>
    <row r="358">
      <c r="F358" s="3"/>
      <c r="J358" s="3"/>
    </row>
    <row r="359">
      <c r="F359" s="3"/>
      <c r="J359" s="3"/>
    </row>
    <row r="360">
      <c r="F360" s="3"/>
      <c r="J360" s="3"/>
    </row>
    <row r="361">
      <c r="F361" s="3"/>
      <c r="J361" s="3"/>
    </row>
    <row r="362">
      <c r="F362" s="3"/>
      <c r="J362" s="3"/>
    </row>
    <row r="363">
      <c r="F363" s="3"/>
      <c r="J363" s="3"/>
    </row>
    <row r="364">
      <c r="F364" s="3"/>
      <c r="J364" s="3"/>
    </row>
    <row r="365">
      <c r="F365" s="3"/>
      <c r="J365" s="3"/>
    </row>
    <row r="366">
      <c r="F366" s="3"/>
      <c r="J366" s="3"/>
    </row>
    <row r="367">
      <c r="F367" s="3"/>
      <c r="J367" s="3"/>
    </row>
    <row r="368">
      <c r="F368" s="3"/>
      <c r="J368" s="3"/>
    </row>
    <row r="369">
      <c r="F369" s="3"/>
      <c r="J369" s="3"/>
    </row>
    <row r="370">
      <c r="F370" s="3"/>
      <c r="J370" s="3"/>
    </row>
    <row r="371">
      <c r="F371" s="3"/>
      <c r="J371" s="3"/>
    </row>
    <row r="372">
      <c r="F372" s="3"/>
      <c r="J372" s="3"/>
    </row>
    <row r="373">
      <c r="F373" s="3"/>
      <c r="J373" s="3"/>
    </row>
    <row r="374">
      <c r="F374" s="3"/>
      <c r="J374" s="3"/>
    </row>
    <row r="375">
      <c r="F375" s="3"/>
      <c r="J375" s="3"/>
    </row>
    <row r="376">
      <c r="F376" s="3"/>
      <c r="J376" s="3"/>
    </row>
    <row r="377">
      <c r="F377" s="3"/>
      <c r="J377" s="3"/>
    </row>
    <row r="378">
      <c r="F378" s="3"/>
      <c r="J378" s="3"/>
    </row>
    <row r="379">
      <c r="F379" s="3"/>
      <c r="J379" s="3"/>
    </row>
    <row r="380">
      <c r="F380" s="3"/>
      <c r="J380" s="3"/>
    </row>
    <row r="381">
      <c r="F381" s="3"/>
      <c r="J381" s="3"/>
    </row>
    <row r="382">
      <c r="F382" s="3"/>
      <c r="J382" s="3"/>
    </row>
    <row r="383">
      <c r="F383" s="3"/>
      <c r="J383" s="3"/>
    </row>
    <row r="384">
      <c r="F384" s="3"/>
      <c r="J384" s="3"/>
    </row>
    <row r="385">
      <c r="F385" s="3"/>
      <c r="J385" s="3"/>
    </row>
    <row r="386">
      <c r="F386" s="3"/>
      <c r="J386" s="3"/>
    </row>
    <row r="387">
      <c r="F387" s="3"/>
      <c r="J387" s="3"/>
    </row>
    <row r="388">
      <c r="F388" s="3"/>
      <c r="J388" s="3"/>
    </row>
    <row r="389">
      <c r="F389" s="3"/>
      <c r="J389" s="3"/>
    </row>
    <row r="390">
      <c r="F390" s="3"/>
      <c r="J390" s="3"/>
    </row>
    <row r="391">
      <c r="F391" s="3"/>
      <c r="J391" s="3"/>
    </row>
    <row r="392">
      <c r="F392" s="3"/>
      <c r="J392" s="3"/>
    </row>
    <row r="393">
      <c r="F393" s="3"/>
      <c r="J393" s="3"/>
    </row>
    <row r="394">
      <c r="F394" s="3"/>
      <c r="J394" s="3"/>
    </row>
    <row r="395">
      <c r="F395" s="3"/>
      <c r="J395" s="3"/>
    </row>
    <row r="396">
      <c r="F396" s="3"/>
      <c r="J396" s="3"/>
    </row>
    <row r="397">
      <c r="F397" s="3"/>
      <c r="J397" s="3"/>
    </row>
    <row r="398">
      <c r="F398" s="3"/>
      <c r="J398" s="3"/>
    </row>
    <row r="399">
      <c r="F399" s="3"/>
      <c r="J399" s="3"/>
    </row>
    <row r="400">
      <c r="F400" s="3"/>
      <c r="J400" s="3"/>
    </row>
    <row r="401">
      <c r="F401" s="3"/>
      <c r="J401" s="3"/>
    </row>
    <row r="402">
      <c r="F402" s="3"/>
      <c r="J402" s="3"/>
    </row>
    <row r="403">
      <c r="F403" s="3"/>
      <c r="J403" s="3"/>
    </row>
    <row r="404">
      <c r="F404" s="3"/>
      <c r="J404" s="3"/>
    </row>
    <row r="405">
      <c r="F405" s="3"/>
      <c r="J405" s="3"/>
    </row>
    <row r="406">
      <c r="F406" s="3"/>
      <c r="J406" s="3"/>
    </row>
    <row r="407">
      <c r="F407" s="3"/>
      <c r="J407" s="3"/>
    </row>
    <row r="408">
      <c r="F408" s="3"/>
      <c r="J408" s="3"/>
    </row>
    <row r="409">
      <c r="F409" s="3"/>
      <c r="J409" s="3"/>
    </row>
    <row r="410">
      <c r="F410" s="3"/>
      <c r="J410" s="3"/>
    </row>
    <row r="411">
      <c r="F411" s="3"/>
      <c r="J411" s="3"/>
    </row>
    <row r="412">
      <c r="F412" s="3"/>
      <c r="J412" s="3"/>
    </row>
    <row r="413">
      <c r="F413" s="3"/>
      <c r="J413" s="3"/>
    </row>
    <row r="414">
      <c r="F414" s="3"/>
      <c r="J414" s="3"/>
    </row>
    <row r="415">
      <c r="F415" s="3"/>
      <c r="J415" s="3"/>
    </row>
    <row r="416">
      <c r="F416" s="3"/>
      <c r="J416" s="3"/>
    </row>
    <row r="417">
      <c r="F417" s="3"/>
      <c r="J417" s="3"/>
    </row>
    <row r="418">
      <c r="F418" s="3"/>
      <c r="J418" s="3"/>
    </row>
    <row r="419">
      <c r="F419" s="3"/>
      <c r="J419" s="3"/>
    </row>
    <row r="420">
      <c r="F420" s="3"/>
      <c r="J420" s="3"/>
    </row>
    <row r="421">
      <c r="F421" s="3"/>
      <c r="J421" s="3"/>
    </row>
    <row r="422">
      <c r="F422" s="3"/>
      <c r="J422" s="3"/>
    </row>
    <row r="423">
      <c r="F423" s="3"/>
      <c r="J423" s="3"/>
    </row>
    <row r="424">
      <c r="F424" s="3"/>
      <c r="J424" s="3"/>
    </row>
    <row r="425">
      <c r="F425" s="3"/>
      <c r="J425" s="3"/>
    </row>
    <row r="426">
      <c r="F426" s="3"/>
      <c r="J426" s="3"/>
    </row>
    <row r="427">
      <c r="F427" s="3"/>
      <c r="J427" s="3"/>
    </row>
    <row r="428">
      <c r="F428" s="3"/>
      <c r="J428" s="3"/>
    </row>
    <row r="429">
      <c r="F429" s="3"/>
      <c r="J429" s="3"/>
    </row>
    <row r="430">
      <c r="F430" s="3"/>
      <c r="J430" s="3"/>
    </row>
    <row r="431">
      <c r="F431" s="3"/>
      <c r="J431" s="3"/>
    </row>
    <row r="432">
      <c r="F432" s="3"/>
      <c r="J432" s="3"/>
    </row>
    <row r="433">
      <c r="F433" s="3"/>
      <c r="J433" s="3"/>
    </row>
    <row r="434">
      <c r="F434" s="3"/>
      <c r="J434" s="3"/>
    </row>
    <row r="435">
      <c r="F435" s="3"/>
      <c r="J435" s="3"/>
    </row>
    <row r="436">
      <c r="F436" s="3"/>
      <c r="J436" s="3"/>
    </row>
    <row r="437">
      <c r="F437" s="3"/>
      <c r="J437" s="3"/>
    </row>
    <row r="438">
      <c r="F438" s="3"/>
      <c r="J438" s="3"/>
    </row>
    <row r="439">
      <c r="F439" s="3"/>
      <c r="J439" s="3"/>
    </row>
    <row r="440">
      <c r="F440" s="3"/>
      <c r="J440" s="3"/>
    </row>
    <row r="441">
      <c r="F441" s="3"/>
      <c r="J441" s="3"/>
    </row>
    <row r="442">
      <c r="F442" s="3"/>
      <c r="J442" s="3"/>
    </row>
    <row r="443">
      <c r="F443" s="3"/>
      <c r="J443" s="3"/>
    </row>
    <row r="444">
      <c r="F444" s="3"/>
      <c r="J444" s="3"/>
    </row>
    <row r="445">
      <c r="F445" s="3"/>
      <c r="J445" s="3"/>
    </row>
    <row r="446">
      <c r="F446" s="3"/>
      <c r="J446" s="3"/>
    </row>
    <row r="447">
      <c r="F447" s="3"/>
      <c r="J447" s="3"/>
    </row>
    <row r="448">
      <c r="F448" s="3"/>
      <c r="J448" s="3"/>
    </row>
    <row r="449">
      <c r="F449" s="3"/>
      <c r="J449" s="3"/>
    </row>
    <row r="450">
      <c r="F450" s="3"/>
      <c r="J450" s="3"/>
    </row>
    <row r="451">
      <c r="F451" s="3"/>
      <c r="J451" s="3"/>
    </row>
    <row r="452">
      <c r="F452" s="3"/>
      <c r="J452" s="3"/>
    </row>
    <row r="453">
      <c r="F453" s="3"/>
      <c r="J453" s="3"/>
    </row>
    <row r="454">
      <c r="F454" s="3"/>
      <c r="J454" s="3"/>
    </row>
    <row r="455">
      <c r="F455" s="3"/>
      <c r="J455" s="3"/>
    </row>
    <row r="456">
      <c r="F456" s="3"/>
      <c r="J456" s="3"/>
    </row>
    <row r="457">
      <c r="F457" s="3"/>
      <c r="J457" s="3"/>
    </row>
    <row r="458">
      <c r="F458" s="3"/>
      <c r="J458" s="3"/>
    </row>
    <row r="459">
      <c r="F459" s="3"/>
      <c r="J459" s="3"/>
    </row>
    <row r="460">
      <c r="F460" s="3"/>
      <c r="J460" s="3"/>
    </row>
    <row r="461">
      <c r="F461" s="3"/>
      <c r="J461" s="3"/>
    </row>
    <row r="462">
      <c r="F462" s="3"/>
      <c r="J462" s="3"/>
    </row>
    <row r="463">
      <c r="F463" s="3"/>
      <c r="J463" s="3"/>
    </row>
    <row r="464">
      <c r="F464" s="3"/>
      <c r="J464" s="3"/>
    </row>
    <row r="465">
      <c r="F465" s="3"/>
      <c r="J465" s="3"/>
    </row>
    <row r="466">
      <c r="F466" s="3"/>
      <c r="J466" s="3"/>
    </row>
    <row r="467">
      <c r="F467" s="3"/>
      <c r="J467" s="3"/>
    </row>
    <row r="468">
      <c r="F468" s="3"/>
      <c r="J468" s="3"/>
    </row>
    <row r="469">
      <c r="F469" s="3"/>
      <c r="J469" s="3"/>
    </row>
    <row r="470">
      <c r="F470" s="3"/>
      <c r="J470" s="3"/>
    </row>
    <row r="471">
      <c r="F471" s="3"/>
      <c r="J471" s="3"/>
    </row>
    <row r="472">
      <c r="F472" s="3"/>
      <c r="J472" s="3"/>
    </row>
    <row r="473">
      <c r="F473" s="3"/>
      <c r="J473" s="3"/>
    </row>
    <row r="474">
      <c r="F474" s="3"/>
      <c r="J474" s="3"/>
    </row>
    <row r="475">
      <c r="F475" s="3"/>
      <c r="J475" s="3"/>
    </row>
    <row r="476">
      <c r="F476" s="3"/>
      <c r="J476" s="3"/>
    </row>
    <row r="477">
      <c r="F477" s="3"/>
      <c r="J477" s="3"/>
    </row>
    <row r="478">
      <c r="F478" s="3"/>
      <c r="J478" s="3"/>
    </row>
    <row r="479">
      <c r="F479" s="3"/>
      <c r="J479" s="3"/>
    </row>
    <row r="480">
      <c r="F480" s="3"/>
      <c r="J480" s="3"/>
    </row>
    <row r="481">
      <c r="F481" s="3"/>
      <c r="J481" s="3"/>
    </row>
    <row r="482">
      <c r="F482" s="3"/>
      <c r="J482" s="3"/>
    </row>
    <row r="483">
      <c r="F483" s="3"/>
      <c r="J483" s="3"/>
    </row>
    <row r="484">
      <c r="F484" s="3"/>
      <c r="J484" s="3"/>
    </row>
    <row r="485">
      <c r="F485" s="3"/>
      <c r="J485" s="3"/>
    </row>
    <row r="486">
      <c r="F486" s="3"/>
      <c r="J486" s="3"/>
    </row>
    <row r="487">
      <c r="F487" s="3"/>
      <c r="J487" s="3"/>
    </row>
    <row r="488">
      <c r="F488" s="3"/>
      <c r="J488" s="3"/>
    </row>
    <row r="489">
      <c r="F489" s="3"/>
      <c r="J489" s="3"/>
    </row>
    <row r="490">
      <c r="F490" s="3"/>
      <c r="J490" s="3"/>
    </row>
    <row r="491">
      <c r="F491" s="3"/>
      <c r="J491" s="3"/>
    </row>
    <row r="492">
      <c r="F492" s="3"/>
      <c r="J492" s="3"/>
    </row>
    <row r="493">
      <c r="F493" s="3"/>
      <c r="J493" s="3"/>
    </row>
    <row r="494">
      <c r="F494" s="3"/>
      <c r="J494" s="3"/>
    </row>
    <row r="495">
      <c r="F495" s="3"/>
      <c r="J495" s="3"/>
    </row>
    <row r="496">
      <c r="F496" s="3"/>
      <c r="J496" s="3"/>
    </row>
    <row r="497">
      <c r="F497" s="3"/>
      <c r="J497" s="3"/>
    </row>
    <row r="498">
      <c r="F498" s="3"/>
      <c r="J498" s="3"/>
    </row>
    <row r="499">
      <c r="F499" s="3"/>
      <c r="J499" s="3"/>
    </row>
    <row r="500">
      <c r="F500" s="3"/>
      <c r="J500" s="3"/>
    </row>
    <row r="501">
      <c r="F501" s="3"/>
      <c r="J501" s="3"/>
    </row>
    <row r="502">
      <c r="F502" s="3"/>
      <c r="J502" s="3"/>
    </row>
    <row r="503">
      <c r="F503" s="3"/>
      <c r="J503" s="3"/>
    </row>
    <row r="504">
      <c r="F504" s="3"/>
      <c r="J504" s="3"/>
    </row>
    <row r="505">
      <c r="F505" s="3"/>
      <c r="J505" s="3"/>
    </row>
    <row r="506">
      <c r="F506" s="3"/>
      <c r="J506" s="3"/>
    </row>
    <row r="507">
      <c r="F507" s="3"/>
      <c r="J507" s="3"/>
    </row>
    <row r="508">
      <c r="F508" s="3"/>
      <c r="J508" s="3"/>
    </row>
    <row r="509">
      <c r="F509" s="3"/>
      <c r="J509" s="3"/>
    </row>
    <row r="510">
      <c r="F510" s="3"/>
      <c r="J510" s="3"/>
    </row>
    <row r="511">
      <c r="F511" s="3"/>
      <c r="J511" s="3"/>
    </row>
    <row r="512">
      <c r="F512" s="3"/>
      <c r="J512" s="3"/>
    </row>
    <row r="513">
      <c r="F513" s="3"/>
      <c r="J513" s="3"/>
    </row>
    <row r="514">
      <c r="F514" s="3"/>
      <c r="J514" s="3"/>
    </row>
    <row r="515">
      <c r="F515" s="3"/>
      <c r="J515" s="3"/>
    </row>
    <row r="516">
      <c r="F516" s="3"/>
      <c r="J516" s="3"/>
    </row>
    <row r="517">
      <c r="F517" s="3"/>
      <c r="J517" s="3"/>
    </row>
    <row r="518">
      <c r="F518" s="3"/>
      <c r="J518" s="3"/>
    </row>
    <row r="519">
      <c r="F519" s="3"/>
      <c r="J519" s="3"/>
    </row>
    <row r="520">
      <c r="F520" s="3"/>
      <c r="J520" s="3"/>
    </row>
    <row r="521">
      <c r="F521" s="3"/>
      <c r="J521" s="3"/>
    </row>
    <row r="522">
      <c r="F522" s="3"/>
      <c r="J522" s="3"/>
    </row>
    <row r="523">
      <c r="F523" s="3"/>
      <c r="J523" s="3"/>
    </row>
    <row r="524">
      <c r="F524" s="3"/>
      <c r="J524" s="3"/>
    </row>
    <row r="525">
      <c r="F525" s="3"/>
      <c r="J525" s="3"/>
    </row>
    <row r="526">
      <c r="F526" s="3"/>
      <c r="J526" s="3"/>
    </row>
    <row r="527">
      <c r="F527" s="3"/>
      <c r="J527" s="3"/>
    </row>
    <row r="528">
      <c r="F528" s="3"/>
      <c r="J528" s="3"/>
    </row>
    <row r="529">
      <c r="F529" s="3"/>
      <c r="J529" s="3"/>
    </row>
    <row r="530">
      <c r="F530" s="3"/>
      <c r="J530" s="3"/>
    </row>
    <row r="531">
      <c r="F531" s="3"/>
      <c r="J531" s="3"/>
    </row>
    <row r="532">
      <c r="F532" s="3"/>
      <c r="J532" s="3"/>
    </row>
    <row r="533">
      <c r="F533" s="3"/>
      <c r="J533" s="3"/>
    </row>
    <row r="534">
      <c r="F534" s="3"/>
      <c r="J534" s="3"/>
    </row>
    <row r="535">
      <c r="F535" s="3"/>
      <c r="J535" s="3"/>
    </row>
    <row r="536">
      <c r="F536" s="3"/>
      <c r="J536" s="3"/>
    </row>
    <row r="537">
      <c r="F537" s="3"/>
      <c r="J537" s="3"/>
    </row>
    <row r="538">
      <c r="F538" s="3"/>
      <c r="J538" s="3"/>
    </row>
    <row r="539">
      <c r="F539" s="3"/>
      <c r="J539" s="3"/>
    </row>
    <row r="540">
      <c r="F540" s="3"/>
      <c r="J540" s="3"/>
    </row>
    <row r="541">
      <c r="F541" s="3"/>
      <c r="J541" s="3"/>
    </row>
    <row r="542">
      <c r="F542" s="3"/>
      <c r="J542" s="3"/>
    </row>
    <row r="543">
      <c r="F543" s="3"/>
      <c r="J543" s="3"/>
    </row>
    <row r="544">
      <c r="F544" s="3"/>
      <c r="J544" s="3"/>
    </row>
    <row r="545">
      <c r="F545" s="3"/>
      <c r="J545" s="3"/>
    </row>
    <row r="546">
      <c r="F546" s="3"/>
      <c r="J546" s="3"/>
    </row>
    <row r="547">
      <c r="F547" s="3"/>
      <c r="J547" s="3"/>
    </row>
    <row r="548">
      <c r="F548" s="3"/>
      <c r="J548" s="3"/>
    </row>
    <row r="549">
      <c r="F549" s="3"/>
      <c r="J549" s="3"/>
    </row>
    <row r="550">
      <c r="F550" s="3"/>
      <c r="J550" s="3"/>
    </row>
    <row r="551">
      <c r="F551" s="3"/>
      <c r="J551" s="3"/>
    </row>
    <row r="552">
      <c r="F552" s="3"/>
      <c r="J552" s="3"/>
    </row>
    <row r="553">
      <c r="F553" s="3"/>
      <c r="J553" s="3"/>
    </row>
    <row r="554">
      <c r="F554" s="3"/>
      <c r="J554" s="3"/>
    </row>
    <row r="555">
      <c r="F555" s="3"/>
      <c r="J555" s="3"/>
    </row>
    <row r="556">
      <c r="F556" s="3"/>
      <c r="J556" s="3"/>
    </row>
    <row r="557">
      <c r="F557" s="3"/>
      <c r="J557" s="3"/>
    </row>
    <row r="558">
      <c r="F558" s="3"/>
      <c r="J558" s="3"/>
    </row>
    <row r="559">
      <c r="F559" s="3"/>
      <c r="J559" s="3"/>
    </row>
    <row r="560">
      <c r="F560" s="3"/>
      <c r="J560" s="3"/>
    </row>
    <row r="561">
      <c r="F561" s="3"/>
      <c r="J561" s="3"/>
    </row>
    <row r="562">
      <c r="F562" s="3"/>
      <c r="J562" s="3"/>
    </row>
    <row r="563">
      <c r="F563" s="3"/>
      <c r="J563" s="3"/>
    </row>
    <row r="564">
      <c r="F564" s="3"/>
      <c r="J564" s="3"/>
    </row>
    <row r="565">
      <c r="F565" s="3"/>
      <c r="J565" s="3"/>
    </row>
    <row r="566">
      <c r="F566" s="3"/>
      <c r="J566" s="3"/>
    </row>
    <row r="567">
      <c r="F567" s="3"/>
      <c r="J567" s="3"/>
    </row>
    <row r="568">
      <c r="F568" s="3"/>
      <c r="J568" s="3"/>
    </row>
    <row r="569">
      <c r="F569" s="3"/>
      <c r="J569" s="3"/>
    </row>
    <row r="570">
      <c r="F570" s="3"/>
      <c r="J570" s="3"/>
    </row>
    <row r="571">
      <c r="F571" s="3"/>
      <c r="J571" s="3"/>
    </row>
    <row r="572">
      <c r="F572" s="3"/>
      <c r="J572" s="3"/>
    </row>
    <row r="573">
      <c r="F573" s="3"/>
      <c r="J573" s="3"/>
    </row>
    <row r="574">
      <c r="F574" s="3"/>
      <c r="J574" s="3"/>
    </row>
    <row r="575">
      <c r="F575" s="3"/>
      <c r="J575" s="3"/>
    </row>
    <row r="576">
      <c r="F576" s="3"/>
      <c r="J576" s="3"/>
    </row>
    <row r="577">
      <c r="F577" s="3"/>
      <c r="J577" s="3"/>
    </row>
    <row r="578">
      <c r="F578" s="3"/>
      <c r="J578" s="3"/>
    </row>
    <row r="579">
      <c r="F579" s="3"/>
      <c r="J579" s="3"/>
    </row>
    <row r="580">
      <c r="F580" s="3"/>
      <c r="J580" s="3"/>
    </row>
    <row r="581">
      <c r="F581" s="3"/>
      <c r="J581" s="3"/>
    </row>
    <row r="582">
      <c r="F582" s="3"/>
      <c r="J582" s="3"/>
    </row>
    <row r="583">
      <c r="F583" s="3"/>
      <c r="J583" s="3"/>
    </row>
    <row r="584">
      <c r="F584" s="3"/>
      <c r="J584" s="3"/>
    </row>
    <row r="585">
      <c r="F585" s="3"/>
      <c r="J585" s="3"/>
    </row>
    <row r="586">
      <c r="F586" s="3"/>
      <c r="J586" s="3"/>
    </row>
    <row r="587">
      <c r="F587" s="3"/>
      <c r="J587" s="3"/>
    </row>
    <row r="588">
      <c r="F588" s="3"/>
      <c r="J588" s="3"/>
    </row>
    <row r="589">
      <c r="F589" s="3"/>
      <c r="J589" s="3"/>
    </row>
    <row r="590">
      <c r="F590" s="3"/>
      <c r="J590" s="3"/>
    </row>
    <row r="591">
      <c r="F591" s="3"/>
      <c r="J591" s="3"/>
    </row>
    <row r="592">
      <c r="F592" s="3"/>
      <c r="J592" s="3"/>
    </row>
    <row r="593">
      <c r="F593" s="3"/>
      <c r="J593" s="3"/>
    </row>
    <row r="594">
      <c r="F594" s="3"/>
      <c r="J594" s="3"/>
    </row>
    <row r="595">
      <c r="F595" s="3"/>
      <c r="J595" s="3"/>
    </row>
    <row r="596">
      <c r="F596" s="3"/>
      <c r="J596" s="3"/>
    </row>
    <row r="597">
      <c r="F597" s="3"/>
      <c r="J597" s="3"/>
    </row>
    <row r="598">
      <c r="F598" s="3"/>
      <c r="J598" s="3"/>
    </row>
    <row r="599">
      <c r="F599" s="3"/>
      <c r="J599" s="3"/>
    </row>
    <row r="600">
      <c r="F600" s="3"/>
      <c r="J600" s="3"/>
    </row>
    <row r="601">
      <c r="F601" s="3"/>
      <c r="J601" s="3"/>
    </row>
    <row r="602">
      <c r="F602" s="3"/>
      <c r="J602" s="3"/>
    </row>
    <row r="603">
      <c r="F603" s="3"/>
      <c r="J603" s="3"/>
    </row>
    <row r="604">
      <c r="F604" s="3"/>
      <c r="J604" s="3"/>
    </row>
    <row r="605">
      <c r="F605" s="3"/>
      <c r="J605" s="3"/>
    </row>
    <row r="606">
      <c r="F606" s="3"/>
      <c r="J606" s="3"/>
    </row>
    <row r="607">
      <c r="F607" s="3"/>
      <c r="J607" s="3"/>
    </row>
    <row r="608">
      <c r="F608" s="3"/>
      <c r="J608" s="3"/>
    </row>
    <row r="609">
      <c r="F609" s="3"/>
      <c r="J609" s="3"/>
    </row>
    <row r="610">
      <c r="F610" s="3"/>
      <c r="J610" s="3"/>
    </row>
    <row r="611">
      <c r="F611" s="3"/>
      <c r="J611" s="3"/>
    </row>
    <row r="612">
      <c r="F612" s="3"/>
      <c r="J612" s="3"/>
    </row>
    <row r="613">
      <c r="F613" s="3"/>
      <c r="J613" s="3"/>
    </row>
    <row r="614">
      <c r="F614" s="3"/>
      <c r="J614" s="3"/>
    </row>
    <row r="615">
      <c r="F615" s="3"/>
      <c r="J615" s="3"/>
    </row>
    <row r="616">
      <c r="F616" s="3"/>
      <c r="J616" s="3"/>
    </row>
    <row r="617">
      <c r="F617" s="3"/>
      <c r="J617" s="3"/>
    </row>
    <row r="618">
      <c r="F618" s="3"/>
      <c r="J618" s="3"/>
    </row>
    <row r="619">
      <c r="F619" s="3"/>
      <c r="J619" s="3"/>
    </row>
    <row r="620">
      <c r="F620" s="3"/>
      <c r="J620" s="3"/>
    </row>
    <row r="621">
      <c r="F621" s="3"/>
      <c r="J621" s="3"/>
    </row>
    <row r="622">
      <c r="F622" s="3"/>
      <c r="J622" s="3"/>
    </row>
    <row r="623">
      <c r="F623" s="3"/>
      <c r="J623" s="3"/>
    </row>
    <row r="624">
      <c r="F624" s="3"/>
      <c r="J624" s="3"/>
    </row>
    <row r="625">
      <c r="F625" s="3"/>
      <c r="J625" s="3"/>
    </row>
    <row r="626">
      <c r="F626" s="3"/>
      <c r="J626" s="3"/>
    </row>
    <row r="627">
      <c r="F627" s="3"/>
      <c r="J627" s="3"/>
    </row>
    <row r="628">
      <c r="F628" s="3"/>
      <c r="J628" s="3"/>
    </row>
    <row r="629">
      <c r="F629" s="3"/>
      <c r="J629" s="3"/>
    </row>
    <row r="630">
      <c r="F630" s="3"/>
      <c r="J630" s="3"/>
    </row>
    <row r="631">
      <c r="F631" s="3"/>
      <c r="J631" s="3"/>
    </row>
    <row r="632">
      <c r="F632" s="3"/>
      <c r="J632" s="3"/>
    </row>
    <row r="633">
      <c r="F633" s="3"/>
      <c r="J633" s="3"/>
    </row>
    <row r="634">
      <c r="F634" s="3"/>
      <c r="J634" s="3"/>
    </row>
    <row r="635">
      <c r="F635" s="3"/>
      <c r="J635" s="3"/>
    </row>
    <row r="636">
      <c r="F636" s="3"/>
      <c r="J636" s="3"/>
    </row>
    <row r="637">
      <c r="F637" s="3"/>
      <c r="J637" s="3"/>
    </row>
    <row r="638">
      <c r="F638" s="3"/>
      <c r="J638" s="3"/>
    </row>
    <row r="639">
      <c r="F639" s="3"/>
      <c r="J639" s="3"/>
    </row>
    <row r="640">
      <c r="F640" s="3"/>
      <c r="J640" s="3"/>
    </row>
    <row r="641">
      <c r="F641" s="3"/>
      <c r="J641" s="3"/>
    </row>
    <row r="642">
      <c r="F642" s="3"/>
      <c r="J642" s="3"/>
    </row>
    <row r="643">
      <c r="F643" s="3"/>
      <c r="J643" s="3"/>
    </row>
    <row r="644">
      <c r="F644" s="3"/>
      <c r="J644" s="3"/>
    </row>
    <row r="645">
      <c r="F645" s="3"/>
      <c r="J645" s="3"/>
    </row>
    <row r="646">
      <c r="F646" s="3"/>
      <c r="J646" s="3"/>
    </row>
    <row r="647">
      <c r="F647" s="3"/>
      <c r="J647" s="3"/>
    </row>
    <row r="648">
      <c r="F648" s="3"/>
      <c r="J648" s="3"/>
    </row>
    <row r="649">
      <c r="F649" s="3"/>
      <c r="J649" s="3"/>
    </row>
    <row r="650">
      <c r="F650" s="3"/>
      <c r="J650" s="3"/>
    </row>
    <row r="651">
      <c r="F651" s="3"/>
      <c r="J651" s="3"/>
    </row>
    <row r="652">
      <c r="F652" s="3"/>
      <c r="J652" s="3"/>
    </row>
    <row r="653">
      <c r="F653" s="3"/>
      <c r="J653" s="3"/>
    </row>
    <row r="654">
      <c r="F654" s="3"/>
      <c r="J654" s="3"/>
    </row>
    <row r="655">
      <c r="F655" s="3"/>
      <c r="J655" s="3"/>
    </row>
    <row r="656">
      <c r="F656" s="3"/>
      <c r="J656" s="3"/>
    </row>
    <row r="657">
      <c r="F657" s="3"/>
      <c r="J657" s="3"/>
    </row>
    <row r="658">
      <c r="F658" s="3"/>
      <c r="J658" s="3"/>
    </row>
    <row r="659">
      <c r="F659" s="3"/>
      <c r="J659" s="3"/>
    </row>
    <row r="660">
      <c r="F660" s="3"/>
      <c r="J660" s="3"/>
    </row>
    <row r="661">
      <c r="F661" s="3"/>
      <c r="J661" s="3"/>
    </row>
    <row r="662">
      <c r="F662" s="3"/>
      <c r="J662" s="3"/>
    </row>
    <row r="663">
      <c r="F663" s="3"/>
      <c r="J663" s="3"/>
    </row>
    <row r="664">
      <c r="F664" s="3"/>
      <c r="J664" s="3"/>
    </row>
    <row r="665">
      <c r="F665" s="3"/>
      <c r="J665" s="3"/>
    </row>
    <row r="666">
      <c r="F666" s="3"/>
      <c r="J666" s="3"/>
    </row>
    <row r="667">
      <c r="F667" s="3"/>
      <c r="J667" s="3"/>
    </row>
    <row r="668">
      <c r="F668" s="3"/>
      <c r="J668" s="3"/>
    </row>
    <row r="669">
      <c r="F669" s="3"/>
      <c r="J669" s="3"/>
    </row>
    <row r="670">
      <c r="F670" s="3"/>
      <c r="J670" s="3"/>
    </row>
    <row r="671">
      <c r="F671" s="3"/>
      <c r="J671" s="3"/>
    </row>
    <row r="672">
      <c r="F672" s="3"/>
      <c r="J672" s="3"/>
    </row>
    <row r="673">
      <c r="F673" s="3"/>
      <c r="J673" s="3"/>
    </row>
    <row r="674">
      <c r="F674" s="3"/>
      <c r="J674" s="3"/>
    </row>
    <row r="675">
      <c r="F675" s="3"/>
      <c r="J675" s="3"/>
    </row>
    <row r="676">
      <c r="F676" s="3"/>
      <c r="J676" s="3"/>
    </row>
    <row r="677">
      <c r="F677" s="3"/>
      <c r="J677" s="3"/>
    </row>
    <row r="678">
      <c r="F678" s="3"/>
      <c r="J678" s="3"/>
    </row>
    <row r="679">
      <c r="F679" s="3"/>
      <c r="J679" s="3"/>
    </row>
    <row r="680">
      <c r="F680" s="3"/>
      <c r="J680" s="3"/>
    </row>
    <row r="681">
      <c r="F681" s="3"/>
      <c r="J681" s="3"/>
    </row>
    <row r="682">
      <c r="F682" s="3"/>
      <c r="J682" s="3"/>
    </row>
    <row r="683">
      <c r="F683" s="3"/>
      <c r="J683" s="3"/>
    </row>
    <row r="684">
      <c r="F684" s="3"/>
      <c r="J684" s="3"/>
    </row>
    <row r="685">
      <c r="F685" s="3"/>
      <c r="J685" s="3"/>
    </row>
    <row r="686">
      <c r="F686" s="3"/>
      <c r="J686" s="3"/>
    </row>
    <row r="687">
      <c r="F687" s="3"/>
      <c r="J687" s="3"/>
    </row>
    <row r="688">
      <c r="F688" s="3"/>
      <c r="J688" s="3"/>
    </row>
    <row r="689">
      <c r="F689" s="3"/>
      <c r="J689" s="3"/>
    </row>
    <row r="690">
      <c r="F690" s="3"/>
      <c r="J690" s="3"/>
    </row>
    <row r="691">
      <c r="F691" s="3"/>
      <c r="J691" s="3"/>
    </row>
    <row r="692">
      <c r="F692" s="3"/>
      <c r="J692" s="3"/>
    </row>
    <row r="693">
      <c r="F693" s="3"/>
      <c r="J693" s="3"/>
    </row>
    <row r="694">
      <c r="F694" s="3"/>
      <c r="J694" s="3"/>
    </row>
    <row r="695">
      <c r="F695" s="3"/>
      <c r="J695" s="3"/>
    </row>
    <row r="696">
      <c r="F696" s="3"/>
      <c r="J696" s="3"/>
    </row>
    <row r="697">
      <c r="F697" s="3"/>
      <c r="J697" s="3"/>
    </row>
    <row r="698">
      <c r="F698" s="3"/>
      <c r="J698" s="3"/>
    </row>
    <row r="699">
      <c r="F699" s="3"/>
      <c r="J699" s="3"/>
    </row>
    <row r="700">
      <c r="F700" s="3"/>
      <c r="J700" s="3"/>
    </row>
    <row r="701">
      <c r="F701" s="3"/>
      <c r="J701" s="3"/>
    </row>
    <row r="702">
      <c r="F702" s="3"/>
      <c r="J702" s="3"/>
    </row>
    <row r="703">
      <c r="F703" s="3"/>
      <c r="J703" s="3"/>
    </row>
    <row r="704">
      <c r="F704" s="3"/>
      <c r="J704" s="3"/>
    </row>
    <row r="705">
      <c r="F705" s="3"/>
      <c r="J705" s="3"/>
    </row>
    <row r="706">
      <c r="F706" s="3"/>
      <c r="J706" s="3"/>
    </row>
    <row r="707">
      <c r="F707" s="3"/>
      <c r="J707" s="3"/>
    </row>
    <row r="708">
      <c r="F708" s="3"/>
      <c r="J708" s="3"/>
    </row>
    <row r="709">
      <c r="F709" s="3"/>
      <c r="J709" s="3"/>
    </row>
    <row r="710">
      <c r="F710" s="3"/>
      <c r="J710" s="3"/>
    </row>
    <row r="711">
      <c r="F711" s="3"/>
      <c r="J711" s="3"/>
    </row>
    <row r="712">
      <c r="F712" s="3"/>
      <c r="J712" s="3"/>
    </row>
    <row r="713">
      <c r="F713" s="3"/>
      <c r="J713" s="3"/>
    </row>
    <row r="714">
      <c r="F714" s="3"/>
      <c r="J714" s="3"/>
    </row>
    <row r="715">
      <c r="F715" s="3"/>
      <c r="J715" s="3"/>
    </row>
    <row r="716">
      <c r="F716" s="3"/>
      <c r="J716" s="3"/>
    </row>
    <row r="717">
      <c r="F717" s="3"/>
      <c r="J717" s="3"/>
    </row>
    <row r="718">
      <c r="F718" s="3"/>
      <c r="J718" s="3"/>
    </row>
    <row r="719">
      <c r="F719" s="3"/>
      <c r="J719" s="3"/>
    </row>
    <row r="720">
      <c r="F720" s="3"/>
      <c r="J720" s="3"/>
    </row>
    <row r="721">
      <c r="F721" s="3"/>
      <c r="J721" s="3"/>
    </row>
    <row r="722">
      <c r="F722" s="3"/>
      <c r="J722" s="3"/>
    </row>
    <row r="723">
      <c r="F723" s="3"/>
      <c r="J723" s="3"/>
    </row>
    <row r="724">
      <c r="F724" s="3"/>
      <c r="J724" s="3"/>
    </row>
    <row r="725">
      <c r="F725" s="3"/>
      <c r="J725" s="3"/>
    </row>
    <row r="726">
      <c r="F726" s="3"/>
      <c r="J726" s="3"/>
    </row>
    <row r="727">
      <c r="F727" s="3"/>
      <c r="J727" s="3"/>
    </row>
    <row r="728">
      <c r="F728" s="3"/>
      <c r="J728" s="3"/>
    </row>
    <row r="729">
      <c r="F729" s="3"/>
      <c r="J729" s="3"/>
    </row>
    <row r="730">
      <c r="F730" s="3"/>
      <c r="J730" s="3"/>
    </row>
    <row r="731">
      <c r="F731" s="3"/>
      <c r="J731" s="3"/>
    </row>
    <row r="732">
      <c r="F732" s="3"/>
      <c r="J732" s="3"/>
    </row>
    <row r="733">
      <c r="F733" s="3"/>
      <c r="J733" s="3"/>
    </row>
    <row r="734">
      <c r="F734" s="3"/>
      <c r="J734" s="3"/>
    </row>
    <row r="735">
      <c r="F735" s="3"/>
      <c r="J735" s="3"/>
    </row>
    <row r="736">
      <c r="F736" s="3"/>
      <c r="J736" s="3"/>
    </row>
    <row r="737">
      <c r="F737" s="3"/>
      <c r="J737" s="3"/>
    </row>
    <row r="738">
      <c r="F738" s="3"/>
      <c r="J738" s="3"/>
    </row>
    <row r="739">
      <c r="F739" s="3"/>
      <c r="J739" s="3"/>
    </row>
    <row r="740">
      <c r="F740" s="3"/>
      <c r="J740" s="3"/>
    </row>
    <row r="741">
      <c r="F741" s="3"/>
      <c r="J741" s="3"/>
    </row>
    <row r="742">
      <c r="F742" s="3"/>
      <c r="J742" s="3"/>
    </row>
    <row r="743">
      <c r="F743" s="3"/>
      <c r="J743" s="3"/>
    </row>
    <row r="744">
      <c r="F744" s="3"/>
      <c r="J744" s="3"/>
    </row>
    <row r="745">
      <c r="F745" s="3"/>
      <c r="J745" s="3"/>
    </row>
    <row r="746">
      <c r="F746" s="3"/>
      <c r="J746" s="3"/>
    </row>
    <row r="747">
      <c r="F747" s="3"/>
      <c r="J747" s="3"/>
    </row>
    <row r="748">
      <c r="F748" s="3"/>
      <c r="J748" s="3"/>
    </row>
    <row r="749">
      <c r="F749" s="3"/>
      <c r="J749" s="3"/>
    </row>
    <row r="750">
      <c r="F750" s="3"/>
      <c r="J750" s="3"/>
    </row>
    <row r="751">
      <c r="F751" s="3"/>
      <c r="J751" s="3"/>
    </row>
    <row r="752">
      <c r="F752" s="3"/>
      <c r="J752" s="3"/>
    </row>
    <row r="753">
      <c r="F753" s="3"/>
      <c r="J753" s="3"/>
    </row>
    <row r="754">
      <c r="F754" s="3"/>
      <c r="J754" s="3"/>
    </row>
    <row r="755">
      <c r="F755" s="3"/>
      <c r="J755" s="3"/>
    </row>
    <row r="756">
      <c r="F756" s="3"/>
      <c r="J756" s="3"/>
    </row>
    <row r="757">
      <c r="F757" s="3"/>
      <c r="J757" s="3"/>
    </row>
    <row r="758">
      <c r="F758" s="3"/>
      <c r="J758" s="3"/>
    </row>
    <row r="759">
      <c r="F759" s="3"/>
      <c r="J759" s="3"/>
    </row>
    <row r="760">
      <c r="F760" s="3"/>
      <c r="J760" s="3"/>
    </row>
    <row r="761">
      <c r="F761" s="3"/>
      <c r="J761" s="3"/>
    </row>
    <row r="762">
      <c r="F762" s="3"/>
      <c r="J762" s="3"/>
    </row>
    <row r="763">
      <c r="F763" s="3"/>
      <c r="J763" s="3"/>
    </row>
    <row r="764">
      <c r="F764" s="3"/>
      <c r="J764" s="3"/>
    </row>
    <row r="765">
      <c r="F765" s="3"/>
      <c r="J765" s="3"/>
    </row>
    <row r="766">
      <c r="F766" s="3"/>
      <c r="J766" s="3"/>
    </row>
    <row r="767">
      <c r="F767" s="3"/>
      <c r="J767" s="3"/>
    </row>
    <row r="768">
      <c r="F768" s="3"/>
      <c r="J768" s="3"/>
    </row>
    <row r="769">
      <c r="F769" s="3"/>
      <c r="J769" s="3"/>
    </row>
    <row r="770">
      <c r="F770" s="3"/>
      <c r="J770" s="3"/>
    </row>
    <row r="771">
      <c r="F771" s="3"/>
      <c r="J771" s="3"/>
    </row>
    <row r="772">
      <c r="F772" s="3"/>
      <c r="J772" s="3"/>
    </row>
    <row r="773">
      <c r="F773" s="3"/>
      <c r="J773" s="3"/>
    </row>
    <row r="774">
      <c r="F774" s="3"/>
      <c r="J774" s="3"/>
    </row>
    <row r="775">
      <c r="F775" s="3"/>
      <c r="J775" s="3"/>
    </row>
    <row r="776">
      <c r="F776" s="3"/>
      <c r="J776" s="3"/>
    </row>
    <row r="777">
      <c r="F777" s="3"/>
      <c r="J777" s="3"/>
    </row>
    <row r="778">
      <c r="F778" s="3"/>
      <c r="J778" s="3"/>
    </row>
    <row r="779">
      <c r="F779" s="3"/>
      <c r="J779" s="3"/>
    </row>
    <row r="780">
      <c r="F780" s="3"/>
      <c r="J780" s="3"/>
    </row>
    <row r="781">
      <c r="F781" s="3"/>
      <c r="J781" s="3"/>
    </row>
    <row r="782">
      <c r="F782" s="3"/>
      <c r="J782" s="3"/>
    </row>
    <row r="783">
      <c r="F783" s="3"/>
      <c r="J783" s="3"/>
    </row>
    <row r="784">
      <c r="F784" s="3"/>
      <c r="J784" s="3"/>
    </row>
    <row r="785">
      <c r="F785" s="3"/>
      <c r="J785" s="3"/>
    </row>
    <row r="786">
      <c r="F786" s="3"/>
      <c r="J786" s="3"/>
    </row>
    <row r="787">
      <c r="F787" s="3"/>
      <c r="J787" s="3"/>
    </row>
    <row r="788">
      <c r="F788" s="3"/>
      <c r="J788" s="3"/>
    </row>
    <row r="789">
      <c r="F789" s="3"/>
      <c r="J789" s="3"/>
    </row>
    <row r="790">
      <c r="F790" s="3"/>
      <c r="J790" s="3"/>
    </row>
    <row r="791">
      <c r="F791" s="3"/>
      <c r="J791" s="3"/>
    </row>
    <row r="792">
      <c r="F792" s="3"/>
      <c r="J792" s="3"/>
    </row>
    <row r="793">
      <c r="F793" s="3"/>
      <c r="J793" s="3"/>
    </row>
    <row r="794">
      <c r="F794" s="3"/>
      <c r="J794" s="3"/>
    </row>
    <row r="795">
      <c r="F795" s="3"/>
      <c r="J795" s="3"/>
    </row>
    <row r="796">
      <c r="F796" s="3"/>
      <c r="J796" s="3"/>
    </row>
    <row r="797">
      <c r="F797" s="3"/>
      <c r="J797" s="3"/>
    </row>
    <row r="798">
      <c r="F798" s="3"/>
      <c r="J798" s="3"/>
    </row>
    <row r="799">
      <c r="F799" s="3"/>
      <c r="J799" s="3"/>
    </row>
    <row r="800">
      <c r="F800" s="3"/>
      <c r="J800" s="3"/>
    </row>
    <row r="801">
      <c r="F801" s="3"/>
      <c r="J801" s="3"/>
    </row>
    <row r="802">
      <c r="F802" s="3"/>
      <c r="J802" s="3"/>
    </row>
    <row r="803">
      <c r="F803" s="3"/>
      <c r="J803" s="3"/>
    </row>
    <row r="804">
      <c r="F804" s="3"/>
      <c r="J804" s="3"/>
    </row>
    <row r="805">
      <c r="F805" s="3"/>
      <c r="J805" s="3"/>
    </row>
    <row r="806">
      <c r="F806" s="3"/>
      <c r="J806" s="3"/>
    </row>
    <row r="807">
      <c r="F807" s="3"/>
      <c r="J807" s="3"/>
    </row>
    <row r="808">
      <c r="F808" s="3"/>
      <c r="J808" s="3"/>
    </row>
    <row r="809">
      <c r="F809" s="3"/>
      <c r="J809" s="3"/>
    </row>
    <row r="810">
      <c r="F810" s="3"/>
      <c r="J810" s="3"/>
    </row>
    <row r="811">
      <c r="F811" s="3"/>
      <c r="J811" s="3"/>
    </row>
    <row r="812">
      <c r="F812" s="3"/>
      <c r="J812" s="3"/>
    </row>
    <row r="813">
      <c r="F813" s="3"/>
      <c r="J813" s="3"/>
    </row>
    <row r="814">
      <c r="F814" s="3"/>
      <c r="J814" s="3"/>
    </row>
    <row r="815">
      <c r="F815" s="3"/>
      <c r="J815" s="3"/>
    </row>
    <row r="816">
      <c r="F816" s="3"/>
      <c r="J816" s="3"/>
    </row>
    <row r="817">
      <c r="F817" s="3"/>
      <c r="J817" s="3"/>
    </row>
    <row r="818">
      <c r="F818" s="3"/>
      <c r="J818" s="3"/>
    </row>
    <row r="819">
      <c r="F819" s="3"/>
      <c r="J819" s="3"/>
    </row>
    <row r="820">
      <c r="F820" s="3"/>
      <c r="J820" s="3"/>
    </row>
    <row r="821">
      <c r="F821" s="3"/>
      <c r="J821" s="3"/>
    </row>
    <row r="822">
      <c r="F822" s="3"/>
      <c r="J822" s="3"/>
    </row>
    <row r="823">
      <c r="F823" s="3"/>
      <c r="J823" s="3"/>
    </row>
    <row r="824">
      <c r="F824" s="3"/>
      <c r="J824" s="3"/>
    </row>
    <row r="825">
      <c r="F825" s="3"/>
      <c r="J825" s="3"/>
    </row>
    <row r="826">
      <c r="F826" s="3"/>
      <c r="J826" s="3"/>
    </row>
    <row r="827">
      <c r="F827" s="3"/>
      <c r="J827" s="3"/>
    </row>
    <row r="828">
      <c r="F828" s="3"/>
      <c r="J828" s="3"/>
    </row>
    <row r="829">
      <c r="F829" s="3"/>
      <c r="J829" s="3"/>
    </row>
    <row r="830">
      <c r="F830" s="3"/>
      <c r="J830" s="3"/>
    </row>
    <row r="831">
      <c r="F831" s="3"/>
      <c r="J831" s="3"/>
    </row>
    <row r="832">
      <c r="F832" s="3"/>
      <c r="J832" s="3"/>
    </row>
    <row r="833">
      <c r="F833" s="3"/>
      <c r="J833" s="3"/>
    </row>
    <row r="834">
      <c r="F834" s="3"/>
      <c r="J834" s="3"/>
    </row>
    <row r="835">
      <c r="F835" s="3"/>
      <c r="J835" s="3"/>
    </row>
    <row r="836">
      <c r="F836" s="3"/>
      <c r="J836" s="3"/>
    </row>
    <row r="837">
      <c r="F837" s="3"/>
      <c r="J837" s="3"/>
    </row>
    <row r="838">
      <c r="F838" s="3"/>
      <c r="J838" s="3"/>
    </row>
    <row r="839">
      <c r="F839" s="3"/>
      <c r="J839" s="3"/>
    </row>
    <row r="840">
      <c r="F840" s="3"/>
      <c r="J840" s="3"/>
    </row>
    <row r="841">
      <c r="F841" s="3"/>
      <c r="J841" s="3"/>
    </row>
    <row r="842">
      <c r="F842" s="3"/>
      <c r="J842" s="3"/>
    </row>
    <row r="843">
      <c r="F843" s="3"/>
      <c r="J843" s="3"/>
    </row>
    <row r="844">
      <c r="F844" s="3"/>
      <c r="J844" s="3"/>
    </row>
    <row r="845">
      <c r="F845" s="3"/>
      <c r="J845" s="3"/>
    </row>
    <row r="846">
      <c r="F846" s="3"/>
      <c r="J846" s="3"/>
    </row>
    <row r="847">
      <c r="F847" s="3"/>
      <c r="J847" s="3"/>
    </row>
    <row r="848">
      <c r="F848" s="3"/>
      <c r="J848" s="3"/>
    </row>
    <row r="849">
      <c r="F849" s="3"/>
      <c r="J849" s="3"/>
    </row>
    <row r="850">
      <c r="F850" s="3"/>
      <c r="J850" s="3"/>
    </row>
    <row r="851">
      <c r="F851" s="3"/>
      <c r="J851" s="3"/>
    </row>
    <row r="852">
      <c r="F852" s="3"/>
      <c r="J852" s="3"/>
    </row>
    <row r="853">
      <c r="F853" s="3"/>
      <c r="J853" s="3"/>
    </row>
    <row r="854">
      <c r="F854" s="3"/>
      <c r="J854" s="3"/>
    </row>
    <row r="855">
      <c r="F855" s="3"/>
      <c r="J855" s="3"/>
    </row>
    <row r="856">
      <c r="F856" s="3"/>
      <c r="J856" s="3"/>
    </row>
    <row r="857">
      <c r="F857" s="3"/>
      <c r="J857" s="3"/>
    </row>
    <row r="858">
      <c r="F858" s="3"/>
      <c r="J858" s="3"/>
    </row>
    <row r="859">
      <c r="F859" s="3"/>
      <c r="J859" s="3"/>
    </row>
    <row r="860">
      <c r="F860" s="3"/>
      <c r="J860" s="3"/>
    </row>
    <row r="861">
      <c r="F861" s="3"/>
      <c r="J861" s="3"/>
    </row>
    <row r="862">
      <c r="F862" s="3"/>
      <c r="J862" s="3"/>
    </row>
    <row r="863">
      <c r="F863" s="3"/>
      <c r="J863" s="3"/>
    </row>
    <row r="864">
      <c r="F864" s="3"/>
      <c r="J864" s="3"/>
    </row>
    <row r="865">
      <c r="F865" s="3"/>
      <c r="J865" s="3"/>
    </row>
    <row r="866">
      <c r="F866" s="3"/>
      <c r="J866" s="3"/>
    </row>
    <row r="867">
      <c r="F867" s="3"/>
      <c r="J867" s="3"/>
    </row>
    <row r="868">
      <c r="F868" s="3"/>
      <c r="J868" s="3"/>
    </row>
    <row r="869">
      <c r="F869" s="3"/>
      <c r="J869" s="3"/>
    </row>
    <row r="870">
      <c r="F870" s="3"/>
      <c r="J870" s="3"/>
    </row>
    <row r="871">
      <c r="F871" s="3"/>
      <c r="J871" s="3"/>
    </row>
    <row r="872">
      <c r="F872" s="3"/>
      <c r="J872" s="3"/>
    </row>
    <row r="873">
      <c r="F873" s="3"/>
      <c r="J873" s="3"/>
    </row>
    <row r="874">
      <c r="F874" s="3"/>
      <c r="J874" s="3"/>
    </row>
    <row r="875">
      <c r="F875" s="3"/>
      <c r="J875" s="3"/>
    </row>
    <row r="876">
      <c r="F876" s="3"/>
      <c r="J876" s="3"/>
    </row>
    <row r="877">
      <c r="F877" s="3"/>
      <c r="J877" s="3"/>
    </row>
    <row r="878">
      <c r="F878" s="3"/>
      <c r="J878" s="3"/>
    </row>
    <row r="879">
      <c r="F879" s="3"/>
      <c r="J879" s="3"/>
    </row>
    <row r="880">
      <c r="F880" s="3"/>
      <c r="J880" s="3"/>
    </row>
    <row r="881">
      <c r="F881" s="3"/>
      <c r="J881" s="3"/>
    </row>
    <row r="882">
      <c r="F882" s="3"/>
      <c r="J882" s="3"/>
    </row>
    <row r="883">
      <c r="F883" s="3"/>
      <c r="J883" s="3"/>
    </row>
    <row r="884">
      <c r="F884" s="3"/>
      <c r="J884" s="3"/>
    </row>
    <row r="885">
      <c r="F885" s="3"/>
      <c r="J885" s="3"/>
    </row>
    <row r="886">
      <c r="F886" s="3"/>
      <c r="J886" s="3"/>
    </row>
    <row r="887">
      <c r="F887" s="3"/>
      <c r="J887" s="3"/>
    </row>
    <row r="888">
      <c r="F888" s="3"/>
      <c r="J888" s="3"/>
    </row>
    <row r="889">
      <c r="F889" s="3"/>
      <c r="J889" s="3"/>
    </row>
    <row r="890">
      <c r="F890" s="3"/>
      <c r="J890" s="3"/>
    </row>
    <row r="891">
      <c r="F891" s="3"/>
      <c r="J891" s="3"/>
    </row>
    <row r="892">
      <c r="F892" s="3"/>
      <c r="J892" s="3"/>
    </row>
    <row r="893">
      <c r="F893" s="3"/>
      <c r="J893" s="3"/>
    </row>
    <row r="894">
      <c r="F894" s="3"/>
      <c r="J894" s="3"/>
    </row>
    <row r="895">
      <c r="F895" s="3"/>
      <c r="J895" s="3"/>
    </row>
    <row r="896">
      <c r="F896" s="3"/>
      <c r="J896" s="3"/>
    </row>
    <row r="897">
      <c r="F897" s="3"/>
      <c r="J897" s="3"/>
    </row>
    <row r="898">
      <c r="F898" s="3"/>
      <c r="J898" s="3"/>
    </row>
    <row r="899">
      <c r="F899" s="3"/>
      <c r="J899" s="3"/>
    </row>
    <row r="900">
      <c r="F900" s="3"/>
      <c r="J900" s="3"/>
    </row>
    <row r="901">
      <c r="F901" s="3"/>
      <c r="J901" s="3"/>
    </row>
    <row r="902">
      <c r="F902" s="3"/>
      <c r="J902" s="3"/>
    </row>
    <row r="903">
      <c r="F903" s="3"/>
      <c r="J903" s="3"/>
    </row>
    <row r="904">
      <c r="F904" s="3"/>
      <c r="J904" s="3"/>
    </row>
    <row r="905">
      <c r="F905" s="3"/>
      <c r="J905" s="3"/>
    </row>
    <row r="906">
      <c r="F906" s="3"/>
      <c r="J906" s="3"/>
    </row>
    <row r="907">
      <c r="F907" s="3"/>
      <c r="J907" s="3"/>
    </row>
    <row r="908">
      <c r="F908" s="3"/>
      <c r="J908" s="3"/>
    </row>
    <row r="909">
      <c r="F909" s="3"/>
      <c r="J909" s="3"/>
    </row>
    <row r="910">
      <c r="F910" s="3"/>
      <c r="J910" s="3"/>
    </row>
    <row r="911">
      <c r="F911" s="3"/>
      <c r="J911" s="3"/>
    </row>
    <row r="912">
      <c r="F912" s="3"/>
      <c r="J912" s="3"/>
    </row>
    <row r="913">
      <c r="F913" s="3"/>
      <c r="J913" s="3"/>
    </row>
    <row r="914">
      <c r="F914" s="3"/>
      <c r="J914" s="3"/>
    </row>
    <row r="915">
      <c r="F915" s="3"/>
      <c r="J915" s="3"/>
    </row>
    <row r="916">
      <c r="F916" s="3"/>
      <c r="J916" s="3"/>
    </row>
    <row r="917">
      <c r="F917" s="3"/>
      <c r="J917" s="3"/>
    </row>
    <row r="918">
      <c r="F918" s="3"/>
      <c r="J918" s="3"/>
    </row>
    <row r="919">
      <c r="F919" s="3"/>
      <c r="J919" s="3"/>
    </row>
    <row r="920">
      <c r="F920" s="3"/>
      <c r="J920" s="3"/>
    </row>
    <row r="921">
      <c r="F921" s="3"/>
      <c r="J921" s="3"/>
    </row>
    <row r="922">
      <c r="F922" s="3"/>
      <c r="J922" s="3"/>
    </row>
    <row r="923">
      <c r="F923" s="3"/>
      <c r="J923" s="3"/>
    </row>
    <row r="924">
      <c r="F924" s="3"/>
      <c r="J924" s="3"/>
    </row>
    <row r="925">
      <c r="F925" s="3"/>
      <c r="J925" s="3"/>
    </row>
    <row r="926">
      <c r="F926" s="3"/>
      <c r="J926" s="3"/>
    </row>
    <row r="927">
      <c r="F927" s="3"/>
      <c r="J927" s="3"/>
    </row>
    <row r="928">
      <c r="F928" s="3"/>
      <c r="J928" s="3"/>
    </row>
    <row r="929">
      <c r="F929" s="3"/>
      <c r="J929" s="3"/>
    </row>
    <row r="930">
      <c r="F930" s="3"/>
      <c r="J930" s="3"/>
    </row>
    <row r="931">
      <c r="F931" s="3"/>
      <c r="J931" s="3"/>
    </row>
    <row r="932">
      <c r="F932" s="3"/>
      <c r="J932" s="3"/>
    </row>
    <row r="933">
      <c r="F933" s="3"/>
      <c r="J933" s="3"/>
    </row>
    <row r="934">
      <c r="F934" s="3"/>
      <c r="J934" s="3"/>
    </row>
    <row r="935">
      <c r="F935" s="3"/>
      <c r="J935" s="3"/>
    </row>
    <row r="936">
      <c r="F936" s="3"/>
      <c r="J936" s="3"/>
    </row>
    <row r="937">
      <c r="F937" s="3"/>
      <c r="J937" s="3"/>
    </row>
    <row r="938">
      <c r="F938" s="3"/>
      <c r="J938" s="3"/>
    </row>
    <row r="939">
      <c r="F939" s="3"/>
      <c r="J939" s="3"/>
    </row>
    <row r="940">
      <c r="F940" s="3"/>
      <c r="J940" s="3"/>
    </row>
    <row r="941">
      <c r="F941" s="3"/>
      <c r="J941" s="3"/>
    </row>
    <row r="942">
      <c r="F942" s="3"/>
      <c r="J942" s="3"/>
    </row>
    <row r="943">
      <c r="F943" s="3"/>
      <c r="J943" s="3"/>
    </row>
    <row r="944">
      <c r="F944" s="3"/>
      <c r="J944" s="3"/>
    </row>
    <row r="945">
      <c r="F945" s="3"/>
      <c r="J945" s="3"/>
    </row>
    <row r="946">
      <c r="F946" s="3"/>
      <c r="J946" s="3"/>
    </row>
    <row r="947">
      <c r="F947" s="3"/>
      <c r="J947" s="3"/>
    </row>
    <row r="948">
      <c r="F948" s="3"/>
      <c r="J948" s="3"/>
    </row>
    <row r="949">
      <c r="F949" s="3"/>
      <c r="J949" s="3"/>
    </row>
    <row r="950">
      <c r="F950" s="3"/>
      <c r="J950" s="3"/>
    </row>
    <row r="951">
      <c r="F951" s="3"/>
      <c r="J951" s="3"/>
    </row>
    <row r="952">
      <c r="F952" s="3"/>
      <c r="J952" s="3"/>
    </row>
    <row r="953">
      <c r="F953" s="3"/>
      <c r="J953" s="3"/>
    </row>
    <row r="954">
      <c r="F954" s="3"/>
      <c r="J954" s="3"/>
    </row>
    <row r="955">
      <c r="F955" s="3"/>
      <c r="J955" s="3"/>
    </row>
    <row r="956">
      <c r="F956" s="3"/>
      <c r="J956" s="3"/>
    </row>
    <row r="957">
      <c r="F957" s="3"/>
      <c r="J957" s="3"/>
    </row>
    <row r="958">
      <c r="F958" s="3"/>
      <c r="J958" s="3"/>
    </row>
    <row r="959">
      <c r="F959" s="3"/>
      <c r="J959" s="3"/>
    </row>
    <row r="960">
      <c r="F960" s="3"/>
      <c r="J960" s="3"/>
    </row>
    <row r="961">
      <c r="F961" s="3"/>
      <c r="J961" s="3"/>
    </row>
    <row r="962">
      <c r="F962" s="3"/>
      <c r="J962" s="3"/>
    </row>
    <row r="963">
      <c r="F963" s="3"/>
      <c r="J963" s="3"/>
    </row>
    <row r="964">
      <c r="F964" s="3"/>
      <c r="J964" s="3"/>
    </row>
    <row r="965">
      <c r="F965" s="3"/>
      <c r="J965" s="3"/>
    </row>
    <row r="966">
      <c r="F966" s="3"/>
      <c r="J966" s="3"/>
    </row>
    <row r="967">
      <c r="F967" s="3"/>
      <c r="J967" s="3"/>
    </row>
    <row r="968">
      <c r="F968" s="3"/>
      <c r="J968" s="3"/>
    </row>
    <row r="969">
      <c r="F969" s="3"/>
      <c r="J969" s="3"/>
    </row>
    <row r="970">
      <c r="F970" s="3"/>
      <c r="J970" s="3"/>
    </row>
    <row r="971">
      <c r="F971" s="3"/>
      <c r="J971" s="3"/>
    </row>
    <row r="972">
      <c r="F972" s="3"/>
      <c r="J972" s="3"/>
    </row>
    <row r="973">
      <c r="F973" s="3"/>
      <c r="J973" s="3"/>
    </row>
    <row r="974">
      <c r="F974" s="3"/>
      <c r="J974" s="3"/>
    </row>
    <row r="975">
      <c r="F975" s="3"/>
      <c r="J975" s="3"/>
    </row>
    <row r="976">
      <c r="F976" s="3"/>
      <c r="J976" s="3"/>
    </row>
    <row r="977">
      <c r="F977" s="3"/>
      <c r="J977" s="3"/>
    </row>
    <row r="978">
      <c r="F978" s="3"/>
      <c r="J978" s="3"/>
    </row>
    <row r="979">
      <c r="F979" s="3"/>
      <c r="J979" s="3"/>
    </row>
    <row r="980">
      <c r="F980" s="3"/>
      <c r="J980" s="3"/>
    </row>
    <row r="981">
      <c r="F981" s="3"/>
      <c r="J981" s="3"/>
    </row>
    <row r="982">
      <c r="F982" s="3"/>
      <c r="J982" s="3"/>
    </row>
    <row r="983">
      <c r="F983" s="3"/>
      <c r="J983" s="3"/>
    </row>
    <row r="984">
      <c r="F984" s="3"/>
      <c r="J984" s="3"/>
    </row>
    <row r="985">
      <c r="F985" s="3"/>
      <c r="J985" s="3"/>
    </row>
    <row r="986">
      <c r="F986" s="3"/>
      <c r="J986" s="3"/>
    </row>
    <row r="987">
      <c r="F987" s="3"/>
      <c r="J987" s="3"/>
    </row>
    <row r="988">
      <c r="F988" s="3"/>
      <c r="J988" s="3"/>
    </row>
    <row r="989">
      <c r="F989" s="3"/>
      <c r="J989" s="3"/>
    </row>
    <row r="990">
      <c r="F990" s="3"/>
      <c r="J990" s="3"/>
    </row>
    <row r="991">
      <c r="F991" s="3"/>
      <c r="J991" s="3"/>
    </row>
    <row r="992">
      <c r="F992" s="3"/>
      <c r="J992" s="3"/>
    </row>
    <row r="993">
      <c r="F993" s="3"/>
      <c r="J993" s="3"/>
    </row>
    <row r="994">
      <c r="F994" s="3"/>
      <c r="J994" s="3"/>
    </row>
    <row r="995">
      <c r="F995" s="3"/>
      <c r="J995" s="3"/>
    </row>
    <row r="996">
      <c r="F996" s="3"/>
      <c r="J996" s="3"/>
    </row>
    <row r="997">
      <c r="F997" s="3"/>
      <c r="J997" s="3"/>
    </row>
    <row r="998">
      <c r="F998" s="3"/>
      <c r="J998" s="3"/>
    </row>
    <row r="999">
      <c r="F999" s="3"/>
      <c r="J999" s="3"/>
    </row>
    <row r="1000">
      <c r="F1000" s="3"/>
      <c r="J1000" s="3"/>
    </row>
    <row r="1001">
      <c r="F1001" s="3"/>
      <c r="J1001" s="3"/>
    </row>
    <row r="1002">
      <c r="F1002" s="3"/>
      <c r="J1002" s="3"/>
    </row>
    <row r="1003">
      <c r="F1003" s="3"/>
      <c r="J1003" s="3"/>
    </row>
    <row r="1004">
      <c r="F1004" s="3"/>
      <c r="J1004" s="3"/>
    </row>
    <row r="1005">
      <c r="F1005" s="3"/>
      <c r="J1005" s="3"/>
    </row>
    <row r="1006">
      <c r="F1006" s="3"/>
      <c r="J1006" s="3"/>
    </row>
    <row r="1007">
      <c r="F1007" s="3"/>
      <c r="J1007" s="3"/>
    </row>
    <row r="1008">
      <c r="F1008" s="3"/>
      <c r="J1008" s="3"/>
    </row>
    <row r="1009">
      <c r="F1009" s="3"/>
      <c r="J1009" s="3"/>
    </row>
    <row r="1010">
      <c r="F1010" s="3"/>
      <c r="J1010" s="3"/>
    </row>
    <row r="1011">
      <c r="F1011" s="3"/>
      <c r="J1011" s="3"/>
    </row>
    <row r="1012">
      <c r="F1012" s="3"/>
      <c r="J1012" s="3"/>
    </row>
    <row r="1013">
      <c r="F1013" s="3"/>
      <c r="J1013" s="3"/>
    </row>
    <row r="1014">
      <c r="F1014" s="3"/>
      <c r="J1014" s="3"/>
    </row>
    <row r="1015">
      <c r="F1015" s="3"/>
      <c r="J1015" s="3"/>
    </row>
    <row r="1016">
      <c r="F1016" s="3"/>
      <c r="J1016" s="3"/>
    </row>
    <row r="1017">
      <c r="F1017" s="3"/>
      <c r="J1017" s="3"/>
    </row>
    <row r="1018">
      <c r="F1018" s="3"/>
      <c r="J1018" s="3"/>
    </row>
    <row r="1019">
      <c r="F1019" s="3"/>
      <c r="J1019" s="3"/>
    </row>
    <row r="1020">
      <c r="F1020" s="3"/>
      <c r="J1020" s="3"/>
    </row>
    <row r="1021">
      <c r="F1021" s="3"/>
      <c r="J1021" s="3"/>
    </row>
    <row r="1022">
      <c r="F1022" s="3"/>
      <c r="J1022" s="3"/>
    </row>
    <row r="1023">
      <c r="F1023" s="3"/>
      <c r="J1023" s="3"/>
    </row>
    <row r="1024">
      <c r="F1024" s="3"/>
      <c r="J1024" s="3"/>
    </row>
    <row r="1025">
      <c r="F1025" s="3"/>
      <c r="J1025" s="3"/>
    </row>
    <row r="1026">
      <c r="F1026" s="3"/>
      <c r="J1026" s="3"/>
    </row>
    <row r="1027">
      <c r="F1027" s="3"/>
      <c r="J1027" s="3"/>
    </row>
    <row r="1028">
      <c r="F1028" s="3"/>
      <c r="J1028" s="3"/>
    </row>
    <row r="1029">
      <c r="F1029" s="3"/>
      <c r="J1029" s="3"/>
    </row>
    <row r="1030">
      <c r="F1030" s="3"/>
      <c r="J1030" s="3"/>
    </row>
    <row r="1031">
      <c r="F1031" s="3"/>
      <c r="J1031" s="3"/>
    </row>
    <row r="1032">
      <c r="F1032" s="3"/>
      <c r="J1032" s="3"/>
    </row>
    <row r="1033">
      <c r="F1033" s="3"/>
      <c r="J1033" s="3"/>
    </row>
    <row r="1034">
      <c r="F1034" s="3"/>
      <c r="J1034" s="3"/>
    </row>
    <row r="1035">
      <c r="F1035" s="3"/>
      <c r="J1035" s="3"/>
    </row>
    <row r="1036">
      <c r="F1036" s="3"/>
      <c r="J1036" s="3"/>
    </row>
    <row r="1037">
      <c r="F1037" s="3"/>
      <c r="J1037" s="3"/>
    </row>
    <row r="1038">
      <c r="F1038" s="3"/>
      <c r="J1038" s="3"/>
    </row>
    <row r="1039">
      <c r="F1039" s="3"/>
      <c r="J1039" s="3"/>
    </row>
    <row r="1040">
      <c r="F1040" s="3"/>
      <c r="J1040" s="3"/>
    </row>
    <row r="1041">
      <c r="F1041" s="3"/>
      <c r="J1041" s="3"/>
    </row>
    <row r="1042">
      <c r="F1042" s="3"/>
      <c r="J1042" s="3"/>
    </row>
    <row r="1043">
      <c r="F1043" s="3"/>
      <c r="J1043" s="3"/>
    </row>
    <row r="1044">
      <c r="F1044" s="3"/>
      <c r="J1044" s="3"/>
    </row>
    <row r="1045">
      <c r="F1045" s="3"/>
      <c r="J1045" s="3"/>
    </row>
    <row r="1046">
      <c r="F1046" s="3"/>
      <c r="J1046" s="3"/>
    </row>
    <row r="1047">
      <c r="F1047" s="3"/>
      <c r="J1047" s="3"/>
    </row>
    <row r="1048">
      <c r="F1048" s="3"/>
      <c r="J1048" s="3"/>
    </row>
    <row r="1049">
      <c r="F1049" s="3"/>
      <c r="J1049" s="3"/>
    </row>
    <row r="1050">
      <c r="F1050" s="3"/>
      <c r="J1050" s="3"/>
    </row>
    <row r="1051">
      <c r="F1051" s="3"/>
      <c r="J1051" s="3"/>
    </row>
    <row r="1052">
      <c r="F1052" s="3"/>
      <c r="J1052" s="3"/>
    </row>
    <row r="1053">
      <c r="F1053" s="3"/>
      <c r="J1053" s="3"/>
    </row>
    <row r="1054">
      <c r="F1054" s="3"/>
      <c r="J1054" s="3"/>
    </row>
    <row r="1055">
      <c r="F1055" s="3"/>
      <c r="J1055" s="3"/>
    </row>
    <row r="1056">
      <c r="F1056" s="3"/>
      <c r="J1056" s="3"/>
    </row>
    <row r="1057">
      <c r="F1057" s="3"/>
      <c r="J1057" s="3"/>
    </row>
    <row r="1058">
      <c r="F1058" s="3"/>
      <c r="J1058" s="3"/>
    </row>
    <row r="1059">
      <c r="F1059" s="3"/>
      <c r="J1059" s="3"/>
    </row>
    <row r="1060">
      <c r="F1060" s="3"/>
      <c r="J1060" s="3"/>
    </row>
    <row r="1061">
      <c r="F1061" s="3"/>
      <c r="J1061" s="3"/>
    </row>
    <row r="1062">
      <c r="F1062" s="3"/>
      <c r="J1062" s="3"/>
    </row>
    <row r="1063">
      <c r="F1063" s="3"/>
      <c r="J1063" s="3"/>
    </row>
    <row r="1064">
      <c r="F1064" s="3"/>
      <c r="J1064" s="3"/>
    </row>
    <row r="1065">
      <c r="F1065" s="3"/>
      <c r="J1065" s="3"/>
    </row>
    <row r="1066">
      <c r="F1066" s="3"/>
      <c r="J1066" s="3"/>
    </row>
    <row r="1067">
      <c r="F1067" s="3"/>
      <c r="J1067" s="3"/>
    </row>
    <row r="1068">
      <c r="F1068" s="3"/>
      <c r="J1068" s="3"/>
    </row>
    <row r="1069">
      <c r="F1069" s="3"/>
      <c r="J1069" s="3"/>
    </row>
    <row r="1070">
      <c r="F1070" s="3"/>
      <c r="J1070" s="3"/>
    </row>
    <row r="1071">
      <c r="F1071" s="3"/>
      <c r="J1071" s="3"/>
    </row>
    <row r="1072">
      <c r="F1072" s="3"/>
      <c r="J1072" s="3"/>
    </row>
    <row r="1073">
      <c r="F1073" s="3"/>
      <c r="J1073" s="3"/>
    </row>
    <row r="1074">
      <c r="F1074" s="3"/>
      <c r="J1074" s="3"/>
    </row>
    <row r="1075">
      <c r="F1075" s="3"/>
      <c r="J1075" s="3"/>
    </row>
    <row r="1076">
      <c r="F1076" s="3"/>
      <c r="J1076" s="3"/>
    </row>
    <row r="1077">
      <c r="F1077" s="3"/>
      <c r="J1077" s="3"/>
    </row>
    <row r="1078">
      <c r="F1078" s="3"/>
      <c r="J1078" s="3"/>
    </row>
    <row r="1079">
      <c r="F1079" s="3"/>
      <c r="J1079" s="3"/>
    </row>
    <row r="1080">
      <c r="F1080" s="3"/>
      <c r="J1080" s="3"/>
    </row>
    <row r="1081">
      <c r="F1081" s="3"/>
      <c r="J1081" s="3"/>
    </row>
    <row r="1082">
      <c r="F1082" s="3"/>
      <c r="J1082" s="3"/>
    </row>
    <row r="1083">
      <c r="F1083" s="3"/>
      <c r="J1083" s="3"/>
    </row>
    <row r="1084">
      <c r="F1084" s="3"/>
      <c r="J1084" s="3"/>
    </row>
    <row r="1085">
      <c r="F1085" s="3"/>
      <c r="J1085" s="3"/>
    </row>
    <row r="1086">
      <c r="F1086" s="3"/>
      <c r="J1086" s="3"/>
    </row>
    <row r="1087">
      <c r="F1087" s="3"/>
      <c r="J1087" s="3"/>
    </row>
    <row r="1088">
      <c r="F1088" s="3"/>
      <c r="J1088" s="3"/>
    </row>
    <row r="1089">
      <c r="F1089" s="3"/>
      <c r="J1089" s="3"/>
    </row>
    <row r="1090">
      <c r="F1090" s="3"/>
      <c r="J1090" s="3"/>
    </row>
    <row r="1091">
      <c r="F1091" s="3"/>
      <c r="J1091" s="3"/>
    </row>
    <row r="1092">
      <c r="F1092" s="3"/>
      <c r="J1092" s="3"/>
    </row>
    <row r="1093">
      <c r="F1093" s="3"/>
      <c r="J1093" s="3"/>
    </row>
    <row r="1094">
      <c r="F1094" s="3"/>
      <c r="J1094" s="3"/>
    </row>
    <row r="1095">
      <c r="F1095" s="3"/>
      <c r="J1095" s="3"/>
    </row>
    <row r="1096">
      <c r="F1096" s="3"/>
      <c r="J1096" s="3"/>
    </row>
    <row r="1097">
      <c r="F1097" s="3"/>
      <c r="J1097" s="3"/>
    </row>
    <row r="1098">
      <c r="F1098" s="3"/>
      <c r="J1098" s="3"/>
    </row>
    <row r="1099">
      <c r="F1099" s="3"/>
      <c r="J1099" s="3"/>
    </row>
    <row r="1100">
      <c r="F1100" s="3"/>
      <c r="J1100" s="3"/>
    </row>
    <row r="1101">
      <c r="F1101" s="3"/>
      <c r="J1101" s="3"/>
    </row>
    <row r="1102">
      <c r="F1102" s="3"/>
      <c r="J1102" s="3"/>
    </row>
    <row r="1103">
      <c r="F1103" s="3"/>
      <c r="J1103" s="3"/>
    </row>
    <row r="1104">
      <c r="F1104" s="3"/>
      <c r="J1104" s="3"/>
    </row>
    <row r="1105">
      <c r="F1105" s="3"/>
      <c r="J1105" s="3"/>
    </row>
    <row r="1106">
      <c r="F1106" s="3"/>
      <c r="J1106" s="3"/>
    </row>
    <row r="1107">
      <c r="F1107" s="3"/>
      <c r="J1107" s="3"/>
    </row>
    <row r="1108">
      <c r="F1108" s="3"/>
      <c r="J1108" s="3"/>
    </row>
    <row r="1109">
      <c r="F1109" s="3"/>
      <c r="J1109" s="3"/>
    </row>
    <row r="1110">
      <c r="F1110" s="3"/>
      <c r="J1110" s="3"/>
    </row>
    <row r="1111">
      <c r="F1111" s="3"/>
      <c r="J1111" s="3"/>
    </row>
    <row r="1112">
      <c r="F1112" s="3"/>
      <c r="J1112" s="3"/>
    </row>
    <row r="1113">
      <c r="F1113" s="3"/>
      <c r="J1113" s="3"/>
    </row>
    <row r="1114">
      <c r="F1114" s="3"/>
      <c r="J1114" s="3"/>
    </row>
    <row r="1115">
      <c r="F1115" s="3"/>
      <c r="J1115" s="3"/>
    </row>
    <row r="1116">
      <c r="F1116" s="3"/>
      <c r="J1116" s="3"/>
    </row>
    <row r="1117">
      <c r="F1117" s="3"/>
      <c r="J1117" s="3"/>
    </row>
    <row r="1118">
      <c r="F1118" s="3"/>
      <c r="J1118" s="3"/>
    </row>
    <row r="1119">
      <c r="F1119" s="3"/>
      <c r="J1119" s="3"/>
    </row>
    <row r="1120">
      <c r="F1120" s="3"/>
      <c r="J1120" s="3"/>
    </row>
    <row r="1121">
      <c r="F1121" s="3"/>
      <c r="J1121" s="3"/>
    </row>
    <row r="1122">
      <c r="F1122" s="3"/>
      <c r="J1122" s="3"/>
    </row>
    <row r="1123">
      <c r="F1123" s="3"/>
      <c r="J1123" s="3"/>
    </row>
    <row r="1124">
      <c r="F1124" s="3"/>
      <c r="J1124" s="3"/>
    </row>
    <row r="1125">
      <c r="F1125" s="3"/>
      <c r="J1125" s="3"/>
    </row>
    <row r="1126">
      <c r="F1126" s="3"/>
      <c r="J1126" s="3"/>
    </row>
    <row r="1127">
      <c r="F1127" s="3"/>
      <c r="J1127" s="3"/>
    </row>
    <row r="1128">
      <c r="F1128" s="3"/>
      <c r="J1128" s="3"/>
    </row>
    <row r="1129">
      <c r="F1129" s="3"/>
      <c r="J1129" s="3"/>
    </row>
    <row r="1130">
      <c r="F1130" s="3"/>
      <c r="J1130" s="3"/>
    </row>
    <row r="1131">
      <c r="F1131" s="3"/>
      <c r="J1131" s="3"/>
    </row>
    <row r="1132">
      <c r="F1132" s="3"/>
      <c r="J1132" s="3"/>
    </row>
    <row r="1133">
      <c r="F1133" s="3"/>
      <c r="J1133" s="3"/>
    </row>
    <row r="1134">
      <c r="F1134" s="3"/>
      <c r="J1134" s="3"/>
    </row>
    <row r="1135">
      <c r="F1135" s="3"/>
      <c r="J1135" s="3"/>
    </row>
    <row r="1136">
      <c r="F1136" s="3"/>
      <c r="J1136" s="3"/>
    </row>
    <row r="1137">
      <c r="F1137" s="3"/>
      <c r="J1137" s="3"/>
    </row>
    <row r="1138">
      <c r="F1138" s="3"/>
      <c r="J1138" s="3"/>
    </row>
    <row r="1139">
      <c r="F1139" s="3"/>
      <c r="J1139" s="3"/>
    </row>
    <row r="1140">
      <c r="F1140" s="3"/>
      <c r="J1140" s="3"/>
    </row>
    <row r="1141">
      <c r="F1141" s="3"/>
      <c r="J1141" s="3"/>
    </row>
    <row r="1142">
      <c r="F1142" s="3"/>
      <c r="J1142" s="3"/>
    </row>
    <row r="1143">
      <c r="F1143" s="3"/>
      <c r="J1143" s="3"/>
    </row>
    <row r="1144">
      <c r="F1144" s="3"/>
      <c r="J1144" s="3"/>
    </row>
    <row r="1145">
      <c r="F1145" s="3"/>
      <c r="J1145" s="3"/>
    </row>
    <row r="1146">
      <c r="F1146" s="3"/>
      <c r="J1146" s="3"/>
    </row>
    <row r="1147">
      <c r="F1147" s="3"/>
      <c r="J1147" s="3"/>
    </row>
    <row r="1148">
      <c r="F1148" s="3"/>
      <c r="J1148" s="3"/>
    </row>
    <row r="1149">
      <c r="F1149" s="3"/>
      <c r="J1149" s="3"/>
    </row>
    <row r="1150">
      <c r="F1150" s="3"/>
      <c r="J1150" s="3"/>
    </row>
    <row r="1151">
      <c r="F1151" s="3"/>
      <c r="J1151" s="3"/>
    </row>
    <row r="1152">
      <c r="F1152" s="3"/>
      <c r="J1152" s="3"/>
    </row>
    <row r="1153">
      <c r="F1153" s="3"/>
      <c r="J1153" s="3"/>
    </row>
    <row r="1154">
      <c r="F1154" s="3"/>
      <c r="J1154" s="3"/>
    </row>
    <row r="1155">
      <c r="F1155" s="3"/>
      <c r="J1155" s="3"/>
    </row>
    <row r="1156">
      <c r="F1156" s="3"/>
      <c r="J1156" s="3"/>
    </row>
    <row r="1157">
      <c r="F1157" s="3"/>
      <c r="J1157" s="3"/>
    </row>
    <row r="1158">
      <c r="F1158" s="3"/>
      <c r="J1158" s="3"/>
    </row>
    <row r="1159">
      <c r="F1159" s="3"/>
      <c r="J1159" s="3"/>
    </row>
    <row r="1160">
      <c r="F1160" s="3"/>
      <c r="J1160" s="3"/>
    </row>
    <row r="1161">
      <c r="F1161" s="3"/>
      <c r="J1161" s="3"/>
    </row>
    <row r="1162">
      <c r="F1162" s="3"/>
      <c r="J1162" s="3"/>
    </row>
    <row r="1163">
      <c r="F1163" s="3"/>
      <c r="J1163" s="3"/>
    </row>
    <row r="1164">
      <c r="F1164" s="3"/>
      <c r="J1164" s="3"/>
    </row>
    <row r="1165">
      <c r="F1165" s="3"/>
      <c r="J1165" s="3"/>
    </row>
    <row r="1166">
      <c r="F1166" s="3"/>
      <c r="J1166" s="3"/>
    </row>
    <row r="1167">
      <c r="F1167" s="3"/>
      <c r="J1167" s="3"/>
    </row>
    <row r="1168">
      <c r="F1168" s="3"/>
      <c r="J1168" s="3"/>
    </row>
    <row r="1169">
      <c r="F1169" s="3"/>
      <c r="J1169" s="3"/>
    </row>
    <row r="1170">
      <c r="F1170" s="3"/>
      <c r="J1170" s="3"/>
    </row>
    <row r="1171">
      <c r="F1171" s="3"/>
      <c r="J1171" s="3"/>
    </row>
    <row r="1172">
      <c r="F1172" s="3"/>
      <c r="J1172" s="3"/>
    </row>
    <row r="1173">
      <c r="F1173" s="3"/>
      <c r="J1173" s="3"/>
    </row>
    <row r="1174">
      <c r="F1174" s="3"/>
      <c r="J1174" s="3"/>
    </row>
    <row r="1175">
      <c r="F1175" s="3"/>
      <c r="J1175" s="3"/>
    </row>
    <row r="1176">
      <c r="F1176" s="3"/>
      <c r="J1176" s="3"/>
    </row>
    <row r="1177">
      <c r="F1177" s="3"/>
      <c r="J1177" s="3"/>
    </row>
    <row r="1178">
      <c r="F1178" s="3"/>
      <c r="J1178" s="3"/>
    </row>
    <row r="1179">
      <c r="F1179" s="3"/>
      <c r="J1179" s="3"/>
    </row>
    <row r="1180">
      <c r="F1180" s="3"/>
      <c r="J1180" s="3"/>
    </row>
    <row r="1181">
      <c r="F1181" s="3"/>
      <c r="J1181" s="3"/>
    </row>
    <row r="1182">
      <c r="F1182" s="3"/>
      <c r="J1182" s="3"/>
    </row>
    <row r="1183">
      <c r="F1183" s="3"/>
      <c r="J1183" s="3"/>
    </row>
    <row r="1184">
      <c r="F1184" s="3"/>
      <c r="J1184" s="3"/>
    </row>
    <row r="1185">
      <c r="F1185" s="3"/>
      <c r="J1185" s="3"/>
    </row>
    <row r="1186">
      <c r="F1186" s="3"/>
      <c r="J1186" s="3"/>
    </row>
    <row r="1187">
      <c r="F1187" s="3"/>
      <c r="J1187" s="3"/>
    </row>
    <row r="1188">
      <c r="F1188" s="3"/>
      <c r="J1188" s="3"/>
    </row>
    <row r="1189">
      <c r="F1189" s="3"/>
      <c r="J1189" s="3"/>
    </row>
    <row r="1190">
      <c r="F1190" s="3"/>
      <c r="J1190" s="3"/>
    </row>
    <row r="1191">
      <c r="F1191" s="3"/>
      <c r="J1191" s="3"/>
    </row>
    <row r="1192">
      <c r="F1192" s="3"/>
      <c r="J1192" s="3"/>
    </row>
    <row r="1193">
      <c r="F1193" s="3"/>
      <c r="J1193" s="3"/>
    </row>
    <row r="1194">
      <c r="F1194" s="3"/>
      <c r="J1194" s="3"/>
    </row>
    <row r="1195">
      <c r="F1195" s="3"/>
      <c r="J1195" s="3"/>
    </row>
    <row r="1196">
      <c r="F1196" s="3"/>
      <c r="J1196" s="3"/>
    </row>
    <row r="1197">
      <c r="F1197" s="3"/>
      <c r="J1197" s="3"/>
    </row>
    <row r="1198">
      <c r="F1198" s="3"/>
      <c r="J1198" s="3"/>
    </row>
    <row r="1199">
      <c r="F1199" s="3"/>
      <c r="J1199" s="3"/>
    </row>
    <row r="1200">
      <c r="F1200" s="3"/>
      <c r="J1200" s="3"/>
    </row>
    <row r="1201">
      <c r="F1201" s="3"/>
      <c r="J1201" s="3"/>
    </row>
    <row r="1202">
      <c r="F1202" s="3"/>
      <c r="J1202" s="3"/>
    </row>
    <row r="1203">
      <c r="F1203" s="3"/>
      <c r="J1203" s="3"/>
    </row>
    <row r="1204">
      <c r="F1204" s="3"/>
      <c r="J1204" s="3"/>
    </row>
    <row r="1205">
      <c r="F1205" s="3"/>
      <c r="J1205" s="3"/>
    </row>
    <row r="1206">
      <c r="F1206" s="3"/>
      <c r="J1206" s="3"/>
    </row>
    <row r="1207">
      <c r="F1207" s="3"/>
      <c r="J1207" s="3"/>
    </row>
    <row r="1208">
      <c r="F1208" s="3"/>
      <c r="J1208" s="3"/>
    </row>
    <row r="1209">
      <c r="F1209" s="3"/>
      <c r="J1209" s="3"/>
    </row>
    <row r="1210">
      <c r="F1210" s="3"/>
      <c r="J1210" s="3"/>
    </row>
    <row r="1211">
      <c r="F1211" s="3"/>
      <c r="J1211" s="3"/>
    </row>
    <row r="1212">
      <c r="F1212" s="3"/>
      <c r="J1212" s="3"/>
    </row>
    <row r="1213">
      <c r="F1213" s="3"/>
      <c r="J1213" s="3"/>
    </row>
    <row r="1214">
      <c r="F1214" s="3"/>
      <c r="J1214" s="3"/>
    </row>
    <row r="1215">
      <c r="F1215" s="3"/>
      <c r="J1215" s="3"/>
    </row>
    <row r="1216">
      <c r="F1216" s="3"/>
      <c r="J1216" s="3"/>
    </row>
    <row r="1217">
      <c r="F1217" s="3"/>
      <c r="J1217" s="3"/>
    </row>
    <row r="1218">
      <c r="F1218" s="3"/>
      <c r="J1218" s="3"/>
    </row>
    <row r="1219">
      <c r="F1219" s="3"/>
      <c r="J1219" s="3"/>
    </row>
    <row r="1220">
      <c r="F1220" s="3"/>
      <c r="J1220" s="3"/>
    </row>
    <row r="1221">
      <c r="F1221" s="3"/>
      <c r="J1221" s="3"/>
    </row>
    <row r="1222">
      <c r="F1222" s="3"/>
      <c r="J1222" s="3"/>
    </row>
    <row r="1223">
      <c r="F1223" s="3"/>
      <c r="J1223" s="3"/>
    </row>
    <row r="1224">
      <c r="F1224" s="3"/>
      <c r="J1224" s="3"/>
    </row>
    <row r="1225">
      <c r="F1225" s="3"/>
      <c r="J1225" s="3"/>
    </row>
    <row r="1226">
      <c r="F1226" s="3"/>
      <c r="J1226" s="3"/>
    </row>
    <row r="1227">
      <c r="F1227" s="3"/>
      <c r="J1227" s="3"/>
    </row>
    <row r="1228">
      <c r="F1228" s="3"/>
      <c r="J1228" s="3"/>
    </row>
    <row r="1229">
      <c r="F1229" s="3"/>
      <c r="J1229" s="3"/>
    </row>
    <row r="1230">
      <c r="F1230" s="3"/>
      <c r="J1230" s="3"/>
    </row>
    <row r="1231">
      <c r="F1231" s="3"/>
      <c r="J1231" s="3"/>
    </row>
    <row r="1232">
      <c r="F1232" s="3"/>
      <c r="J1232" s="3"/>
    </row>
    <row r="1233">
      <c r="F1233" s="3"/>
      <c r="J1233" s="3"/>
    </row>
    <row r="1234">
      <c r="F1234" s="3"/>
      <c r="J1234" s="3"/>
    </row>
    <row r="1235">
      <c r="F1235" s="3"/>
      <c r="J1235" s="3"/>
    </row>
    <row r="1236">
      <c r="F1236" s="3"/>
      <c r="J1236" s="3"/>
    </row>
    <row r="1237">
      <c r="F1237" s="3"/>
      <c r="J1237" s="3"/>
    </row>
    <row r="1238">
      <c r="F1238" s="3"/>
      <c r="J1238" s="3"/>
    </row>
    <row r="1239">
      <c r="F1239" s="3"/>
      <c r="J1239" s="3"/>
    </row>
    <row r="1240">
      <c r="F1240" s="3"/>
      <c r="J1240" s="3"/>
    </row>
    <row r="1241">
      <c r="F1241" s="3"/>
      <c r="J1241" s="3"/>
    </row>
    <row r="1242">
      <c r="F1242" s="3"/>
      <c r="J1242" s="3"/>
    </row>
    <row r="1243">
      <c r="F1243" s="3"/>
      <c r="J1243" s="3"/>
    </row>
    <row r="1244">
      <c r="F1244" s="3"/>
      <c r="J1244" s="3"/>
    </row>
    <row r="1245">
      <c r="F1245" s="3"/>
      <c r="J1245" s="3"/>
    </row>
    <row r="1246">
      <c r="F1246" s="3"/>
      <c r="J1246" s="3"/>
    </row>
    <row r="1247">
      <c r="F1247" s="3"/>
      <c r="J1247" s="3"/>
    </row>
    <row r="1248">
      <c r="F1248" s="3"/>
      <c r="J1248" s="3"/>
    </row>
    <row r="1249">
      <c r="F1249" s="3"/>
      <c r="J1249" s="3"/>
    </row>
    <row r="1250">
      <c r="F1250" s="3"/>
      <c r="J1250" s="3"/>
    </row>
    <row r="1251">
      <c r="F1251" s="3"/>
      <c r="J1251" s="3"/>
    </row>
    <row r="1252">
      <c r="F1252" s="3"/>
      <c r="J1252" s="3"/>
    </row>
    <row r="1253">
      <c r="F1253" s="3"/>
      <c r="J1253" s="3"/>
    </row>
    <row r="1254">
      <c r="F1254" s="3"/>
      <c r="J1254" s="3"/>
    </row>
    <row r="1255">
      <c r="F1255" s="3"/>
      <c r="J1255" s="3"/>
    </row>
    <row r="1256">
      <c r="F1256" s="3"/>
      <c r="J1256" s="3"/>
    </row>
    <row r="1257">
      <c r="F1257" s="3"/>
      <c r="J1257" s="3"/>
    </row>
    <row r="1258">
      <c r="F1258" s="3"/>
      <c r="J1258" s="3"/>
    </row>
    <row r="1259">
      <c r="F1259" s="3"/>
      <c r="J1259" s="3"/>
    </row>
    <row r="1260">
      <c r="F1260" s="3"/>
      <c r="J1260" s="3"/>
    </row>
    <row r="1261">
      <c r="F1261" s="3"/>
      <c r="J1261" s="3"/>
    </row>
    <row r="1262">
      <c r="F1262" s="3"/>
      <c r="J1262" s="3"/>
    </row>
    <row r="1263">
      <c r="F1263" s="3"/>
      <c r="J1263" s="3"/>
    </row>
    <row r="1264">
      <c r="F1264" s="3"/>
      <c r="J1264" s="3"/>
    </row>
    <row r="1265">
      <c r="F1265" s="3"/>
      <c r="J1265" s="3"/>
    </row>
    <row r="1266">
      <c r="F1266" s="3"/>
      <c r="J1266" s="3"/>
    </row>
    <row r="1267">
      <c r="F1267" s="3"/>
      <c r="J1267" s="3"/>
    </row>
    <row r="1268">
      <c r="F1268" s="3"/>
      <c r="J1268" s="3"/>
    </row>
    <row r="1269">
      <c r="F1269" s="3"/>
      <c r="J1269" s="3"/>
    </row>
    <row r="1270">
      <c r="F1270" s="3"/>
      <c r="J1270" s="3"/>
    </row>
    <row r="1271">
      <c r="F1271" s="3"/>
      <c r="J1271" s="3"/>
    </row>
    <row r="1272">
      <c r="F1272" s="3"/>
      <c r="J1272" s="3"/>
    </row>
    <row r="1273">
      <c r="F1273" s="3"/>
      <c r="J1273" s="3"/>
    </row>
    <row r="1274">
      <c r="F1274" s="3"/>
      <c r="J1274" s="3"/>
    </row>
    <row r="1275">
      <c r="F1275" s="3"/>
      <c r="J1275" s="3"/>
    </row>
    <row r="1276">
      <c r="F1276" s="3"/>
      <c r="J1276" s="3"/>
    </row>
    <row r="1277">
      <c r="F1277" s="3"/>
      <c r="J1277" s="3"/>
    </row>
    <row r="1278">
      <c r="F1278" s="3"/>
      <c r="J1278" s="3"/>
    </row>
    <row r="1279">
      <c r="F1279" s="3"/>
      <c r="J1279" s="3"/>
    </row>
    <row r="1280">
      <c r="F1280" s="3"/>
      <c r="J1280" s="3"/>
    </row>
    <row r="1281">
      <c r="F1281" s="3"/>
      <c r="J1281" s="3"/>
    </row>
    <row r="1282">
      <c r="F1282" s="3"/>
      <c r="J1282" s="3"/>
    </row>
    <row r="1283">
      <c r="F1283" s="3"/>
      <c r="J1283" s="3"/>
    </row>
    <row r="1284">
      <c r="F1284" s="3"/>
      <c r="J1284" s="3"/>
    </row>
    <row r="1285">
      <c r="F1285" s="3"/>
      <c r="J1285" s="3"/>
    </row>
    <row r="1286">
      <c r="F1286" s="3"/>
      <c r="J1286" s="3"/>
    </row>
    <row r="1287">
      <c r="F1287" s="3"/>
      <c r="J1287" s="3"/>
    </row>
    <row r="1288">
      <c r="F1288" s="3"/>
      <c r="J1288" s="3"/>
    </row>
    <row r="1289">
      <c r="F1289" s="3"/>
      <c r="J1289" s="3"/>
    </row>
    <row r="1290">
      <c r="F1290" s="3"/>
      <c r="J1290" s="3"/>
    </row>
    <row r="1291">
      <c r="F1291" s="3"/>
      <c r="J1291" s="3"/>
    </row>
    <row r="1292">
      <c r="F1292" s="3"/>
      <c r="J1292" s="3"/>
    </row>
    <row r="1293">
      <c r="F1293" s="3"/>
      <c r="J1293" s="3"/>
    </row>
    <row r="1294">
      <c r="F1294" s="3"/>
      <c r="J1294" s="3"/>
    </row>
    <row r="1295">
      <c r="F1295" s="3"/>
      <c r="J1295" s="3"/>
    </row>
    <row r="1296">
      <c r="F1296" s="3"/>
      <c r="J1296" s="3"/>
    </row>
    <row r="1297">
      <c r="F1297" s="3"/>
      <c r="J1297" s="3"/>
    </row>
    <row r="1298">
      <c r="F1298" s="3"/>
      <c r="J1298" s="3"/>
    </row>
    <row r="1299">
      <c r="F1299" s="3"/>
      <c r="J1299" s="3"/>
    </row>
    <row r="1300">
      <c r="F1300" s="3"/>
      <c r="J1300" s="3"/>
    </row>
    <row r="1301">
      <c r="F1301" s="3"/>
      <c r="J1301" s="3"/>
    </row>
    <row r="1302">
      <c r="F1302" s="3"/>
      <c r="J1302" s="3"/>
    </row>
    <row r="1303">
      <c r="F1303" s="3"/>
      <c r="J1303" s="3"/>
    </row>
    <row r="1304">
      <c r="F1304" s="3"/>
      <c r="J1304" s="3"/>
    </row>
    <row r="1305">
      <c r="F1305" s="3"/>
      <c r="J1305" s="3"/>
    </row>
    <row r="1306">
      <c r="F1306" s="3"/>
      <c r="J1306" s="3"/>
    </row>
    <row r="1307">
      <c r="F1307" s="3"/>
      <c r="J1307" s="3"/>
    </row>
    <row r="1308">
      <c r="F1308" s="3"/>
      <c r="J1308" s="3"/>
    </row>
    <row r="1309">
      <c r="F1309" s="3"/>
      <c r="J1309" s="3"/>
    </row>
    <row r="1310">
      <c r="F1310" s="3"/>
      <c r="J1310" s="3"/>
    </row>
    <row r="1311">
      <c r="F1311" s="3"/>
      <c r="J1311" s="3"/>
    </row>
    <row r="1312">
      <c r="F1312" s="3"/>
      <c r="J1312" s="3"/>
    </row>
    <row r="1313">
      <c r="F1313" s="3"/>
      <c r="J1313" s="3"/>
    </row>
    <row r="1314">
      <c r="F1314" s="3"/>
      <c r="J1314" s="3"/>
    </row>
    <row r="1315">
      <c r="F1315" s="3"/>
      <c r="J1315" s="3"/>
    </row>
    <row r="1316">
      <c r="F1316" s="3"/>
      <c r="J1316" s="3"/>
    </row>
    <row r="1317">
      <c r="F1317" s="3"/>
      <c r="J1317" s="3"/>
    </row>
    <row r="1318">
      <c r="F1318" s="3"/>
      <c r="J1318" s="3"/>
    </row>
    <row r="1319">
      <c r="F1319" s="3"/>
      <c r="J1319" s="3"/>
    </row>
    <row r="1320">
      <c r="F1320" s="3"/>
      <c r="J1320" s="3"/>
    </row>
    <row r="1321">
      <c r="F1321" s="3"/>
      <c r="J1321" s="3"/>
    </row>
    <row r="1322">
      <c r="F1322" s="3"/>
      <c r="J1322" s="3"/>
    </row>
    <row r="1323">
      <c r="F1323" s="3"/>
      <c r="J1323" s="3"/>
    </row>
    <row r="1324">
      <c r="F1324" s="3"/>
      <c r="J1324" s="3"/>
    </row>
    <row r="1325">
      <c r="F1325" s="3"/>
      <c r="J1325" s="3"/>
    </row>
    <row r="1326">
      <c r="F1326" s="3"/>
      <c r="J1326" s="3"/>
    </row>
    <row r="1327">
      <c r="F1327" s="3"/>
      <c r="J1327" s="3"/>
    </row>
    <row r="1328">
      <c r="F1328" s="3"/>
      <c r="J1328" s="3"/>
    </row>
    <row r="1329">
      <c r="F1329" s="3"/>
      <c r="J1329" s="3"/>
    </row>
    <row r="1330">
      <c r="F1330" s="3"/>
      <c r="J1330" s="3"/>
    </row>
    <row r="1331">
      <c r="F1331" s="3"/>
      <c r="J1331" s="3"/>
    </row>
    <row r="1332">
      <c r="F1332" s="3"/>
      <c r="J1332" s="3"/>
    </row>
    <row r="1333">
      <c r="F1333" s="3"/>
      <c r="J1333" s="3"/>
    </row>
    <row r="1334">
      <c r="F1334" s="3"/>
      <c r="J1334" s="3"/>
    </row>
    <row r="1335">
      <c r="F1335" s="3"/>
      <c r="J1335" s="3"/>
    </row>
    <row r="1336">
      <c r="F1336" s="3"/>
      <c r="J1336" s="3"/>
    </row>
    <row r="1337">
      <c r="F1337" s="3"/>
      <c r="J1337" s="3"/>
    </row>
    <row r="1338">
      <c r="F1338" s="3"/>
      <c r="J1338" s="3"/>
    </row>
    <row r="1339">
      <c r="F1339" s="3"/>
      <c r="J1339" s="3"/>
    </row>
    <row r="1340">
      <c r="F1340" s="3"/>
      <c r="J1340" s="3"/>
    </row>
    <row r="1341">
      <c r="F1341" s="3"/>
      <c r="J1341" s="3"/>
    </row>
    <row r="1342">
      <c r="F1342" s="3"/>
      <c r="J1342" s="3"/>
    </row>
    <row r="1343">
      <c r="F1343" s="3"/>
      <c r="J1343" s="3"/>
    </row>
    <row r="1344">
      <c r="F1344" s="3"/>
      <c r="J1344" s="3"/>
    </row>
    <row r="1345">
      <c r="F1345" s="3"/>
      <c r="J1345" s="3"/>
    </row>
    <row r="1346">
      <c r="F1346" s="3"/>
      <c r="J1346" s="3"/>
    </row>
    <row r="1347">
      <c r="F1347" s="3"/>
      <c r="J1347" s="3"/>
    </row>
    <row r="1348">
      <c r="F1348" s="3"/>
      <c r="J1348" s="3"/>
    </row>
    <row r="1349">
      <c r="F1349" s="3"/>
      <c r="J1349" s="3"/>
    </row>
    <row r="1350">
      <c r="F1350" s="3"/>
      <c r="J1350" s="3"/>
    </row>
    <row r="1351">
      <c r="F1351" s="3"/>
      <c r="J1351" s="3"/>
    </row>
    <row r="1352">
      <c r="F1352" s="3"/>
      <c r="J1352" s="3"/>
    </row>
    <row r="1353">
      <c r="F1353" s="3"/>
      <c r="J1353" s="3"/>
    </row>
    <row r="1354">
      <c r="F1354" s="3"/>
      <c r="J1354" s="3"/>
    </row>
    <row r="1355">
      <c r="F1355" s="3"/>
      <c r="J1355" s="3"/>
    </row>
    <row r="1356">
      <c r="F1356" s="3"/>
      <c r="J1356" s="3"/>
    </row>
    <row r="1357">
      <c r="F1357" s="3"/>
      <c r="J1357" s="3"/>
    </row>
    <row r="1358">
      <c r="F1358" s="3"/>
      <c r="J1358" s="3"/>
    </row>
    <row r="1359">
      <c r="F1359" s="3"/>
      <c r="J1359" s="3"/>
    </row>
    <row r="1360">
      <c r="F1360" s="3"/>
      <c r="J1360" s="3"/>
    </row>
    <row r="1361">
      <c r="F1361" s="3"/>
      <c r="J1361" s="3"/>
    </row>
    <row r="1362">
      <c r="F1362" s="3"/>
      <c r="J1362" s="3"/>
    </row>
    <row r="1363">
      <c r="F1363" s="3"/>
      <c r="J1363" s="3"/>
    </row>
    <row r="1364">
      <c r="F1364" s="3"/>
      <c r="J1364" s="3"/>
    </row>
    <row r="1365">
      <c r="F1365" s="3"/>
      <c r="J1365" s="3"/>
    </row>
    <row r="1366">
      <c r="F1366" s="3"/>
      <c r="J1366" s="3"/>
    </row>
    <row r="1367">
      <c r="F1367" s="3"/>
      <c r="J1367" s="3"/>
    </row>
    <row r="1368">
      <c r="F1368" s="3"/>
      <c r="J1368" s="3"/>
    </row>
    <row r="1369">
      <c r="F1369" s="3"/>
      <c r="J1369" s="3"/>
    </row>
    <row r="1370">
      <c r="F1370" s="3"/>
      <c r="J1370" s="3"/>
    </row>
    <row r="1371">
      <c r="F1371" s="3"/>
      <c r="J1371" s="3"/>
    </row>
    <row r="1372">
      <c r="F1372" s="3"/>
      <c r="J1372" s="3"/>
    </row>
    <row r="1373">
      <c r="F1373" s="3"/>
      <c r="J1373" s="3"/>
    </row>
    <row r="1374">
      <c r="F1374" s="3"/>
      <c r="J1374" s="3"/>
    </row>
    <row r="1375">
      <c r="F1375" s="3"/>
      <c r="J1375" s="3"/>
    </row>
    <row r="1376">
      <c r="F1376" s="3"/>
      <c r="J1376" s="3"/>
    </row>
    <row r="1377">
      <c r="F1377" s="3"/>
      <c r="J1377" s="3"/>
    </row>
    <row r="1378">
      <c r="F1378" s="3"/>
      <c r="J1378" s="3"/>
    </row>
    <row r="1379">
      <c r="F1379" s="3"/>
      <c r="J1379" s="3"/>
    </row>
    <row r="1380">
      <c r="F1380" s="3"/>
      <c r="J1380" s="3"/>
    </row>
    <row r="1381">
      <c r="F1381" s="3"/>
      <c r="J1381" s="3"/>
    </row>
    <row r="1382">
      <c r="F1382" s="3"/>
      <c r="J1382" s="3"/>
    </row>
    <row r="1383">
      <c r="F1383" s="3"/>
      <c r="J1383" s="3"/>
    </row>
    <row r="1384">
      <c r="F1384" s="3"/>
      <c r="J1384" s="3"/>
    </row>
    <row r="1385">
      <c r="F1385" s="3"/>
      <c r="J1385" s="3"/>
    </row>
    <row r="1386">
      <c r="F1386" s="3"/>
      <c r="J1386" s="3"/>
    </row>
    <row r="1387">
      <c r="F1387" s="3"/>
      <c r="J1387" s="3"/>
    </row>
    <row r="1388">
      <c r="F1388" s="3"/>
      <c r="J1388" s="3"/>
    </row>
    <row r="1389">
      <c r="F1389" s="3"/>
      <c r="J1389" s="3"/>
    </row>
    <row r="1390">
      <c r="F1390" s="3"/>
      <c r="J1390" s="3"/>
    </row>
    <row r="1391">
      <c r="F1391" s="3"/>
      <c r="J1391" s="3"/>
    </row>
    <row r="1392">
      <c r="F1392" s="3"/>
      <c r="J1392" s="3"/>
    </row>
    <row r="1393">
      <c r="F1393" s="3"/>
      <c r="J1393" s="3"/>
    </row>
    <row r="1394">
      <c r="F1394" s="3"/>
      <c r="J1394" s="3"/>
    </row>
    <row r="1395">
      <c r="F1395" s="3"/>
      <c r="J1395" s="3"/>
    </row>
    <row r="1396">
      <c r="F1396" s="3"/>
      <c r="J1396" s="3"/>
    </row>
    <row r="1397">
      <c r="F1397" s="3"/>
      <c r="J1397" s="3"/>
    </row>
    <row r="1398">
      <c r="F1398" s="3"/>
      <c r="J1398" s="3"/>
    </row>
    <row r="1399">
      <c r="F1399" s="3"/>
      <c r="J1399" s="3"/>
    </row>
    <row r="1400">
      <c r="F1400" s="3"/>
      <c r="J1400" s="3"/>
    </row>
    <row r="1401">
      <c r="F1401" s="3"/>
      <c r="J1401" s="3"/>
    </row>
    <row r="1402">
      <c r="F1402" s="3"/>
      <c r="J1402" s="3"/>
    </row>
    <row r="1403">
      <c r="F1403" s="3"/>
      <c r="J1403" s="3"/>
    </row>
    <row r="1404">
      <c r="F1404" s="3"/>
      <c r="J1404" s="3"/>
    </row>
    <row r="1405">
      <c r="F1405" s="3"/>
      <c r="J1405" s="3"/>
    </row>
    <row r="1406">
      <c r="F1406" s="3"/>
      <c r="J1406" s="3"/>
    </row>
    <row r="1407">
      <c r="F1407" s="3"/>
      <c r="J1407" s="3"/>
    </row>
    <row r="1408">
      <c r="F1408" s="3"/>
      <c r="J1408" s="3"/>
    </row>
    <row r="1409">
      <c r="F1409" s="3"/>
      <c r="J1409" s="3"/>
    </row>
    <row r="1410">
      <c r="F1410" s="3"/>
      <c r="J1410" s="3"/>
    </row>
    <row r="1411">
      <c r="F1411" s="3"/>
      <c r="J1411" s="3"/>
    </row>
    <row r="1412">
      <c r="F1412" s="3"/>
      <c r="J1412" s="3"/>
    </row>
    <row r="1413">
      <c r="F1413" s="3"/>
      <c r="J1413" s="3"/>
    </row>
    <row r="1414">
      <c r="F1414" s="3"/>
      <c r="J1414" s="3"/>
    </row>
    <row r="1415">
      <c r="F1415" s="3"/>
      <c r="J1415" s="3"/>
    </row>
    <row r="1416">
      <c r="F1416" s="3"/>
      <c r="J1416" s="3"/>
    </row>
    <row r="1417">
      <c r="F1417" s="3"/>
      <c r="J1417" s="3"/>
    </row>
    <row r="1418">
      <c r="F1418" s="3"/>
      <c r="J1418" s="3"/>
    </row>
    <row r="1419">
      <c r="F1419" s="3"/>
      <c r="J1419" s="3"/>
    </row>
    <row r="1420">
      <c r="F1420" s="3"/>
      <c r="J1420" s="3"/>
    </row>
    <row r="1421">
      <c r="F1421" s="3"/>
      <c r="J1421" s="3"/>
    </row>
    <row r="1422">
      <c r="F1422" s="3"/>
      <c r="J1422" s="3"/>
    </row>
    <row r="1423">
      <c r="F1423" s="3"/>
      <c r="J1423" s="3"/>
    </row>
    <row r="1424">
      <c r="F1424" s="3"/>
      <c r="J1424" s="3"/>
    </row>
    <row r="1425">
      <c r="F1425" s="3"/>
      <c r="J1425" s="3"/>
    </row>
    <row r="1426">
      <c r="F1426" s="3"/>
      <c r="J1426" s="3"/>
    </row>
    <row r="1427">
      <c r="F1427" s="3"/>
      <c r="J1427" s="3"/>
    </row>
    <row r="1428">
      <c r="F1428" s="3"/>
      <c r="J1428" s="3"/>
    </row>
    <row r="1429">
      <c r="F1429" s="3"/>
      <c r="J1429" s="3"/>
    </row>
    <row r="1430">
      <c r="F1430" s="3"/>
      <c r="J1430" s="3"/>
    </row>
    <row r="1431">
      <c r="F1431" s="3"/>
      <c r="J1431" s="3"/>
    </row>
    <row r="1432">
      <c r="F1432" s="3"/>
      <c r="J1432" s="3"/>
    </row>
    <row r="1433">
      <c r="F1433" s="3"/>
      <c r="J1433" s="3"/>
    </row>
    <row r="1434">
      <c r="F1434" s="3"/>
      <c r="J1434" s="3"/>
    </row>
    <row r="1435">
      <c r="F1435" s="3"/>
      <c r="J1435" s="3"/>
    </row>
    <row r="1436">
      <c r="F1436" s="3"/>
      <c r="J1436" s="3"/>
    </row>
    <row r="1437">
      <c r="F1437" s="3"/>
      <c r="J1437" s="3"/>
    </row>
    <row r="1438">
      <c r="F1438" s="3"/>
      <c r="J1438" s="3"/>
    </row>
    <row r="1439">
      <c r="F1439" s="3"/>
      <c r="J1439" s="3"/>
    </row>
    <row r="1440">
      <c r="F1440" s="3"/>
      <c r="J1440" s="3"/>
    </row>
    <row r="1441">
      <c r="F1441" s="3"/>
      <c r="J1441" s="3"/>
    </row>
    <row r="1442">
      <c r="F1442" s="3"/>
      <c r="J1442" s="3"/>
    </row>
    <row r="1443">
      <c r="F1443" s="3"/>
      <c r="J1443" s="3"/>
    </row>
    <row r="1444">
      <c r="F1444" s="3"/>
      <c r="J1444" s="3"/>
    </row>
    <row r="1445">
      <c r="F1445" s="3"/>
      <c r="J1445" s="3"/>
    </row>
    <row r="1446">
      <c r="F1446" s="3"/>
      <c r="J1446" s="3"/>
    </row>
    <row r="1447">
      <c r="F1447" s="3"/>
      <c r="J1447" s="3"/>
    </row>
    <row r="1448">
      <c r="F1448" s="3"/>
      <c r="J1448" s="3"/>
    </row>
    <row r="1449">
      <c r="F1449" s="3"/>
      <c r="J1449" s="3"/>
    </row>
    <row r="1450">
      <c r="F1450" s="3"/>
      <c r="J1450" s="3"/>
    </row>
    <row r="1451">
      <c r="F1451" s="3"/>
      <c r="J1451" s="3"/>
    </row>
    <row r="1452">
      <c r="F1452" s="3"/>
      <c r="J1452" s="3"/>
    </row>
    <row r="1453">
      <c r="F1453" s="3"/>
      <c r="J1453" s="3"/>
    </row>
    <row r="1454">
      <c r="F1454" s="3"/>
      <c r="J1454" s="3"/>
    </row>
    <row r="1455">
      <c r="F1455" s="3"/>
      <c r="J1455" s="3"/>
    </row>
    <row r="1456">
      <c r="F1456" s="3"/>
      <c r="J1456" s="3"/>
    </row>
    <row r="1457">
      <c r="F1457" s="3"/>
      <c r="J1457" s="3"/>
    </row>
    <row r="1458">
      <c r="F1458" s="3"/>
      <c r="J1458" s="3"/>
    </row>
    <row r="1459">
      <c r="F1459" s="3"/>
      <c r="J1459" s="3"/>
    </row>
    <row r="1460">
      <c r="F1460" s="3"/>
      <c r="J1460" s="3"/>
    </row>
    <row r="1461">
      <c r="F1461" s="3"/>
      <c r="J1461" s="3"/>
    </row>
    <row r="1462">
      <c r="F1462" s="3"/>
      <c r="J1462" s="3"/>
    </row>
    <row r="1463">
      <c r="F1463" s="3"/>
      <c r="J1463" s="3"/>
    </row>
    <row r="1464">
      <c r="F1464" s="3"/>
      <c r="J1464" s="3"/>
    </row>
    <row r="1465">
      <c r="F1465" s="3"/>
      <c r="J1465" s="3"/>
    </row>
    <row r="1466">
      <c r="F1466" s="3"/>
      <c r="J1466" s="3"/>
    </row>
    <row r="1467">
      <c r="F1467" s="3"/>
      <c r="J1467" s="3"/>
    </row>
    <row r="1468">
      <c r="F1468" s="3"/>
      <c r="J1468" s="3"/>
    </row>
    <row r="1469">
      <c r="F1469" s="3"/>
      <c r="J1469" s="3"/>
    </row>
    <row r="1470">
      <c r="F1470" s="3"/>
      <c r="J1470" s="3"/>
    </row>
    <row r="1471">
      <c r="F1471" s="3"/>
      <c r="J1471" s="3"/>
    </row>
    <row r="1472">
      <c r="F1472" s="3"/>
      <c r="J1472" s="3"/>
    </row>
    <row r="1473">
      <c r="F1473" s="3"/>
      <c r="J1473" s="3"/>
    </row>
    <row r="1474">
      <c r="F1474" s="3"/>
      <c r="J1474" s="3"/>
    </row>
    <row r="1475">
      <c r="F1475" s="3"/>
      <c r="J1475" s="3"/>
    </row>
    <row r="1476">
      <c r="F1476" s="3"/>
      <c r="J1476" s="3"/>
    </row>
    <row r="1477">
      <c r="F1477" s="3"/>
      <c r="J1477" s="3"/>
    </row>
    <row r="1478">
      <c r="F1478" s="3"/>
      <c r="J1478" s="3"/>
    </row>
    <row r="1479">
      <c r="F1479" s="3"/>
      <c r="J1479" s="3"/>
    </row>
    <row r="1480">
      <c r="F1480" s="3"/>
      <c r="J1480" s="3"/>
    </row>
    <row r="1481">
      <c r="F1481" s="3"/>
      <c r="J1481" s="3"/>
    </row>
    <row r="1482">
      <c r="F1482" s="3"/>
      <c r="J1482" s="3"/>
    </row>
    <row r="1483">
      <c r="F1483" s="3"/>
      <c r="J1483" s="3"/>
    </row>
    <row r="1484">
      <c r="F1484" s="3"/>
      <c r="J1484" s="3"/>
    </row>
    <row r="1485">
      <c r="F1485" s="3"/>
      <c r="J1485" s="3"/>
    </row>
    <row r="1486">
      <c r="F1486" s="3"/>
      <c r="J1486" s="3"/>
    </row>
    <row r="1487">
      <c r="F1487" s="3"/>
      <c r="J1487" s="3"/>
    </row>
    <row r="1488">
      <c r="F1488" s="3"/>
      <c r="J1488" s="3"/>
    </row>
    <row r="1489">
      <c r="F1489" s="3"/>
      <c r="J1489" s="3"/>
    </row>
    <row r="1490">
      <c r="F1490" s="3"/>
      <c r="J1490" s="3"/>
    </row>
    <row r="1491">
      <c r="F1491" s="3"/>
      <c r="J1491" s="3"/>
    </row>
    <row r="1492">
      <c r="F1492" s="3"/>
      <c r="J1492" s="3"/>
    </row>
    <row r="1493">
      <c r="F1493" s="3"/>
      <c r="J1493" s="3"/>
    </row>
    <row r="1494">
      <c r="F1494" s="3"/>
      <c r="J1494" s="3"/>
    </row>
    <row r="1495">
      <c r="F1495" s="3"/>
      <c r="J1495" s="3"/>
    </row>
    <row r="1496">
      <c r="F1496" s="3"/>
      <c r="J1496" s="3"/>
    </row>
    <row r="1497">
      <c r="F1497" s="3"/>
      <c r="J1497" s="3"/>
    </row>
    <row r="1498">
      <c r="F1498" s="3"/>
      <c r="J1498" s="3"/>
    </row>
    <row r="1499">
      <c r="F1499" s="3"/>
      <c r="J1499" s="3"/>
    </row>
    <row r="1500">
      <c r="F1500" s="3"/>
      <c r="J1500" s="3"/>
    </row>
    <row r="1501">
      <c r="F1501" s="3"/>
      <c r="J1501" s="3"/>
    </row>
    <row r="1502">
      <c r="F1502" s="3"/>
      <c r="J1502" s="3"/>
    </row>
    <row r="1503">
      <c r="F1503" s="3"/>
      <c r="J1503" s="3"/>
    </row>
    <row r="1504">
      <c r="F1504" s="3"/>
      <c r="J1504" s="3"/>
    </row>
    <row r="1505">
      <c r="F1505" s="3"/>
      <c r="J1505" s="3"/>
    </row>
    <row r="1506">
      <c r="F1506" s="3"/>
      <c r="J1506" s="3"/>
    </row>
    <row r="1507">
      <c r="F1507" s="3"/>
      <c r="J1507" s="3"/>
    </row>
    <row r="1508">
      <c r="F1508" s="3"/>
      <c r="J1508" s="3"/>
    </row>
    <row r="1509">
      <c r="F1509" s="3"/>
      <c r="J1509" s="3"/>
    </row>
    <row r="1510">
      <c r="F1510" s="3"/>
      <c r="J1510" s="3"/>
    </row>
    <row r="1511">
      <c r="F1511" s="3"/>
      <c r="J1511" s="3"/>
    </row>
    <row r="1512">
      <c r="F1512" s="3"/>
      <c r="J1512" s="3"/>
    </row>
    <row r="1513">
      <c r="F1513" s="3"/>
      <c r="J1513" s="3"/>
    </row>
    <row r="1514">
      <c r="F1514" s="3"/>
      <c r="J1514" s="3"/>
    </row>
    <row r="1515">
      <c r="F1515" s="3"/>
      <c r="J1515" s="3"/>
    </row>
    <row r="1516">
      <c r="F1516" s="3"/>
      <c r="J1516" s="3"/>
    </row>
    <row r="1517">
      <c r="F1517" s="3"/>
      <c r="J1517" s="3"/>
    </row>
    <row r="1518">
      <c r="F1518" s="3"/>
      <c r="J1518" s="3"/>
    </row>
    <row r="1519">
      <c r="F1519" s="3"/>
      <c r="J1519" s="3"/>
    </row>
    <row r="1520">
      <c r="F1520" s="3"/>
      <c r="J1520" s="3"/>
    </row>
    <row r="1521">
      <c r="F1521" s="3"/>
      <c r="J1521" s="3"/>
    </row>
    <row r="1522">
      <c r="F1522" s="3"/>
      <c r="J1522" s="3"/>
    </row>
    <row r="1523">
      <c r="F1523" s="3"/>
      <c r="J1523" s="3"/>
    </row>
    <row r="1524">
      <c r="F1524" s="3"/>
      <c r="J1524" s="3"/>
    </row>
    <row r="1525">
      <c r="F1525" s="3"/>
      <c r="J1525" s="3"/>
    </row>
    <row r="1526">
      <c r="F1526" s="3"/>
      <c r="J1526" s="3"/>
    </row>
    <row r="1527">
      <c r="F1527" s="3"/>
      <c r="J1527" s="3"/>
    </row>
    <row r="1528">
      <c r="F1528" s="3"/>
      <c r="J1528" s="3"/>
    </row>
    <row r="1529">
      <c r="F1529" s="3"/>
      <c r="J1529" s="3"/>
    </row>
    <row r="1530">
      <c r="F1530" s="3"/>
      <c r="J1530" s="3"/>
    </row>
    <row r="1531">
      <c r="F1531" s="3"/>
      <c r="J1531" s="3"/>
    </row>
    <row r="1532">
      <c r="F1532" s="3"/>
      <c r="J1532" s="3"/>
    </row>
    <row r="1533">
      <c r="F1533" s="3"/>
      <c r="J1533" s="3"/>
    </row>
    <row r="1534">
      <c r="F1534" s="3"/>
      <c r="J1534" s="3"/>
    </row>
    <row r="1535">
      <c r="F1535" s="3"/>
      <c r="J1535" s="3"/>
    </row>
    <row r="1536">
      <c r="F1536" s="3"/>
      <c r="J1536" s="3"/>
    </row>
    <row r="1537">
      <c r="F1537" s="3"/>
      <c r="J1537" s="3"/>
    </row>
    <row r="1538">
      <c r="F1538" s="3"/>
      <c r="J1538" s="3"/>
    </row>
    <row r="1539">
      <c r="F1539" s="3"/>
      <c r="J1539" s="3"/>
    </row>
    <row r="1540">
      <c r="F1540" s="3"/>
      <c r="J1540" s="3"/>
    </row>
    <row r="1541">
      <c r="F1541" s="3"/>
      <c r="J1541" s="3"/>
    </row>
    <row r="1542">
      <c r="F1542" s="3"/>
      <c r="J1542" s="3"/>
    </row>
    <row r="1543">
      <c r="F1543" s="3"/>
      <c r="J1543" s="3"/>
    </row>
    <row r="1544">
      <c r="F1544" s="3"/>
      <c r="J1544" s="3"/>
    </row>
    <row r="1545">
      <c r="F1545" s="3"/>
      <c r="J1545" s="3"/>
    </row>
    <row r="1546">
      <c r="F1546" s="3"/>
      <c r="J1546" s="3"/>
    </row>
    <row r="1547">
      <c r="F1547" s="3"/>
      <c r="J1547" s="3"/>
    </row>
    <row r="1548">
      <c r="F1548" s="3"/>
      <c r="J1548" s="3"/>
    </row>
    <row r="1549">
      <c r="F1549" s="3"/>
      <c r="J1549" s="3"/>
    </row>
    <row r="1550">
      <c r="F1550" s="3"/>
      <c r="J1550" s="3"/>
    </row>
    <row r="1551">
      <c r="F1551" s="3"/>
      <c r="J1551" s="3"/>
    </row>
    <row r="1552">
      <c r="F1552" s="3"/>
      <c r="J1552" s="3"/>
    </row>
    <row r="1553">
      <c r="F1553" s="3"/>
      <c r="J1553" s="3"/>
    </row>
    <row r="1554">
      <c r="F1554" s="3"/>
      <c r="J1554" s="3"/>
    </row>
    <row r="1555">
      <c r="F1555" s="3"/>
      <c r="J1555" s="3"/>
    </row>
    <row r="1556">
      <c r="F1556" s="3"/>
      <c r="J1556" s="3"/>
    </row>
    <row r="1557">
      <c r="F1557" s="3"/>
      <c r="J1557" s="3"/>
    </row>
    <row r="1558">
      <c r="F1558" s="3"/>
      <c r="J1558" s="3"/>
    </row>
    <row r="1559">
      <c r="F1559" s="3"/>
      <c r="J1559" s="3"/>
    </row>
    <row r="1560">
      <c r="F1560" s="3"/>
      <c r="J1560" s="3"/>
    </row>
    <row r="1561">
      <c r="F1561" s="3"/>
      <c r="J1561" s="3"/>
    </row>
    <row r="1562">
      <c r="F1562" s="3"/>
      <c r="J1562" s="3"/>
    </row>
    <row r="1563">
      <c r="F1563" s="3"/>
      <c r="J1563" s="3"/>
    </row>
    <row r="1564">
      <c r="F1564" s="3"/>
      <c r="J1564" s="3"/>
    </row>
    <row r="1565">
      <c r="F1565" s="3"/>
      <c r="J1565" s="3"/>
    </row>
    <row r="1566">
      <c r="F1566" s="3"/>
      <c r="J1566" s="3"/>
    </row>
    <row r="1567">
      <c r="F1567" s="3"/>
      <c r="J1567" s="3"/>
    </row>
    <row r="1568">
      <c r="F1568" s="3"/>
      <c r="J1568" s="3"/>
    </row>
    <row r="1569">
      <c r="F1569" s="3"/>
      <c r="J1569" s="3"/>
    </row>
    <row r="1570">
      <c r="F1570" s="3"/>
      <c r="J1570" s="3"/>
    </row>
    <row r="1571">
      <c r="F1571" s="3"/>
      <c r="J1571" s="3"/>
    </row>
    <row r="1572">
      <c r="F1572" s="3"/>
      <c r="J1572" s="3"/>
    </row>
    <row r="1573">
      <c r="F1573" s="3"/>
      <c r="J1573" s="3"/>
    </row>
    <row r="1574">
      <c r="F1574" s="3"/>
      <c r="J1574" s="3"/>
    </row>
    <row r="1575">
      <c r="F1575" s="3"/>
      <c r="J1575" s="3"/>
    </row>
    <row r="1576">
      <c r="F1576" s="3"/>
      <c r="J1576" s="3"/>
    </row>
    <row r="1577">
      <c r="F1577" s="3"/>
      <c r="J1577" s="3"/>
    </row>
    <row r="1578">
      <c r="F1578" s="3"/>
      <c r="J1578" s="3"/>
    </row>
    <row r="1579">
      <c r="F1579" s="3"/>
      <c r="J1579" s="3"/>
    </row>
    <row r="1580">
      <c r="F1580" s="3"/>
      <c r="J1580" s="3"/>
    </row>
    <row r="1581">
      <c r="F1581" s="3"/>
      <c r="J1581" s="3"/>
    </row>
    <row r="1582">
      <c r="F1582" s="3"/>
      <c r="J1582" s="3"/>
    </row>
    <row r="1583">
      <c r="F1583" s="3"/>
      <c r="J1583" s="3"/>
    </row>
    <row r="1584">
      <c r="F1584" s="3"/>
      <c r="J1584" s="3"/>
    </row>
    <row r="1585">
      <c r="F1585" s="3"/>
      <c r="J1585" s="3"/>
    </row>
    <row r="1586">
      <c r="F1586" s="3"/>
      <c r="J1586" s="3"/>
    </row>
    <row r="1587">
      <c r="F1587" s="3"/>
      <c r="J1587" s="3"/>
    </row>
    <row r="1588">
      <c r="F1588" s="3"/>
      <c r="J1588" s="3"/>
    </row>
    <row r="1589">
      <c r="F1589" s="3"/>
      <c r="J1589" s="3"/>
    </row>
    <row r="1590">
      <c r="F1590" s="3"/>
      <c r="J1590" s="3"/>
    </row>
    <row r="1591">
      <c r="F1591" s="3"/>
      <c r="J1591" s="3"/>
    </row>
    <row r="1592">
      <c r="F1592" s="3"/>
      <c r="J1592" s="3"/>
    </row>
    <row r="1593">
      <c r="F1593" s="3"/>
      <c r="J1593" s="3"/>
    </row>
    <row r="1594">
      <c r="F1594" s="3"/>
      <c r="J1594" s="3"/>
    </row>
    <row r="1595">
      <c r="F1595" s="3"/>
      <c r="J1595" s="3"/>
    </row>
    <row r="1596">
      <c r="F1596" s="3"/>
      <c r="J1596" s="3"/>
    </row>
    <row r="1597">
      <c r="F1597" s="3"/>
      <c r="J1597" s="3"/>
    </row>
    <row r="1598">
      <c r="F1598" s="3"/>
      <c r="J1598" s="3"/>
    </row>
    <row r="1599">
      <c r="F1599" s="3"/>
      <c r="J1599" s="3"/>
    </row>
    <row r="1600">
      <c r="F1600" s="3"/>
      <c r="J1600" s="3"/>
    </row>
    <row r="1601">
      <c r="F1601" s="3"/>
      <c r="J1601" s="3"/>
    </row>
    <row r="1602">
      <c r="F1602" s="3"/>
      <c r="J1602" s="3"/>
    </row>
    <row r="1603">
      <c r="F1603" s="3"/>
      <c r="J1603" s="3"/>
    </row>
    <row r="1604">
      <c r="F1604" s="3"/>
      <c r="J1604" s="3"/>
    </row>
    <row r="1605">
      <c r="F1605" s="3"/>
      <c r="J1605" s="3"/>
    </row>
    <row r="1606">
      <c r="F1606" s="3"/>
      <c r="J1606" s="3"/>
    </row>
    <row r="1607">
      <c r="F1607" s="3"/>
      <c r="J1607" s="3"/>
    </row>
    <row r="1608">
      <c r="F1608" s="3"/>
      <c r="J1608" s="3"/>
    </row>
    <row r="1609">
      <c r="F1609" s="3"/>
      <c r="J1609" s="3"/>
    </row>
    <row r="1610">
      <c r="F1610" s="3"/>
      <c r="J1610" s="3"/>
    </row>
    <row r="1611">
      <c r="F1611" s="3"/>
      <c r="J1611" s="3"/>
    </row>
    <row r="1612">
      <c r="F1612" s="3"/>
      <c r="J1612" s="3"/>
    </row>
    <row r="1613">
      <c r="F1613" s="3"/>
      <c r="J1613" s="3"/>
    </row>
    <row r="1614">
      <c r="F1614" s="3"/>
      <c r="J1614" s="3"/>
    </row>
    <row r="1615">
      <c r="F1615" s="3"/>
      <c r="J1615" s="3"/>
    </row>
    <row r="1616">
      <c r="F1616" s="3"/>
      <c r="J1616" s="3"/>
    </row>
    <row r="1617">
      <c r="F1617" s="3"/>
      <c r="J1617" s="3"/>
    </row>
    <row r="1618">
      <c r="F1618" s="3"/>
      <c r="J1618" s="3"/>
    </row>
    <row r="1619">
      <c r="F1619" s="3"/>
      <c r="J1619" s="3"/>
    </row>
    <row r="1620">
      <c r="F1620" s="3"/>
      <c r="J1620" s="3"/>
    </row>
    <row r="1621">
      <c r="F1621" s="3"/>
      <c r="J1621" s="3"/>
    </row>
    <row r="1622">
      <c r="F1622" s="3"/>
      <c r="J1622" s="3"/>
    </row>
    <row r="1623">
      <c r="F1623" s="3"/>
      <c r="J1623" s="3"/>
    </row>
    <row r="1624">
      <c r="F1624" s="3"/>
      <c r="J1624" s="3"/>
    </row>
    <row r="1625">
      <c r="F1625" s="3"/>
      <c r="J1625" s="3"/>
    </row>
    <row r="1626">
      <c r="F1626" s="3"/>
      <c r="J1626" s="3"/>
    </row>
    <row r="1627">
      <c r="F1627" s="3"/>
      <c r="J1627" s="3"/>
    </row>
    <row r="1628">
      <c r="F1628" s="3"/>
      <c r="J1628" s="3"/>
    </row>
    <row r="1629">
      <c r="F1629" s="3"/>
      <c r="J1629" s="3"/>
    </row>
    <row r="1630">
      <c r="F1630" s="3"/>
      <c r="J1630" s="3"/>
    </row>
    <row r="1631">
      <c r="F1631" s="3"/>
      <c r="J1631" s="3"/>
    </row>
    <row r="1632">
      <c r="F1632" s="3"/>
      <c r="J1632" s="3"/>
    </row>
    <row r="1633">
      <c r="F1633" s="3"/>
      <c r="J1633" s="3"/>
    </row>
    <row r="1634">
      <c r="F1634" s="3"/>
      <c r="J1634" s="3"/>
    </row>
    <row r="1635">
      <c r="F1635" s="3"/>
      <c r="J1635" s="3"/>
    </row>
    <row r="1636">
      <c r="F1636" s="3"/>
      <c r="J1636" s="3"/>
    </row>
    <row r="1637">
      <c r="F1637" s="3"/>
      <c r="J1637" s="3"/>
    </row>
    <row r="1638">
      <c r="F1638" s="3"/>
      <c r="J1638" s="3"/>
    </row>
    <row r="1639">
      <c r="F1639" s="3"/>
      <c r="J1639" s="3"/>
    </row>
    <row r="1640">
      <c r="F1640" s="3"/>
      <c r="J1640" s="3"/>
    </row>
    <row r="1641">
      <c r="F1641" s="3"/>
      <c r="J1641" s="3"/>
    </row>
    <row r="1642">
      <c r="F1642" s="3"/>
      <c r="J1642" s="3"/>
    </row>
    <row r="1643">
      <c r="F1643" s="3"/>
      <c r="J1643" s="3"/>
    </row>
    <row r="1644">
      <c r="F1644" s="3"/>
      <c r="J1644" s="3"/>
    </row>
    <row r="1645">
      <c r="F1645" s="3"/>
      <c r="J1645" s="3"/>
    </row>
    <row r="1646">
      <c r="F1646" s="3"/>
      <c r="J1646" s="3"/>
    </row>
    <row r="1647">
      <c r="F1647" s="3"/>
      <c r="J1647" s="3"/>
    </row>
    <row r="1648">
      <c r="F1648" s="3"/>
      <c r="J1648" s="3"/>
    </row>
    <row r="1649">
      <c r="F1649" s="3"/>
      <c r="J1649" s="3"/>
    </row>
    <row r="1650">
      <c r="F1650" s="3"/>
      <c r="J1650" s="3"/>
    </row>
    <row r="1651">
      <c r="F1651" s="3"/>
      <c r="J1651" s="3"/>
    </row>
    <row r="1652">
      <c r="F1652" s="3"/>
      <c r="J1652" s="3"/>
    </row>
    <row r="1653">
      <c r="F1653" s="3"/>
      <c r="J1653" s="3"/>
    </row>
    <row r="1654">
      <c r="F1654" s="3"/>
      <c r="J1654" s="3"/>
    </row>
    <row r="1655">
      <c r="F1655" s="3"/>
      <c r="J1655" s="3"/>
    </row>
    <row r="1656">
      <c r="F1656" s="3"/>
      <c r="J1656" s="3"/>
    </row>
    <row r="1657">
      <c r="F1657" s="3"/>
      <c r="J1657" s="3"/>
    </row>
    <row r="1658">
      <c r="F1658" s="3"/>
      <c r="J1658" s="3"/>
    </row>
    <row r="1659">
      <c r="F1659" s="3"/>
      <c r="J1659" s="3"/>
    </row>
    <row r="1660">
      <c r="F1660" s="3"/>
      <c r="J1660" s="3"/>
    </row>
    <row r="1661">
      <c r="F1661" s="3"/>
      <c r="J1661" s="3"/>
    </row>
    <row r="1662">
      <c r="F1662" s="3"/>
      <c r="J1662" s="3"/>
    </row>
    <row r="1663">
      <c r="F1663" s="3"/>
      <c r="J1663" s="3"/>
    </row>
    <row r="1664">
      <c r="F1664" s="3"/>
      <c r="J1664" s="3"/>
    </row>
    <row r="1665">
      <c r="F1665" s="3"/>
      <c r="J1665" s="3"/>
    </row>
    <row r="1666">
      <c r="F1666" s="3"/>
      <c r="J1666" s="3"/>
    </row>
    <row r="1667">
      <c r="F1667" s="3"/>
      <c r="J1667" s="3"/>
    </row>
    <row r="1668">
      <c r="F1668" s="3"/>
      <c r="J1668" s="3"/>
    </row>
    <row r="1669">
      <c r="F1669" s="3"/>
      <c r="J1669" s="3"/>
    </row>
    <row r="1670">
      <c r="F1670" s="3"/>
      <c r="J1670" s="3"/>
    </row>
    <row r="1671">
      <c r="F1671" s="3"/>
      <c r="J1671" s="3"/>
    </row>
    <row r="1672">
      <c r="F1672" s="3"/>
      <c r="J1672" s="3"/>
    </row>
    <row r="1673">
      <c r="F1673" s="3"/>
      <c r="J1673" s="3"/>
    </row>
    <row r="1674">
      <c r="F1674" s="3"/>
      <c r="J1674" s="3"/>
    </row>
    <row r="1675">
      <c r="F1675" s="3"/>
      <c r="J1675" s="3"/>
    </row>
    <row r="1676">
      <c r="F1676" s="3"/>
      <c r="J1676" s="3"/>
    </row>
    <row r="1677">
      <c r="F1677" s="3"/>
      <c r="J1677" s="3"/>
    </row>
    <row r="1678">
      <c r="F1678" s="3"/>
      <c r="J1678" s="3"/>
    </row>
    <row r="1679">
      <c r="F1679" s="3"/>
      <c r="J1679" s="3"/>
    </row>
    <row r="1680">
      <c r="F1680" s="3"/>
      <c r="J1680" s="3"/>
    </row>
    <row r="1681">
      <c r="F1681" s="3"/>
      <c r="J1681" s="3"/>
    </row>
    <row r="1682">
      <c r="F1682" s="3"/>
      <c r="J1682" s="3"/>
    </row>
    <row r="1683">
      <c r="F1683" s="3"/>
      <c r="J1683" s="3"/>
    </row>
    <row r="1684">
      <c r="F1684" s="3"/>
      <c r="J1684" s="3"/>
    </row>
    <row r="1685">
      <c r="F1685" s="3"/>
      <c r="J1685" s="3"/>
    </row>
    <row r="1686">
      <c r="F1686" s="3"/>
      <c r="J1686" s="3"/>
    </row>
    <row r="1687">
      <c r="F1687" s="3"/>
      <c r="J1687" s="3"/>
    </row>
    <row r="1688">
      <c r="F1688" s="3"/>
      <c r="J1688" s="3"/>
    </row>
    <row r="1689">
      <c r="F1689" s="3"/>
      <c r="J1689" s="3"/>
    </row>
    <row r="1690">
      <c r="F1690" s="3"/>
      <c r="J1690" s="3"/>
    </row>
    <row r="1691">
      <c r="F1691" s="3"/>
      <c r="J1691" s="3"/>
    </row>
    <row r="1692">
      <c r="F1692" s="3"/>
      <c r="J1692" s="3"/>
    </row>
    <row r="1693">
      <c r="F1693" s="3"/>
      <c r="J1693" s="3"/>
    </row>
    <row r="1694">
      <c r="F1694" s="3"/>
      <c r="J1694" s="3"/>
    </row>
    <row r="1695">
      <c r="F1695" s="3"/>
      <c r="J1695" s="3"/>
    </row>
    <row r="1696">
      <c r="F1696" s="3"/>
      <c r="J1696" s="3"/>
    </row>
    <row r="1697">
      <c r="F1697" s="3"/>
      <c r="J1697" s="3"/>
    </row>
    <row r="1698">
      <c r="F1698" s="3"/>
      <c r="J1698" s="3"/>
    </row>
    <row r="1699">
      <c r="F1699" s="3"/>
      <c r="J1699" s="3"/>
    </row>
    <row r="1700">
      <c r="F1700" s="3"/>
      <c r="J1700" s="3"/>
    </row>
    <row r="1701">
      <c r="F1701" s="3"/>
      <c r="J1701" s="3"/>
    </row>
    <row r="1702">
      <c r="F1702" s="3"/>
      <c r="J1702" s="3"/>
    </row>
    <row r="1703">
      <c r="F1703" s="3"/>
      <c r="J1703" s="3"/>
    </row>
    <row r="1704">
      <c r="F1704" s="3"/>
      <c r="J1704" s="3"/>
    </row>
    <row r="1705">
      <c r="F1705" s="3"/>
      <c r="J1705" s="3"/>
    </row>
    <row r="1706">
      <c r="F1706" s="3"/>
      <c r="J1706" s="3"/>
    </row>
    <row r="1707">
      <c r="F1707" s="3"/>
      <c r="J1707" s="3"/>
    </row>
    <row r="1708">
      <c r="F1708" s="3"/>
      <c r="J1708" s="3"/>
    </row>
    <row r="1709">
      <c r="F1709" s="3"/>
      <c r="J1709" s="3"/>
    </row>
    <row r="1710">
      <c r="F1710" s="3"/>
      <c r="J1710" s="3"/>
    </row>
    <row r="1711">
      <c r="F1711" s="3"/>
      <c r="J1711" s="3"/>
    </row>
    <row r="1712">
      <c r="F1712" s="3"/>
      <c r="J1712" s="3"/>
    </row>
    <row r="1713">
      <c r="F1713" s="3"/>
      <c r="J1713" s="3"/>
    </row>
    <row r="1714">
      <c r="F1714" s="3"/>
      <c r="J1714" s="3"/>
    </row>
    <row r="1715">
      <c r="F1715" s="3"/>
      <c r="J1715" s="3"/>
    </row>
    <row r="1716">
      <c r="F1716" s="3"/>
      <c r="J1716" s="3"/>
    </row>
    <row r="1717">
      <c r="F1717" s="3"/>
      <c r="J1717" s="3"/>
    </row>
    <row r="1718">
      <c r="F1718" s="3"/>
      <c r="J1718" s="3"/>
    </row>
    <row r="1719">
      <c r="F1719" s="3"/>
      <c r="J1719" s="3"/>
    </row>
    <row r="1720">
      <c r="F1720" s="3"/>
      <c r="J1720" s="3"/>
    </row>
    <row r="1721">
      <c r="F1721" s="3"/>
      <c r="J1721" s="3"/>
    </row>
    <row r="1722">
      <c r="F1722" s="3"/>
      <c r="J1722" s="3"/>
    </row>
    <row r="1723">
      <c r="F1723" s="3"/>
      <c r="J1723" s="3"/>
    </row>
    <row r="1724">
      <c r="F1724" s="3"/>
      <c r="J1724" s="3"/>
    </row>
    <row r="1725">
      <c r="F1725" s="3"/>
      <c r="J1725" s="3"/>
    </row>
    <row r="1726">
      <c r="F1726" s="3"/>
      <c r="J1726" s="3"/>
    </row>
    <row r="1727">
      <c r="F1727" s="3"/>
      <c r="J1727" s="3"/>
    </row>
    <row r="1728">
      <c r="F1728" s="3"/>
      <c r="J1728" s="3"/>
    </row>
    <row r="1729">
      <c r="F1729" s="3"/>
      <c r="J1729" s="3"/>
    </row>
    <row r="1730">
      <c r="F1730" s="3"/>
      <c r="J1730" s="3"/>
    </row>
    <row r="1731">
      <c r="F1731" s="3"/>
      <c r="J1731" s="3"/>
    </row>
    <row r="1732">
      <c r="F1732" s="3"/>
      <c r="J1732" s="3"/>
    </row>
    <row r="1733">
      <c r="F1733" s="3"/>
      <c r="J1733" s="3"/>
    </row>
    <row r="1734">
      <c r="F1734" s="3"/>
      <c r="J1734" s="3"/>
    </row>
    <row r="1735">
      <c r="F1735" s="3"/>
      <c r="J1735" s="3"/>
    </row>
    <row r="1736">
      <c r="F1736" s="3"/>
      <c r="J1736" s="3"/>
    </row>
    <row r="1737">
      <c r="F1737" s="3"/>
      <c r="J1737" s="3"/>
    </row>
    <row r="1738">
      <c r="F1738" s="3"/>
      <c r="J1738" s="3"/>
    </row>
    <row r="1739">
      <c r="F1739" s="3"/>
      <c r="J1739" s="3"/>
    </row>
    <row r="1740">
      <c r="F1740" s="3"/>
      <c r="J1740" s="3"/>
    </row>
    <row r="1741">
      <c r="F1741" s="3"/>
      <c r="J1741" s="3"/>
    </row>
    <row r="1742">
      <c r="F1742" s="3"/>
      <c r="J1742" s="3"/>
    </row>
    <row r="1743">
      <c r="F1743" s="3"/>
      <c r="J1743" s="3"/>
    </row>
    <row r="1744">
      <c r="F1744" s="3"/>
      <c r="J1744" s="3"/>
    </row>
    <row r="1745">
      <c r="F1745" s="3"/>
      <c r="J1745" s="3"/>
    </row>
    <row r="1746">
      <c r="F1746" s="3"/>
      <c r="J1746" s="3"/>
    </row>
    <row r="1747">
      <c r="F1747" s="3"/>
      <c r="J1747" s="3"/>
    </row>
    <row r="1748">
      <c r="F1748" s="3"/>
      <c r="J1748" s="3"/>
    </row>
    <row r="1749">
      <c r="F1749" s="3"/>
      <c r="J1749" s="3"/>
    </row>
    <row r="1750">
      <c r="F1750" s="3"/>
      <c r="J1750" s="3"/>
    </row>
    <row r="1751">
      <c r="F1751" s="3"/>
      <c r="J1751" s="3"/>
    </row>
    <row r="1752">
      <c r="F1752" s="3"/>
      <c r="J1752" s="3"/>
    </row>
    <row r="1753">
      <c r="F1753" s="3"/>
      <c r="J1753" s="3"/>
    </row>
    <row r="1754">
      <c r="F1754" s="3"/>
      <c r="J1754" s="3"/>
    </row>
    <row r="1755">
      <c r="F1755" s="3"/>
      <c r="J1755" s="3"/>
    </row>
    <row r="1756">
      <c r="F1756" s="3"/>
      <c r="J1756" s="3"/>
    </row>
    <row r="1757">
      <c r="F1757" s="3"/>
      <c r="J1757" s="3"/>
    </row>
    <row r="1758">
      <c r="F1758" s="3"/>
      <c r="J1758" s="3"/>
    </row>
    <row r="1759">
      <c r="F1759" s="3"/>
      <c r="J1759" s="3"/>
    </row>
    <row r="1760">
      <c r="F1760" s="3"/>
      <c r="J1760" s="3"/>
    </row>
    <row r="1761">
      <c r="F1761" s="3"/>
      <c r="J1761" s="3"/>
    </row>
    <row r="1762">
      <c r="F1762" s="3"/>
      <c r="J1762" s="3"/>
    </row>
    <row r="1763">
      <c r="F1763" s="3"/>
      <c r="J1763" s="3"/>
    </row>
    <row r="1764">
      <c r="F1764" s="3"/>
      <c r="J1764" s="3"/>
    </row>
    <row r="1765">
      <c r="F1765" s="3"/>
      <c r="J1765" s="3"/>
    </row>
    <row r="1766">
      <c r="F1766" s="3"/>
      <c r="J1766" s="3"/>
    </row>
    <row r="1767">
      <c r="F1767" s="3"/>
      <c r="J1767" s="3"/>
    </row>
    <row r="1768">
      <c r="F1768" s="3"/>
      <c r="J1768" s="3"/>
    </row>
    <row r="1769">
      <c r="F1769" s="3"/>
      <c r="J1769" s="3"/>
    </row>
    <row r="1770">
      <c r="F1770" s="3"/>
      <c r="J1770" s="3"/>
    </row>
    <row r="1771">
      <c r="F1771" s="3"/>
      <c r="J1771" s="3"/>
    </row>
    <row r="1772">
      <c r="F1772" s="3"/>
      <c r="J1772" s="3"/>
    </row>
    <row r="1773">
      <c r="F1773" s="3"/>
      <c r="J1773" s="3"/>
    </row>
    <row r="1774">
      <c r="F1774" s="3"/>
      <c r="J1774" s="3"/>
    </row>
    <row r="1775">
      <c r="F1775" s="3"/>
      <c r="J1775" s="3"/>
    </row>
    <row r="1776">
      <c r="F1776" s="3"/>
      <c r="J1776" s="3"/>
    </row>
    <row r="1777">
      <c r="F1777" s="3"/>
      <c r="J1777" s="3"/>
    </row>
    <row r="1778">
      <c r="F1778" s="3"/>
      <c r="J1778" s="3"/>
    </row>
    <row r="1779">
      <c r="F1779" s="3"/>
      <c r="J1779" s="3"/>
    </row>
    <row r="1780">
      <c r="F1780" s="3"/>
      <c r="J1780" s="3"/>
    </row>
    <row r="1781">
      <c r="F1781" s="3"/>
      <c r="J1781" s="3"/>
    </row>
    <row r="1782">
      <c r="F1782" s="3"/>
      <c r="J1782" s="3"/>
    </row>
    <row r="1783">
      <c r="F1783" s="3"/>
      <c r="J1783" s="3"/>
    </row>
    <row r="1784">
      <c r="F1784" s="3"/>
      <c r="J1784" s="3"/>
    </row>
    <row r="1785">
      <c r="F1785" s="3"/>
      <c r="J1785" s="3"/>
    </row>
    <row r="1786">
      <c r="F1786" s="3"/>
      <c r="J1786" s="3"/>
    </row>
    <row r="1787">
      <c r="F1787" s="3"/>
      <c r="J1787" s="3"/>
    </row>
    <row r="1788">
      <c r="F1788" s="3"/>
      <c r="J1788" s="3"/>
    </row>
    <row r="1789">
      <c r="F1789" s="3"/>
      <c r="J1789" s="3"/>
    </row>
    <row r="1790">
      <c r="F1790" s="3"/>
      <c r="J1790" s="3"/>
    </row>
    <row r="1791">
      <c r="F1791" s="3"/>
      <c r="J1791" s="3"/>
    </row>
    <row r="1792">
      <c r="F1792" s="3"/>
      <c r="J1792" s="3"/>
    </row>
    <row r="1793">
      <c r="F1793" s="3"/>
      <c r="J1793" s="3"/>
    </row>
    <row r="1794">
      <c r="F1794" s="3"/>
      <c r="J1794" s="3"/>
    </row>
    <row r="1795">
      <c r="F1795" s="3"/>
      <c r="J1795" s="3"/>
    </row>
    <row r="1796">
      <c r="F1796" s="3"/>
      <c r="J1796" s="3"/>
    </row>
    <row r="1797">
      <c r="F1797" s="3"/>
      <c r="J1797" s="3"/>
    </row>
    <row r="1798">
      <c r="F1798" s="3"/>
      <c r="J1798" s="3"/>
    </row>
    <row r="1799">
      <c r="F1799" s="3"/>
      <c r="J1799" s="3"/>
    </row>
    <row r="1800">
      <c r="F1800" s="3"/>
      <c r="J1800" s="3"/>
    </row>
    <row r="1801">
      <c r="F1801" s="3"/>
      <c r="J1801" s="3"/>
    </row>
    <row r="1802">
      <c r="F1802" s="3"/>
      <c r="J1802" s="3"/>
    </row>
    <row r="1803">
      <c r="F1803" s="3"/>
      <c r="J1803" s="3"/>
    </row>
    <row r="1804">
      <c r="F1804" s="3"/>
      <c r="J1804" s="3"/>
    </row>
    <row r="1805">
      <c r="F1805" s="3"/>
      <c r="J1805" s="3"/>
    </row>
    <row r="1806">
      <c r="F1806" s="3"/>
      <c r="J1806" s="3"/>
    </row>
    <row r="1807">
      <c r="F1807" s="3"/>
      <c r="J1807" s="3"/>
    </row>
    <row r="1808">
      <c r="F1808" s="3"/>
      <c r="J1808" s="3"/>
    </row>
    <row r="1809">
      <c r="F1809" s="3"/>
      <c r="J1809" s="3"/>
    </row>
    <row r="1810">
      <c r="F1810" s="3"/>
      <c r="J1810" s="3"/>
    </row>
    <row r="1811">
      <c r="F1811" s="3"/>
      <c r="J1811" s="3"/>
    </row>
    <row r="1812">
      <c r="F1812" s="3"/>
      <c r="J1812" s="3"/>
    </row>
    <row r="1813">
      <c r="F1813" s="3"/>
      <c r="J1813" s="3"/>
    </row>
    <row r="1814">
      <c r="F1814" s="3"/>
      <c r="J1814" s="3"/>
    </row>
    <row r="1815">
      <c r="F1815" s="3"/>
      <c r="J1815" s="3"/>
    </row>
    <row r="1816">
      <c r="F1816" s="3"/>
      <c r="J1816" s="3"/>
    </row>
    <row r="1817">
      <c r="F1817" s="3"/>
      <c r="J1817" s="3"/>
    </row>
    <row r="1818">
      <c r="F1818" s="3"/>
      <c r="J1818" s="3"/>
    </row>
    <row r="1819">
      <c r="F1819" s="3"/>
      <c r="J1819" s="3"/>
    </row>
    <row r="1820">
      <c r="F1820" s="3"/>
      <c r="J1820" s="3"/>
    </row>
    <row r="1821">
      <c r="F1821" s="3"/>
      <c r="J1821" s="3"/>
    </row>
    <row r="1822">
      <c r="F1822" s="3"/>
      <c r="J1822" s="3"/>
    </row>
    <row r="1823">
      <c r="F1823" s="3"/>
      <c r="J1823" s="3"/>
    </row>
    <row r="1824">
      <c r="F1824" s="3"/>
      <c r="J1824" s="3"/>
    </row>
    <row r="1825">
      <c r="F1825" s="3"/>
      <c r="J1825" s="3"/>
    </row>
    <row r="1826">
      <c r="F1826" s="3"/>
      <c r="J1826" s="3"/>
    </row>
    <row r="1827">
      <c r="F1827" s="3"/>
      <c r="J1827" s="3"/>
    </row>
    <row r="1828">
      <c r="F1828" s="3"/>
      <c r="J1828" s="3"/>
    </row>
    <row r="1829">
      <c r="F1829" s="3"/>
      <c r="J1829" s="3"/>
    </row>
    <row r="1830">
      <c r="F1830" s="3"/>
      <c r="J1830" s="3"/>
    </row>
    <row r="1831">
      <c r="F1831" s="3"/>
      <c r="J1831" s="3"/>
    </row>
    <row r="1832">
      <c r="F1832" s="3"/>
      <c r="J1832" s="3"/>
    </row>
    <row r="1833">
      <c r="F1833" s="3"/>
      <c r="J1833" s="3"/>
    </row>
    <row r="1834">
      <c r="F1834" s="3"/>
      <c r="J1834" s="3"/>
    </row>
    <row r="1835">
      <c r="F1835" s="3"/>
      <c r="J1835" s="3"/>
    </row>
    <row r="1836">
      <c r="F1836" s="3"/>
      <c r="J1836" s="3"/>
    </row>
    <row r="1837">
      <c r="F1837" s="3"/>
      <c r="J1837" s="3"/>
    </row>
    <row r="1838">
      <c r="F1838" s="3"/>
      <c r="J1838" s="3"/>
    </row>
    <row r="1839">
      <c r="F1839" s="3"/>
      <c r="J1839" s="3"/>
    </row>
    <row r="1840">
      <c r="F1840" s="3"/>
      <c r="J1840" s="3"/>
    </row>
    <row r="1841">
      <c r="F1841" s="3"/>
      <c r="J1841" s="3"/>
    </row>
    <row r="1842">
      <c r="F1842" s="3"/>
      <c r="J1842" s="3"/>
    </row>
    <row r="1843">
      <c r="F1843" s="3"/>
      <c r="J1843" s="3"/>
    </row>
    <row r="1844">
      <c r="F1844" s="3"/>
      <c r="J1844" s="3"/>
    </row>
    <row r="1845">
      <c r="F1845" s="3"/>
      <c r="J1845" s="3"/>
    </row>
    <row r="1846">
      <c r="F1846" s="3"/>
      <c r="J1846" s="3"/>
    </row>
    <row r="1847">
      <c r="F1847" s="3"/>
      <c r="J1847" s="3"/>
    </row>
    <row r="1848">
      <c r="F1848" s="3"/>
      <c r="J1848" s="3"/>
    </row>
    <row r="1849">
      <c r="F1849" s="3"/>
      <c r="J1849" s="3"/>
    </row>
    <row r="1850">
      <c r="F1850" s="3"/>
      <c r="J1850" s="3"/>
    </row>
    <row r="1851">
      <c r="F1851" s="3"/>
      <c r="J1851" s="3"/>
    </row>
    <row r="1852">
      <c r="F1852" s="3"/>
      <c r="J1852" s="3"/>
    </row>
    <row r="1853">
      <c r="F1853" s="3"/>
      <c r="J1853" s="3"/>
    </row>
    <row r="1854">
      <c r="F1854" s="3"/>
      <c r="J1854" s="3"/>
    </row>
    <row r="1855">
      <c r="F1855" s="3"/>
      <c r="J1855" s="3"/>
    </row>
    <row r="1856">
      <c r="F1856" s="3"/>
      <c r="J1856" s="3"/>
    </row>
    <row r="1857">
      <c r="F1857" s="3"/>
      <c r="J1857" s="3"/>
    </row>
    <row r="1858">
      <c r="F1858" s="3"/>
      <c r="J1858" s="3"/>
    </row>
    <row r="1859">
      <c r="F1859" s="3"/>
      <c r="J1859" s="3"/>
    </row>
    <row r="1860">
      <c r="F1860" s="3"/>
      <c r="J1860" s="3"/>
    </row>
    <row r="1861">
      <c r="F1861" s="3"/>
      <c r="J1861" s="3"/>
    </row>
    <row r="1862">
      <c r="F1862" s="3"/>
      <c r="J1862" s="3"/>
    </row>
    <row r="1863">
      <c r="F1863" s="3"/>
      <c r="J1863" s="3"/>
    </row>
    <row r="1864">
      <c r="F1864" s="3"/>
      <c r="J1864" s="3"/>
    </row>
    <row r="1865">
      <c r="F1865" s="3"/>
      <c r="J1865" s="3"/>
    </row>
    <row r="1866">
      <c r="F1866" s="3"/>
      <c r="J1866" s="3"/>
    </row>
    <row r="1867">
      <c r="F1867" s="3"/>
      <c r="J1867" s="3"/>
    </row>
    <row r="1868">
      <c r="F1868" s="3"/>
      <c r="J1868" s="3"/>
    </row>
    <row r="1869">
      <c r="F1869" s="3"/>
      <c r="J1869" s="3"/>
    </row>
    <row r="1870">
      <c r="F1870" s="3"/>
      <c r="J1870" s="3"/>
    </row>
    <row r="1871">
      <c r="F1871" s="3"/>
      <c r="J1871" s="3"/>
    </row>
    <row r="1872">
      <c r="F1872" s="3"/>
      <c r="J1872" s="3"/>
    </row>
    <row r="1873">
      <c r="F1873" s="3"/>
      <c r="J1873" s="3"/>
    </row>
    <row r="1874">
      <c r="F1874" s="3"/>
      <c r="J1874" s="3"/>
    </row>
    <row r="1875">
      <c r="F1875" s="3"/>
      <c r="J1875" s="3"/>
    </row>
    <row r="1876">
      <c r="F1876" s="3"/>
      <c r="J1876" s="3"/>
    </row>
    <row r="1877">
      <c r="F1877" s="3"/>
      <c r="J1877" s="3"/>
    </row>
    <row r="1878">
      <c r="F1878" s="3"/>
      <c r="J1878" s="3"/>
    </row>
    <row r="1879">
      <c r="F1879" s="3"/>
      <c r="J1879" s="3"/>
    </row>
    <row r="1880">
      <c r="F1880" s="3"/>
      <c r="J1880" s="3"/>
    </row>
    <row r="1881">
      <c r="F1881" s="3"/>
      <c r="J1881" s="3"/>
    </row>
    <row r="1882">
      <c r="F1882" s="3"/>
      <c r="J1882" s="3"/>
    </row>
    <row r="1883">
      <c r="F1883" s="3"/>
      <c r="J1883" s="3"/>
    </row>
    <row r="1884">
      <c r="F1884" s="3"/>
      <c r="J1884" s="3"/>
    </row>
    <row r="1885">
      <c r="F1885" s="3"/>
      <c r="J1885" s="3"/>
    </row>
    <row r="1886">
      <c r="F1886" s="3"/>
      <c r="J1886" s="3"/>
    </row>
    <row r="1887">
      <c r="F1887" s="3"/>
      <c r="J1887" s="3"/>
    </row>
    <row r="1888">
      <c r="F1888" s="3"/>
      <c r="J1888" s="3"/>
    </row>
    <row r="1889">
      <c r="F1889" s="3"/>
      <c r="J1889" s="3"/>
    </row>
    <row r="1890">
      <c r="F1890" s="3"/>
      <c r="J1890" s="3"/>
    </row>
    <row r="1891">
      <c r="F1891" s="3"/>
      <c r="J1891" s="3"/>
    </row>
    <row r="1892">
      <c r="F1892" s="3"/>
      <c r="J1892" s="3"/>
    </row>
    <row r="1893">
      <c r="F1893" s="3"/>
      <c r="J1893" s="3"/>
    </row>
    <row r="1894">
      <c r="F1894" s="3"/>
      <c r="J1894" s="3"/>
    </row>
    <row r="1895">
      <c r="F1895" s="3"/>
      <c r="J1895" s="3"/>
    </row>
    <row r="1896">
      <c r="F1896" s="3"/>
      <c r="J1896" s="3"/>
    </row>
    <row r="1897">
      <c r="F1897" s="3"/>
      <c r="J1897" s="3"/>
    </row>
    <row r="1898">
      <c r="F1898" s="3"/>
      <c r="J1898" s="3"/>
    </row>
    <row r="1899">
      <c r="F1899" s="3"/>
      <c r="J1899" s="3"/>
    </row>
    <row r="1900">
      <c r="F1900" s="3"/>
      <c r="J1900" s="3"/>
    </row>
    <row r="1901">
      <c r="F1901" s="3"/>
      <c r="J1901" s="3"/>
    </row>
    <row r="1902">
      <c r="F1902" s="3"/>
      <c r="J1902" s="3"/>
    </row>
    <row r="1903">
      <c r="F1903" s="3"/>
      <c r="J1903" s="3"/>
    </row>
    <row r="1904">
      <c r="F1904" s="3"/>
      <c r="J1904" s="3"/>
    </row>
    <row r="1905">
      <c r="F1905" s="3"/>
      <c r="J1905" s="3"/>
    </row>
    <row r="1906">
      <c r="F1906" s="3"/>
      <c r="J1906" s="3"/>
    </row>
    <row r="1907">
      <c r="F1907" s="3"/>
      <c r="J1907" s="3"/>
    </row>
    <row r="1908">
      <c r="F1908" s="3"/>
      <c r="J1908" s="3"/>
    </row>
    <row r="1909">
      <c r="F1909" s="3"/>
      <c r="J1909" s="3"/>
    </row>
    <row r="1910">
      <c r="F1910" s="3"/>
      <c r="J1910" s="3"/>
    </row>
    <row r="1911">
      <c r="F1911" s="3"/>
      <c r="J1911" s="3"/>
    </row>
    <row r="1912">
      <c r="F1912" s="3"/>
      <c r="J1912" s="3"/>
    </row>
    <row r="1913">
      <c r="F1913" s="3"/>
      <c r="J1913" s="3"/>
    </row>
    <row r="1914">
      <c r="F1914" s="3"/>
      <c r="J1914" s="3"/>
    </row>
    <row r="1915">
      <c r="F1915" s="3"/>
      <c r="J1915" s="3"/>
    </row>
    <row r="1916">
      <c r="F1916" s="3"/>
      <c r="J1916" s="3"/>
    </row>
    <row r="1917">
      <c r="F1917" s="3"/>
      <c r="J1917" s="3"/>
    </row>
    <row r="1918">
      <c r="F1918" s="3"/>
      <c r="J1918" s="3"/>
    </row>
    <row r="1919">
      <c r="F1919" s="3"/>
      <c r="J1919" s="3"/>
    </row>
    <row r="1920">
      <c r="F1920" s="3"/>
      <c r="J1920" s="3"/>
    </row>
    <row r="1921">
      <c r="F1921" s="3"/>
      <c r="J1921" s="3"/>
    </row>
    <row r="1922">
      <c r="F1922" s="3"/>
      <c r="J1922" s="3"/>
    </row>
    <row r="1923">
      <c r="F1923" s="3"/>
      <c r="J1923" s="3"/>
    </row>
    <row r="1924">
      <c r="F1924" s="3"/>
      <c r="J1924" s="3"/>
    </row>
    <row r="1925">
      <c r="F1925" s="3"/>
      <c r="J1925" s="3"/>
    </row>
    <row r="1926">
      <c r="F1926" s="3"/>
      <c r="J1926" s="3"/>
    </row>
    <row r="1927">
      <c r="F1927" s="3"/>
      <c r="J1927" s="3"/>
    </row>
    <row r="1928">
      <c r="F1928" s="3"/>
      <c r="J1928" s="3"/>
    </row>
    <row r="1929">
      <c r="F1929" s="3"/>
      <c r="J1929" s="3"/>
    </row>
    <row r="1930">
      <c r="F1930" s="3"/>
      <c r="J1930" s="3"/>
    </row>
    <row r="1931">
      <c r="F1931" s="3"/>
      <c r="J1931" s="3"/>
    </row>
    <row r="1932">
      <c r="F1932" s="3"/>
      <c r="J1932" s="3"/>
    </row>
    <row r="1933">
      <c r="F1933" s="3"/>
      <c r="J1933" s="3"/>
    </row>
    <row r="1934">
      <c r="F1934" s="3"/>
      <c r="J1934" s="3"/>
    </row>
    <row r="1935">
      <c r="F1935" s="3"/>
      <c r="J1935" s="3"/>
    </row>
    <row r="1936">
      <c r="F1936" s="3"/>
      <c r="J1936" s="3"/>
    </row>
    <row r="1937">
      <c r="F1937" s="3"/>
      <c r="J1937" s="3"/>
    </row>
    <row r="1938">
      <c r="F1938" s="3"/>
      <c r="J1938" s="3"/>
    </row>
    <row r="1939">
      <c r="F1939" s="3"/>
      <c r="J1939" s="3"/>
    </row>
    <row r="1940">
      <c r="F1940" s="3"/>
      <c r="J1940" s="3"/>
    </row>
    <row r="1941">
      <c r="F1941" s="3"/>
      <c r="J1941" s="3"/>
    </row>
    <row r="1942">
      <c r="F1942" s="3"/>
      <c r="J1942" s="3"/>
    </row>
    <row r="1943">
      <c r="F1943" s="3"/>
      <c r="J1943" s="3"/>
    </row>
    <row r="1944">
      <c r="F1944" s="3"/>
      <c r="J1944" s="3"/>
    </row>
    <row r="1945">
      <c r="F1945" s="3"/>
      <c r="J1945" s="3"/>
    </row>
    <row r="1946">
      <c r="F1946" s="3"/>
      <c r="J1946" s="3"/>
    </row>
    <row r="1947">
      <c r="F1947" s="3"/>
      <c r="J1947" s="3"/>
    </row>
    <row r="1948">
      <c r="F1948" s="3"/>
      <c r="J1948" s="3"/>
    </row>
    <row r="1949">
      <c r="F1949" s="3"/>
      <c r="J1949" s="3"/>
    </row>
    <row r="1950">
      <c r="F1950" s="3"/>
      <c r="J1950" s="3"/>
    </row>
    <row r="1951">
      <c r="F1951" s="3"/>
      <c r="J1951" s="3"/>
    </row>
    <row r="1952">
      <c r="F1952" s="3"/>
      <c r="J1952" s="3"/>
    </row>
    <row r="1953">
      <c r="F1953" s="3"/>
      <c r="J1953" s="3"/>
    </row>
    <row r="1954">
      <c r="F1954" s="3"/>
      <c r="J1954" s="3"/>
    </row>
    <row r="1955">
      <c r="F1955" s="3"/>
      <c r="J1955" s="3"/>
    </row>
    <row r="1956">
      <c r="F1956" s="3"/>
      <c r="J1956" s="3"/>
    </row>
    <row r="1957">
      <c r="F1957" s="3"/>
      <c r="J1957" s="3"/>
    </row>
    <row r="1958">
      <c r="F1958" s="3"/>
      <c r="J1958" s="3"/>
    </row>
    <row r="1959">
      <c r="F1959" s="3"/>
      <c r="J1959" s="3"/>
    </row>
    <row r="1960">
      <c r="F1960" s="3"/>
      <c r="J1960" s="3"/>
    </row>
    <row r="1961">
      <c r="F1961" s="3"/>
      <c r="J1961" s="3"/>
    </row>
    <row r="1962">
      <c r="F1962" s="3"/>
      <c r="J1962" s="3"/>
    </row>
    <row r="1963">
      <c r="F1963" s="3"/>
      <c r="J1963" s="3"/>
    </row>
    <row r="1964">
      <c r="F1964" s="3"/>
      <c r="J1964" s="3"/>
    </row>
    <row r="1965">
      <c r="F1965" s="3"/>
      <c r="J1965" s="3"/>
    </row>
    <row r="1966">
      <c r="F1966" s="3"/>
      <c r="J1966" s="3"/>
    </row>
    <row r="1967">
      <c r="F1967" s="3"/>
      <c r="J1967" s="3"/>
    </row>
    <row r="1968">
      <c r="F1968" s="3"/>
      <c r="J1968" s="3"/>
    </row>
    <row r="1969">
      <c r="F1969" s="3"/>
      <c r="J1969" s="3"/>
    </row>
    <row r="1970">
      <c r="F1970" s="3"/>
      <c r="J1970" s="3"/>
    </row>
    <row r="1971">
      <c r="F1971" s="3"/>
      <c r="J1971" s="3"/>
    </row>
    <row r="1972">
      <c r="F1972" s="3"/>
      <c r="J1972" s="3"/>
    </row>
    <row r="1973">
      <c r="F1973" s="3"/>
      <c r="J1973" s="3"/>
    </row>
    <row r="1974">
      <c r="F1974" s="3"/>
      <c r="J1974" s="3"/>
    </row>
    <row r="1975">
      <c r="F1975" s="3"/>
      <c r="J1975" s="3"/>
    </row>
    <row r="1976">
      <c r="F1976" s="3"/>
      <c r="J1976" s="3"/>
    </row>
    <row r="1977">
      <c r="F1977" s="3"/>
      <c r="J1977" s="3"/>
    </row>
    <row r="1978">
      <c r="F1978" s="3"/>
      <c r="J1978" s="3"/>
    </row>
    <row r="1979">
      <c r="F1979" s="3"/>
      <c r="J1979" s="3"/>
    </row>
    <row r="1980">
      <c r="F1980" s="3"/>
      <c r="J1980" s="3"/>
    </row>
    <row r="1981">
      <c r="F1981" s="3"/>
      <c r="J1981" s="3"/>
    </row>
    <row r="1982">
      <c r="F1982" s="3"/>
      <c r="J1982" s="3"/>
    </row>
    <row r="1983">
      <c r="F1983" s="3"/>
      <c r="J1983" s="3"/>
    </row>
    <row r="1984">
      <c r="F1984" s="3"/>
      <c r="J1984" s="3"/>
    </row>
    <row r="1985">
      <c r="F1985" s="3"/>
      <c r="J1985" s="3"/>
    </row>
    <row r="1986">
      <c r="F1986" s="3"/>
      <c r="J1986" s="3"/>
    </row>
    <row r="1987">
      <c r="F1987" s="3"/>
      <c r="J1987" s="3"/>
    </row>
    <row r="1988">
      <c r="F1988" s="3"/>
      <c r="J1988" s="3"/>
    </row>
    <row r="1989">
      <c r="F1989" s="3"/>
      <c r="J1989" s="3"/>
    </row>
    <row r="1990">
      <c r="F1990" s="3"/>
      <c r="J1990" s="3"/>
    </row>
    <row r="1991">
      <c r="F1991" s="3"/>
      <c r="J1991" s="3"/>
    </row>
    <row r="1992">
      <c r="F1992" s="3"/>
      <c r="J1992" s="3"/>
    </row>
    <row r="1993">
      <c r="F1993" s="3"/>
      <c r="J1993" s="3"/>
    </row>
    <row r="1994">
      <c r="F1994" s="3"/>
      <c r="J1994" s="3"/>
    </row>
    <row r="1995">
      <c r="F1995" s="3"/>
      <c r="J1995" s="3"/>
    </row>
    <row r="1996">
      <c r="F1996" s="3"/>
      <c r="J1996" s="3"/>
    </row>
    <row r="1997">
      <c r="F1997" s="3"/>
      <c r="J1997" s="3"/>
    </row>
    <row r="1998">
      <c r="F1998" s="3"/>
      <c r="J1998" s="3"/>
    </row>
    <row r="1999">
      <c r="F1999" s="3"/>
      <c r="J1999" s="3"/>
    </row>
    <row r="2000">
      <c r="F2000" s="3"/>
      <c r="J2000" s="3"/>
    </row>
  </sheetData>
  <dataValidations>
    <dataValidation type="list" allowBlank="1" showErrorMessage="1" sqref="F2:F2000">
      <formula1>"Yes,No"</formula1>
    </dataValidation>
    <dataValidation type="list" allowBlank="1" showErrorMessage="1" sqref="J2:J2000">
      <formula1>"Active,Revoked,Expired"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6.75"/>
    <col customWidth="1" min="3" max="3" width="5.38"/>
    <col customWidth="1" min="4" max="4" width="16.13"/>
    <col customWidth="1" min="5" max="5" width="11.13"/>
    <col customWidth="1" min="6" max="6" width="9.38"/>
    <col customWidth="1" min="7" max="7" width="11.13"/>
    <col customWidth="1" min="8" max="8" width="6.13"/>
    <col customWidth="1" min="9" max="9" width="10.13"/>
    <col customWidth="1" min="10" max="10" width="10.38"/>
  </cols>
  <sheetData>
    <row r="1">
      <c r="A1" s="93" t="s">
        <v>1211</v>
      </c>
      <c r="B1" s="93" t="s">
        <v>1098</v>
      </c>
      <c r="C1" s="93" t="s">
        <v>1100</v>
      </c>
      <c r="D1" s="93" t="s">
        <v>1212</v>
      </c>
      <c r="E1" s="93" t="s">
        <v>1213</v>
      </c>
      <c r="F1" s="93" t="s">
        <v>1214</v>
      </c>
      <c r="G1" s="93" t="s">
        <v>1215</v>
      </c>
      <c r="H1" s="93" t="s">
        <v>96</v>
      </c>
      <c r="I1" s="93" t="s">
        <v>1160</v>
      </c>
      <c r="J1" s="93" t="s">
        <v>1161</v>
      </c>
    </row>
    <row r="2">
      <c r="A2" s="2" t="s">
        <v>1216</v>
      </c>
      <c r="B2" s="2" t="s">
        <v>1108</v>
      </c>
      <c r="C2" s="2" t="s">
        <v>1109</v>
      </c>
      <c r="D2" s="2" t="s">
        <v>1180</v>
      </c>
      <c r="E2" s="2" t="s">
        <v>1217</v>
      </c>
      <c r="F2" s="81" t="s">
        <v>1218</v>
      </c>
      <c r="G2" s="80">
        <v>46299.29704710648</v>
      </c>
      <c r="H2" s="2" t="s">
        <v>16</v>
      </c>
    </row>
    <row r="3">
      <c r="A3" s="79" t="s">
        <v>1135</v>
      </c>
      <c r="B3" s="79" t="s">
        <v>1108</v>
      </c>
      <c r="C3" s="79" t="s">
        <v>1109</v>
      </c>
      <c r="D3" s="79" t="s">
        <v>1186</v>
      </c>
      <c r="E3" s="79" t="s">
        <v>1219</v>
      </c>
      <c r="F3" s="92">
        <v>46292.89550190972</v>
      </c>
      <c r="G3" s="92">
        <v>46292.89550190972</v>
      </c>
      <c r="H3" s="79" t="s">
        <v>16</v>
      </c>
    </row>
    <row r="4">
      <c r="A4" s="79" t="s">
        <v>1138</v>
      </c>
      <c r="B4" s="79" t="s">
        <v>1108</v>
      </c>
      <c r="C4" s="79" t="s">
        <v>1109</v>
      </c>
      <c r="D4" s="79" t="s">
        <v>1188</v>
      </c>
      <c r="E4" s="79" t="s">
        <v>1219</v>
      </c>
      <c r="F4" s="92">
        <v>46292.902816608796</v>
      </c>
      <c r="G4" s="92">
        <v>46292.90487722222</v>
      </c>
      <c r="H4" s="79" t="s">
        <v>16</v>
      </c>
    </row>
    <row r="5">
      <c r="A5" s="79" t="s">
        <v>1139</v>
      </c>
      <c r="B5" s="79" t="s">
        <v>1113</v>
      </c>
      <c r="C5" s="79" t="s">
        <v>1115</v>
      </c>
      <c r="D5" s="79" t="s">
        <v>1180</v>
      </c>
      <c r="E5" s="79" t="s">
        <v>1219</v>
      </c>
      <c r="F5" s="92">
        <v>46293.003588611115</v>
      </c>
      <c r="G5" s="92">
        <v>46296.15132913194</v>
      </c>
      <c r="H5" s="79" t="s">
        <v>16</v>
      </c>
    </row>
    <row r="6">
      <c r="H6" s="3"/>
    </row>
    <row r="7">
      <c r="H7" s="3"/>
    </row>
    <row r="8">
      <c r="H8" s="3"/>
    </row>
    <row r="9">
      <c r="H9" s="3"/>
    </row>
    <row r="10">
      <c r="H10" s="3"/>
    </row>
    <row r="11">
      <c r="H11" s="3"/>
    </row>
    <row r="12">
      <c r="H12" s="3"/>
    </row>
    <row r="13">
      <c r="H13" s="3"/>
    </row>
    <row r="14">
      <c r="H14" s="3"/>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row r="1001">
      <c r="H1001" s="3"/>
    </row>
    <row r="1002">
      <c r="H1002" s="3"/>
    </row>
    <row r="1003">
      <c r="H1003" s="3"/>
    </row>
    <row r="1004">
      <c r="H1004" s="3"/>
    </row>
    <row r="1005">
      <c r="H1005" s="3"/>
    </row>
    <row r="1006">
      <c r="H1006" s="3"/>
    </row>
    <row r="1007">
      <c r="H1007" s="3"/>
    </row>
    <row r="1008">
      <c r="H1008" s="3"/>
    </row>
    <row r="1009">
      <c r="H1009" s="3"/>
    </row>
    <row r="1010">
      <c r="H1010" s="3"/>
    </row>
    <row r="1011">
      <c r="H1011" s="3"/>
    </row>
    <row r="1012">
      <c r="H1012" s="3"/>
    </row>
    <row r="1013">
      <c r="H1013" s="3"/>
    </row>
    <row r="1014">
      <c r="H1014" s="3"/>
    </row>
    <row r="1015">
      <c r="H1015" s="3"/>
    </row>
    <row r="1016">
      <c r="H1016" s="3"/>
    </row>
    <row r="1017">
      <c r="H1017" s="3"/>
    </row>
    <row r="1018">
      <c r="H1018" s="3"/>
    </row>
    <row r="1019">
      <c r="H1019" s="3"/>
    </row>
    <row r="1020">
      <c r="H1020" s="3"/>
    </row>
    <row r="1021">
      <c r="H1021" s="3"/>
    </row>
    <row r="1022">
      <c r="H1022" s="3"/>
    </row>
    <row r="1023">
      <c r="H1023" s="3"/>
    </row>
    <row r="1024">
      <c r="H1024" s="3"/>
    </row>
    <row r="1025">
      <c r="H1025" s="3"/>
    </row>
    <row r="1026">
      <c r="H1026" s="3"/>
    </row>
    <row r="1027">
      <c r="H1027" s="3"/>
    </row>
    <row r="1028">
      <c r="H1028" s="3"/>
    </row>
    <row r="1029">
      <c r="H1029" s="3"/>
    </row>
    <row r="1030">
      <c r="H1030" s="3"/>
    </row>
    <row r="1031">
      <c r="H1031" s="3"/>
    </row>
    <row r="1032">
      <c r="H1032" s="3"/>
    </row>
    <row r="1033">
      <c r="H1033" s="3"/>
    </row>
    <row r="1034">
      <c r="H1034" s="3"/>
    </row>
    <row r="1035">
      <c r="H1035" s="3"/>
    </row>
    <row r="1036">
      <c r="H1036" s="3"/>
    </row>
    <row r="1037">
      <c r="H1037" s="3"/>
    </row>
    <row r="1038">
      <c r="H1038" s="3"/>
    </row>
    <row r="1039">
      <c r="H1039" s="3"/>
    </row>
    <row r="1040">
      <c r="H1040" s="3"/>
    </row>
    <row r="1041">
      <c r="H1041" s="3"/>
    </row>
    <row r="1042">
      <c r="H1042" s="3"/>
    </row>
    <row r="1043">
      <c r="H1043" s="3"/>
    </row>
    <row r="1044">
      <c r="H1044" s="3"/>
    </row>
    <row r="1045">
      <c r="H1045" s="3"/>
    </row>
    <row r="1046">
      <c r="H1046" s="3"/>
    </row>
    <row r="1047">
      <c r="H1047" s="3"/>
    </row>
    <row r="1048">
      <c r="H1048" s="3"/>
    </row>
    <row r="1049">
      <c r="H1049" s="3"/>
    </row>
    <row r="1050">
      <c r="H1050" s="3"/>
    </row>
    <row r="1051">
      <c r="H1051" s="3"/>
    </row>
    <row r="1052">
      <c r="H1052" s="3"/>
    </row>
    <row r="1053">
      <c r="H1053" s="3"/>
    </row>
    <row r="1054">
      <c r="H1054" s="3"/>
    </row>
    <row r="1055">
      <c r="H1055" s="3"/>
    </row>
    <row r="1056">
      <c r="H1056" s="3"/>
    </row>
    <row r="1057">
      <c r="H1057" s="3"/>
    </row>
    <row r="1058">
      <c r="H1058" s="3"/>
    </row>
    <row r="1059">
      <c r="H1059" s="3"/>
    </row>
    <row r="1060">
      <c r="H1060" s="3"/>
    </row>
    <row r="1061">
      <c r="H1061" s="3"/>
    </row>
    <row r="1062">
      <c r="H1062" s="3"/>
    </row>
    <row r="1063">
      <c r="H1063" s="3"/>
    </row>
    <row r="1064">
      <c r="H1064" s="3"/>
    </row>
    <row r="1065">
      <c r="H1065" s="3"/>
    </row>
    <row r="1066">
      <c r="H1066" s="3"/>
    </row>
    <row r="1067">
      <c r="H1067" s="3"/>
    </row>
    <row r="1068">
      <c r="H1068" s="3"/>
    </row>
    <row r="1069">
      <c r="H1069" s="3"/>
    </row>
    <row r="1070">
      <c r="H1070" s="3"/>
    </row>
    <row r="1071">
      <c r="H1071" s="3"/>
    </row>
    <row r="1072">
      <c r="H1072" s="3"/>
    </row>
    <row r="1073">
      <c r="H1073" s="3"/>
    </row>
    <row r="1074">
      <c r="H1074" s="3"/>
    </row>
    <row r="1075">
      <c r="H1075" s="3"/>
    </row>
    <row r="1076">
      <c r="H1076" s="3"/>
    </row>
    <row r="1077">
      <c r="H1077" s="3"/>
    </row>
    <row r="1078">
      <c r="H1078" s="3"/>
    </row>
    <row r="1079">
      <c r="H1079" s="3"/>
    </row>
    <row r="1080">
      <c r="H1080" s="3"/>
    </row>
    <row r="1081">
      <c r="H1081" s="3"/>
    </row>
    <row r="1082">
      <c r="H1082" s="3"/>
    </row>
    <row r="1083">
      <c r="H1083" s="3"/>
    </row>
    <row r="1084">
      <c r="H1084" s="3"/>
    </row>
    <row r="1085">
      <c r="H1085" s="3"/>
    </row>
    <row r="1086">
      <c r="H1086" s="3"/>
    </row>
    <row r="1087">
      <c r="H1087" s="3"/>
    </row>
    <row r="1088">
      <c r="H1088" s="3"/>
    </row>
    <row r="1089">
      <c r="H1089" s="3"/>
    </row>
    <row r="1090">
      <c r="H1090" s="3"/>
    </row>
    <row r="1091">
      <c r="H1091" s="3"/>
    </row>
    <row r="1092">
      <c r="H1092" s="3"/>
    </row>
    <row r="1093">
      <c r="H1093" s="3"/>
    </row>
    <row r="1094">
      <c r="H1094" s="3"/>
    </row>
    <row r="1095">
      <c r="H1095" s="3"/>
    </row>
    <row r="1096">
      <c r="H1096" s="3"/>
    </row>
    <row r="1097">
      <c r="H1097" s="3"/>
    </row>
    <row r="1098">
      <c r="H1098" s="3"/>
    </row>
    <row r="1099">
      <c r="H1099" s="3"/>
    </row>
    <row r="1100">
      <c r="H1100" s="3"/>
    </row>
    <row r="1101">
      <c r="H1101" s="3"/>
    </row>
    <row r="1102">
      <c r="H1102" s="3"/>
    </row>
    <row r="1103">
      <c r="H1103" s="3"/>
    </row>
    <row r="1104">
      <c r="H1104" s="3"/>
    </row>
    <row r="1105">
      <c r="H1105" s="3"/>
    </row>
    <row r="1106">
      <c r="H1106" s="3"/>
    </row>
    <row r="1107">
      <c r="H1107" s="3"/>
    </row>
    <row r="1108">
      <c r="H1108" s="3"/>
    </row>
    <row r="1109">
      <c r="H1109" s="3"/>
    </row>
    <row r="1110">
      <c r="H1110" s="3"/>
    </row>
    <row r="1111">
      <c r="H1111" s="3"/>
    </row>
    <row r="1112">
      <c r="H1112" s="3"/>
    </row>
    <row r="1113">
      <c r="H1113" s="3"/>
    </row>
    <row r="1114">
      <c r="H1114" s="3"/>
    </row>
    <row r="1115">
      <c r="H1115" s="3"/>
    </row>
    <row r="1116">
      <c r="H1116" s="3"/>
    </row>
    <row r="1117">
      <c r="H1117" s="3"/>
    </row>
    <row r="1118">
      <c r="H1118" s="3"/>
    </row>
    <row r="1119">
      <c r="H1119" s="3"/>
    </row>
    <row r="1120">
      <c r="H1120" s="3"/>
    </row>
    <row r="1121">
      <c r="H1121" s="3"/>
    </row>
    <row r="1122">
      <c r="H1122" s="3"/>
    </row>
    <row r="1123">
      <c r="H1123" s="3"/>
    </row>
    <row r="1124">
      <c r="H1124" s="3"/>
    </row>
    <row r="1125">
      <c r="H1125" s="3"/>
    </row>
    <row r="1126">
      <c r="H1126" s="3"/>
    </row>
    <row r="1127">
      <c r="H1127" s="3"/>
    </row>
    <row r="1128">
      <c r="H1128" s="3"/>
    </row>
    <row r="1129">
      <c r="H1129" s="3"/>
    </row>
    <row r="1130">
      <c r="H1130" s="3"/>
    </row>
    <row r="1131">
      <c r="H1131" s="3"/>
    </row>
    <row r="1132">
      <c r="H1132" s="3"/>
    </row>
    <row r="1133">
      <c r="H1133" s="3"/>
    </row>
    <row r="1134">
      <c r="H1134" s="3"/>
    </row>
    <row r="1135">
      <c r="H1135" s="3"/>
    </row>
    <row r="1136">
      <c r="H1136" s="3"/>
    </row>
    <row r="1137">
      <c r="H1137" s="3"/>
    </row>
    <row r="1138">
      <c r="H1138" s="3"/>
    </row>
    <row r="1139">
      <c r="H1139" s="3"/>
    </row>
    <row r="1140">
      <c r="H1140" s="3"/>
    </row>
    <row r="1141">
      <c r="H1141" s="3"/>
    </row>
    <row r="1142">
      <c r="H1142" s="3"/>
    </row>
    <row r="1143">
      <c r="H1143" s="3"/>
    </row>
    <row r="1144">
      <c r="H1144" s="3"/>
    </row>
    <row r="1145">
      <c r="H1145" s="3"/>
    </row>
    <row r="1146">
      <c r="H1146" s="3"/>
    </row>
    <row r="1147">
      <c r="H1147" s="3"/>
    </row>
    <row r="1148">
      <c r="H1148" s="3"/>
    </row>
    <row r="1149">
      <c r="H1149" s="3"/>
    </row>
    <row r="1150">
      <c r="H1150" s="3"/>
    </row>
    <row r="1151">
      <c r="H1151" s="3"/>
    </row>
    <row r="1152">
      <c r="H1152" s="3"/>
    </row>
    <row r="1153">
      <c r="H1153" s="3"/>
    </row>
    <row r="1154">
      <c r="H1154" s="3"/>
    </row>
    <row r="1155">
      <c r="H1155" s="3"/>
    </row>
    <row r="1156">
      <c r="H1156" s="3"/>
    </row>
    <row r="1157">
      <c r="H1157" s="3"/>
    </row>
    <row r="1158">
      <c r="H1158" s="3"/>
    </row>
    <row r="1159">
      <c r="H1159" s="3"/>
    </row>
    <row r="1160">
      <c r="H1160" s="3"/>
    </row>
    <row r="1161">
      <c r="H1161" s="3"/>
    </row>
    <row r="1162">
      <c r="H1162" s="3"/>
    </row>
    <row r="1163">
      <c r="H1163" s="3"/>
    </row>
    <row r="1164">
      <c r="H1164" s="3"/>
    </row>
    <row r="1165">
      <c r="H1165" s="3"/>
    </row>
    <row r="1166">
      <c r="H1166" s="3"/>
    </row>
    <row r="1167">
      <c r="H1167" s="3"/>
    </row>
    <row r="1168">
      <c r="H1168" s="3"/>
    </row>
    <row r="1169">
      <c r="H1169" s="3"/>
    </row>
    <row r="1170">
      <c r="H1170" s="3"/>
    </row>
    <row r="1171">
      <c r="H1171" s="3"/>
    </row>
    <row r="1172">
      <c r="H1172" s="3"/>
    </row>
    <row r="1173">
      <c r="H1173" s="3"/>
    </row>
    <row r="1174">
      <c r="H1174" s="3"/>
    </row>
    <row r="1175">
      <c r="H1175" s="3"/>
    </row>
    <row r="1176">
      <c r="H1176" s="3"/>
    </row>
    <row r="1177">
      <c r="H1177" s="3"/>
    </row>
    <row r="1178">
      <c r="H1178" s="3"/>
    </row>
    <row r="1179">
      <c r="H1179" s="3"/>
    </row>
    <row r="1180">
      <c r="H1180" s="3"/>
    </row>
    <row r="1181">
      <c r="H1181" s="3"/>
    </row>
    <row r="1182">
      <c r="H1182" s="3"/>
    </row>
    <row r="1183">
      <c r="H1183" s="3"/>
    </row>
    <row r="1184">
      <c r="H1184" s="3"/>
    </row>
    <row r="1185">
      <c r="H1185" s="3"/>
    </row>
    <row r="1186">
      <c r="H1186" s="3"/>
    </row>
    <row r="1187">
      <c r="H1187" s="3"/>
    </row>
    <row r="1188">
      <c r="H1188" s="3"/>
    </row>
    <row r="1189">
      <c r="H1189" s="3"/>
    </row>
    <row r="1190">
      <c r="H1190" s="3"/>
    </row>
    <row r="1191">
      <c r="H1191" s="3"/>
    </row>
    <row r="1192">
      <c r="H1192" s="3"/>
    </row>
    <row r="1193">
      <c r="H1193" s="3"/>
    </row>
    <row r="1194">
      <c r="H1194" s="3"/>
    </row>
    <row r="1195">
      <c r="H1195" s="3"/>
    </row>
    <row r="1196">
      <c r="H1196" s="3"/>
    </row>
    <row r="1197">
      <c r="H1197" s="3"/>
    </row>
    <row r="1198">
      <c r="H1198" s="3"/>
    </row>
    <row r="1199">
      <c r="H1199" s="3"/>
    </row>
    <row r="1200">
      <c r="H1200" s="3"/>
    </row>
    <row r="1201">
      <c r="H1201" s="3"/>
    </row>
    <row r="1202">
      <c r="H1202" s="3"/>
    </row>
    <row r="1203">
      <c r="H1203" s="3"/>
    </row>
    <row r="1204">
      <c r="H1204" s="3"/>
    </row>
    <row r="1205">
      <c r="H1205" s="3"/>
    </row>
    <row r="1206">
      <c r="H1206" s="3"/>
    </row>
    <row r="1207">
      <c r="H1207" s="3"/>
    </row>
    <row r="1208">
      <c r="H1208" s="3"/>
    </row>
    <row r="1209">
      <c r="H1209" s="3"/>
    </row>
    <row r="1210">
      <c r="H1210" s="3"/>
    </row>
    <row r="1211">
      <c r="H1211" s="3"/>
    </row>
    <row r="1212">
      <c r="H1212" s="3"/>
    </row>
    <row r="1213">
      <c r="H1213" s="3"/>
    </row>
    <row r="1214">
      <c r="H1214" s="3"/>
    </row>
    <row r="1215">
      <c r="H1215" s="3"/>
    </row>
    <row r="1216">
      <c r="H1216" s="3"/>
    </row>
    <row r="1217">
      <c r="H1217" s="3"/>
    </row>
    <row r="1218">
      <c r="H1218" s="3"/>
    </row>
    <row r="1219">
      <c r="H1219" s="3"/>
    </row>
    <row r="1220">
      <c r="H1220" s="3"/>
    </row>
    <row r="1221">
      <c r="H1221" s="3"/>
    </row>
    <row r="1222">
      <c r="H1222" s="3"/>
    </row>
    <row r="1223">
      <c r="H1223" s="3"/>
    </row>
    <row r="1224">
      <c r="H1224" s="3"/>
    </row>
    <row r="1225">
      <c r="H1225" s="3"/>
    </row>
    <row r="1226">
      <c r="H1226" s="3"/>
    </row>
    <row r="1227">
      <c r="H1227" s="3"/>
    </row>
    <row r="1228">
      <c r="H1228" s="3"/>
    </row>
    <row r="1229">
      <c r="H1229" s="3"/>
    </row>
    <row r="1230">
      <c r="H1230" s="3"/>
    </row>
    <row r="1231">
      <c r="H1231" s="3"/>
    </row>
    <row r="1232">
      <c r="H1232" s="3"/>
    </row>
    <row r="1233">
      <c r="H1233" s="3"/>
    </row>
    <row r="1234">
      <c r="H1234" s="3"/>
    </row>
    <row r="1235">
      <c r="H1235" s="3"/>
    </row>
    <row r="1236">
      <c r="H1236" s="3"/>
    </row>
    <row r="1237">
      <c r="H1237" s="3"/>
    </row>
    <row r="1238">
      <c r="H1238" s="3"/>
    </row>
    <row r="1239">
      <c r="H1239" s="3"/>
    </row>
    <row r="1240">
      <c r="H1240" s="3"/>
    </row>
    <row r="1241">
      <c r="H1241" s="3"/>
    </row>
    <row r="1242">
      <c r="H1242" s="3"/>
    </row>
    <row r="1243">
      <c r="H1243" s="3"/>
    </row>
    <row r="1244">
      <c r="H1244" s="3"/>
    </row>
    <row r="1245">
      <c r="H1245" s="3"/>
    </row>
    <row r="1246">
      <c r="H1246" s="3"/>
    </row>
    <row r="1247">
      <c r="H1247" s="3"/>
    </row>
    <row r="1248">
      <c r="H1248" s="3"/>
    </row>
    <row r="1249">
      <c r="H1249" s="3"/>
    </row>
    <row r="1250">
      <c r="H1250" s="3"/>
    </row>
    <row r="1251">
      <c r="H1251" s="3"/>
    </row>
    <row r="1252">
      <c r="H1252" s="3"/>
    </row>
    <row r="1253">
      <c r="H1253" s="3"/>
    </row>
    <row r="1254">
      <c r="H1254" s="3"/>
    </row>
    <row r="1255">
      <c r="H1255" s="3"/>
    </row>
    <row r="1256">
      <c r="H1256" s="3"/>
    </row>
    <row r="1257">
      <c r="H1257" s="3"/>
    </row>
    <row r="1258">
      <c r="H1258" s="3"/>
    </row>
    <row r="1259">
      <c r="H1259" s="3"/>
    </row>
    <row r="1260">
      <c r="H1260" s="3"/>
    </row>
    <row r="1261">
      <c r="H1261" s="3"/>
    </row>
    <row r="1262">
      <c r="H1262" s="3"/>
    </row>
    <row r="1263">
      <c r="H1263" s="3"/>
    </row>
    <row r="1264">
      <c r="H1264" s="3"/>
    </row>
    <row r="1265">
      <c r="H1265" s="3"/>
    </row>
    <row r="1266">
      <c r="H1266" s="3"/>
    </row>
    <row r="1267">
      <c r="H1267" s="3"/>
    </row>
    <row r="1268">
      <c r="H1268" s="3"/>
    </row>
    <row r="1269">
      <c r="H1269" s="3"/>
    </row>
    <row r="1270">
      <c r="H1270" s="3"/>
    </row>
    <row r="1271">
      <c r="H1271" s="3"/>
    </row>
    <row r="1272">
      <c r="H1272" s="3"/>
    </row>
    <row r="1273">
      <c r="H1273" s="3"/>
    </row>
    <row r="1274">
      <c r="H1274" s="3"/>
    </row>
    <row r="1275">
      <c r="H1275" s="3"/>
    </row>
    <row r="1276">
      <c r="H1276" s="3"/>
    </row>
    <row r="1277">
      <c r="H1277" s="3"/>
    </row>
    <row r="1278">
      <c r="H1278" s="3"/>
    </row>
    <row r="1279">
      <c r="H1279" s="3"/>
    </row>
    <row r="1280">
      <c r="H1280" s="3"/>
    </row>
    <row r="1281">
      <c r="H1281" s="3"/>
    </row>
    <row r="1282">
      <c r="H1282" s="3"/>
    </row>
    <row r="1283">
      <c r="H1283" s="3"/>
    </row>
    <row r="1284">
      <c r="H1284" s="3"/>
    </row>
    <row r="1285">
      <c r="H1285" s="3"/>
    </row>
    <row r="1286">
      <c r="H1286" s="3"/>
    </row>
    <row r="1287">
      <c r="H1287" s="3"/>
    </row>
    <row r="1288">
      <c r="H1288" s="3"/>
    </row>
    <row r="1289">
      <c r="H1289" s="3"/>
    </row>
    <row r="1290">
      <c r="H1290" s="3"/>
    </row>
    <row r="1291">
      <c r="H1291" s="3"/>
    </row>
    <row r="1292">
      <c r="H1292" s="3"/>
    </row>
    <row r="1293">
      <c r="H1293" s="3"/>
    </row>
    <row r="1294">
      <c r="H1294" s="3"/>
    </row>
    <row r="1295">
      <c r="H1295" s="3"/>
    </row>
    <row r="1296">
      <c r="H1296" s="3"/>
    </row>
    <row r="1297">
      <c r="H1297" s="3"/>
    </row>
    <row r="1298">
      <c r="H1298" s="3"/>
    </row>
    <row r="1299">
      <c r="H1299" s="3"/>
    </row>
    <row r="1300">
      <c r="H1300" s="3"/>
    </row>
    <row r="1301">
      <c r="H1301" s="3"/>
    </row>
    <row r="1302">
      <c r="H1302" s="3"/>
    </row>
    <row r="1303">
      <c r="H1303" s="3"/>
    </row>
    <row r="1304">
      <c r="H1304" s="3"/>
    </row>
    <row r="1305">
      <c r="H1305" s="3"/>
    </row>
    <row r="1306">
      <c r="H1306" s="3"/>
    </row>
    <row r="1307">
      <c r="H1307" s="3"/>
    </row>
    <row r="1308">
      <c r="H1308" s="3"/>
    </row>
    <row r="1309">
      <c r="H1309" s="3"/>
    </row>
    <row r="1310">
      <c r="H1310" s="3"/>
    </row>
    <row r="1311">
      <c r="H1311" s="3"/>
    </row>
    <row r="1312">
      <c r="H1312" s="3"/>
    </row>
    <row r="1313">
      <c r="H1313" s="3"/>
    </row>
    <row r="1314">
      <c r="H1314" s="3"/>
    </row>
    <row r="1315">
      <c r="H1315" s="3"/>
    </row>
    <row r="1316">
      <c r="H1316" s="3"/>
    </row>
    <row r="1317">
      <c r="H1317" s="3"/>
    </row>
    <row r="1318">
      <c r="H1318" s="3"/>
    </row>
    <row r="1319">
      <c r="H1319" s="3"/>
    </row>
    <row r="1320">
      <c r="H1320" s="3"/>
    </row>
    <row r="1321">
      <c r="H1321" s="3"/>
    </row>
    <row r="1322">
      <c r="H1322" s="3"/>
    </row>
    <row r="1323">
      <c r="H1323" s="3"/>
    </row>
    <row r="1324">
      <c r="H1324" s="3"/>
    </row>
    <row r="1325">
      <c r="H1325" s="3"/>
    </row>
    <row r="1326">
      <c r="H1326" s="3"/>
    </row>
    <row r="1327">
      <c r="H1327" s="3"/>
    </row>
    <row r="1328">
      <c r="H1328" s="3"/>
    </row>
    <row r="1329">
      <c r="H1329" s="3"/>
    </row>
    <row r="1330">
      <c r="H1330" s="3"/>
    </row>
    <row r="1331">
      <c r="H1331" s="3"/>
    </row>
    <row r="1332">
      <c r="H1332" s="3"/>
    </row>
    <row r="1333">
      <c r="H1333" s="3"/>
    </row>
    <row r="1334">
      <c r="H1334" s="3"/>
    </row>
    <row r="1335">
      <c r="H1335" s="3"/>
    </row>
    <row r="1336">
      <c r="H1336" s="3"/>
    </row>
    <row r="1337">
      <c r="H1337" s="3"/>
    </row>
    <row r="1338">
      <c r="H1338" s="3"/>
    </row>
    <row r="1339">
      <c r="H1339" s="3"/>
    </row>
    <row r="1340">
      <c r="H1340" s="3"/>
    </row>
    <row r="1341">
      <c r="H1341" s="3"/>
    </row>
    <row r="1342">
      <c r="H1342" s="3"/>
    </row>
    <row r="1343">
      <c r="H1343" s="3"/>
    </row>
    <row r="1344">
      <c r="H1344" s="3"/>
    </row>
    <row r="1345">
      <c r="H1345" s="3"/>
    </row>
    <row r="1346">
      <c r="H1346" s="3"/>
    </row>
    <row r="1347">
      <c r="H1347" s="3"/>
    </row>
    <row r="1348">
      <c r="H1348" s="3"/>
    </row>
    <row r="1349">
      <c r="H1349" s="3"/>
    </row>
    <row r="1350">
      <c r="H1350" s="3"/>
    </row>
    <row r="1351">
      <c r="H1351" s="3"/>
    </row>
    <row r="1352">
      <c r="H1352" s="3"/>
    </row>
    <row r="1353">
      <c r="H1353" s="3"/>
    </row>
    <row r="1354">
      <c r="H1354" s="3"/>
    </row>
    <row r="1355">
      <c r="H1355" s="3"/>
    </row>
    <row r="1356">
      <c r="H1356" s="3"/>
    </row>
    <row r="1357">
      <c r="H1357" s="3"/>
    </row>
    <row r="1358">
      <c r="H1358" s="3"/>
    </row>
    <row r="1359">
      <c r="H1359" s="3"/>
    </row>
    <row r="1360">
      <c r="H1360" s="3"/>
    </row>
    <row r="1361">
      <c r="H1361" s="3"/>
    </row>
    <row r="1362">
      <c r="H1362" s="3"/>
    </row>
    <row r="1363">
      <c r="H1363" s="3"/>
    </row>
    <row r="1364">
      <c r="H1364" s="3"/>
    </row>
    <row r="1365">
      <c r="H1365" s="3"/>
    </row>
    <row r="1366">
      <c r="H1366" s="3"/>
    </row>
    <row r="1367">
      <c r="H1367" s="3"/>
    </row>
    <row r="1368">
      <c r="H1368" s="3"/>
    </row>
    <row r="1369">
      <c r="H1369" s="3"/>
    </row>
    <row r="1370">
      <c r="H1370" s="3"/>
    </row>
    <row r="1371">
      <c r="H1371" s="3"/>
    </row>
    <row r="1372">
      <c r="H1372" s="3"/>
    </row>
    <row r="1373">
      <c r="H1373" s="3"/>
    </row>
    <row r="1374">
      <c r="H1374" s="3"/>
    </row>
    <row r="1375">
      <c r="H1375" s="3"/>
    </row>
    <row r="1376">
      <c r="H1376" s="3"/>
    </row>
    <row r="1377">
      <c r="H1377" s="3"/>
    </row>
    <row r="1378">
      <c r="H1378" s="3"/>
    </row>
    <row r="1379">
      <c r="H1379" s="3"/>
    </row>
    <row r="1380">
      <c r="H1380" s="3"/>
    </row>
    <row r="1381">
      <c r="H1381" s="3"/>
    </row>
    <row r="1382">
      <c r="H1382" s="3"/>
    </row>
    <row r="1383">
      <c r="H1383" s="3"/>
    </row>
    <row r="1384">
      <c r="H1384" s="3"/>
    </row>
    <row r="1385">
      <c r="H1385" s="3"/>
    </row>
    <row r="1386">
      <c r="H1386" s="3"/>
    </row>
    <row r="1387">
      <c r="H1387" s="3"/>
    </row>
    <row r="1388">
      <c r="H1388" s="3"/>
    </row>
    <row r="1389">
      <c r="H1389" s="3"/>
    </row>
    <row r="1390">
      <c r="H1390" s="3"/>
    </row>
    <row r="1391">
      <c r="H1391" s="3"/>
    </row>
    <row r="1392">
      <c r="H1392" s="3"/>
    </row>
    <row r="1393">
      <c r="H1393" s="3"/>
    </row>
    <row r="1394">
      <c r="H1394" s="3"/>
    </row>
    <row r="1395">
      <c r="H1395" s="3"/>
    </row>
    <row r="1396">
      <c r="H1396" s="3"/>
    </row>
    <row r="1397">
      <c r="H1397" s="3"/>
    </row>
    <row r="1398">
      <c r="H1398" s="3"/>
    </row>
    <row r="1399">
      <c r="H1399" s="3"/>
    </row>
    <row r="1400">
      <c r="H1400" s="3"/>
    </row>
    <row r="1401">
      <c r="H1401" s="3"/>
    </row>
    <row r="1402">
      <c r="H1402" s="3"/>
    </row>
    <row r="1403">
      <c r="H1403" s="3"/>
    </row>
    <row r="1404">
      <c r="H1404" s="3"/>
    </row>
    <row r="1405">
      <c r="H1405" s="3"/>
    </row>
    <row r="1406">
      <c r="H1406" s="3"/>
    </row>
    <row r="1407">
      <c r="H1407" s="3"/>
    </row>
    <row r="1408">
      <c r="H1408" s="3"/>
    </row>
    <row r="1409">
      <c r="H1409" s="3"/>
    </row>
    <row r="1410">
      <c r="H1410" s="3"/>
    </row>
    <row r="1411">
      <c r="H1411" s="3"/>
    </row>
    <row r="1412">
      <c r="H1412" s="3"/>
    </row>
    <row r="1413">
      <c r="H1413" s="3"/>
    </row>
    <row r="1414">
      <c r="H1414" s="3"/>
    </row>
    <row r="1415">
      <c r="H1415" s="3"/>
    </row>
    <row r="1416">
      <c r="H1416" s="3"/>
    </row>
    <row r="1417">
      <c r="H1417" s="3"/>
    </row>
    <row r="1418">
      <c r="H1418" s="3"/>
    </row>
    <row r="1419">
      <c r="H1419" s="3"/>
    </row>
    <row r="1420">
      <c r="H1420" s="3"/>
    </row>
    <row r="1421">
      <c r="H1421" s="3"/>
    </row>
    <row r="1422">
      <c r="H1422" s="3"/>
    </row>
    <row r="1423">
      <c r="H1423" s="3"/>
    </row>
    <row r="1424">
      <c r="H1424" s="3"/>
    </row>
    <row r="1425">
      <c r="H1425" s="3"/>
    </row>
    <row r="1426">
      <c r="H1426" s="3"/>
    </row>
    <row r="1427">
      <c r="H1427" s="3"/>
    </row>
    <row r="1428">
      <c r="H1428" s="3"/>
    </row>
    <row r="1429">
      <c r="H1429" s="3"/>
    </row>
    <row r="1430">
      <c r="H1430" s="3"/>
    </row>
    <row r="1431">
      <c r="H1431" s="3"/>
    </row>
    <row r="1432">
      <c r="H1432" s="3"/>
    </row>
    <row r="1433">
      <c r="H1433" s="3"/>
    </row>
    <row r="1434">
      <c r="H1434" s="3"/>
    </row>
    <row r="1435">
      <c r="H1435" s="3"/>
    </row>
    <row r="1436">
      <c r="H1436" s="3"/>
    </row>
    <row r="1437">
      <c r="H1437" s="3"/>
    </row>
    <row r="1438">
      <c r="H1438" s="3"/>
    </row>
    <row r="1439">
      <c r="H1439" s="3"/>
    </row>
    <row r="1440">
      <c r="H1440" s="3"/>
    </row>
    <row r="1441">
      <c r="H1441" s="3"/>
    </row>
    <row r="1442">
      <c r="H1442" s="3"/>
    </row>
    <row r="1443">
      <c r="H1443" s="3"/>
    </row>
    <row r="1444">
      <c r="H1444" s="3"/>
    </row>
    <row r="1445">
      <c r="H1445" s="3"/>
    </row>
    <row r="1446">
      <c r="H1446" s="3"/>
    </row>
    <row r="1447">
      <c r="H1447" s="3"/>
    </row>
    <row r="1448">
      <c r="H1448" s="3"/>
    </row>
    <row r="1449">
      <c r="H1449" s="3"/>
    </row>
    <row r="1450">
      <c r="H1450" s="3"/>
    </row>
    <row r="1451">
      <c r="H1451" s="3"/>
    </row>
    <row r="1452">
      <c r="H1452" s="3"/>
    </row>
    <row r="1453">
      <c r="H1453" s="3"/>
    </row>
    <row r="1454">
      <c r="H1454" s="3"/>
    </row>
    <row r="1455">
      <c r="H1455" s="3"/>
    </row>
    <row r="1456">
      <c r="H1456" s="3"/>
    </row>
    <row r="1457">
      <c r="H1457" s="3"/>
    </row>
    <row r="1458">
      <c r="H1458" s="3"/>
    </row>
    <row r="1459">
      <c r="H1459" s="3"/>
    </row>
    <row r="1460">
      <c r="H1460" s="3"/>
    </row>
    <row r="1461">
      <c r="H1461" s="3"/>
    </row>
    <row r="1462">
      <c r="H1462" s="3"/>
    </row>
    <row r="1463">
      <c r="H1463" s="3"/>
    </row>
    <row r="1464">
      <c r="H1464" s="3"/>
    </row>
    <row r="1465">
      <c r="H1465" s="3"/>
    </row>
    <row r="1466">
      <c r="H1466" s="3"/>
    </row>
    <row r="1467">
      <c r="H1467" s="3"/>
    </row>
    <row r="1468">
      <c r="H1468" s="3"/>
    </row>
    <row r="1469">
      <c r="H1469" s="3"/>
    </row>
    <row r="1470">
      <c r="H1470" s="3"/>
    </row>
    <row r="1471">
      <c r="H1471" s="3"/>
    </row>
    <row r="1472">
      <c r="H1472" s="3"/>
    </row>
    <row r="1473">
      <c r="H1473" s="3"/>
    </row>
    <row r="1474">
      <c r="H1474" s="3"/>
    </row>
    <row r="1475">
      <c r="H1475" s="3"/>
    </row>
    <row r="1476">
      <c r="H1476" s="3"/>
    </row>
    <row r="1477">
      <c r="H1477" s="3"/>
    </row>
    <row r="1478">
      <c r="H1478" s="3"/>
    </row>
    <row r="1479">
      <c r="H1479" s="3"/>
    </row>
    <row r="1480">
      <c r="H1480" s="3"/>
    </row>
    <row r="1481">
      <c r="H1481" s="3"/>
    </row>
    <row r="1482">
      <c r="H1482" s="3"/>
    </row>
    <row r="1483">
      <c r="H1483" s="3"/>
    </row>
    <row r="1484">
      <c r="H1484" s="3"/>
    </row>
    <row r="1485">
      <c r="H1485" s="3"/>
    </row>
    <row r="1486">
      <c r="H1486" s="3"/>
    </row>
    <row r="1487">
      <c r="H1487" s="3"/>
    </row>
    <row r="1488">
      <c r="H1488" s="3"/>
    </row>
    <row r="1489">
      <c r="H1489" s="3"/>
    </row>
    <row r="1490">
      <c r="H1490" s="3"/>
    </row>
    <row r="1491">
      <c r="H1491" s="3"/>
    </row>
    <row r="1492">
      <c r="H1492" s="3"/>
    </row>
    <row r="1493">
      <c r="H1493" s="3"/>
    </row>
    <row r="1494">
      <c r="H1494" s="3"/>
    </row>
    <row r="1495">
      <c r="H1495" s="3"/>
    </row>
    <row r="1496">
      <c r="H1496" s="3"/>
    </row>
    <row r="1497">
      <c r="H1497" s="3"/>
    </row>
    <row r="1498">
      <c r="H1498" s="3"/>
    </row>
    <row r="1499">
      <c r="H1499" s="3"/>
    </row>
    <row r="1500">
      <c r="H1500" s="3"/>
    </row>
    <row r="1501">
      <c r="H1501" s="3"/>
    </row>
    <row r="1502">
      <c r="H1502" s="3"/>
    </row>
    <row r="1503">
      <c r="H1503" s="3"/>
    </row>
    <row r="1504">
      <c r="H1504" s="3"/>
    </row>
    <row r="1505">
      <c r="H1505" s="3"/>
    </row>
    <row r="1506">
      <c r="H1506" s="3"/>
    </row>
    <row r="1507">
      <c r="H1507" s="3"/>
    </row>
    <row r="1508">
      <c r="H1508" s="3"/>
    </row>
    <row r="1509">
      <c r="H1509" s="3"/>
    </row>
    <row r="1510">
      <c r="H1510" s="3"/>
    </row>
    <row r="1511">
      <c r="H1511" s="3"/>
    </row>
    <row r="1512">
      <c r="H1512" s="3"/>
    </row>
    <row r="1513">
      <c r="H1513" s="3"/>
    </row>
    <row r="1514">
      <c r="H1514" s="3"/>
    </row>
    <row r="1515">
      <c r="H1515" s="3"/>
    </row>
    <row r="1516">
      <c r="H1516" s="3"/>
    </row>
    <row r="1517">
      <c r="H1517" s="3"/>
    </row>
    <row r="1518">
      <c r="H1518" s="3"/>
    </row>
    <row r="1519">
      <c r="H1519" s="3"/>
    </row>
    <row r="1520">
      <c r="H1520" s="3"/>
    </row>
    <row r="1521">
      <c r="H1521" s="3"/>
    </row>
    <row r="1522">
      <c r="H1522" s="3"/>
    </row>
    <row r="1523">
      <c r="H1523" s="3"/>
    </row>
    <row r="1524">
      <c r="H1524" s="3"/>
    </row>
    <row r="1525">
      <c r="H1525" s="3"/>
    </row>
    <row r="1526">
      <c r="H1526" s="3"/>
    </row>
    <row r="1527">
      <c r="H1527" s="3"/>
    </row>
    <row r="1528">
      <c r="H1528" s="3"/>
    </row>
    <row r="1529">
      <c r="H1529" s="3"/>
    </row>
    <row r="1530">
      <c r="H1530" s="3"/>
    </row>
    <row r="1531">
      <c r="H1531" s="3"/>
    </row>
    <row r="1532">
      <c r="H1532" s="3"/>
    </row>
    <row r="1533">
      <c r="H1533" s="3"/>
    </row>
    <row r="1534">
      <c r="H1534" s="3"/>
    </row>
    <row r="1535">
      <c r="H1535" s="3"/>
    </row>
    <row r="1536">
      <c r="H1536" s="3"/>
    </row>
    <row r="1537">
      <c r="H1537" s="3"/>
    </row>
    <row r="1538">
      <c r="H1538" s="3"/>
    </row>
    <row r="1539">
      <c r="H1539" s="3"/>
    </row>
    <row r="1540">
      <c r="H1540" s="3"/>
    </row>
    <row r="1541">
      <c r="H1541" s="3"/>
    </row>
    <row r="1542">
      <c r="H1542" s="3"/>
    </row>
    <row r="1543">
      <c r="H1543" s="3"/>
    </row>
    <row r="1544">
      <c r="H1544" s="3"/>
    </row>
    <row r="1545">
      <c r="H1545" s="3"/>
    </row>
    <row r="1546">
      <c r="H1546" s="3"/>
    </row>
    <row r="1547">
      <c r="H1547" s="3"/>
    </row>
    <row r="1548">
      <c r="H1548" s="3"/>
    </row>
    <row r="1549">
      <c r="H1549" s="3"/>
    </row>
    <row r="1550">
      <c r="H1550" s="3"/>
    </row>
    <row r="1551">
      <c r="H1551" s="3"/>
    </row>
    <row r="1552">
      <c r="H1552" s="3"/>
    </row>
    <row r="1553">
      <c r="H1553" s="3"/>
    </row>
    <row r="1554">
      <c r="H1554" s="3"/>
    </row>
    <row r="1555">
      <c r="H1555" s="3"/>
    </row>
    <row r="1556">
      <c r="H1556" s="3"/>
    </row>
    <row r="1557">
      <c r="H1557" s="3"/>
    </row>
    <row r="1558">
      <c r="H1558" s="3"/>
    </row>
    <row r="1559">
      <c r="H1559" s="3"/>
    </row>
    <row r="1560">
      <c r="H1560" s="3"/>
    </row>
    <row r="1561">
      <c r="H1561" s="3"/>
    </row>
    <row r="1562">
      <c r="H1562" s="3"/>
    </row>
    <row r="1563">
      <c r="H1563" s="3"/>
    </row>
    <row r="1564">
      <c r="H1564" s="3"/>
    </row>
    <row r="1565">
      <c r="H1565" s="3"/>
    </row>
    <row r="1566">
      <c r="H1566" s="3"/>
    </row>
    <row r="1567">
      <c r="H1567" s="3"/>
    </row>
    <row r="1568">
      <c r="H1568" s="3"/>
    </row>
    <row r="1569">
      <c r="H1569" s="3"/>
    </row>
    <row r="1570">
      <c r="H1570" s="3"/>
    </row>
    <row r="1571">
      <c r="H1571" s="3"/>
    </row>
    <row r="1572">
      <c r="H1572" s="3"/>
    </row>
    <row r="1573">
      <c r="H1573" s="3"/>
    </row>
    <row r="1574">
      <c r="H1574" s="3"/>
    </row>
    <row r="1575">
      <c r="H1575" s="3"/>
    </row>
    <row r="1576">
      <c r="H1576" s="3"/>
    </row>
    <row r="1577">
      <c r="H1577" s="3"/>
    </row>
    <row r="1578">
      <c r="H1578" s="3"/>
    </row>
    <row r="1579">
      <c r="H1579" s="3"/>
    </row>
    <row r="1580">
      <c r="H1580" s="3"/>
    </row>
    <row r="1581">
      <c r="H1581" s="3"/>
    </row>
    <row r="1582">
      <c r="H1582" s="3"/>
    </row>
    <row r="1583">
      <c r="H1583" s="3"/>
    </row>
    <row r="1584">
      <c r="H1584" s="3"/>
    </row>
    <row r="1585">
      <c r="H1585" s="3"/>
    </row>
    <row r="1586">
      <c r="H1586" s="3"/>
    </row>
    <row r="1587">
      <c r="H1587" s="3"/>
    </row>
    <row r="1588">
      <c r="H1588" s="3"/>
    </row>
    <row r="1589">
      <c r="H1589" s="3"/>
    </row>
    <row r="1590">
      <c r="H1590" s="3"/>
    </row>
    <row r="1591">
      <c r="H1591" s="3"/>
    </row>
    <row r="1592">
      <c r="H1592" s="3"/>
    </row>
    <row r="1593">
      <c r="H1593" s="3"/>
    </row>
    <row r="1594">
      <c r="H1594" s="3"/>
    </row>
    <row r="1595">
      <c r="H1595" s="3"/>
    </row>
    <row r="1596">
      <c r="H1596" s="3"/>
    </row>
    <row r="1597">
      <c r="H1597" s="3"/>
    </row>
    <row r="1598">
      <c r="H1598" s="3"/>
    </row>
    <row r="1599">
      <c r="H1599" s="3"/>
    </row>
    <row r="1600">
      <c r="H1600" s="3"/>
    </row>
    <row r="1601">
      <c r="H1601" s="3"/>
    </row>
    <row r="1602">
      <c r="H1602" s="3"/>
    </row>
    <row r="1603">
      <c r="H1603" s="3"/>
    </row>
    <row r="1604">
      <c r="H1604" s="3"/>
    </row>
    <row r="1605">
      <c r="H1605" s="3"/>
    </row>
    <row r="1606">
      <c r="H1606" s="3"/>
    </row>
    <row r="1607">
      <c r="H1607" s="3"/>
    </row>
    <row r="1608">
      <c r="H1608" s="3"/>
    </row>
    <row r="1609">
      <c r="H1609" s="3"/>
    </row>
    <row r="1610">
      <c r="H1610" s="3"/>
    </row>
    <row r="1611">
      <c r="H1611" s="3"/>
    </row>
    <row r="1612">
      <c r="H1612" s="3"/>
    </row>
    <row r="1613">
      <c r="H1613" s="3"/>
    </row>
    <row r="1614">
      <c r="H1614" s="3"/>
    </row>
    <row r="1615">
      <c r="H1615" s="3"/>
    </row>
    <row r="1616">
      <c r="H1616" s="3"/>
    </row>
    <row r="1617">
      <c r="H1617" s="3"/>
    </row>
    <row r="1618">
      <c r="H1618" s="3"/>
    </row>
    <row r="1619">
      <c r="H1619" s="3"/>
    </row>
    <row r="1620">
      <c r="H1620" s="3"/>
    </row>
    <row r="1621">
      <c r="H1621" s="3"/>
    </row>
    <row r="1622">
      <c r="H1622" s="3"/>
    </row>
    <row r="1623">
      <c r="H1623" s="3"/>
    </row>
    <row r="1624">
      <c r="H1624" s="3"/>
    </row>
    <row r="1625">
      <c r="H1625" s="3"/>
    </row>
    <row r="1626">
      <c r="H1626" s="3"/>
    </row>
    <row r="1627">
      <c r="H1627" s="3"/>
    </row>
    <row r="1628">
      <c r="H1628" s="3"/>
    </row>
    <row r="1629">
      <c r="H1629" s="3"/>
    </row>
    <row r="1630">
      <c r="H1630" s="3"/>
    </row>
    <row r="1631">
      <c r="H1631" s="3"/>
    </row>
    <row r="1632">
      <c r="H1632" s="3"/>
    </row>
    <row r="1633">
      <c r="H1633" s="3"/>
    </row>
    <row r="1634">
      <c r="H1634" s="3"/>
    </row>
    <row r="1635">
      <c r="H1635" s="3"/>
    </row>
    <row r="1636">
      <c r="H1636" s="3"/>
    </row>
    <row r="1637">
      <c r="H1637" s="3"/>
    </row>
    <row r="1638">
      <c r="H1638" s="3"/>
    </row>
    <row r="1639">
      <c r="H1639" s="3"/>
    </row>
    <row r="1640">
      <c r="H1640" s="3"/>
    </row>
    <row r="1641">
      <c r="H1641" s="3"/>
    </row>
    <row r="1642">
      <c r="H1642" s="3"/>
    </row>
    <row r="1643">
      <c r="H1643" s="3"/>
    </row>
    <row r="1644">
      <c r="H1644" s="3"/>
    </row>
    <row r="1645">
      <c r="H1645" s="3"/>
    </row>
    <row r="1646">
      <c r="H1646" s="3"/>
    </row>
    <row r="1647">
      <c r="H1647" s="3"/>
    </row>
    <row r="1648">
      <c r="H1648" s="3"/>
    </row>
    <row r="1649">
      <c r="H1649" s="3"/>
    </row>
    <row r="1650">
      <c r="H1650" s="3"/>
    </row>
    <row r="1651">
      <c r="H1651" s="3"/>
    </row>
    <row r="1652">
      <c r="H1652" s="3"/>
    </row>
    <row r="1653">
      <c r="H1653" s="3"/>
    </row>
    <row r="1654">
      <c r="H1654" s="3"/>
    </row>
    <row r="1655">
      <c r="H1655" s="3"/>
    </row>
    <row r="1656">
      <c r="H1656" s="3"/>
    </row>
    <row r="1657">
      <c r="H1657" s="3"/>
    </row>
    <row r="1658">
      <c r="H1658" s="3"/>
    </row>
    <row r="1659">
      <c r="H1659" s="3"/>
    </row>
    <row r="1660">
      <c r="H1660" s="3"/>
    </row>
    <row r="1661">
      <c r="H1661" s="3"/>
    </row>
    <row r="1662">
      <c r="H1662" s="3"/>
    </row>
    <row r="1663">
      <c r="H1663" s="3"/>
    </row>
    <row r="1664">
      <c r="H1664" s="3"/>
    </row>
    <row r="1665">
      <c r="H1665" s="3"/>
    </row>
    <row r="1666">
      <c r="H1666" s="3"/>
    </row>
    <row r="1667">
      <c r="H1667" s="3"/>
    </row>
    <row r="1668">
      <c r="H1668" s="3"/>
    </row>
    <row r="1669">
      <c r="H1669" s="3"/>
    </row>
    <row r="1670">
      <c r="H1670" s="3"/>
    </row>
    <row r="1671">
      <c r="H1671" s="3"/>
    </row>
    <row r="1672">
      <c r="H1672" s="3"/>
    </row>
    <row r="1673">
      <c r="H1673" s="3"/>
    </row>
    <row r="1674">
      <c r="H1674" s="3"/>
    </row>
    <row r="1675">
      <c r="H1675" s="3"/>
    </row>
    <row r="1676">
      <c r="H1676" s="3"/>
    </row>
    <row r="1677">
      <c r="H1677" s="3"/>
    </row>
    <row r="1678">
      <c r="H1678" s="3"/>
    </row>
    <row r="1679">
      <c r="H1679" s="3"/>
    </row>
    <row r="1680">
      <c r="H1680" s="3"/>
    </row>
    <row r="1681">
      <c r="H1681" s="3"/>
    </row>
    <row r="1682">
      <c r="H1682" s="3"/>
    </row>
    <row r="1683">
      <c r="H1683" s="3"/>
    </row>
    <row r="1684">
      <c r="H1684" s="3"/>
    </row>
    <row r="1685">
      <c r="H1685" s="3"/>
    </row>
    <row r="1686">
      <c r="H1686" s="3"/>
    </row>
    <row r="1687">
      <c r="H1687" s="3"/>
    </row>
    <row r="1688">
      <c r="H1688" s="3"/>
    </row>
    <row r="1689">
      <c r="H1689" s="3"/>
    </row>
    <row r="1690">
      <c r="H1690" s="3"/>
    </row>
    <row r="1691">
      <c r="H1691" s="3"/>
    </row>
    <row r="1692">
      <c r="H1692" s="3"/>
    </row>
    <row r="1693">
      <c r="H1693" s="3"/>
    </row>
    <row r="1694">
      <c r="H1694" s="3"/>
    </row>
    <row r="1695">
      <c r="H1695" s="3"/>
    </row>
    <row r="1696">
      <c r="H1696" s="3"/>
    </row>
    <row r="1697">
      <c r="H1697" s="3"/>
    </row>
    <row r="1698">
      <c r="H1698" s="3"/>
    </row>
    <row r="1699">
      <c r="H1699" s="3"/>
    </row>
    <row r="1700">
      <c r="H1700" s="3"/>
    </row>
    <row r="1701">
      <c r="H1701" s="3"/>
    </row>
    <row r="1702">
      <c r="H1702" s="3"/>
    </row>
    <row r="1703">
      <c r="H1703" s="3"/>
    </row>
    <row r="1704">
      <c r="H1704" s="3"/>
    </row>
    <row r="1705">
      <c r="H1705" s="3"/>
    </row>
    <row r="1706">
      <c r="H1706" s="3"/>
    </row>
    <row r="1707">
      <c r="H1707" s="3"/>
    </row>
    <row r="1708">
      <c r="H1708" s="3"/>
    </row>
    <row r="1709">
      <c r="H1709" s="3"/>
    </row>
    <row r="1710">
      <c r="H1710" s="3"/>
    </row>
    <row r="1711">
      <c r="H1711" s="3"/>
    </row>
    <row r="1712">
      <c r="H1712" s="3"/>
    </row>
    <row r="1713">
      <c r="H1713" s="3"/>
    </row>
    <row r="1714">
      <c r="H1714" s="3"/>
    </row>
    <row r="1715">
      <c r="H1715" s="3"/>
    </row>
    <row r="1716">
      <c r="H1716" s="3"/>
    </row>
    <row r="1717">
      <c r="H1717" s="3"/>
    </row>
    <row r="1718">
      <c r="H1718" s="3"/>
    </row>
    <row r="1719">
      <c r="H1719" s="3"/>
    </row>
    <row r="1720">
      <c r="H1720" s="3"/>
    </row>
    <row r="1721">
      <c r="H1721" s="3"/>
    </row>
    <row r="1722">
      <c r="H1722" s="3"/>
    </row>
    <row r="1723">
      <c r="H1723" s="3"/>
    </row>
    <row r="1724">
      <c r="H1724" s="3"/>
    </row>
    <row r="1725">
      <c r="H1725" s="3"/>
    </row>
    <row r="1726">
      <c r="H1726" s="3"/>
    </row>
    <row r="1727">
      <c r="H1727" s="3"/>
    </row>
    <row r="1728">
      <c r="H1728" s="3"/>
    </row>
    <row r="1729">
      <c r="H1729" s="3"/>
    </row>
    <row r="1730">
      <c r="H1730" s="3"/>
    </row>
    <row r="1731">
      <c r="H1731" s="3"/>
    </row>
    <row r="1732">
      <c r="H1732" s="3"/>
    </row>
    <row r="1733">
      <c r="H1733" s="3"/>
    </row>
    <row r="1734">
      <c r="H1734" s="3"/>
    </row>
    <row r="1735">
      <c r="H1735" s="3"/>
    </row>
    <row r="1736">
      <c r="H1736" s="3"/>
    </row>
    <row r="1737">
      <c r="H1737" s="3"/>
    </row>
    <row r="1738">
      <c r="H1738" s="3"/>
    </row>
    <row r="1739">
      <c r="H1739" s="3"/>
    </row>
    <row r="1740">
      <c r="H1740" s="3"/>
    </row>
    <row r="1741">
      <c r="H1741" s="3"/>
    </row>
    <row r="1742">
      <c r="H1742" s="3"/>
    </row>
    <row r="1743">
      <c r="H1743" s="3"/>
    </row>
    <row r="1744">
      <c r="H1744" s="3"/>
    </row>
    <row r="1745">
      <c r="H1745" s="3"/>
    </row>
    <row r="1746">
      <c r="H1746" s="3"/>
    </row>
    <row r="1747">
      <c r="H1747" s="3"/>
    </row>
    <row r="1748">
      <c r="H1748" s="3"/>
    </row>
    <row r="1749">
      <c r="H1749" s="3"/>
    </row>
    <row r="1750">
      <c r="H1750" s="3"/>
    </row>
    <row r="1751">
      <c r="H1751" s="3"/>
    </row>
    <row r="1752">
      <c r="H1752" s="3"/>
    </row>
    <row r="1753">
      <c r="H1753" s="3"/>
    </row>
    <row r="1754">
      <c r="H1754" s="3"/>
    </row>
    <row r="1755">
      <c r="H1755" s="3"/>
    </row>
    <row r="1756">
      <c r="H1756" s="3"/>
    </row>
    <row r="1757">
      <c r="H1757" s="3"/>
    </row>
    <row r="1758">
      <c r="H1758" s="3"/>
    </row>
    <row r="1759">
      <c r="H1759" s="3"/>
    </row>
    <row r="1760">
      <c r="H1760" s="3"/>
    </row>
    <row r="1761">
      <c r="H1761" s="3"/>
    </row>
    <row r="1762">
      <c r="H1762" s="3"/>
    </row>
    <row r="1763">
      <c r="H1763" s="3"/>
    </row>
    <row r="1764">
      <c r="H1764" s="3"/>
    </row>
    <row r="1765">
      <c r="H1765" s="3"/>
    </row>
    <row r="1766">
      <c r="H1766" s="3"/>
    </row>
    <row r="1767">
      <c r="H1767" s="3"/>
    </row>
    <row r="1768">
      <c r="H1768" s="3"/>
    </row>
    <row r="1769">
      <c r="H1769" s="3"/>
    </row>
    <row r="1770">
      <c r="H1770" s="3"/>
    </row>
    <row r="1771">
      <c r="H1771" s="3"/>
    </row>
    <row r="1772">
      <c r="H1772" s="3"/>
    </row>
    <row r="1773">
      <c r="H1773" s="3"/>
    </row>
    <row r="1774">
      <c r="H1774" s="3"/>
    </row>
    <row r="1775">
      <c r="H1775" s="3"/>
    </row>
    <row r="1776">
      <c r="H1776" s="3"/>
    </row>
    <row r="1777">
      <c r="H1777" s="3"/>
    </row>
    <row r="1778">
      <c r="H1778" s="3"/>
    </row>
    <row r="1779">
      <c r="H1779" s="3"/>
    </row>
    <row r="1780">
      <c r="H1780" s="3"/>
    </row>
    <row r="1781">
      <c r="H1781" s="3"/>
    </row>
    <row r="1782">
      <c r="H1782" s="3"/>
    </row>
    <row r="1783">
      <c r="H1783" s="3"/>
    </row>
    <row r="1784">
      <c r="H1784" s="3"/>
    </row>
    <row r="1785">
      <c r="H1785" s="3"/>
    </row>
    <row r="1786">
      <c r="H1786" s="3"/>
    </row>
    <row r="1787">
      <c r="H1787" s="3"/>
    </row>
    <row r="1788">
      <c r="H1788" s="3"/>
    </row>
    <row r="1789">
      <c r="H1789" s="3"/>
    </row>
    <row r="1790">
      <c r="H1790" s="3"/>
    </row>
    <row r="1791">
      <c r="H1791" s="3"/>
    </row>
    <row r="1792">
      <c r="H1792" s="3"/>
    </row>
    <row r="1793">
      <c r="H1793" s="3"/>
    </row>
    <row r="1794">
      <c r="H1794" s="3"/>
    </row>
    <row r="1795">
      <c r="H1795" s="3"/>
    </row>
    <row r="1796">
      <c r="H1796" s="3"/>
    </row>
    <row r="1797">
      <c r="H1797" s="3"/>
    </row>
    <row r="1798">
      <c r="H1798" s="3"/>
    </row>
    <row r="1799">
      <c r="H1799" s="3"/>
    </row>
    <row r="1800">
      <c r="H1800" s="3"/>
    </row>
    <row r="1801">
      <c r="H1801" s="3"/>
    </row>
    <row r="1802">
      <c r="H1802" s="3"/>
    </row>
    <row r="1803">
      <c r="H1803" s="3"/>
    </row>
    <row r="1804">
      <c r="H1804" s="3"/>
    </row>
    <row r="1805">
      <c r="H1805" s="3"/>
    </row>
    <row r="1806">
      <c r="H1806" s="3"/>
    </row>
    <row r="1807">
      <c r="H1807" s="3"/>
    </row>
    <row r="1808">
      <c r="H1808" s="3"/>
    </row>
    <row r="1809">
      <c r="H1809" s="3"/>
    </row>
    <row r="1810">
      <c r="H1810" s="3"/>
    </row>
    <row r="1811">
      <c r="H1811" s="3"/>
    </row>
    <row r="1812">
      <c r="H1812" s="3"/>
    </row>
    <row r="1813">
      <c r="H1813" s="3"/>
    </row>
    <row r="1814">
      <c r="H1814" s="3"/>
    </row>
    <row r="1815">
      <c r="H1815" s="3"/>
    </row>
    <row r="1816">
      <c r="H1816" s="3"/>
    </row>
    <row r="1817">
      <c r="H1817" s="3"/>
    </row>
    <row r="1818">
      <c r="H1818" s="3"/>
    </row>
    <row r="1819">
      <c r="H1819" s="3"/>
    </row>
    <row r="1820">
      <c r="H1820" s="3"/>
    </row>
    <row r="1821">
      <c r="H1821" s="3"/>
    </row>
    <row r="1822">
      <c r="H1822" s="3"/>
    </row>
    <row r="1823">
      <c r="H1823" s="3"/>
    </row>
    <row r="1824">
      <c r="H1824" s="3"/>
    </row>
    <row r="1825">
      <c r="H1825" s="3"/>
    </row>
    <row r="1826">
      <c r="H1826" s="3"/>
    </row>
    <row r="1827">
      <c r="H1827" s="3"/>
    </row>
    <row r="1828">
      <c r="H1828" s="3"/>
    </row>
    <row r="1829">
      <c r="H1829" s="3"/>
    </row>
    <row r="1830">
      <c r="H1830" s="3"/>
    </row>
    <row r="1831">
      <c r="H1831" s="3"/>
    </row>
    <row r="1832">
      <c r="H1832" s="3"/>
    </row>
    <row r="1833">
      <c r="H1833" s="3"/>
    </row>
    <row r="1834">
      <c r="H1834" s="3"/>
    </row>
    <row r="1835">
      <c r="H1835" s="3"/>
    </row>
    <row r="1836">
      <c r="H1836" s="3"/>
    </row>
    <row r="1837">
      <c r="H1837" s="3"/>
    </row>
    <row r="1838">
      <c r="H1838" s="3"/>
    </row>
    <row r="1839">
      <c r="H1839" s="3"/>
    </row>
    <row r="1840">
      <c r="H1840" s="3"/>
    </row>
    <row r="1841">
      <c r="H1841" s="3"/>
    </row>
    <row r="1842">
      <c r="H1842" s="3"/>
    </row>
    <row r="1843">
      <c r="H1843" s="3"/>
    </row>
    <row r="1844">
      <c r="H1844" s="3"/>
    </row>
    <row r="1845">
      <c r="H1845" s="3"/>
    </row>
    <row r="1846">
      <c r="H1846" s="3"/>
    </row>
    <row r="1847">
      <c r="H1847" s="3"/>
    </row>
    <row r="1848">
      <c r="H1848" s="3"/>
    </row>
    <row r="1849">
      <c r="H1849" s="3"/>
    </row>
    <row r="1850">
      <c r="H1850" s="3"/>
    </row>
    <row r="1851">
      <c r="H1851" s="3"/>
    </row>
    <row r="1852">
      <c r="H1852" s="3"/>
    </row>
    <row r="1853">
      <c r="H1853" s="3"/>
    </row>
    <row r="1854">
      <c r="H1854" s="3"/>
    </row>
    <row r="1855">
      <c r="H1855" s="3"/>
    </row>
    <row r="1856">
      <c r="H1856" s="3"/>
    </row>
    <row r="1857">
      <c r="H1857" s="3"/>
    </row>
    <row r="1858">
      <c r="H1858" s="3"/>
    </row>
    <row r="1859">
      <c r="H1859" s="3"/>
    </row>
    <row r="1860">
      <c r="H1860" s="3"/>
    </row>
    <row r="1861">
      <c r="H1861" s="3"/>
    </row>
    <row r="1862">
      <c r="H1862" s="3"/>
    </row>
    <row r="1863">
      <c r="H1863" s="3"/>
    </row>
    <row r="1864">
      <c r="H1864" s="3"/>
    </row>
    <row r="1865">
      <c r="H1865" s="3"/>
    </row>
    <row r="1866">
      <c r="H1866" s="3"/>
    </row>
    <row r="1867">
      <c r="H1867" s="3"/>
    </row>
    <row r="1868">
      <c r="H1868" s="3"/>
    </row>
    <row r="1869">
      <c r="H1869" s="3"/>
    </row>
    <row r="1870">
      <c r="H1870" s="3"/>
    </row>
    <row r="1871">
      <c r="H1871" s="3"/>
    </row>
    <row r="1872">
      <c r="H1872" s="3"/>
    </row>
    <row r="1873">
      <c r="H1873" s="3"/>
    </row>
    <row r="1874">
      <c r="H1874" s="3"/>
    </row>
    <row r="1875">
      <c r="H1875" s="3"/>
    </row>
    <row r="1876">
      <c r="H1876" s="3"/>
    </row>
    <row r="1877">
      <c r="H1877" s="3"/>
    </row>
    <row r="1878">
      <c r="H1878" s="3"/>
    </row>
    <row r="1879">
      <c r="H1879" s="3"/>
    </row>
    <row r="1880">
      <c r="H1880" s="3"/>
    </row>
    <row r="1881">
      <c r="H1881" s="3"/>
    </row>
    <row r="1882">
      <c r="H1882" s="3"/>
    </row>
    <row r="1883">
      <c r="H1883" s="3"/>
    </row>
    <row r="1884">
      <c r="H1884" s="3"/>
    </row>
    <row r="1885">
      <c r="H1885" s="3"/>
    </row>
    <row r="1886">
      <c r="H1886" s="3"/>
    </row>
    <row r="1887">
      <c r="H1887" s="3"/>
    </row>
    <row r="1888">
      <c r="H1888" s="3"/>
    </row>
    <row r="1889">
      <c r="H1889" s="3"/>
    </row>
    <row r="1890">
      <c r="H1890" s="3"/>
    </row>
    <row r="1891">
      <c r="H1891" s="3"/>
    </row>
    <row r="1892">
      <c r="H1892" s="3"/>
    </row>
    <row r="1893">
      <c r="H1893" s="3"/>
    </row>
    <row r="1894">
      <c r="H1894" s="3"/>
    </row>
    <row r="1895">
      <c r="H1895" s="3"/>
    </row>
    <row r="1896">
      <c r="H1896" s="3"/>
    </row>
    <row r="1897">
      <c r="H1897" s="3"/>
    </row>
    <row r="1898">
      <c r="H1898" s="3"/>
    </row>
    <row r="1899">
      <c r="H1899" s="3"/>
    </row>
    <row r="1900">
      <c r="H1900" s="3"/>
    </row>
    <row r="1901">
      <c r="H1901" s="3"/>
    </row>
    <row r="1902">
      <c r="H1902" s="3"/>
    </row>
    <row r="1903">
      <c r="H1903" s="3"/>
    </row>
    <row r="1904">
      <c r="H1904" s="3"/>
    </row>
    <row r="1905">
      <c r="H1905" s="3"/>
    </row>
    <row r="1906">
      <c r="H1906" s="3"/>
    </row>
    <row r="1907">
      <c r="H1907" s="3"/>
    </row>
    <row r="1908">
      <c r="H1908" s="3"/>
    </row>
    <row r="1909">
      <c r="H1909" s="3"/>
    </row>
    <row r="1910">
      <c r="H1910" s="3"/>
    </row>
    <row r="1911">
      <c r="H1911" s="3"/>
    </row>
    <row r="1912">
      <c r="H1912" s="3"/>
    </row>
    <row r="1913">
      <c r="H1913" s="3"/>
    </row>
    <row r="1914">
      <c r="H1914" s="3"/>
    </row>
    <row r="1915">
      <c r="H1915" s="3"/>
    </row>
    <row r="1916">
      <c r="H1916" s="3"/>
    </row>
    <row r="1917">
      <c r="H1917" s="3"/>
    </row>
    <row r="1918">
      <c r="H1918" s="3"/>
    </row>
    <row r="1919">
      <c r="H1919" s="3"/>
    </row>
    <row r="1920">
      <c r="H1920" s="3"/>
    </row>
    <row r="1921">
      <c r="H1921" s="3"/>
    </row>
    <row r="1922">
      <c r="H1922" s="3"/>
    </row>
    <row r="1923">
      <c r="H1923" s="3"/>
    </row>
    <row r="1924">
      <c r="H1924" s="3"/>
    </row>
    <row r="1925">
      <c r="H1925" s="3"/>
    </row>
    <row r="1926">
      <c r="H1926" s="3"/>
    </row>
    <row r="1927">
      <c r="H1927" s="3"/>
    </row>
    <row r="1928">
      <c r="H1928" s="3"/>
    </row>
    <row r="1929">
      <c r="H1929" s="3"/>
    </row>
    <row r="1930">
      <c r="H1930" s="3"/>
    </row>
    <row r="1931">
      <c r="H1931" s="3"/>
    </row>
    <row r="1932">
      <c r="H1932" s="3"/>
    </row>
    <row r="1933">
      <c r="H1933" s="3"/>
    </row>
    <row r="1934">
      <c r="H1934" s="3"/>
    </row>
    <row r="1935">
      <c r="H1935" s="3"/>
    </row>
    <row r="1936">
      <c r="H1936" s="3"/>
    </row>
    <row r="1937">
      <c r="H1937" s="3"/>
    </row>
    <row r="1938">
      <c r="H1938" s="3"/>
    </row>
    <row r="1939">
      <c r="H1939" s="3"/>
    </row>
    <row r="1940">
      <c r="H1940" s="3"/>
    </row>
    <row r="1941">
      <c r="H1941" s="3"/>
    </row>
    <row r="1942">
      <c r="H1942" s="3"/>
    </row>
    <row r="1943">
      <c r="H1943" s="3"/>
    </row>
    <row r="1944">
      <c r="H1944" s="3"/>
    </row>
    <row r="1945">
      <c r="H1945" s="3"/>
    </row>
    <row r="1946">
      <c r="H1946" s="3"/>
    </row>
    <row r="1947">
      <c r="H1947" s="3"/>
    </row>
    <row r="1948">
      <c r="H1948" s="3"/>
    </row>
    <row r="1949">
      <c r="H1949" s="3"/>
    </row>
    <row r="1950">
      <c r="H1950" s="3"/>
    </row>
    <row r="1951">
      <c r="H1951" s="3"/>
    </row>
    <row r="1952">
      <c r="H1952" s="3"/>
    </row>
    <row r="1953">
      <c r="H1953" s="3"/>
    </row>
    <row r="1954">
      <c r="H1954" s="3"/>
    </row>
    <row r="1955">
      <c r="H1955" s="3"/>
    </row>
    <row r="1956">
      <c r="H1956" s="3"/>
    </row>
    <row r="1957">
      <c r="H1957" s="3"/>
    </row>
    <row r="1958">
      <c r="H1958" s="3"/>
    </row>
    <row r="1959">
      <c r="H1959" s="3"/>
    </row>
    <row r="1960">
      <c r="H1960" s="3"/>
    </row>
    <row r="1961">
      <c r="H1961" s="3"/>
    </row>
    <row r="1962">
      <c r="H1962" s="3"/>
    </row>
    <row r="1963">
      <c r="H1963" s="3"/>
    </row>
    <row r="1964">
      <c r="H1964" s="3"/>
    </row>
    <row r="1965">
      <c r="H1965" s="3"/>
    </row>
    <row r="1966">
      <c r="H1966" s="3"/>
    </row>
    <row r="1967">
      <c r="H1967" s="3"/>
    </row>
    <row r="1968">
      <c r="H1968" s="3"/>
    </row>
    <row r="1969">
      <c r="H1969" s="3"/>
    </row>
    <row r="1970">
      <c r="H1970" s="3"/>
    </row>
    <row r="1971">
      <c r="H1971" s="3"/>
    </row>
    <row r="1972">
      <c r="H1972" s="3"/>
    </row>
    <row r="1973">
      <c r="H1973" s="3"/>
    </row>
    <row r="1974">
      <c r="H1974" s="3"/>
    </row>
    <row r="1975">
      <c r="H1975" s="3"/>
    </row>
    <row r="1976">
      <c r="H1976" s="3"/>
    </row>
    <row r="1977">
      <c r="H1977" s="3"/>
    </row>
    <row r="1978">
      <c r="H1978" s="3"/>
    </row>
    <row r="1979">
      <c r="H1979" s="3"/>
    </row>
    <row r="1980">
      <c r="H1980" s="3"/>
    </row>
    <row r="1981">
      <c r="H1981" s="3"/>
    </row>
    <row r="1982">
      <c r="H1982" s="3"/>
    </row>
    <row r="1983">
      <c r="H1983" s="3"/>
    </row>
    <row r="1984">
      <c r="H1984" s="3"/>
    </row>
    <row r="1985">
      <c r="H1985" s="3"/>
    </row>
    <row r="1986">
      <c r="H1986" s="3"/>
    </row>
    <row r="1987">
      <c r="H1987" s="3"/>
    </row>
    <row r="1988">
      <c r="H1988" s="3"/>
    </row>
    <row r="1989">
      <c r="H1989" s="3"/>
    </row>
    <row r="1990">
      <c r="H1990" s="3"/>
    </row>
    <row r="1991">
      <c r="H1991" s="3"/>
    </row>
    <row r="1992">
      <c r="H1992" s="3"/>
    </row>
    <row r="1993">
      <c r="H1993" s="3"/>
    </row>
    <row r="1994">
      <c r="H1994" s="3"/>
    </row>
    <row r="1995">
      <c r="H1995" s="3"/>
    </row>
    <row r="1996">
      <c r="H1996" s="3"/>
    </row>
    <row r="1997">
      <c r="H1997" s="3"/>
    </row>
    <row r="1998">
      <c r="H1998" s="3"/>
    </row>
    <row r="1999">
      <c r="H1999" s="3"/>
    </row>
    <row r="2000">
      <c r="H2000" s="3"/>
    </row>
  </sheetData>
  <dataValidations>
    <dataValidation type="list" allowBlank="1" showErrorMessage="1" sqref="H2:H2000">
      <formula1>"Active,Revoked"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A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3.88"/>
    <col customWidth="1" min="2" max="2" width="12.63"/>
    <col customWidth="1" min="3" max="3" width="30.75"/>
    <col customWidth="1" min="4" max="4" width="13.25"/>
    <col customWidth="1" min="5" max="6" width="11.13"/>
    <col customWidth="1" min="7" max="7" width="12.63"/>
    <col customWidth="1" min="8" max="10" width="13.25"/>
    <col customWidth="1" min="11" max="15" width="16.38"/>
    <col customWidth="1" hidden="1" min="16" max="18" width="16.38"/>
    <col hidden="1" min="19" max="20" width="12.63"/>
  </cols>
  <sheetData>
    <row r="1" ht="28.5" customHeight="1">
      <c r="A1" s="96" t="s">
        <v>1220</v>
      </c>
      <c r="S1" s="2" t="s">
        <v>4</v>
      </c>
      <c r="T1" s="2" t="s">
        <v>468</v>
      </c>
    </row>
    <row r="2" ht="19.5" customHeight="1">
      <c r="A2" s="97" t="s">
        <v>1221</v>
      </c>
      <c r="S2" s="2" t="s">
        <v>56</v>
      </c>
      <c r="T2" s="3">
        <f>COUNTIF(Candidates!T2:T100,"Shortlisted")</f>
        <v>5</v>
      </c>
    </row>
    <row r="3">
      <c r="A3" s="98"/>
      <c r="B3" s="98"/>
      <c r="C3" s="98"/>
      <c r="D3" s="98"/>
      <c r="E3" s="98"/>
      <c r="F3" s="98"/>
      <c r="G3" s="98"/>
      <c r="H3" s="98"/>
      <c r="I3" s="98"/>
      <c r="J3" s="98"/>
      <c r="K3" s="98"/>
      <c r="L3" s="98"/>
      <c r="M3" s="98"/>
      <c r="N3" s="98"/>
      <c r="O3" s="98"/>
      <c r="P3" s="98"/>
      <c r="Q3" s="98"/>
      <c r="R3" s="98"/>
      <c r="S3" s="2" t="s">
        <v>46</v>
      </c>
      <c r="T3" s="3">
        <f>COUNTIF(Candidates!T2:T100,"Hold")</f>
        <v>2</v>
      </c>
    </row>
    <row r="4" ht="7.5" customHeight="1">
      <c r="A4" s="98"/>
      <c r="B4" s="98"/>
      <c r="C4" s="98"/>
      <c r="D4" s="98"/>
      <c r="E4" s="98"/>
      <c r="F4" s="98"/>
      <c r="G4" s="98"/>
      <c r="H4" s="98"/>
      <c r="I4" s="98"/>
      <c r="J4" s="98"/>
      <c r="K4" s="98"/>
      <c r="L4" s="98"/>
      <c r="M4" s="98"/>
      <c r="N4" s="98"/>
      <c r="O4" s="98"/>
      <c r="P4" s="98"/>
      <c r="Q4" s="98"/>
      <c r="R4" s="98"/>
      <c r="S4" s="2" t="s">
        <v>83</v>
      </c>
      <c r="T4" s="3">
        <f>COUNTIF(Candidates!T2:T100,"Rejected")</f>
        <v>35</v>
      </c>
    </row>
    <row r="5" ht="16.5" customHeight="1">
      <c r="A5" s="99" t="s">
        <v>1222</v>
      </c>
      <c r="D5" s="100" t="s">
        <v>1223</v>
      </c>
      <c r="G5" s="101" t="s">
        <v>1224</v>
      </c>
      <c r="J5" s="102" t="s">
        <v>1225</v>
      </c>
      <c r="M5" s="103" t="s">
        <v>1226</v>
      </c>
      <c r="P5" s="104" t="s">
        <v>1227</v>
      </c>
      <c r="S5" s="2" t="s">
        <v>80</v>
      </c>
      <c r="T5" s="3">
        <f>COUNTIF(Candidates!T2:T100,"Hired")</f>
        <v>0</v>
      </c>
    </row>
    <row r="6" ht="25.5" customHeight="1">
      <c r="A6" s="105">
        <f>'Dashboard Data'!H2</f>
        <v>4</v>
      </c>
      <c r="D6" s="105">
        <f>'Dashboard Data'!H3</f>
        <v>43</v>
      </c>
      <c r="G6" s="105">
        <f>'Dashboard Data'!H4</f>
        <v>5</v>
      </c>
      <c r="J6" s="105">
        <f>'Dashboard Data'!H5</f>
        <v>0</v>
      </c>
      <c r="M6" s="105">
        <f>'Dashboard Data'!H6</f>
        <v>0</v>
      </c>
      <c r="P6" s="105">
        <f>'Dashboard Data'!H7</f>
        <v>0</v>
      </c>
      <c r="S6" s="2" t="s">
        <v>1228</v>
      </c>
      <c r="T6" s="2" t="s">
        <v>1228</v>
      </c>
    </row>
    <row r="7" ht="25.5" customHeight="1"/>
    <row r="8" ht="18.0" customHeight="1">
      <c r="A8" s="106" t="s">
        <v>1229</v>
      </c>
      <c r="D8" s="106" t="s">
        <v>1230</v>
      </c>
      <c r="G8" s="106" t="s">
        <v>1231</v>
      </c>
      <c r="J8" s="106" t="s">
        <v>1232</v>
      </c>
      <c r="M8" s="106" t="s">
        <v>1233</v>
      </c>
      <c r="P8" s="106" t="s">
        <v>1234</v>
      </c>
    </row>
    <row r="9">
      <c r="A9" s="98"/>
      <c r="B9" s="98"/>
      <c r="C9" s="98"/>
      <c r="D9" s="98"/>
      <c r="E9" s="98"/>
      <c r="F9" s="98"/>
      <c r="G9" s="98"/>
      <c r="H9" s="98"/>
      <c r="I9" s="98"/>
      <c r="J9" s="98"/>
      <c r="K9" s="98"/>
      <c r="L9" s="98"/>
      <c r="M9" s="98"/>
      <c r="N9" s="98"/>
      <c r="O9" s="98"/>
      <c r="P9" s="98"/>
      <c r="Q9" s="98"/>
      <c r="R9" s="98"/>
    </row>
    <row r="10" ht="21.0" customHeight="1">
      <c r="A10" s="107" t="s">
        <v>1235</v>
      </c>
      <c r="B10" s="108"/>
      <c r="C10" s="108"/>
      <c r="D10" s="108"/>
      <c r="E10" s="108"/>
      <c r="F10" s="108"/>
      <c r="G10" s="108"/>
      <c r="H10" s="108"/>
      <c r="I10" s="108"/>
      <c r="J10" s="108"/>
      <c r="K10" s="107" t="s">
        <v>1236</v>
      </c>
      <c r="L10" s="108"/>
      <c r="M10" s="108"/>
      <c r="N10" s="108"/>
      <c r="O10" s="108"/>
      <c r="P10" s="108"/>
      <c r="Q10" s="108"/>
      <c r="R10" s="108"/>
    </row>
    <row r="11">
      <c r="A11" s="98"/>
      <c r="B11" s="98"/>
      <c r="C11" s="98"/>
      <c r="D11" s="98"/>
      <c r="E11" s="98"/>
      <c r="F11" s="98"/>
      <c r="G11" s="98"/>
      <c r="H11" s="98"/>
      <c r="I11" s="98"/>
      <c r="J11" s="98"/>
      <c r="K11" s="98"/>
      <c r="L11" s="98"/>
      <c r="M11" s="98"/>
      <c r="N11" s="98"/>
      <c r="O11" s="98"/>
      <c r="P11" s="98"/>
      <c r="Q11" s="98"/>
      <c r="R11" s="98"/>
    </row>
    <row r="12">
      <c r="A12" s="98"/>
      <c r="B12" s="98"/>
      <c r="C12" s="98"/>
      <c r="D12" s="98"/>
      <c r="E12" s="98"/>
      <c r="F12" s="98"/>
      <c r="G12" s="98"/>
      <c r="H12" s="98"/>
      <c r="I12" s="98"/>
      <c r="J12" s="98"/>
      <c r="K12" s="98"/>
      <c r="L12" s="98"/>
      <c r="M12" s="98"/>
      <c r="N12" s="98"/>
      <c r="O12" s="98"/>
      <c r="P12" s="98"/>
      <c r="Q12" s="98"/>
      <c r="R12" s="98"/>
    </row>
    <row r="13">
      <c r="A13" s="98"/>
      <c r="B13" s="98"/>
      <c r="C13" s="98"/>
      <c r="D13" s="98"/>
      <c r="E13" s="98"/>
      <c r="F13" s="98"/>
      <c r="G13" s="98"/>
      <c r="H13" s="98"/>
      <c r="I13" s="98"/>
      <c r="J13" s="98"/>
      <c r="K13" s="98"/>
      <c r="L13" s="98"/>
      <c r="M13" s="98"/>
      <c r="N13" s="98"/>
      <c r="O13" s="98"/>
      <c r="P13" s="98"/>
      <c r="Q13" s="98"/>
      <c r="R13" s="98"/>
    </row>
    <row r="14">
      <c r="A14" s="98"/>
      <c r="B14" s="98"/>
      <c r="C14" s="98"/>
      <c r="D14" s="98"/>
      <c r="E14" s="98"/>
      <c r="F14" s="98"/>
      <c r="G14" s="98"/>
      <c r="H14" s="98"/>
      <c r="I14" s="98"/>
      <c r="J14" s="98"/>
      <c r="K14" s="98"/>
      <c r="L14" s="98"/>
      <c r="M14" s="98"/>
      <c r="N14" s="98"/>
      <c r="O14" s="98"/>
      <c r="P14" s="98"/>
      <c r="Q14" s="98"/>
      <c r="R14" s="98"/>
    </row>
    <row r="15">
      <c r="A15" s="98"/>
      <c r="B15" s="98"/>
      <c r="C15" s="98"/>
      <c r="D15" s="98"/>
      <c r="E15" s="98"/>
      <c r="F15" s="98"/>
      <c r="G15" s="98"/>
      <c r="H15" s="98"/>
      <c r="I15" s="98"/>
      <c r="J15" s="98"/>
      <c r="K15" s="98"/>
      <c r="L15" s="98"/>
      <c r="M15" s="98"/>
      <c r="N15" s="98"/>
      <c r="O15" s="98"/>
      <c r="P15" s="98"/>
      <c r="Q15" s="98"/>
      <c r="R15" s="98"/>
    </row>
    <row r="16">
      <c r="A16" s="98"/>
      <c r="B16" s="98"/>
      <c r="C16" s="98"/>
      <c r="D16" s="98"/>
      <c r="E16" s="98"/>
      <c r="F16" s="98"/>
      <c r="G16" s="98"/>
      <c r="H16" s="98"/>
      <c r="I16" s="98"/>
      <c r="J16" s="98"/>
      <c r="K16" s="98"/>
      <c r="L16" s="98"/>
      <c r="M16" s="98"/>
      <c r="N16" s="98"/>
      <c r="O16" s="98"/>
      <c r="P16" s="98"/>
      <c r="Q16" s="98"/>
      <c r="R16" s="98"/>
    </row>
    <row r="17">
      <c r="A17" s="98"/>
      <c r="B17" s="98"/>
      <c r="C17" s="98"/>
      <c r="D17" s="98"/>
      <c r="E17" s="98"/>
      <c r="F17" s="98"/>
      <c r="G17" s="98"/>
      <c r="H17" s="98"/>
      <c r="I17" s="98"/>
      <c r="J17" s="98"/>
      <c r="K17" s="98"/>
      <c r="L17" s="98"/>
      <c r="M17" s="98"/>
      <c r="N17" s="98"/>
      <c r="O17" s="98"/>
      <c r="P17" s="98"/>
      <c r="Q17" s="98"/>
      <c r="R17" s="98"/>
    </row>
    <row r="18">
      <c r="A18" s="98"/>
      <c r="B18" s="98"/>
      <c r="C18" s="98"/>
      <c r="D18" s="98"/>
      <c r="E18" s="98"/>
      <c r="F18" s="98"/>
      <c r="G18" s="98"/>
      <c r="H18" s="98"/>
      <c r="I18" s="98"/>
      <c r="J18" s="98"/>
      <c r="K18" s="98"/>
      <c r="L18" s="98"/>
      <c r="M18" s="98"/>
      <c r="N18" s="98"/>
      <c r="O18" s="98"/>
      <c r="P18" s="98"/>
      <c r="Q18" s="98"/>
      <c r="R18" s="98"/>
    </row>
    <row r="19">
      <c r="A19" s="98"/>
      <c r="B19" s="98"/>
      <c r="C19" s="98"/>
      <c r="D19" s="98"/>
      <c r="E19" s="98"/>
      <c r="F19" s="98"/>
      <c r="G19" s="98"/>
      <c r="H19" s="98"/>
      <c r="I19" s="98"/>
      <c r="J19" s="98"/>
      <c r="K19" s="98"/>
      <c r="L19" s="98"/>
      <c r="M19" s="98"/>
      <c r="N19" s="98"/>
      <c r="O19" s="98"/>
      <c r="P19" s="98"/>
      <c r="Q19" s="98"/>
      <c r="R19" s="98"/>
    </row>
    <row r="20">
      <c r="A20" s="98"/>
      <c r="B20" s="98"/>
      <c r="C20" s="98"/>
      <c r="D20" s="98"/>
      <c r="E20" s="98"/>
      <c r="F20" s="98"/>
      <c r="G20" s="98"/>
      <c r="H20" s="98"/>
      <c r="I20" s="98"/>
      <c r="J20" s="98"/>
      <c r="K20" s="98"/>
      <c r="L20" s="98"/>
      <c r="M20" s="98"/>
      <c r="N20" s="98"/>
      <c r="O20" s="98"/>
      <c r="P20" s="98"/>
      <c r="Q20" s="98"/>
      <c r="R20" s="98"/>
    </row>
    <row r="21">
      <c r="A21" s="98"/>
      <c r="B21" s="98"/>
      <c r="C21" s="98"/>
      <c r="D21" s="98"/>
      <c r="E21" s="98"/>
      <c r="F21" s="98"/>
      <c r="G21" s="98"/>
      <c r="H21" s="98"/>
      <c r="I21" s="98"/>
      <c r="J21" s="98"/>
      <c r="K21" s="98"/>
      <c r="L21" s="98"/>
      <c r="M21" s="98"/>
      <c r="N21" s="98"/>
      <c r="O21" s="98"/>
      <c r="P21" s="98"/>
      <c r="Q21" s="98"/>
      <c r="R21" s="98"/>
    </row>
    <row r="22">
      <c r="A22" s="98"/>
      <c r="B22" s="98"/>
      <c r="C22" s="98"/>
      <c r="D22" s="98"/>
      <c r="E22" s="98"/>
      <c r="F22" s="98"/>
      <c r="G22" s="98"/>
      <c r="H22" s="98"/>
      <c r="I22" s="98"/>
      <c r="J22" s="98"/>
      <c r="K22" s="98"/>
      <c r="L22" s="98"/>
      <c r="M22" s="98"/>
      <c r="N22" s="98"/>
      <c r="O22" s="98"/>
      <c r="P22" s="98"/>
      <c r="Q22" s="98"/>
      <c r="R22" s="98"/>
    </row>
    <row r="23">
      <c r="A23" s="98"/>
      <c r="B23" s="98"/>
      <c r="C23" s="98"/>
      <c r="D23" s="98"/>
      <c r="E23" s="98"/>
      <c r="F23" s="98"/>
      <c r="G23" s="98"/>
      <c r="H23" s="98"/>
      <c r="I23" s="98"/>
      <c r="J23" s="98"/>
      <c r="K23" s="98"/>
      <c r="L23" s="98"/>
      <c r="M23" s="98"/>
      <c r="N23" s="98"/>
      <c r="O23" s="98"/>
      <c r="P23" s="98"/>
      <c r="Q23" s="98"/>
      <c r="R23" s="98"/>
    </row>
    <row r="24">
      <c r="A24" s="98"/>
      <c r="B24" s="98"/>
      <c r="C24" s="98"/>
      <c r="D24" s="98"/>
      <c r="E24" s="98"/>
      <c r="F24" s="98"/>
      <c r="G24" s="98"/>
      <c r="H24" s="98"/>
      <c r="I24" s="98"/>
      <c r="J24" s="98"/>
      <c r="K24" s="98"/>
      <c r="L24" s="98"/>
      <c r="M24" s="98"/>
      <c r="N24" s="98"/>
      <c r="O24" s="98"/>
      <c r="P24" s="98"/>
      <c r="Q24" s="98"/>
      <c r="R24" s="98"/>
    </row>
    <row r="25" ht="21.0" customHeight="1">
      <c r="A25" s="98"/>
      <c r="B25" s="98"/>
      <c r="C25" s="98"/>
      <c r="D25" s="98"/>
      <c r="E25" s="98"/>
      <c r="F25" s="98"/>
      <c r="G25" s="98"/>
      <c r="H25" s="98"/>
      <c r="I25" s="98"/>
      <c r="J25" s="98"/>
      <c r="K25" s="98"/>
      <c r="L25" s="98"/>
      <c r="M25" s="98"/>
      <c r="N25" s="98"/>
      <c r="O25" s="98"/>
      <c r="P25" s="98"/>
      <c r="Q25" s="98"/>
      <c r="R25" s="98"/>
    </row>
    <row r="26" ht="18.0" customHeight="1">
      <c r="A26" s="107" t="s">
        <v>1237</v>
      </c>
      <c r="B26" s="108"/>
      <c r="C26" s="108"/>
      <c r="D26" s="108"/>
      <c r="E26" s="108"/>
      <c r="F26" s="108"/>
      <c r="G26" s="108"/>
      <c r="H26" s="108"/>
      <c r="I26" s="108"/>
      <c r="J26" s="108"/>
      <c r="K26" s="108"/>
      <c r="L26" s="108"/>
      <c r="M26" s="107" t="s">
        <v>1238</v>
      </c>
      <c r="N26" s="108"/>
      <c r="O26" s="108"/>
      <c r="P26" s="108"/>
      <c r="Q26" s="108"/>
      <c r="R26" s="108"/>
    </row>
    <row r="27" ht="18.0" customHeight="1">
      <c r="A27" s="109" t="s">
        <v>84</v>
      </c>
      <c r="B27" s="109" t="s">
        <v>87</v>
      </c>
      <c r="C27" s="109" t="s">
        <v>90</v>
      </c>
      <c r="D27" s="109" t="s">
        <v>5</v>
      </c>
      <c r="E27" s="109" t="s">
        <v>1239</v>
      </c>
      <c r="F27" s="109" t="s">
        <v>1240</v>
      </c>
      <c r="G27" s="109" t="s">
        <v>56</v>
      </c>
      <c r="H27" s="109" t="s">
        <v>1241</v>
      </c>
      <c r="I27" s="109" t="s">
        <v>94</v>
      </c>
      <c r="J27" s="109" t="s">
        <v>96</v>
      </c>
      <c r="K27" s="109" t="s">
        <v>1228</v>
      </c>
      <c r="L27" s="109" t="s">
        <v>1228</v>
      </c>
      <c r="M27" s="110" t="s">
        <v>1242</v>
      </c>
      <c r="N27" s="110" t="s">
        <v>1243</v>
      </c>
      <c r="O27" s="110" t="s">
        <v>1228</v>
      </c>
      <c r="P27" s="110" t="s">
        <v>1228</v>
      </c>
      <c r="Q27" s="110" t="s">
        <v>1228</v>
      </c>
      <c r="R27" s="110" t="s">
        <v>1228</v>
      </c>
    </row>
    <row r="28" ht="18.0" customHeight="1">
      <c r="A28" s="111" t="str">
        <f>IFERROR(__xludf.DUMMYFUNCTION("QUERY('Positions Master'!A2:N100,""select A,B,C,G,H,I,J,N,E,F where F='Active' order by G desc,E asc"",0)"),"004")</f>
        <v>004</v>
      </c>
      <c r="B28" s="111" t="str">
        <f>IFERROR(__xludf.DUMMYFUNCTION("""COMPUTED_VALUE"""),"Baba Bakers")</f>
        <v>Baba Bakers</v>
      </c>
      <c r="C28" s="111" t="str">
        <f>IFERROR(__xludf.DUMMYFUNCTION("""COMPUTED_VALUE"""),"Procurement Executive (Factory)")</f>
        <v>Procurement Executive (Factory)</v>
      </c>
      <c r="D28" s="111" t="str">
        <f>IFERROR(__xludf.DUMMYFUNCTION("""COMPUTED_VALUE"""),"Medium")</f>
        <v>Medium</v>
      </c>
      <c r="E28" s="111">
        <f>IFERROR(__xludf.DUMMYFUNCTION("""COMPUTED_VALUE"""),1.0)</f>
        <v>1</v>
      </c>
      <c r="F28" s="111">
        <f>IFERROR(__xludf.DUMMYFUNCTION("""COMPUTED_VALUE"""),0.0)</f>
        <v>0</v>
      </c>
      <c r="G28" s="111">
        <f>IFERROR(__xludf.DUMMYFUNCTION("""COMPUTED_VALUE"""),0.0)</f>
        <v>0</v>
      </c>
      <c r="H28" s="112"/>
      <c r="I28" s="113">
        <f>IFERROR(__xludf.DUMMYFUNCTION("""COMPUTED_VALUE"""),46293.0)</f>
        <v>46293</v>
      </c>
      <c r="J28" s="111" t="str">
        <f>IFERROR(__xludf.DUMMYFUNCTION("""COMPUTED_VALUE"""),"Active")</f>
        <v>Active</v>
      </c>
      <c r="K28" s="111"/>
      <c r="L28" s="111"/>
      <c r="M28" s="114" t="s">
        <v>1244</v>
      </c>
      <c r="N28" s="115" t="str">
        <f>HYPERLINK("https://script.google.com/macros/s/AKfycbxLxFOev8XGW622Z9Xj7Vgr8PhrHvsChDedYs9vfC7uflI__xuNbUQJTfCFy7vYRV9VOg/exec?page=candidate","Open Candidate Assessment")</f>
        <v>Open Candidate Assessment</v>
      </c>
    </row>
    <row r="29" ht="18.0" customHeight="1">
      <c r="A29" s="111" t="str">
        <f>IFERROR(__xludf.DUMMYFUNCTION("""COMPUTED_VALUE"""),"001")</f>
        <v>001</v>
      </c>
      <c r="B29" s="111" t="str">
        <f>IFERROR(__xludf.DUMMYFUNCTION("""COMPUTED_VALUE"""),"Nobel Business Solutions")</f>
        <v>Nobel Business Solutions</v>
      </c>
      <c r="C29" s="111" t="str">
        <f>IFERROR(__xludf.DUMMYFUNCTION("""COMPUTED_VALUE"""),"Operations Manager / General Manager (LIMO &amp; Chauffeur Services)")</f>
        <v>Operations Manager / General Manager (LIMO &amp; Chauffeur Services)</v>
      </c>
      <c r="D29" s="111" t="str">
        <f>IFERROR(__xludf.DUMMYFUNCTION("""COMPUTED_VALUE"""),"High")</f>
        <v>High</v>
      </c>
      <c r="E29" s="111">
        <f>IFERROR(__xludf.DUMMYFUNCTION("""COMPUTED_VALUE"""),1.0)</f>
        <v>1</v>
      </c>
      <c r="F29" s="111">
        <f>IFERROR(__xludf.DUMMYFUNCTION("""COMPUTED_VALUE"""),30.0)</f>
        <v>30</v>
      </c>
      <c r="G29" s="111">
        <f>IFERROR(__xludf.DUMMYFUNCTION("""COMPUTED_VALUE"""),4.0)</f>
        <v>4</v>
      </c>
      <c r="H29" s="112">
        <f>IFERROR(__xludf.DUMMYFUNCTION("""COMPUTED_VALUE"""),0.392)</f>
        <v>0.392</v>
      </c>
      <c r="I29" s="113">
        <f>IFERROR(__xludf.DUMMYFUNCTION("""COMPUTED_VALUE"""),46290.0)</f>
        <v>46290</v>
      </c>
      <c r="J29" s="111" t="str">
        <f>IFERROR(__xludf.DUMMYFUNCTION("""COMPUTED_VALUE"""),"Active")</f>
        <v>Active</v>
      </c>
      <c r="K29" s="111"/>
      <c r="L29" s="111"/>
      <c r="M29" s="114" t="s">
        <v>1245</v>
      </c>
      <c r="N29" s="115" t="str">
        <f>HYPERLINK("https://script.google.com/macros/s/AKfycbxLxFOev8XGW622Z9Xj7Vgr8PhrHvsChDedYs9vfC7uflI__xuNbUQJTfCFy7vYRV9VOg/exec?page=position","Open Create Position")</f>
        <v>Open Create Position</v>
      </c>
    </row>
    <row r="30" ht="18.0" customHeight="1">
      <c r="A30" s="111" t="str">
        <f>IFERROR(__xludf.DUMMYFUNCTION("""COMPUTED_VALUE"""),"002")</f>
        <v>002</v>
      </c>
      <c r="B30" s="111" t="str">
        <f>IFERROR(__xludf.DUMMYFUNCTION("""COMPUTED_VALUE"""),"Baba Bakers")</f>
        <v>Baba Bakers</v>
      </c>
      <c r="C30" s="111" t="str">
        <f>IFERROR(__xludf.DUMMYFUNCTION("""COMPUTED_VALUE"""),"Production Manager (Factory)")</f>
        <v>Production Manager (Factory)</v>
      </c>
      <c r="D30" s="111" t="str">
        <f>IFERROR(__xludf.DUMMYFUNCTION("""COMPUTED_VALUE"""),"High")</f>
        <v>High</v>
      </c>
      <c r="E30" s="111">
        <f>IFERROR(__xludf.DUMMYFUNCTION("""COMPUTED_VALUE"""),1.0)</f>
        <v>1</v>
      </c>
      <c r="F30" s="111">
        <f>IFERROR(__xludf.DUMMYFUNCTION("""COMPUTED_VALUE"""),0.0)</f>
        <v>0</v>
      </c>
      <c r="G30" s="111">
        <f>IFERROR(__xludf.DUMMYFUNCTION("""COMPUTED_VALUE"""),0.0)</f>
        <v>0</v>
      </c>
      <c r="H30" s="112"/>
      <c r="I30" s="113">
        <f>IFERROR(__xludf.DUMMYFUNCTION("""COMPUTED_VALUE"""),46292.0)</f>
        <v>46292</v>
      </c>
      <c r="J30" s="111" t="str">
        <f>IFERROR(__xludf.DUMMYFUNCTION("""COMPUTED_VALUE"""),"Active")</f>
        <v>Active</v>
      </c>
      <c r="K30" s="111"/>
      <c r="L30" s="111"/>
      <c r="M30" s="114" t="s">
        <v>1246</v>
      </c>
      <c r="N30" s="115" t="str">
        <f>HYPERLINK("https://script.google.com/macros/s/AKfycbxLxFOev8XGW622Z9Xj7Vgr8PhrHvsChDedYs9vfC7uflI__xuNbUQJTfCFy7vYRV9VOg/exec","Open Osynix ATS")</f>
        <v>Open Osynix ATS</v>
      </c>
    </row>
    <row r="31" ht="18.0" customHeight="1">
      <c r="A31" s="111" t="str">
        <f>IFERROR(__xludf.DUMMYFUNCTION("""COMPUTED_VALUE"""),"005")</f>
        <v>005</v>
      </c>
      <c r="B31" s="111" t="str">
        <f>IFERROR(__xludf.DUMMYFUNCTION("""COMPUTED_VALUE"""),"HR Ways")</f>
        <v>HR Ways</v>
      </c>
      <c r="C31" s="111" t="str">
        <f>IFERROR(__xludf.DUMMYFUNCTION("""COMPUTED_VALUE"""),"B2B Sales Executive – US IT Staffing")</f>
        <v>B2B Sales Executive – US IT Staffing</v>
      </c>
      <c r="D31" s="111" t="str">
        <f>IFERROR(__xludf.DUMMYFUNCTION("""COMPUTED_VALUE"""),"High")</f>
        <v>High</v>
      </c>
      <c r="E31" s="111">
        <f>IFERROR(__xludf.DUMMYFUNCTION("""COMPUTED_VALUE"""),1.0)</f>
        <v>1</v>
      </c>
      <c r="F31" s="111">
        <f>IFERROR(__xludf.DUMMYFUNCTION("""COMPUTED_VALUE"""),0.0)</f>
        <v>0</v>
      </c>
      <c r="G31" s="111">
        <f>IFERROR(__xludf.DUMMYFUNCTION("""COMPUTED_VALUE"""),0.0)</f>
        <v>0</v>
      </c>
      <c r="H31" s="112"/>
      <c r="I31" s="113">
        <f>IFERROR(__xludf.DUMMYFUNCTION("""COMPUTED_VALUE"""),46295.0)</f>
        <v>46295</v>
      </c>
      <c r="J31" s="111" t="str">
        <f>IFERROR(__xludf.DUMMYFUNCTION("""COMPUTED_VALUE"""),"Active")</f>
        <v>Active</v>
      </c>
      <c r="K31" s="111"/>
      <c r="L31" s="111"/>
      <c r="M31" s="114" t="s">
        <v>1247</v>
      </c>
      <c r="N31" s="114" t="s">
        <v>1248</v>
      </c>
    </row>
    <row r="32" ht="18.0" customHeight="1">
      <c r="A32" s="111"/>
      <c r="B32" s="111"/>
      <c r="C32" s="111"/>
      <c r="D32" s="111"/>
      <c r="E32" s="111"/>
      <c r="F32" s="111"/>
      <c r="G32" s="111"/>
      <c r="H32" s="111"/>
      <c r="I32" s="111"/>
      <c r="J32" s="111"/>
      <c r="K32" s="111"/>
      <c r="L32" s="111"/>
      <c r="M32" s="98"/>
      <c r="N32" s="98"/>
      <c r="O32" s="98"/>
      <c r="P32" s="98"/>
      <c r="Q32" s="98"/>
      <c r="R32" s="98"/>
    </row>
    <row r="33" ht="18.0" customHeight="1">
      <c r="A33" s="111"/>
      <c r="B33" s="111"/>
      <c r="C33" s="111"/>
      <c r="D33" s="111"/>
      <c r="E33" s="111"/>
      <c r="F33" s="111"/>
      <c r="G33" s="111"/>
      <c r="H33" s="111"/>
      <c r="I33" s="111"/>
      <c r="J33" s="111"/>
      <c r="K33" s="111"/>
      <c r="L33" s="111"/>
      <c r="M33" s="98"/>
      <c r="N33" s="98"/>
      <c r="O33" s="98"/>
      <c r="P33" s="98"/>
      <c r="Q33" s="98"/>
      <c r="R33" s="98"/>
    </row>
    <row r="34" ht="18.0" customHeight="1">
      <c r="A34" s="111"/>
      <c r="B34" s="111"/>
      <c r="C34" s="111"/>
      <c r="D34" s="111"/>
      <c r="E34" s="111"/>
      <c r="F34" s="111"/>
      <c r="G34" s="111"/>
      <c r="H34" s="111"/>
      <c r="I34" s="111"/>
      <c r="J34" s="111"/>
      <c r="K34" s="111"/>
      <c r="L34" s="111"/>
      <c r="M34" s="98"/>
      <c r="N34" s="98"/>
      <c r="O34" s="98"/>
      <c r="P34" s="98"/>
      <c r="Q34" s="98"/>
      <c r="R34" s="98"/>
    </row>
    <row r="35" ht="18.0" customHeight="1">
      <c r="A35" s="111"/>
      <c r="B35" s="111"/>
      <c r="C35" s="111"/>
      <c r="D35" s="111"/>
      <c r="E35" s="111"/>
      <c r="F35" s="111"/>
      <c r="G35" s="111"/>
      <c r="H35" s="111"/>
      <c r="I35" s="111"/>
      <c r="J35" s="111"/>
      <c r="K35" s="111"/>
      <c r="L35" s="111"/>
      <c r="M35" s="98"/>
      <c r="N35" s="98"/>
      <c r="O35" s="98"/>
      <c r="P35" s="98"/>
      <c r="Q35" s="98"/>
      <c r="R35" s="98"/>
    </row>
    <row r="36" ht="18.0" customHeight="1">
      <c r="A36" s="98"/>
      <c r="B36" s="98"/>
      <c r="C36" s="98"/>
      <c r="D36" s="98"/>
      <c r="E36" s="98"/>
      <c r="F36" s="98"/>
      <c r="G36" s="98"/>
      <c r="H36" s="98"/>
      <c r="I36" s="98"/>
      <c r="J36" s="98"/>
      <c r="K36" s="98"/>
      <c r="L36" s="98"/>
      <c r="M36" s="98"/>
      <c r="N36" s="98"/>
      <c r="O36" s="98"/>
      <c r="P36" s="98"/>
      <c r="Q36" s="98"/>
      <c r="R36" s="98"/>
    </row>
    <row r="37" ht="18.0" customHeight="1">
      <c r="A37" s="107" t="s">
        <v>1249</v>
      </c>
      <c r="B37" s="108"/>
      <c r="C37" s="108"/>
      <c r="D37" s="108"/>
      <c r="E37" s="108"/>
      <c r="F37" s="108"/>
      <c r="G37" s="108"/>
      <c r="H37" s="108"/>
      <c r="I37" s="108"/>
      <c r="J37" s="108"/>
      <c r="K37" s="107" t="s">
        <v>1250</v>
      </c>
      <c r="L37" s="108"/>
      <c r="M37" s="108"/>
      <c r="N37" s="108"/>
      <c r="O37" s="108"/>
      <c r="P37" s="108"/>
      <c r="Q37" s="108"/>
      <c r="R37" s="108"/>
    </row>
    <row r="38" ht="18.0" customHeight="1">
      <c r="A38" s="110" t="s">
        <v>1242</v>
      </c>
      <c r="B38" s="110" t="s">
        <v>1228</v>
      </c>
      <c r="C38" s="110" t="s">
        <v>1228</v>
      </c>
      <c r="D38" s="110" t="s">
        <v>1228</v>
      </c>
      <c r="E38" s="110" t="s">
        <v>1228</v>
      </c>
      <c r="F38" s="110" t="s">
        <v>1228</v>
      </c>
      <c r="G38" s="110" t="s">
        <v>1228</v>
      </c>
      <c r="H38" s="110" t="s">
        <v>1228</v>
      </c>
      <c r="I38" s="110" t="s">
        <v>1228</v>
      </c>
      <c r="J38" s="110" t="s">
        <v>1251</v>
      </c>
      <c r="K38" s="116" t="s">
        <v>1252</v>
      </c>
      <c r="L38" s="116" t="s">
        <v>84</v>
      </c>
      <c r="M38" s="116" t="s">
        <v>2</v>
      </c>
      <c r="N38" s="116" t="s">
        <v>3</v>
      </c>
      <c r="O38" s="116" t="s">
        <v>1228</v>
      </c>
      <c r="P38" s="116" t="s">
        <v>1228</v>
      </c>
      <c r="Q38" s="116" t="s">
        <v>1228</v>
      </c>
      <c r="R38" s="116" t="s">
        <v>1228</v>
      </c>
    </row>
    <row r="39" ht="18.0" customHeight="1">
      <c r="A39" s="114" t="s">
        <v>1253</v>
      </c>
      <c r="J39" s="98">
        <f>COUNTIF(Candidates!T2:T100,"Hold")</f>
        <v>2</v>
      </c>
      <c r="K39" s="98" t="str">
        <f>IFERROR(__xludf.DUMMYFUNCTION("IFERROR(FILTER({Candidates!C2:C100,Candidates!B2:B100,Candidates!U2:U100,Candidates!V2:V100},Candidates!U2:U100&lt;&gt;""""),{""No interview records currently logged"","""","""",""""})"),"Ejaz Mehmood")</f>
        <v>Ejaz Mehmood</v>
      </c>
      <c r="L39" s="98" t="str">
        <f>IFERROR(__xludf.DUMMYFUNCTION("""COMPUTED_VALUE"""),"001")</f>
        <v>001</v>
      </c>
      <c r="M39" s="98" t="str">
        <f>IFERROR(__xludf.DUMMYFUNCTION("""COMPUTED_VALUE"""),"Completed")</f>
        <v>Completed</v>
      </c>
      <c r="N39" s="98" t="str">
        <f>IFERROR(__xludf.DUMMYFUNCTION("""COMPUTED_VALUE"""),"Client Rejected")</f>
        <v>Client Rejected</v>
      </c>
      <c r="O39" s="98"/>
      <c r="P39" s="98"/>
      <c r="Q39" s="98"/>
      <c r="R39" s="98"/>
    </row>
    <row r="40" ht="18.0" customHeight="1">
      <c r="A40" s="114" t="s">
        <v>1254</v>
      </c>
      <c r="J40" s="98">
        <f>COUNTIFS(Candidates!T2:T100,"Shortlisted",Candidates!U2:U100,"")</f>
        <v>5</v>
      </c>
      <c r="K40" s="98"/>
      <c r="L40" s="98"/>
      <c r="M40" s="98"/>
      <c r="N40" s="98"/>
      <c r="O40" s="98"/>
      <c r="P40" s="98"/>
      <c r="Q40" s="98"/>
      <c r="R40" s="98"/>
    </row>
    <row r="41" ht="18.0" customHeight="1">
      <c r="A41" s="114" t="s">
        <v>1255</v>
      </c>
      <c r="J41" s="98">
        <f>COUNTIFS('Positions Master'!F2:F100,"Active",'Positions Master'!I2:I100,0)</f>
        <v>3</v>
      </c>
      <c r="K41" s="98"/>
      <c r="L41" s="98"/>
      <c r="M41" s="98"/>
      <c r="N41" s="98"/>
      <c r="O41" s="98"/>
      <c r="P41" s="98"/>
      <c r="Q41" s="98"/>
      <c r="R41" s="98"/>
    </row>
    <row r="42" ht="18.0" customHeight="1">
      <c r="A42" s="114" t="s">
        <v>1256</v>
      </c>
      <c r="J42" s="98">
        <f>COUNTIFS('Positions Master'!F2:F100,"Active",'Positions Master'!G2:G100,"High")</f>
        <v>3</v>
      </c>
      <c r="K42" s="98"/>
      <c r="L42" s="98"/>
      <c r="M42" s="98"/>
      <c r="N42" s="98"/>
      <c r="O42" s="98"/>
      <c r="P42" s="98"/>
      <c r="Q42" s="98"/>
      <c r="R42" s="98"/>
    </row>
    <row r="43" ht="18.0" customHeight="1">
      <c r="A43" s="114" t="s">
        <v>1257</v>
      </c>
      <c r="J43" s="98">
        <f>COUNTIF(Candidates!V2:V100,"Pending")</f>
        <v>0</v>
      </c>
      <c r="K43" s="98"/>
      <c r="L43" s="98"/>
      <c r="M43" s="98"/>
      <c r="N43" s="98"/>
      <c r="O43" s="98"/>
      <c r="P43" s="98"/>
      <c r="Q43" s="98"/>
      <c r="R43" s="98"/>
    </row>
    <row r="44" ht="18.0" customHeight="1">
      <c r="A44" s="114" t="s">
        <v>1258</v>
      </c>
      <c r="J44" s="98">
        <f>COUNTIF(Candidates!T2:T100,"Offer Sent")</f>
        <v>0</v>
      </c>
      <c r="K44" s="98"/>
      <c r="L44" s="98"/>
      <c r="M44" s="98"/>
      <c r="N44" s="98"/>
      <c r="O44" s="98"/>
      <c r="P44" s="98"/>
      <c r="Q44" s="98"/>
      <c r="R44" s="98"/>
    </row>
    <row r="45" ht="18.0" customHeight="1">
      <c r="A45" s="98"/>
      <c r="B45" s="98"/>
      <c r="C45" s="98"/>
      <c r="D45" s="98"/>
      <c r="E45" s="98"/>
      <c r="F45" s="98"/>
      <c r="G45" s="98"/>
      <c r="H45" s="98"/>
      <c r="I45" s="98"/>
      <c r="J45" s="98"/>
      <c r="K45" s="98"/>
      <c r="L45" s="98"/>
      <c r="M45" s="98"/>
      <c r="N45" s="98"/>
      <c r="O45" s="98"/>
      <c r="P45" s="98"/>
      <c r="Q45" s="98"/>
      <c r="R45" s="98"/>
    </row>
    <row r="46" ht="18.0" customHeight="1">
      <c r="A46" s="98"/>
      <c r="B46" s="98"/>
      <c r="C46" s="98"/>
      <c r="D46" s="98"/>
      <c r="E46" s="98"/>
      <c r="F46" s="98"/>
      <c r="G46" s="98"/>
      <c r="H46" s="98"/>
      <c r="I46" s="98"/>
      <c r="J46" s="98"/>
      <c r="K46" s="98"/>
      <c r="L46" s="98"/>
      <c r="M46" s="98"/>
      <c r="N46" s="98"/>
      <c r="O46" s="98"/>
      <c r="P46" s="98"/>
      <c r="Q46" s="98"/>
      <c r="R46" s="98"/>
    </row>
    <row r="47" ht="18.0" customHeight="1">
      <c r="A47" s="107" t="s">
        <v>1259</v>
      </c>
      <c r="B47" s="108"/>
      <c r="C47" s="108"/>
      <c r="D47" s="108"/>
      <c r="E47" s="108"/>
      <c r="F47" s="108"/>
      <c r="G47" s="108"/>
      <c r="H47" s="108"/>
      <c r="I47" s="108"/>
      <c r="J47" s="108"/>
      <c r="K47" s="108"/>
      <c r="L47" s="108"/>
      <c r="M47" s="107" t="s">
        <v>1260</v>
      </c>
      <c r="N47" s="108"/>
      <c r="O47" s="108"/>
      <c r="P47" s="108"/>
      <c r="Q47" s="108"/>
      <c r="R47" s="108"/>
    </row>
    <row r="48" ht="18.0" customHeight="1">
      <c r="A48" s="109" t="s">
        <v>1252</v>
      </c>
      <c r="B48" s="109" t="s">
        <v>84</v>
      </c>
      <c r="C48" s="109" t="s">
        <v>4</v>
      </c>
      <c r="D48" s="109" t="s">
        <v>177</v>
      </c>
      <c r="E48" s="109" t="s">
        <v>1261</v>
      </c>
      <c r="F48" s="109" t="s">
        <v>115</v>
      </c>
      <c r="G48" s="109" t="s">
        <v>1228</v>
      </c>
      <c r="H48" s="109" t="s">
        <v>1228</v>
      </c>
      <c r="I48" s="109" t="s">
        <v>1228</v>
      </c>
      <c r="J48" s="109" t="s">
        <v>1228</v>
      </c>
      <c r="K48" s="109" t="s">
        <v>1228</v>
      </c>
      <c r="L48" s="109" t="s">
        <v>1228</v>
      </c>
      <c r="M48" s="117" t="s">
        <v>1252</v>
      </c>
      <c r="N48" s="117" t="s">
        <v>84</v>
      </c>
      <c r="O48" s="117" t="s">
        <v>1261</v>
      </c>
      <c r="P48" s="117" t="s">
        <v>1262</v>
      </c>
      <c r="Q48" s="117" t="s">
        <v>177</v>
      </c>
      <c r="R48" s="117" t="s">
        <v>1228</v>
      </c>
    </row>
    <row r="49" ht="18.0" customHeight="1">
      <c r="A49" s="98" t="str">
        <f>IFERROR(__xludf.DUMMYFUNCTION("QUERY(Candidates!A2:AA100,""select C,B,S,T,M,AA where A is not null order by AA desc limit 8"",0)"),"Zeeshan Tarar")</f>
        <v>Zeeshan Tarar</v>
      </c>
      <c r="B49" s="98" t="str">
        <f>IFERROR(__xludf.DUMMYFUNCTION("""COMPUTED_VALUE"""),"004")</f>
        <v>004</v>
      </c>
      <c r="C49" s="98" t="str">
        <f>IFERROR(__xludf.DUMMYFUNCTION("""COMPUTED_VALUE"""),"Reject")</f>
        <v>Reject</v>
      </c>
      <c r="D49" s="98" t="str">
        <f>IFERROR(__xludf.DUMMYFUNCTION("""COMPUTED_VALUE"""),"Rejected")</f>
        <v>Rejected</v>
      </c>
      <c r="E49" s="118">
        <f>IFERROR(__xludf.DUMMYFUNCTION("""COMPUTED_VALUE"""),0.52)</f>
        <v>0.52</v>
      </c>
      <c r="F49" s="119">
        <f>IFERROR(__xludf.DUMMYFUNCTION("""COMPUTED_VALUE"""),46296.0)</f>
        <v>46296</v>
      </c>
      <c r="G49" s="98"/>
      <c r="H49" s="98"/>
      <c r="I49" s="98"/>
      <c r="J49" s="98"/>
      <c r="K49" s="98"/>
      <c r="L49" s="98"/>
      <c r="M49" s="98" t="str">
        <f>IFERROR(__xludf.DUMMYFUNCTION("QUERY(Candidates!A2:T100,""select C,B,M,N,T where T='Shortlisted' order by M desc limit 8"",0)"),"Habab Bin Ayyaz")</f>
        <v>Habab Bin Ayyaz</v>
      </c>
      <c r="N49" s="98" t="str">
        <f>IFERROR(__xludf.DUMMYFUNCTION("""COMPUTED_VALUE"""),"001")</f>
        <v>001</v>
      </c>
      <c r="O49" s="118">
        <f>IFERROR(__xludf.DUMMYFUNCTION("""COMPUTED_VALUE"""),0.9)</f>
        <v>0.9</v>
      </c>
      <c r="P49" s="98" t="str">
        <f>IFERROR(__xludf.DUMMYFUNCTION("""COMPUTED_VALUE"""),"Pass")</f>
        <v>Pass</v>
      </c>
      <c r="Q49" s="98" t="str">
        <f>IFERROR(__xludf.DUMMYFUNCTION("""COMPUTED_VALUE"""),"Shortlisted")</f>
        <v>Shortlisted</v>
      </c>
      <c r="R49" s="98"/>
    </row>
    <row r="50" ht="18.0" customHeight="1">
      <c r="A50" s="98" t="str">
        <f>IFERROR(__xludf.DUMMYFUNCTION("""COMPUTED_VALUE"""),"Abdul Ghaffar")</f>
        <v>Abdul Ghaffar</v>
      </c>
      <c r="B50" s="98" t="str">
        <f>IFERROR(__xludf.DUMMYFUNCTION("""COMPUTED_VALUE"""),"004")</f>
        <v>004</v>
      </c>
      <c r="C50" s="98" t="str">
        <f>IFERROR(__xludf.DUMMYFUNCTION("""COMPUTED_VALUE"""),"Reject")</f>
        <v>Reject</v>
      </c>
      <c r="D50" s="98" t="str">
        <f>IFERROR(__xludf.DUMMYFUNCTION("""COMPUTED_VALUE"""),"Rejected")</f>
        <v>Rejected</v>
      </c>
      <c r="E50" s="118">
        <f>IFERROR(__xludf.DUMMYFUNCTION("""COMPUTED_VALUE"""),0.35)</f>
        <v>0.35</v>
      </c>
      <c r="F50" s="119">
        <f>IFERROR(__xludf.DUMMYFUNCTION("""COMPUTED_VALUE"""),46296.0)</f>
        <v>46296</v>
      </c>
      <c r="G50" s="98"/>
      <c r="H50" s="98"/>
      <c r="I50" s="98"/>
      <c r="J50" s="98"/>
      <c r="K50" s="98"/>
      <c r="L50" s="98"/>
      <c r="M50" s="98" t="str">
        <f>IFERROR(__xludf.DUMMYFUNCTION("""COMPUTED_VALUE"""),"Hira Iqbal Ghaznavi")</f>
        <v>Hira Iqbal Ghaznavi</v>
      </c>
      <c r="N50" s="98" t="str">
        <f>IFERROR(__xludf.DUMMYFUNCTION("""COMPUTED_VALUE"""),"001")</f>
        <v>001</v>
      </c>
      <c r="O50" s="118">
        <f>IFERROR(__xludf.DUMMYFUNCTION("""COMPUTED_VALUE"""),0.85)</f>
        <v>0.85</v>
      </c>
      <c r="P50" s="98" t="str">
        <f>IFERROR(__xludf.DUMMYFUNCTION("""COMPUTED_VALUE"""),"Partial")</f>
        <v>Partial</v>
      </c>
      <c r="Q50" s="98" t="str">
        <f>IFERROR(__xludf.DUMMYFUNCTION("""COMPUTED_VALUE"""),"Shortlisted")</f>
        <v>Shortlisted</v>
      </c>
      <c r="R50" s="98"/>
    </row>
    <row r="51" ht="18.0" customHeight="1">
      <c r="A51" s="98" t="str">
        <f>IFERROR(__xludf.DUMMYFUNCTION("""COMPUTED_VALUE"""),"Bilal Mustafa")</f>
        <v>Bilal Mustafa</v>
      </c>
      <c r="B51" s="98" t="str">
        <f>IFERROR(__xludf.DUMMYFUNCTION("""COMPUTED_VALUE"""),"001")</f>
        <v>001</v>
      </c>
      <c r="C51" s="98" t="str">
        <f>IFERROR(__xludf.DUMMYFUNCTION("""COMPUTED_VALUE"""),"Priority Shortlist")</f>
        <v>Priority Shortlist</v>
      </c>
      <c r="D51" s="98" t="str">
        <f>IFERROR(__xludf.DUMMYFUNCTION("""COMPUTED_VALUE"""),"Shortlisted")</f>
        <v>Shortlisted</v>
      </c>
      <c r="E51" s="118">
        <f>IFERROR(__xludf.DUMMYFUNCTION("""COMPUTED_VALUE"""),0.82)</f>
        <v>0.82</v>
      </c>
      <c r="F51" s="119">
        <f>IFERROR(__xludf.DUMMYFUNCTION("""COMPUTED_VALUE"""),46296.0)</f>
        <v>46296</v>
      </c>
      <c r="G51" s="98"/>
      <c r="H51" s="98"/>
      <c r="I51" s="98"/>
      <c r="J51" s="98"/>
      <c r="K51" s="98"/>
      <c r="L51" s="98"/>
      <c r="M51" s="98" t="str">
        <f>IFERROR(__xludf.DUMMYFUNCTION("""COMPUTED_VALUE"""),"Bilal Mustafa")</f>
        <v>Bilal Mustafa</v>
      </c>
      <c r="N51" s="98" t="str">
        <f>IFERROR(__xludf.DUMMYFUNCTION("""COMPUTED_VALUE"""),"001")</f>
        <v>001</v>
      </c>
      <c r="O51" s="118">
        <f>IFERROR(__xludf.DUMMYFUNCTION("""COMPUTED_VALUE"""),0.82)</f>
        <v>0.82</v>
      </c>
      <c r="P51" s="98" t="str">
        <f>IFERROR(__xludf.DUMMYFUNCTION("""COMPUTED_VALUE"""),"Pass")</f>
        <v>Pass</v>
      </c>
      <c r="Q51" s="98" t="str">
        <f>IFERROR(__xludf.DUMMYFUNCTION("""COMPUTED_VALUE"""),"Shortlisted")</f>
        <v>Shortlisted</v>
      </c>
      <c r="R51" s="98"/>
    </row>
    <row r="52" ht="18.0" customHeight="1">
      <c r="A52" s="98" t="str">
        <f>IFERROR(__xludf.DUMMYFUNCTION("""COMPUTED_VALUE"""),"Malik Muhammad Touseef")</f>
        <v>Malik Muhammad Touseef</v>
      </c>
      <c r="B52" s="98" t="str">
        <f>IFERROR(__xludf.DUMMYFUNCTION("""COMPUTED_VALUE"""),"004")</f>
        <v>004</v>
      </c>
      <c r="C52" s="98" t="str">
        <f>IFERROR(__xludf.DUMMYFUNCTION("""COMPUTED_VALUE"""),"Reject")</f>
        <v>Reject</v>
      </c>
      <c r="D52" s="98" t="str">
        <f>IFERROR(__xludf.DUMMYFUNCTION("""COMPUTED_VALUE"""),"Rejected")</f>
        <v>Rejected</v>
      </c>
      <c r="E52" s="118">
        <f>IFERROR(__xludf.DUMMYFUNCTION("""COMPUTED_VALUE"""),0.34)</f>
        <v>0.34</v>
      </c>
      <c r="F52" s="119">
        <f>IFERROR(__xludf.DUMMYFUNCTION("""COMPUTED_VALUE"""),46296.0)</f>
        <v>46296</v>
      </c>
      <c r="G52" s="98"/>
      <c r="H52" s="98"/>
      <c r="I52" s="98"/>
      <c r="J52" s="98"/>
      <c r="K52" s="98"/>
      <c r="L52" s="98"/>
      <c r="M52" s="98" t="str">
        <f>IFERROR(__xludf.DUMMYFUNCTION("""COMPUTED_VALUE"""),"Jaffir Iqbal")</f>
        <v>Jaffir Iqbal</v>
      </c>
      <c r="N52" s="98" t="str">
        <f>IFERROR(__xludf.DUMMYFUNCTION("""COMPUTED_VALUE"""),"002")</f>
        <v>002</v>
      </c>
      <c r="O52" s="118">
        <f>IFERROR(__xludf.DUMMYFUNCTION("""COMPUTED_VALUE"""),0.76)</f>
        <v>0.76</v>
      </c>
      <c r="P52" s="98" t="str">
        <f>IFERROR(__xludf.DUMMYFUNCTION("""COMPUTED_VALUE"""),"Pass")</f>
        <v>Pass</v>
      </c>
      <c r="Q52" s="98" t="str">
        <f>IFERROR(__xludf.DUMMYFUNCTION("""COMPUTED_VALUE"""),"Shortlisted")</f>
        <v>Shortlisted</v>
      </c>
      <c r="R52" s="98"/>
    </row>
    <row r="53" ht="18.0" customHeight="1">
      <c r="A53" s="98" t="str">
        <f>IFERROR(__xludf.DUMMYFUNCTION("""COMPUTED_VALUE"""),"Khan Hassam Zain")</f>
        <v>Khan Hassam Zain</v>
      </c>
      <c r="B53" s="98" t="str">
        <f>IFERROR(__xludf.DUMMYFUNCTION("""COMPUTED_VALUE"""),"002")</f>
        <v>002</v>
      </c>
      <c r="C53" s="98" t="str">
        <f>IFERROR(__xludf.DUMMYFUNCTION("""COMPUTED_VALUE"""),"Shortlist")</f>
        <v>Shortlist</v>
      </c>
      <c r="D53" s="98" t="str">
        <f>IFERROR(__xludf.DUMMYFUNCTION("""COMPUTED_VALUE"""),"Shortlisted")</f>
        <v>Shortlisted</v>
      </c>
      <c r="E53" s="118">
        <f>IFERROR(__xludf.DUMMYFUNCTION("""COMPUTED_VALUE"""),0.68)</f>
        <v>0.68</v>
      </c>
      <c r="F53" s="119">
        <f>IFERROR(__xludf.DUMMYFUNCTION("""COMPUTED_VALUE"""),46296.0)</f>
        <v>46296</v>
      </c>
      <c r="G53" s="98"/>
      <c r="H53" s="98"/>
      <c r="I53" s="98"/>
      <c r="J53" s="98"/>
      <c r="K53" s="98"/>
      <c r="L53" s="98"/>
      <c r="M53" s="98" t="str">
        <f>IFERROR(__xludf.DUMMYFUNCTION("""COMPUTED_VALUE"""),"Khan Hassam Zain")</f>
        <v>Khan Hassam Zain</v>
      </c>
      <c r="N53" s="98" t="str">
        <f>IFERROR(__xludf.DUMMYFUNCTION("""COMPUTED_VALUE"""),"002")</f>
        <v>002</v>
      </c>
      <c r="O53" s="118">
        <f>IFERROR(__xludf.DUMMYFUNCTION("""COMPUTED_VALUE"""),0.68)</f>
        <v>0.68</v>
      </c>
      <c r="P53" s="98" t="str">
        <f>IFERROR(__xludf.DUMMYFUNCTION("""COMPUTED_VALUE"""),"Pass")</f>
        <v>Pass</v>
      </c>
      <c r="Q53" s="98" t="str">
        <f>IFERROR(__xludf.DUMMYFUNCTION("""COMPUTED_VALUE"""),"Shortlisted")</f>
        <v>Shortlisted</v>
      </c>
      <c r="R53" s="98"/>
    </row>
    <row r="54">
      <c r="A54" s="98" t="str">
        <f>IFERROR(__xludf.DUMMYFUNCTION("""COMPUTED_VALUE"""),"Farooq Haider")</f>
        <v>Farooq Haider</v>
      </c>
      <c r="B54" s="98" t="str">
        <f>IFERROR(__xludf.DUMMYFUNCTION("""COMPUTED_VALUE"""),"004")</f>
        <v>004</v>
      </c>
      <c r="C54" s="98" t="str">
        <f>IFERROR(__xludf.DUMMYFUNCTION("""COMPUTED_VALUE"""),"Reject")</f>
        <v>Reject</v>
      </c>
      <c r="D54" s="98" t="str">
        <f>IFERROR(__xludf.DUMMYFUNCTION("""COMPUTED_VALUE"""),"Rejected")</f>
        <v>Rejected</v>
      </c>
      <c r="E54" s="118">
        <f>IFERROR(__xludf.DUMMYFUNCTION("""COMPUTED_VALUE"""),0.44)</f>
        <v>0.44</v>
      </c>
      <c r="F54" s="119">
        <f>IFERROR(__xludf.DUMMYFUNCTION("""COMPUTED_VALUE"""),46296.0)</f>
        <v>46296</v>
      </c>
      <c r="G54" s="98"/>
      <c r="H54" s="98"/>
      <c r="I54" s="98"/>
      <c r="J54" s="98"/>
      <c r="K54" s="98"/>
      <c r="L54" s="98"/>
      <c r="M54" s="98"/>
      <c r="N54" s="98"/>
      <c r="O54" s="98"/>
      <c r="P54" s="98"/>
      <c r="Q54" s="98"/>
      <c r="R54" s="98"/>
    </row>
    <row r="55">
      <c r="A55" s="98" t="str">
        <f>IFERROR(__xludf.DUMMYFUNCTION("""COMPUTED_VALUE"""),"Husnain Raza Rahat")</f>
        <v>Husnain Raza Rahat</v>
      </c>
      <c r="B55" s="98" t="str">
        <f>IFERROR(__xludf.DUMMYFUNCTION("""COMPUTED_VALUE"""),"004")</f>
        <v>004</v>
      </c>
      <c r="C55" s="98" t="str">
        <f>IFERROR(__xludf.DUMMYFUNCTION("""COMPUTED_VALUE"""),"Reject")</f>
        <v>Reject</v>
      </c>
      <c r="D55" s="98" t="str">
        <f>IFERROR(__xludf.DUMMYFUNCTION("""COMPUTED_VALUE"""),"Rejected")</f>
        <v>Rejected</v>
      </c>
      <c r="E55" s="118">
        <f>IFERROR(__xludf.DUMMYFUNCTION("""COMPUTED_VALUE"""),0.2)</f>
        <v>0.2</v>
      </c>
      <c r="F55" s="119">
        <f>IFERROR(__xludf.DUMMYFUNCTION("""COMPUTED_VALUE"""),46296.0)</f>
        <v>46296</v>
      </c>
      <c r="G55" s="98"/>
      <c r="H55" s="98"/>
      <c r="I55" s="98"/>
      <c r="J55" s="98"/>
      <c r="K55" s="98"/>
      <c r="L55" s="98"/>
      <c r="M55" s="98"/>
      <c r="N55" s="98"/>
      <c r="O55" s="98"/>
      <c r="P55" s="98"/>
      <c r="Q55" s="98"/>
      <c r="R55" s="98"/>
    </row>
    <row r="56">
      <c r="A56" s="98" t="str">
        <f>IFERROR(__xludf.DUMMYFUNCTION("""COMPUTED_VALUE"""),"Muhammad Waqas Naeem")</f>
        <v>Muhammad Waqas Naeem</v>
      </c>
      <c r="B56" s="98" t="str">
        <f>IFERROR(__xludf.DUMMYFUNCTION("""COMPUTED_VALUE"""),"004")</f>
        <v>004</v>
      </c>
      <c r="C56" s="98" t="str">
        <f>IFERROR(__xludf.DUMMYFUNCTION("""COMPUTED_VALUE"""),"Reject")</f>
        <v>Reject</v>
      </c>
      <c r="D56" s="98" t="str">
        <f>IFERROR(__xludf.DUMMYFUNCTION("""COMPUTED_VALUE"""),"Rejected")</f>
        <v>Rejected</v>
      </c>
      <c r="E56" s="118">
        <f>IFERROR(__xludf.DUMMYFUNCTION("""COMPUTED_VALUE"""),0.35)</f>
        <v>0.35</v>
      </c>
      <c r="F56" s="119">
        <f>IFERROR(__xludf.DUMMYFUNCTION("""COMPUTED_VALUE"""),46296.0)</f>
        <v>46296</v>
      </c>
      <c r="G56" s="98"/>
      <c r="H56" s="98"/>
      <c r="I56" s="98"/>
      <c r="J56" s="98"/>
      <c r="K56" s="98"/>
      <c r="L56" s="98"/>
      <c r="M56" s="98"/>
      <c r="N56" s="98"/>
      <c r="O56" s="98"/>
      <c r="P56" s="98"/>
      <c r="Q56" s="98"/>
      <c r="R56" s="98"/>
    </row>
    <row r="57">
      <c r="A57" s="98"/>
      <c r="B57" s="98"/>
      <c r="C57" s="98"/>
      <c r="D57" s="98"/>
      <c r="E57" s="98"/>
      <c r="F57" s="98"/>
      <c r="G57" s="98"/>
      <c r="H57" s="98"/>
      <c r="I57" s="98"/>
      <c r="J57" s="98"/>
      <c r="K57" s="98"/>
      <c r="L57" s="98"/>
      <c r="M57" s="98"/>
      <c r="N57" s="98"/>
      <c r="O57" s="98"/>
      <c r="P57" s="98"/>
      <c r="Q57" s="98"/>
      <c r="R57" s="98"/>
    </row>
    <row r="58">
      <c r="A58" s="98"/>
      <c r="B58" s="98"/>
      <c r="C58" s="98"/>
      <c r="D58" s="98"/>
      <c r="E58" s="98"/>
      <c r="F58" s="98"/>
      <c r="G58" s="98"/>
      <c r="H58" s="98"/>
      <c r="I58" s="98"/>
      <c r="J58" s="98"/>
      <c r="K58" s="98"/>
      <c r="L58" s="98"/>
      <c r="M58" s="98"/>
      <c r="N58" s="98"/>
      <c r="O58" s="98"/>
      <c r="P58" s="98"/>
      <c r="Q58" s="98"/>
      <c r="R58" s="98"/>
    </row>
    <row r="59">
      <c r="A59" s="98"/>
      <c r="B59" s="98"/>
      <c r="C59" s="98"/>
      <c r="D59" s="98"/>
      <c r="E59" s="98"/>
      <c r="F59" s="98"/>
      <c r="G59" s="98"/>
      <c r="H59" s="98"/>
      <c r="I59" s="98"/>
      <c r="J59" s="98"/>
      <c r="K59" s="98"/>
      <c r="L59" s="98"/>
      <c r="M59" s="98"/>
      <c r="N59" s="98"/>
      <c r="O59" s="98"/>
      <c r="P59" s="98"/>
      <c r="Q59" s="98"/>
      <c r="R59" s="98"/>
    </row>
    <row r="60">
      <c r="A60" s="120" t="s">
        <v>1263</v>
      </c>
      <c r="B60" s="121"/>
      <c r="C60" s="121"/>
      <c r="D60" s="121"/>
      <c r="E60" s="121"/>
      <c r="F60" s="121"/>
      <c r="G60" s="121"/>
      <c r="H60" s="121"/>
      <c r="I60" s="121"/>
      <c r="J60" s="121"/>
      <c r="K60" s="121"/>
      <c r="L60" s="121"/>
      <c r="M60" s="121"/>
      <c r="N60" s="121"/>
      <c r="O60" s="121"/>
      <c r="P60" s="121"/>
      <c r="Q60" s="121"/>
      <c r="R60" s="122"/>
    </row>
    <row r="61">
      <c r="A61" s="123"/>
      <c r="B61" s="108"/>
      <c r="C61" s="108"/>
      <c r="D61" s="108"/>
      <c r="E61" s="108"/>
      <c r="F61" s="108"/>
      <c r="G61" s="108"/>
      <c r="H61" s="108"/>
      <c r="I61" s="108"/>
      <c r="J61" s="108"/>
      <c r="K61" s="108"/>
      <c r="L61" s="108"/>
      <c r="M61" s="108"/>
      <c r="N61" s="108"/>
      <c r="O61" s="108"/>
      <c r="P61" s="108"/>
      <c r="Q61" s="108"/>
      <c r="R61" s="124"/>
    </row>
    <row r="62">
      <c r="A62" s="98"/>
      <c r="B62" s="98"/>
      <c r="C62" s="98"/>
      <c r="D62" s="98"/>
      <c r="E62" s="98"/>
      <c r="F62" s="98"/>
      <c r="G62" s="98"/>
      <c r="H62" s="98"/>
      <c r="I62" s="98"/>
      <c r="J62" s="98"/>
      <c r="K62" s="98"/>
      <c r="L62" s="98"/>
      <c r="M62" s="98"/>
      <c r="N62" s="98"/>
      <c r="O62" s="98"/>
      <c r="P62" s="98"/>
      <c r="Q62" s="98"/>
      <c r="R62" s="98"/>
    </row>
    <row r="63">
      <c r="A63" s="107" t="s">
        <v>1264</v>
      </c>
      <c r="B63" s="108"/>
      <c r="C63" s="108"/>
      <c r="D63" s="108"/>
      <c r="E63" s="108"/>
      <c r="F63" s="108"/>
      <c r="G63" s="108"/>
      <c r="H63" s="108"/>
      <c r="I63" s="108"/>
      <c r="J63" s="108"/>
      <c r="K63" s="108"/>
      <c r="L63" s="108"/>
      <c r="M63" s="108"/>
      <c r="N63" s="108"/>
      <c r="O63" s="108"/>
      <c r="P63" s="108"/>
      <c r="Q63" s="108"/>
      <c r="R63" s="108"/>
    </row>
    <row r="64">
      <c r="A64" s="125" t="s">
        <v>87</v>
      </c>
      <c r="B64" s="125" t="s">
        <v>1265</v>
      </c>
      <c r="C64" s="125" t="s">
        <v>16</v>
      </c>
      <c r="D64" s="125" t="s">
        <v>55</v>
      </c>
      <c r="E64" s="125" t="s">
        <v>98</v>
      </c>
      <c r="F64" s="125" t="s">
        <v>1240</v>
      </c>
      <c r="G64" s="125" t="s">
        <v>56</v>
      </c>
      <c r="H64" s="125" t="s">
        <v>100</v>
      </c>
      <c r="I64" s="125" t="s">
        <v>103</v>
      </c>
      <c r="J64" s="125" t="s">
        <v>80</v>
      </c>
      <c r="K64" s="98"/>
      <c r="L64" s="98"/>
      <c r="M64" s="98"/>
      <c r="N64" s="98"/>
      <c r="O64" s="98"/>
      <c r="P64" s="98"/>
      <c r="Q64" s="98"/>
      <c r="R64" s="98"/>
    </row>
    <row r="65">
      <c r="A65" s="126" t="str">
        <f>IFERROR(__xludf.DUMMYFUNCTION("FILTER('Dashboard Data'!A12:J50,'Dashboard Data'!A12:A50&lt;&gt;"""")"),"Baba Bakers")</f>
        <v>Baba Bakers</v>
      </c>
      <c r="B65" s="126">
        <f>IFERROR(__xludf.DUMMYFUNCTION("""COMPUTED_VALUE"""),3.0)</f>
        <v>3</v>
      </c>
      <c r="C65" s="126">
        <f>IFERROR(__xludf.DUMMYFUNCTION("""COMPUTED_VALUE"""),2.0)</f>
        <v>2</v>
      </c>
      <c r="D65" s="126">
        <f>IFERROR(__xludf.DUMMYFUNCTION("""COMPUTED_VALUE"""),0.0)</f>
        <v>0</v>
      </c>
      <c r="E65" s="126">
        <f>IFERROR(__xludf.DUMMYFUNCTION("""COMPUTED_VALUE"""),3.0)</f>
        <v>3</v>
      </c>
      <c r="F65" s="126">
        <f>IFERROR(__xludf.DUMMYFUNCTION("""COMPUTED_VALUE"""),0.0)</f>
        <v>0</v>
      </c>
      <c r="G65" s="126">
        <f>IFERROR(__xludf.DUMMYFUNCTION("""COMPUTED_VALUE"""),0.0)</f>
        <v>0</v>
      </c>
      <c r="H65" s="126">
        <f>IFERROR(__xludf.DUMMYFUNCTION("""COMPUTED_VALUE"""),0.0)</f>
        <v>0</v>
      </c>
      <c r="I65" s="126">
        <f>IFERROR(__xludf.DUMMYFUNCTION("""COMPUTED_VALUE"""),0.0)</f>
        <v>0</v>
      </c>
      <c r="J65" s="126">
        <f>IFERROR(__xludf.DUMMYFUNCTION("""COMPUTED_VALUE"""),0.0)</f>
        <v>0</v>
      </c>
      <c r="K65" s="98"/>
      <c r="L65" s="98"/>
      <c r="M65" s="98"/>
      <c r="N65" s="98"/>
      <c r="O65" s="98"/>
      <c r="P65" s="98"/>
      <c r="Q65" s="98"/>
      <c r="R65" s="98"/>
    </row>
    <row r="66">
      <c r="A66" s="126" t="str">
        <f>IFERROR(__xludf.DUMMYFUNCTION("""COMPUTED_VALUE"""),"HR Ways")</f>
        <v>HR Ways</v>
      </c>
      <c r="B66" s="126">
        <f>IFERROR(__xludf.DUMMYFUNCTION("""COMPUTED_VALUE"""),1.0)</f>
        <v>1</v>
      </c>
      <c r="C66" s="126">
        <f>IFERROR(__xludf.DUMMYFUNCTION("""COMPUTED_VALUE"""),1.0)</f>
        <v>1</v>
      </c>
      <c r="D66" s="126">
        <f>IFERROR(__xludf.DUMMYFUNCTION("""COMPUTED_VALUE"""),0.0)</f>
        <v>0</v>
      </c>
      <c r="E66" s="126">
        <f>IFERROR(__xludf.DUMMYFUNCTION("""COMPUTED_VALUE"""),1.0)</f>
        <v>1</v>
      </c>
      <c r="F66" s="126">
        <f>IFERROR(__xludf.DUMMYFUNCTION("""COMPUTED_VALUE"""),0.0)</f>
        <v>0</v>
      </c>
      <c r="G66" s="126">
        <f>IFERROR(__xludf.DUMMYFUNCTION("""COMPUTED_VALUE"""),0.0)</f>
        <v>0</v>
      </c>
      <c r="H66" s="126">
        <f>IFERROR(__xludf.DUMMYFUNCTION("""COMPUTED_VALUE"""),0.0)</f>
        <v>0</v>
      </c>
      <c r="I66" s="126">
        <f>IFERROR(__xludf.DUMMYFUNCTION("""COMPUTED_VALUE"""),0.0)</f>
        <v>0</v>
      </c>
      <c r="J66" s="126">
        <f>IFERROR(__xludf.DUMMYFUNCTION("""COMPUTED_VALUE"""),0.0)</f>
        <v>0</v>
      </c>
    </row>
    <row r="67">
      <c r="A67" s="126" t="str">
        <f>IFERROR(__xludf.DUMMYFUNCTION("""COMPUTED_VALUE"""),"Nobel Business Solutions")</f>
        <v>Nobel Business Solutions</v>
      </c>
      <c r="B67" s="126">
        <f>IFERROR(__xludf.DUMMYFUNCTION("""COMPUTED_VALUE"""),1.0)</f>
        <v>1</v>
      </c>
      <c r="C67" s="126">
        <f>IFERROR(__xludf.DUMMYFUNCTION("""COMPUTED_VALUE"""),1.0)</f>
        <v>1</v>
      </c>
      <c r="D67" s="126">
        <f>IFERROR(__xludf.DUMMYFUNCTION("""COMPUTED_VALUE"""),0.0)</f>
        <v>0</v>
      </c>
      <c r="E67" s="126">
        <f>IFERROR(__xludf.DUMMYFUNCTION("""COMPUTED_VALUE"""),1.0)</f>
        <v>1</v>
      </c>
      <c r="F67" s="126">
        <f>IFERROR(__xludf.DUMMYFUNCTION("""COMPUTED_VALUE"""),30.0)</f>
        <v>30</v>
      </c>
      <c r="G67" s="126">
        <f>IFERROR(__xludf.DUMMYFUNCTION("""COMPUTED_VALUE"""),4.0)</f>
        <v>4</v>
      </c>
      <c r="H67" s="126">
        <f>IFERROR(__xludf.DUMMYFUNCTION("""COMPUTED_VALUE"""),0.0)</f>
        <v>0</v>
      </c>
      <c r="I67" s="126">
        <f>IFERROR(__xludf.DUMMYFUNCTION("""COMPUTED_VALUE"""),0.0)</f>
        <v>0</v>
      </c>
      <c r="J67" s="126">
        <f>IFERROR(__xludf.DUMMYFUNCTION("""COMPUTED_VALUE"""),0.0)</f>
        <v>0</v>
      </c>
    </row>
    <row r="68">
      <c r="A68" s="126"/>
      <c r="B68" s="126"/>
      <c r="C68" s="126"/>
      <c r="D68" s="126"/>
      <c r="E68" s="126"/>
      <c r="F68" s="126"/>
      <c r="G68" s="126"/>
      <c r="H68" s="126"/>
      <c r="I68" s="126"/>
      <c r="J68" s="126"/>
    </row>
    <row r="69">
      <c r="A69" s="126"/>
      <c r="B69" s="126"/>
      <c r="C69" s="126"/>
      <c r="D69" s="126"/>
      <c r="E69" s="126"/>
      <c r="F69" s="126"/>
      <c r="G69" s="126"/>
      <c r="H69" s="126"/>
      <c r="I69" s="126"/>
      <c r="J69" s="126"/>
    </row>
    <row r="70">
      <c r="A70" s="126"/>
      <c r="B70" s="126"/>
      <c r="C70" s="126"/>
      <c r="D70" s="126"/>
      <c r="E70" s="126"/>
      <c r="F70" s="126"/>
      <c r="G70" s="126"/>
      <c r="H70" s="126"/>
      <c r="I70" s="126"/>
      <c r="J70" s="126"/>
    </row>
    <row r="71">
      <c r="A71" s="126"/>
      <c r="B71" s="126"/>
      <c r="C71" s="126"/>
      <c r="D71" s="126"/>
      <c r="E71" s="126"/>
      <c r="F71" s="126"/>
      <c r="G71" s="126"/>
      <c r="H71" s="126"/>
      <c r="I71" s="126"/>
      <c r="J71" s="126"/>
    </row>
    <row r="72">
      <c r="A72" s="126"/>
      <c r="B72" s="126"/>
      <c r="C72" s="126"/>
      <c r="D72" s="126"/>
      <c r="E72" s="126"/>
      <c r="F72" s="126"/>
      <c r="G72" s="126"/>
      <c r="H72" s="126"/>
      <c r="I72" s="126"/>
      <c r="J72" s="126"/>
    </row>
    <row r="73">
      <c r="A73" s="126"/>
      <c r="B73" s="126"/>
      <c r="C73" s="126"/>
      <c r="D73" s="126"/>
      <c r="E73" s="126"/>
      <c r="F73" s="126"/>
      <c r="G73" s="126"/>
      <c r="H73" s="126"/>
      <c r="I73" s="126"/>
      <c r="J73" s="126"/>
    </row>
    <row r="74">
      <c r="A74" s="126"/>
      <c r="B74" s="126"/>
      <c r="C74" s="126"/>
      <c r="D74" s="126"/>
      <c r="E74" s="126"/>
      <c r="F74" s="126"/>
      <c r="G74" s="126"/>
      <c r="H74" s="126"/>
      <c r="I74" s="126"/>
      <c r="J74" s="126"/>
    </row>
    <row r="75">
      <c r="A75" s="126"/>
      <c r="B75" s="126"/>
      <c r="C75" s="126"/>
      <c r="D75" s="126"/>
      <c r="E75" s="126"/>
      <c r="F75" s="126"/>
      <c r="G75" s="126"/>
      <c r="H75" s="126"/>
      <c r="I75" s="126"/>
      <c r="J75" s="126"/>
    </row>
  </sheetData>
  <mergeCells count="40">
    <mergeCell ref="A1:R1"/>
    <mergeCell ref="A2:R2"/>
    <mergeCell ref="D5:F5"/>
    <mergeCell ref="G5:I5"/>
    <mergeCell ref="J5:L5"/>
    <mergeCell ref="M5:O5"/>
    <mergeCell ref="P5:R5"/>
    <mergeCell ref="A5:C5"/>
    <mergeCell ref="A6:C7"/>
    <mergeCell ref="D6:F7"/>
    <mergeCell ref="G6:I7"/>
    <mergeCell ref="J6:L7"/>
    <mergeCell ref="M6:O7"/>
    <mergeCell ref="P6:R7"/>
    <mergeCell ref="A8:C8"/>
    <mergeCell ref="D8:F8"/>
    <mergeCell ref="G8:I8"/>
    <mergeCell ref="J8:L8"/>
    <mergeCell ref="M8:O8"/>
    <mergeCell ref="P8:R8"/>
    <mergeCell ref="K10:R10"/>
    <mergeCell ref="A10:J10"/>
    <mergeCell ref="A26:L26"/>
    <mergeCell ref="M26:R26"/>
    <mergeCell ref="N28:R28"/>
    <mergeCell ref="N29:R29"/>
    <mergeCell ref="N30:R30"/>
    <mergeCell ref="N31:R31"/>
    <mergeCell ref="A44:I44"/>
    <mergeCell ref="A47:L47"/>
    <mergeCell ref="M47:R47"/>
    <mergeCell ref="A60:R61"/>
    <mergeCell ref="A63:R63"/>
    <mergeCell ref="A37:J37"/>
    <mergeCell ref="K37:R37"/>
    <mergeCell ref="A39:I39"/>
    <mergeCell ref="A40:I40"/>
    <mergeCell ref="A41:I41"/>
    <mergeCell ref="A42:I42"/>
    <mergeCell ref="A43:I43"/>
  </mergeCells>
  <conditionalFormatting sqref="D27:D36 D38">
    <cfRule type="cellIs" dxfId="9" priority="1" stopIfTrue="1" operator="equal">
      <formula>"High"</formula>
    </cfRule>
  </conditionalFormatting>
  <conditionalFormatting sqref="D27:D36 D38">
    <cfRule type="cellIs" dxfId="10" priority="2" stopIfTrue="1" operator="equal">
      <formula>"Medium"</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1235</v>
      </c>
      <c r="B1" s="2" t="s">
        <v>468</v>
      </c>
      <c r="C1" s="2" t="s">
        <v>1228</v>
      </c>
      <c r="D1" s="2" t="s">
        <v>1266</v>
      </c>
      <c r="E1" s="2" t="s">
        <v>468</v>
      </c>
      <c r="F1" s="2" t="s">
        <v>1228</v>
      </c>
      <c r="G1" s="2" t="s">
        <v>1267</v>
      </c>
      <c r="H1" s="2" t="s">
        <v>1268</v>
      </c>
    </row>
    <row r="2">
      <c r="A2" s="2" t="s">
        <v>1240</v>
      </c>
      <c r="B2" s="3">
        <f>COUNTA(Candidates!A2:A200)</f>
        <v>43</v>
      </c>
      <c r="C2" s="2" t="s">
        <v>1228</v>
      </c>
      <c r="D2" s="2" t="s">
        <v>56</v>
      </c>
      <c r="E2" s="3">
        <f>COUNTIF(Candidates!T2:T200,"Shortlisted")</f>
        <v>5</v>
      </c>
      <c r="F2" s="2" t="s">
        <v>1228</v>
      </c>
      <c r="G2" s="2" t="s">
        <v>1237</v>
      </c>
      <c r="H2" s="3">
        <f>COUNTIF('Positions Master'!F2:F200,"Active")</f>
        <v>4</v>
      </c>
    </row>
    <row r="3">
      <c r="A3" s="2" t="s">
        <v>56</v>
      </c>
      <c r="B3" s="3">
        <f>COUNTIF(Candidates!T2:T200,"Shortlisted")</f>
        <v>5</v>
      </c>
      <c r="C3" s="2" t="s">
        <v>1228</v>
      </c>
      <c r="D3" s="2" t="s">
        <v>46</v>
      </c>
      <c r="E3" s="3">
        <f>COUNTIF(Candidates!T2:T200,"Hold")</f>
        <v>2</v>
      </c>
      <c r="F3" s="2" t="s">
        <v>1228</v>
      </c>
      <c r="G3" s="2" t="s">
        <v>1269</v>
      </c>
      <c r="H3" s="3">
        <f>COUNTA(Candidates!A2:A200)</f>
        <v>43</v>
      </c>
    </row>
    <row r="4">
      <c r="A4" s="2" t="s">
        <v>74</v>
      </c>
      <c r="B4" s="3">
        <f>COUNTIF(Candidates!T2:T200,"Client Interview")</f>
        <v>0</v>
      </c>
      <c r="C4" s="2" t="s">
        <v>1228</v>
      </c>
      <c r="D4" s="2" t="s">
        <v>83</v>
      </c>
      <c r="E4" s="3">
        <f>COUNTIF(Candidates!T2:T200,"Rejected")</f>
        <v>35</v>
      </c>
      <c r="F4" s="2" t="s">
        <v>1228</v>
      </c>
      <c r="G4" s="2" t="s">
        <v>56</v>
      </c>
      <c r="H4" s="3">
        <f>COUNTIF(Candidates!T2:T200,"Shortlisted")</f>
        <v>5</v>
      </c>
    </row>
    <row r="5">
      <c r="A5" s="2" t="s">
        <v>79</v>
      </c>
      <c r="B5" s="3">
        <f>COUNTIF(Candidates!T2:T200,"Offer Sent")</f>
        <v>0</v>
      </c>
      <c r="C5" s="2" t="s">
        <v>1228</v>
      </c>
      <c r="D5" s="2" t="s">
        <v>80</v>
      </c>
      <c r="E5" s="3">
        <f>COUNTIF(Candidates!T2:T200,"Hired")</f>
        <v>0</v>
      </c>
      <c r="F5" s="2" t="s">
        <v>1228</v>
      </c>
      <c r="G5" s="2" t="s">
        <v>100</v>
      </c>
      <c r="H5" s="3">
        <f>SUM('Positions Master'!K2:K200)</f>
        <v>0</v>
      </c>
    </row>
    <row r="6">
      <c r="A6" s="2" t="s">
        <v>80</v>
      </c>
      <c r="B6" s="3">
        <f>COUNTIF(Candidates!T2:T200,"Hired")</f>
        <v>0</v>
      </c>
      <c r="C6" s="2" t="s">
        <v>1228</v>
      </c>
      <c r="D6" s="2" t="s">
        <v>1228</v>
      </c>
      <c r="E6" s="2" t="s">
        <v>1228</v>
      </c>
      <c r="F6" s="2" t="s">
        <v>1228</v>
      </c>
      <c r="G6" s="2" t="s">
        <v>103</v>
      </c>
      <c r="H6" s="3">
        <f>SUM('Positions Master'!L2:L200)</f>
        <v>0</v>
      </c>
    </row>
    <row r="7">
      <c r="A7" s="2" t="s">
        <v>1228</v>
      </c>
      <c r="B7" s="2" t="s">
        <v>1228</v>
      </c>
      <c r="C7" s="2" t="s">
        <v>1228</v>
      </c>
      <c r="D7" s="2" t="s">
        <v>1228</v>
      </c>
      <c r="E7" s="2" t="s">
        <v>1228</v>
      </c>
      <c r="F7" s="2" t="s">
        <v>1228</v>
      </c>
      <c r="G7" s="2" t="s">
        <v>80</v>
      </c>
      <c r="H7" s="3">
        <f>SUM('Positions Master'!M2:M200)</f>
        <v>0</v>
      </c>
    </row>
    <row r="11">
      <c r="A11" s="2" t="s">
        <v>87</v>
      </c>
      <c r="B11" s="2" t="s">
        <v>1265</v>
      </c>
      <c r="C11" s="2" t="s">
        <v>1237</v>
      </c>
      <c r="D11" s="2" t="s">
        <v>1270</v>
      </c>
      <c r="E11" s="2" t="s">
        <v>98</v>
      </c>
      <c r="F11" s="2" t="s">
        <v>99</v>
      </c>
      <c r="G11" s="2" t="s">
        <v>56</v>
      </c>
      <c r="H11" s="2" t="s">
        <v>100</v>
      </c>
      <c r="I11" s="2" t="s">
        <v>103</v>
      </c>
      <c r="J11" s="2" t="s">
        <v>80</v>
      </c>
    </row>
    <row r="12">
      <c r="A12" s="3" t="str">
        <f>IFERROR(__xludf.DUMMYFUNCTION("QUERY({'Positions Master'!B2:B200,ARRAYFORMULA(IF('Positions Master'!F2:F200=""Active"",1,0)),ARRAYFORMULA(IF(('Positions Master'!H2:H200&gt;0)*('Positions Master'!M2:M200&gt;='Positions Master'!H2:H200),1,0)),'Positions Master'!H2:M200},""select Col1,count(Col"&amp;"1),sum(Col2),sum(Col3),sum(Col4),sum(Col5),sum(Col6),sum(Col7),sum(Col8),sum(Col9) where Col1 is not null group by Col1 label count(Col1) '',sum(Col2) '',sum(Col3) '',sum(Col4) '',sum(Col5) '',sum(Col6) '',sum(Col7) '',sum(Col8) '',sum(Col9) ''"",0)"),"Baba Bakers")</f>
        <v>Baba Bakers</v>
      </c>
      <c r="B12" s="3">
        <f>IFERROR(__xludf.DUMMYFUNCTION("""COMPUTED_VALUE"""),3.0)</f>
        <v>3</v>
      </c>
      <c r="C12" s="3">
        <f>IFERROR(__xludf.DUMMYFUNCTION("""COMPUTED_VALUE"""),2.0)</f>
        <v>2</v>
      </c>
      <c r="D12" s="3">
        <f>IFERROR(__xludf.DUMMYFUNCTION("""COMPUTED_VALUE"""),0.0)</f>
        <v>0</v>
      </c>
      <c r="E12" s="3">
        <f>IFERROR(__xludf.DUMMYFUNCTION("""COMPUTED_VALUE"""),3.0)</f>
        <v>3</v>
      </c>
      <c r="F12" s="3">
        <f>IFERROR(__xludf.DUMMYFUNCTION("""COMPUTED_VALUE"""),0.0)</f>
        <v>0</v>
      </c>
      <c r="G12" s="3">
        <f>IFERROR(__xludf.DUMMYFUNCTION("""COMPUTED_VALUE"""),0.0)</f>
        <v>0</v>
      </c>
      <c r="H12" s="3">
        <f>IFERROR(__xludf.DUMMYFUNCTION("""COMPUTED_VALUE"""),0.0)</f>
        <v>0</v>
      </c>
      <c r="I12" s="3">
        <f>IFERROR(__xludf.DUMMYFUNCTION("""COMPUTED_VALUE"""),0.0)</f>
        <v>0</v>
      </c>
      <c r="J12" s="3">
        <f>IFERROR(__xludf.DUMMYFUNCTION("""COMPUTED_VALUE"""),0.0)</f>
        <v>0</v>
      </c>
    </row>
    <row r="13">
      <c r="A13" s="3" t="str">
        <f>IFERROR(__xludf.DUMMYFUNCTION("""COMPUTED_VALUE"""),"HR Ways")</f>
        <v>HR Ways</v>
      </c>
      <c r="B13" s="3">
        <f>IFERROR(__xludf.DUMMYFUNCTION("""COMPUTED_VALUE"""),1.0)</f>
        <v>1</v>
      </c>
      <c r="C13" s="3">
        <f>IFERROR(__xludf.DUMMYFUNCTION("""COMPUTED_VALUE"""),1.0)</f>
        <v>1</v>
      </c>
      <c r="D13" s="3">
        <f>IFERROR(__xludf.DUMMYFUNCTION("""COMPUTED_VALUE"""),0.0)</f>
        <v>0</v>
      </c>
      <c r="E13" s="3">
        <f>IFERROR(__xludf.DUMMYFUNCTION("""COMPUTED_VALUE"""),1.0)</f>
        <v>1</v>
      </c>
      <c r="F13" s="3">
        <f>IFERROR(__xludf.DUMMYFUNCTION("""COMPUTED_VALUE"""),0.0)</f>
        <v>0</v>
      </c>
      <c r="G13" s="3">
        <f>IFERROR(__xludf.DUMMYFUNCTION("""COMPUTED_VALUE"""),0.0)</f>
        <v>0</v>
      </c>
      <c r="H13" s="3">
        <f>IFERROR(__xludf.DUMMYFUNCTION("""COMPUTED_VALUE"""),0.0)</f>
        <v>0</v>
      </c>
      <c r="I13" s="3">
        <f>IFERROR(__xludf.DUMMYFUNCTION("""COMPUTED_VALUE"""),0.0)</f>
        <v>0</v>
      </c>
      <c r="J13" s="3">
        <f>IFERROR(__xludf.DUMMYFUNCTION("""COMPUTED_VALUE"""),0.0)</f>
        <v>0</v>
      </c>
    </row>
    <row r="14">
      <c r="A14" s="3" t="str">
        <f>IFERROR(__xludf.DUMMYFUNCTION("""COMPUTED_VALUE"""),"Nobel Business Solutions")</f>
        <v>Nobel Business Solutions</v>
      </c>
      <c r="B14" s="3">
        <f>IFERROR(__xludf.DUMMYFUNCTION("""COMPUTED_VALUE"""),1.0)</f>
        <v>1</v>
      </c>
      <c r="C14" s="3">
        <f>IFERROR(__xludf.DUMMYFUNCTION("""COMPUTED_VALUE"""),1.0)</f>
        <v>1</v>
      </c>
      <c r="D14" s="3">
        <f>IFERROR(__xludf.DUMMYFUNCTION("""COMPUTED_VALUE"""),0.0)</f>
        <v>0</v>
      </c>
      <c r="E14" s="3">
        <f>IFERROR(__xludf.DUMMYFUNCTION("""COMPUTED_VALUE"""),1.0)</f>
        <v>1</v>
      </c>
      <c r="F14" s="3">
        <f>IFERROR(__xludf.DUMMYFUNCTION("""COMPUTED_VALUE"""),30.0)</f>
        <v>30</v>
      </c>
      <c r="G14" s="3">
        <f>IFERROR(__xludf.DUMMYFUNCTION("""COMPUTED_VALUE"""),4.0)</f>
        <v>4</v>
      </c>
      <c r="H14" s="3">
        <f>IFERROR(__xludf.DUMMYFUNCTION("""COMPUTED_VALUE"""),0.0)</f>
        <v>0</v>
      </c>
      <c r="I14" s="3">
        <f>IFERROR(__xludf.DUMMYFUNCTION("""COMPUTED_VALUE"""),0.0)</f>
        <v>0</v>
      </c>
      <c r="J14" s="3">
        <f>IFERROR(__xludf.DUMMYFUNCTION("""COMPUTED_VALUE"""),0.0)</f>
        <v>0</v>
      </c>
    </row>
  </sheetData>
  <drawing r:id="rId1"/>
</worksheet>
</file>